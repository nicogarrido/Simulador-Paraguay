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nicolasgarrido/research/Simulador-Paraguay/simulador-33/"/>
    </mc:Choice>
  </mc:AlternateContent>
  <xr:revisionPtr revIDLastSave="0" documentId="13_ncr:1_{4D0BA74E-04FE-1B47-BC96-273B1FF7C3B0}" xr6:coauthVersionLast="47" xr6:coauthVersionMax="47" xr10:uidLastSave="{00000000-0000-0000-0000-000000000000}"/>
  <bookViews>
    <workbookView xWindow="-5620" yWindow="-28200" windowWidth="33220" windowHeight="24560" xr2:uid="{00000000-000D-0000-FFFF-FFFF00000000}"/>
  </bookViews>
  <sheets>
    <sheet name="Info" sheetId="1" r:id="rId1"/>
    <sheet name="Creditos" sheetId="2" r:id="rId2"/>
    <sheet name="Estimulos Nacionales" sheetId="3" r:id="rId3"/>
    <sheet name="Estimulos Internacionales" sheetId="4" r:id="rId4"/>
    <sheet name="Resumen Ejecutivo" sheetId="5" r:id="rId5"/>
    <sheet name="Produccion" sheetId="8" r:id="rId6"/>
    <sheet name="Empleo" sheetId="7" r:id="rId7"/>
    <sheet name="Ingreso Laboral" sheetId="17" r:id="rId8"/>
    <sheet name="PIB" sheetId="6" r:id="rId9"/>
    <sheet name="Encadenamientos Internos" sheetId="9" r:id="rId10"/>
    <sheet name="Empleo Exportador" sheetId="16" r:id="rId11"/>
    <sheet name="Inserción Internacional" sheetId="10" r:id="rId12"/>
    <sheet name="Informacion Empleo" sheetId="11" r:id="rId13"/>
    <sheet name="Matrices Nacionales" sheetId="12" r:id="rId14"/>
    <sheet name="Exportaciones" sheetId="13" r:id="rId15"/>
    <sheet name="MRIO" sheetId="14" r:id="rId16"/>
    <sheet name="Parametros" sheetId="15" r:id="rId17"/>
    <sheet name="Control33" sheetId="18" state="hidden" r:id="rId18"/>
  </sheets>
  <definedNames>
    <definedName name="_xlchart.v1.0" hidden="1">Produccion!$A$6:$A$38</definedName>
    <definedName name="_xlchart.v1.1" hidden="1">Produccion!$K$6:$K$38</definedName>
    <definedName name="_xlchart.v1.2" hidden="1">Empleo!$A$6:$A$38</definedName>
    <definedName name="_xlchart.v1.3" hidden="1">Empleo!$K$6:$K$38</definedName>
    <definedName name="_xlchart.v1.4" hidden="1">'Ingreso Laboral'!$A$6:$A$38</definedName>
    <definedName name="_xlchart.v1.5" hidden="1">'Ingreso Laboral'!$K$6:$K$38</definedName>
    <definedName name="_xlchart.v1.6" hidden="1">PIB!$A$6:$A$38</definedName>
    <definedName name="_xlchart.v1.7" hidden="1">PIB!$K$6:$K$38</definedName>
    <definedName name="_xleta.DELTA" hidden="1" xlm="1">#NAME?</definedName>
    <definedName name="_xleta.INDEX" hidden="1" xlm="1">#NAME?</definedName>
    <definedName name="_xleta.SUM" hidden="1" xlm="1">#NAME?</definedName>
    <definedName name="_xleta.VALUE" hidden="1" xlm="1">#NAME?</definedName>
    <definedName name="A_21x21">'Matrices Nacionales'!$C$61:$AI$93</definedName>
    <definedName name="A_22x22">'Matrices Nacionales'!$C$174:$AJ$207</definedName>
    <definedName name="A_CEPALFIGARO">MRIO!$C$4:$NA$36</definedName>
    <definedName name="Aplicar_Escala">'Estimulos Internacionales'!$O$56</definedName>
    <definedName name="_xlnm.Print_Area" localSheetId="4">'Resumen Ejecutivo'!$A$1:$T$31</definedName>
    <definedName name="B_21x21">'Matrices Nacionales'!$C$246:$AI$278</definedName>
    <definedName name="Coef_Contribuciones">'Informacion Empleo'!$J$6:$J$38</definedName>
    <definedName name="Coef_IMixtos">'Informacion Empleo'!$K$6:$K$38</definedName>
    <definedName name="Coef_IngresoTotal">'Informacion Empleo'!$L$6:$L$38</definedName>
    <definedName name="Coef_Sueldos">'Informacion Empleo'!$I$6:$I$38</definedName>
    <definedName name="Coef_trabajo">'Informacion Empleo'!$E$6:$E$38</definedName>
    <definedName name="Coef_trabajo_Alta">'Informacion Empleo'!$L$82:$L$114</definedName>
    <definedName name="Coef_trabajo_Baja">'Informacion Empleo'!$J$82:$J$114</definedName>
    <definedName name="Coef_trabajo_Formal">'Informacion Empleo'!$H$120:$H$152</definedName>
    <definedName name="Coef_trabajo_H">'Informacion Empleo'!$H$44:$H$76</definedName>
    <definedName name="Coef_trabajo_Informal">'Informacion Empleo'!$I$120:$I$152</definedName>
    <definedName name="Coef_trabajo_M">'Informacion Empleo'!$I$44:$I$76</definedName>
    <definedName name="Coef_trabajo_Media">'Informacion Empleo'!$K$82:$K$114</definedName>
    <definedName name="Coef_trabajo_Rural">'Informacion Empleo'!$I$158:$I$190</definedName>
    <definedName name="Coef_trabajo_Urbano">'Informacion Empleo'!$H$158:$H$190</definedName>
    <definedName name="Contribuciones21">'Matrices Nacionales'!$C$54:$AI$54</definedName>
    <definedName name="DeltaF21">'Estimulos Nacionales'!$D$8:$D$40</definedName>
    <definedName name="DeltaF21c">'Estimulos Nacionales'!$H$8:$H$40</definedName>
    <definedName name="DeltaF22">'Estimulos Nacionales'!$D$8:$D$41</definedName>
    <definedName name="DeltaF22c">'Estimulos Nacionales'!$H$8:$H$41</definedName>
    <definedName name="DF_MRIO">'Estimulos Internacionales'!$E$53:$E$415</definedName>
    <definedName name="EDirecto_21">Produccion!$D$6:$D$38</definedName>
    <definedName name="EIDirecto_21">Produccion!$E$6:$E$38</definedName>
    <definedName name="EIIndirecto_21">Produccion!$H$6:$H$38</definedName>
    <definedName name="EIndirecto21">Produccion!$G$6:$G$38</definedName>
    <definedName name="EInducido21">Produccion!$J$6:$J$38</definedName>
    <definedName name="EInicial_21">Produccion!$C$6:$C$38</definedName>
    <definedName name="EmpleoTotal21">'Informacion Empleo'!$C$44:$C$76</definedName>
    <definedName name="ETotal_21">Produccion!$K$6:$K$38</definedName>
    <definedName name="Exp_Destino">Exportaciones!$B$6:$K$38</definedName>
    <definedName name="Export_21">'Matrices Nacionales'!$AO$12:$AO$44</definedName>
    <definedName name="Factor_Escala">'Estimulos Internacionales'!$O$58:$O$68</definedName>
    <definedName name="G_21x21">'Matrices Nacionales'!$C$285:$AI$317</definedName>
    <definedName name="Importaciones">'Matrices Nacionales'!$C$47:$AI$47</definedName>
    <definedName name="IngresoMixto">'Matrices Nacionales'!$C$55:$AI$55</definedName>
    <definedName name="L_21">'Matrices Nacionales'!$C$210:$AJ$243</definedName>
    <definedName name="L_21x21">'Matrices Nacionales'!$C$97:$AI$129</definedName>
    <definedName name="L_22x22">'Matrices Nacionales'!$C$210:$AJ$243</definedName>
    <definedName name="L_CEPALFIGARO">MRIO!$C$41:$NA$73</definedName>
    <definedName name="PIB">Parametros!$C$4</definedName>
    <definedName name="PMConsumo">Parametros!$C$5</definedName>
    <definedName name="Salarios21">'Matrices Nacionales'!$C$52:$AI$52</definedName>
    <definedName name="SalariosNetos21">'Matrices Nacionales'!$C$53:$AI$53</definedName>
    <definedName name="solver_adj" localSheetId="2" hidden="1">'Estimulos Nacionales'!$D$8:$D$40</definedName>
    <definedName name="solver_eng" localSheetId="6" hidden="1">1</definedName>
    <definedName name="solver_eng" localSheetId="2" hidden="1">1</definedName>
    <definedName name="solver_eng" localSheetId="7" hidden="1">1</definedName>
    <definedName name="solver_lin" localSheetId="6" hidden="1">2</definedName>
    <definedName name="solver_lin" localSheetId="2" hidden="1">2</definedName>
    <definedName name="solver_lin" localSheetId="7" hidden="1">2</definedName>
    <definedName name="solver_neg" localSheetId="6" hidden="1">1</definedName>
    <definedName name="solver_neg" localSheetId="2" hidden="1">1</definedName>
    <definedName name="solver_neg" localSheetId="7" hidden="1">1</definedName>
    <definedName name="solver_num" localSheetId="6" hidden="1">0</definedName>
    <definedName name="solver_num" localSheetId="2" hidden="1">0</definedName>
    <definedName name="solver_num" localSheetId="7" hidden="1">0</definedName>
    <definedName name="solver_opt" localSheetId="6" hidden="1">Empleo!$J$106</definedName>
    <definedName name="solver_opt" localSheetId="2" hidden="1">'Estimulos Nacionales'!$I$46</definedName>
    <definedName name="solver_opt" localSheetId="7" hidden="1">'Ingreso Laboral'!$H$106</definedName>
    <definedName name="solver_typ" localSheetId="6" hidden="1">1</definedName>
    <definedName name="solver_typ" localSheetId="2" hidden="1">1</definedName>
    <definedName name="solver_typ" localSheetId="7" hidden="1">1</definedName>
    <definedName name="solver_val" localSheetId="6" hidden="1">0</definedName>
    <definedName name="solver_val" localSheetId="2" hidden="1">0</definedName>
    <definedName name="solver_val" localSheetId="7" hidden="1">0</definedName>
    <definedName name="solver_ver" localSheetId="6" hidden="1">2</definedName>
    <definedName name="solver_ver" localSheetId="2" hidden="1">2</definedName>
    <definedName name="solver_ver" localSheetId="7" hidden="1">2</definedName>
    <definedName name="TC">Parametros!$C$3</definedName>
    <definedName name="ValorAgregado21">'Matrices Nacionales'!$C$50:$AI$50</definedName>
    <definedName name="VBP_21">'Matrices Nacionales'!$C$58:$AI$58</definedName>
    <definedName name="VBP_22">'Matrices Nacionales'!$C$171:$AJ$171</definedName>
    <definedName name="VBP_MRIO">'Estimulos Internacionales'!$D$53:$D$415</definedName>
    <definedName name="Z_21x21">'Matrices Nacionales'!$C$12:$AI$44</definedName>
    <definedName name="Z_22x22">'Matrices Nacionales'!$C$136:$AJ$169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2" i="4" l="1"/>
  <c r="E41" i="4"/>
  <c r="E40" i="4"/>
  <c r="E38" i="4"/>
  <c r="E30" i="4"/>
  <c r="E29" i="4"/>
  <c r="E28" i="4"/>
  <c r="E26" i="4"/>
  <c r="E18" i="4"/>
  <c r="E17" i="4"/>
  <c r="E16" i="4"/>
  <c r="E14" i="4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N3" i="18"/>
  <c r="N2" i="18"/>
  <c r="N1" i="18"/>
  <c r="L8" i="18"/>
  <c r="L6" i="18"/>
  <c r="L5" i="18"/>
  <c r="L4" i="18"/>
  <c r="L3" i="18"/>
  <c r="L2" i="18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4" i="9"/>
  <c r="C36" i="9"/>
  <c r="C35" i="9"/>
  <c r="F35" i="9" s="1"/>
  <c r="F42" i="10" s="1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C47" i="16"/>
  <c r="C46" i="16"/>
  <c r="C45" i="16"/>
  <c r="C44" i="16"/>
  <c r="C43" i="16"/>
  <c r="C42" i="16"/>
  <c r="C41" i="16"/>
  <c r="C40" i="16"/>
  <c r="C39" i="16"/>
  <c r="C38" i="16"/>
  <c r="C37" i="16"/>
  <c r="C36" i="16"/>
  <c r="C35" i="16"/>
  <c r="C34" i="16"/>
  <c r="C33" i="16"/>
  <c r="C32" i="16"/>
  <c r="C31" i="16"/>
  <c r="C30" i="16"/>
  <c r="C29" i="16"/>
  <c r="C28" i="16"/>
  <c r="C27" i="16"/>
  <c r="C26" i="16"/>
  <c r="C25" i="16"/>
  <c r="C24" i="16"/>
  <c r="C23" i="16"/>
  <c r="C22" i="16"/>
  <c r="C21" i="16"/>
  <c r="C20" i="16"/>
  <c r="C19" i="16"/>
  <c r="C18" i="16"/>
  <c r="C17" i="16"/>
  <c r="C16" i="16"/>
  <c r="C15" i="16"/>
  <c r="F169" i="12"/>
  <c r="E169" i="12"/>
  <c r="D169" i="12"/>
  <c r="F168" i="12"/>
  <c r="E168" i="12"/>
  <c r="D168" i="12"/>
  <c r="F167" i="12"/>
  <c r="E167" i="12"/>
  <c r="D167" i="12"/>
  <c r="F166" i="12"/>
  <c r="E166" i="12"/>
  <c r="D166" i="12"/>
  <c r="F165" i="12"/>
  <c r="E165" i="12"/>
  <c r="D165" i="12"/>
  <c r="F164" i="12"/>
  <c r="E164" i="12"/>
  <c r="D164" i="12"/>
  <c r="F163" i="12"/>
  <c r="E163" i="12"/>
  <c r="D163" i="12"/>
  <c r="F162" i="12"/>
  <c r="E162" i="12"/>
  <c r="D162" i="12"/>
  <c r="F161" i="12"/>
  <c r="E161" i="12"/>
  <c r="D161" i="12"/>
  <c r="F160" i="12"/>
  <c r="E160" i="12"/>
  <c r="D160" i="12"/>
  <c r="F159" i="12"/>
  <c r="E159" i="12"/>
  <c r="D159" i="12"/>
  <c r="F158" i="12"/>
  <c r="E158" i="12"/>
  <c r="D158" i="12"/>
  <c r="F157" i="12"/>
  <c r="E157" i="12"/>
  <c r="D157" i="12"/>
  <c r="F156" i="12"/>
  <c r="E156" i="12"/>
  <c r="D156" i="12"/>
  <c r="F155" i="12"/>
  <c r="E155" i="12"/>
  <c r="D155" i="12"/>
  <c r="F154" i="12"/>
  <c r="E154" i="12"/>
  <c r="D154" i="12"/>
  <c r="F153" i="12"/>
  <c r="E153" i="12"/>
  <c r="D153" i="12"/>
  <c r="F152" i="12"/>
  <c r="E152" i="12"/>
  <c r="D152" i="12"/>
  <c r="F151" i="12"/>
  <c r="E151" i="12"/>
  <c r="D151" i="12"/>
  <c r="F150" i="12"/>
  <c r="E150" i="12"/>
  <c r="D150" i="12"/>
  <c r="F149" i="12"/>
  <c r="E149" i="12"/>
  <c r="D149" i="12"/>
  <c r="F148" i="12"/>
  <c r="E148" i="12"/>
  <c r="D148" i="12"/>
  <c r="F147" i="12"/>
  <c r="E147" i="12"/>
  <c r="D147" i="12"/>
  <c r="F146" i="12"/>
  <c r="E146" i="12"/>
  <c r="D146" i="12"/>
  <c r="F145" i="12"/>
  <c r="E145" i="12"/>
  <c r="D145" i="12"/>
  <c r="F144" i="12"/>
  <c r="E144" i="12"/>
  <c r="D144" i="12"/>
  <c r="F143" i="12"/>
  <c r="E143" i="12"/>
  <c r="D143" i="12"/>
  <c r="F142" i="12"/>
  <c r="E142" i="12"/>
  <c r="D142" i="12"/>
  <c r="F141" i="12"/>
  <c r="E141" i="12"/>
  <c r="D141" i="12"/>
  <c r="F140" i="12"/>
  <c r="E140" i="12"/>
  <c r="D140" i="12"/>
  <c r="F139" i="12"/>
  <c r="E139" i="12"/>
  <c r="D139" i="12"/>
  <c r="F138" i="12"/>
  <c r="E138" i="12"/>
  <c r="D138" i="12"/>
  <c r="F137" i="12"/>
  <c r="E137" i="12"/>
  <c r="D137" i="12"/>
  <c r="F136" i="12"/>
  <c r="E136" i="12"/>
  <c r="D136" i="12"/>
  <c r="F50" i="12"/>
  <c r="E50" i="12"/>
  <c r="D50" i="12"/>
  <c r="F46" i="12"/>
  <c r="E46" i="12"/>
  <c r="D46" i="12"/>
  <c r="D58" i="12" s="1"/>
  <c r="D171" i="12" s="1"/>
  <c r="N169" i="12"/>
  <c r="M169" i="12"/>
  <c r="L169" i="12"/>
  <c r="K169" i="12"/>
  <c r="J169" i="12"/>
  <c r="I169" i="12"/>
  <c r="N168" i="12"/>
  <c r="M168" i="12"/>
  <c r="L168" i="12"/>
  <c r="K168" i="12"/>
  <c r="J168" i="12"/>
  <c r="I168" i="12"/>
  <c r="N167" i="12"/>
  <c r="M167" i="12"/>
  <c r="L167" i="12"/>
  <c r="K167" i="12"/>
  <c r="J167" i="12"/>
  <c r="I167" i="12"/>
  <c r="N166" i="12"/>
  <c r="M166" i="12"/>
  <c r="L166" i="12"/>
  <c r="K166" i="12"/>
  <c r="J166" i="12"/>
  <c r="I166" i="12"/>
  <c r="N165" i="12"/>
  <c r="M165" i="12"/>
  <c r="L165" i="12"/>
  <c r="K165" i="12"/>
  <c r="J165" i="12"/>
  <c r="I165" i="12"/>
  <c r="N164" i="12"/>
  <c r="M164" i="12"/>
  <c r="L164" i="12"/>
  <c r="K164" i="12"/>
  <c r="J164" i="12"/>
  <c r="I164" i="12"/>
  <c r="N163" i="12"/>
  <c r="M163" i="12"/>
  <c r="L163" i="12"/>
  <c r="K163" i="12"/>
  <c r="J163" i="12"/>
  <c r="I163" i="12"/>
  <c r="N162" i="12"/>
  <c r="M162" i="12"/>
  <c r="L162" i="12"/>
  <c r="K162" i="12"/>
  <c r="J162" i="12"/>
  <c r="I162" i="12"/>
  <c r="N161" i="12"/>
  <c r="M161" i="12"/>
  <c r="L161" i="12"/>
  <c r="K161" i="12"/>
  <c r="J161" i="12"/>
  <c r="I161" i="12"/>
  <c r="N160" i="12"/>
  <c r="M160" i="12"/>
  <c r="L160" i="12"/>
  <c r="K160" i="12"/>
  <c r="J160" i="12"/>
  <c r="I160" i="12"/>
  <c r="N159" i="12"/>
  <c r="M159" i="12"/>
  <c r="L159" i="12"/>
  <c r="K159" i="12"/>
  <c r="J159" i="12"/>
  <c r="I159" i="12"/>
  <c r="N158" i="12"/>
  <c r="M158" i="12"/>
  <c r="L158" i="12"/>
  <c r="K158" i="12"/>
  <c r="J158" i="12"/>
  <c r="I158" i="12"/>
  <c r="N157" i="12"/>
  <c r="M157" i="12"/>
  <c r="L157" i="12"/>
  <c r="K157" i="12"/>
  <c r="J157" i="12"/>
  <c r="I157" i="12"/>
  <c r="N156" i="12"/>
  <c r="M156" i="12"/>
  <c r="L156" i="12"/>
  <c r="K156" i="12"/>
  <c r="J156" i="12"/>
  <c r="I156" i="12"/>
  <c r="N155" i="12"/>
  <c r="M155" i="12"/>
  <c r="L155" i="12"/>
  <c r="K155" i="12"/>
  <c r="J155" i="12"/>
  <c r="I155" i="12"/>
  <c r="N154" i="12"/>
  <c r="M154" i="12"/>
  <c r="L154" i="12"/>
  <c r="K154" i="12"/>
  <c r="J154" i="12"/>
  <c r="I154" i="12"/>
  <c r="N153" i="12"/>
  <c r="M153" i="12"/>
  <c r="L153" i="12"/>
  <c r="K153" i="12"/>
  <c r="J153" i="12"/>
  <c r="I153" i="12"/>
  <c r="N152" i="12"/>
  <c r="M152" i="12"/>
  <c r="L152" i="12"/>
  <c r="K152" i="12"/>
  <c r="J152" i="12"/>
  <c r="I152" i="12"/>
  <c r="N151" i="12"/>
  <c r="M151" i="12"/>
  <c r="L151" i="12"/>
  <c r="K151" i="12"/>
  <c r="J151" i="12"/>
  <c r="I151" i="12"/>
  <c r="N150" i="12"/>
  <c r="M150" i="12"/>
  <c r="L150" i="12"/>
  <c r="K150" i="12"/>
  <c r="J150" i="12"/>
  <c r="I150" i="12"/>
  <c r="N149" i="12"/>
  <c r="M149" i="12"/>
  <c r="L149" i="12"/>
  <c r="K149" i="12"/>
  <c r="J149" i="12"/>
  <c r="I149" i="12"/>
  <c r="N148" i="12"/>
  <c r="M148" i="12"/>
  <c r="L148" i="12"/>
  <c r="K148" i="12"/>
  <c r="J148" i="12"/>
  <c r="I148" i="12"/>
  <c r="N147" i="12"/>
  <c r="M147" i="12"/>
  <c r="L147" i="12"/>
  <c r="K147" i="12"/>
  <c r="J147" i="12"/>
  <c r="I147" i="12"/>
  <c r="N146" i="12"/>
  <c r="M146" i="12"/>
  <c r="L146" i="12"/>
  <c r="K146" i="12"/>
  <c r="J146" i="12"/>
  <c r="I146" i="12"/>
  <c r="N145" i="12"/>
  <c r="M145" i="12"/>
  <c r="L145" i="12"/>
  <c r="K145" i="12"/>
  <c r="J145" i="12"/>
  <c r="I145" i="12"/>
  <c r="N144" i="12"/>
  <c r="M144" i="12"/>
  <c r="L144" i="12"/>
  <c r="K144" i="12"/>
  <c r="J144" i="12"/>
  <c r="I144" i="12"/>
  <c r="N143" i="12"/>
  <c r="M143" i="12"/>
  <c r="L143" i="12"/>
  <c r="K143" i="12"/>
  <c r="J143" i="12"/>
  <c r="I143" i="12"/>
  <c r="N142" i="12"/>
  <c r="M142" i="12"/>
  <c r="L142" i="12"/>
  <c r="K142" i="12"/>
  <c r="J142" i="12"/>
  <c r="I142" i="12"/>
  <c r="N141" i="12"/>
  <c r="M141" i="12"/>
  <c r="L141" i="12"/>
  <c r="K141" i="12"/>
  <c r="J141" i="12"/>
  <c r="I141" i="12"/>
  <c r="N140" i="12"/>
  <c r="M140" i="12"/>
  <c r="L140" i="12"/>
  <c r="K140" i="12"/>
  <c r="J140" i="12"/>
  <c r="I140" i="12"/>
  <c r="N139" i="12"/>
  <c r="M139" i="12"/>
  <c r="L139" i="12"/>
  <c r="K139" i="12"/>
  <c r="J139" i="12"/>
  <c r="I139" i="12"/>
  <c r="N138" i="12"/>
  <c r="M138" i="12"/>
  <c r="L138" i="12"/>
  <c r="K138" i="12"/>
  <c r="J138" i="12"/>
  <c r="I138" i="12"/>
  <c r="N137" i="12"/>
  <c r="M137" i="12"/>
  <c r="L137" i="12"/>
  <c r="K137" i="12"/>
  <c r="J137" i="12"/>
  <c r="I137" i="12"/>
  <c r="N136" i="12"/>
  <c r="M136" i="12"/>
  <c r="L136" i="12"/>
  <c r="K136" i="12"/>
  <c r="J136" i="12"/>
  <c r="I136" i="12"/>
  <c r="N50" i="12"/>
  <c r="M50" i="12"/>
  <c r="L50" i="12"/>
  <c r="K50" i="12"/>
  <c r="J50" i="12"/>
  <c r="I50" i="12"/>
  <c r="N46" i="12"/>
  <c r="M46" i="12"/>
  <c r="L46" i="12"/>
  <c r="K46" i="12"/>
  <c r="J46" i="12"/>
  <c r="I46" i="12"/>
  <c r="P169" i="12"/>
  <c r="P168" i="12"/>
  <c r="P167" i="12"/>
  <c r="P166" i="12"/>
  <c r="P165" i="12"/>
  <c r="P164" i="12"/>
  <c r="P163" i="12"/>
  <c r="P162" i="12"/>
  <c r="P161" i="12"/>
  <c r="P160" i="12"/>
  <c r="P159" i="12"/>
  <c r="P158" i="12"/>
  <c r="P157" i="12"/>
  <c r="P156" i="12"/>
  <c r="P155" i="12"/>
  <c r="P154" i="12"/>
  <c r="P153" i="12"/>
  <c r="P152" i="12"/>
  <c r="P151" i="12"/>
  <c r="P150" i="12"/>
  <c r="P149" i="12"/>
  <c r="P148" i="12"/>
  <c r="P147" i="12"/>
  <c r="P146" i="12"/>
  <c r="P145" i="12"/>
  <c r="P144" i="12"/>
  <c r="P143" i="12"/>
  <c r="P142" i="12"/>
  <c r="P141" i="12"/>
  <c r="P140" i="12"/>
  <c r="P139" i="12"/>
  <c r="P138" i="12"/>
  <c r="P137" i="12"/>
  <c r="P136" i="12"/>
  <c r="P50" i="12"/>
  <c r="P46" i="12"/>
  <c r="R169" i="12"/>
  <c r="R168" i="12"/>
  <c r="R167" i="12"/>
  <c r="R166" i="12"/>
  <c r="R165" i="12"/>
  <c r="R164" i="12"/>
  <c r="R163" i="12"/>
  <c r="R162" i="12"/>
  <c r="R161" i="12"/>
  <c r="R160" i="12"/>
  <c r="R159" i="12"/>
  <c r="R158" i="12"/>
  <c r="R157" i="12"/>
  <c r="R156" i="12"/>
  <c r="R155" i="12"/>
  <c r="R154" i="12"/>
  <c r="R153" i="12"/>
  <c r="R152" i="12"/>
  <c r="R151" i="12"/>
  <c r="R150" i="12"/>
  <c r="R149" i="12"/>
  <c r="R148" i="12"/>
  <c r="R147" i="12"/>
  <c r="R146" i="12"/>
  <c r="R145" i="12"/>
  <c r="R144" i="12"/>
  <c r="R143" i="12"/>
  <c r="R142" i="12"/>
  <c r="R141" i="12"/>
  <c r="R140" i="12"/>
  <c r="R139" i="12"/>
  <c r="R138" i="12"/>
  <c r="R137" i="12"/>
  <c r="R136" i="12"/>
  <c r="R50" i="12"/>
  <c r="R46" i="12"/>
  <c r="AH169" i="12"/>
  <c r="AH168" i="12"/>
  <c r="AH167" i="12"/>
  <c r="AH166" i="12"/>
  <c r="AH165" i="12"/>
  <c r="AH164" i="12"/>
  <c r="AH163" i="12"/>
  <c r="AH162" i="12"/>
  <c r="AH161" i="12"/>
  <c r="AH160" i="12"/>
  <c r="AH159" i="12"/>
  <c r="AH158" i="12"/>
  <c r="AH157" i="12"/>
  <c r="AH156" i="12"/>
  <c r="AH155" i="12"/>
  <c r="AH154" i="12"/>
  <c r="AH153" i="12"/>
  <c r="AH152" i="12"/>
  <c r="AH151" i="12"/>
  <c r="AH150" i="12"/>
  <c r="AH149" i="12"/>
  <c r="AH148" i="12"/>
  <c r="AH147" i="12"/>
  <c r="AH146" i="12"/>
  <c r="AH145" i="12"/>
  <c r="AH144" i="12"/>
  <c r="AH143" i="12"/>
  <c r="AH142" i="12"/>
  <c r="AH141" i="12"/>
  <c r="AH140" i="12"/>
  <c r="AH139" i="12"/>
  <c r="AH138" i="12"/>
  <c r="AH137" i="12"/>
  <c r="AH136" i="12"/>
  <c r="AH50" i="12"/>
  <c r="AH46" i="12"/>
  <c r="G161" i="11"/>
  <c r="G160" i="11"/>
  <c r="G159" i="11"/>
  <c r="F161" i="11"/>
  <c r="F160" i="11"/>
  <c r="F159" i="11"/>
  <c r="G169" i="11"/>
  <c r="G168" i="11"/>
  <c r="G167" i="11"/>
  <c r="G166" i="11"/>
  <c r="G165" i="11"/>
  <c r="G164" i="11"/>
  <c r="F169" i="11"/>
  <c r="F168" i="11"/>
  <c r="F167" i="11"/>
  <c r="F166" i="11"/>
  <c r="F165" i="11"/>
  <c r="F164" i="11"/>
  <c r="G171" i="11"/>
  <c r="F171" i="11"/>
  <c r="G173" i="11"/>
  <c r="F173" i="11"/>
  <c r="G189" i="11"/>
  <c r="F189" i="11"/>
  <c r="G123" i="11"/>
  <c r="G122" i="11"/>
  <c r="G121" i="11"/>
  <c r="F123" i="11"/>
  <c r="F122" i="11"/>
  <c r="F121" i="11"/>
  <c r="G131" i="11"/>
  <c r="G130" i="11"/>
  <c r="G129" i="11"/>
  <c r="G128" i="11"/>
  <c r="G127" i="11"/>
  <c r="G126" i="11"/>
  <c r="F131" i="11"/>
  <c r="F130" i="11"/>
  <c r="F129" i="11"/>
  <c r="F128" i="11"/>
  <c r="F127" i="11"/>
  <c r="F126" i="11"/>
  <c r="G133" i="11"/>
  <c r="F133" i="11"/>
  <c r="G135" i="11"/>
  <c r="F135" i="11"/>
  <c r="G151" i="11"/>
  <c r="F151" i="11"/>
  <c r="I85" i="11"/>
  <c r="I84" i="11"/>
  <c r="I83" i="11"/>
  <c r="H85" i="11"/>
  <c r="H84" i="11"/>
  <c r="H83" i="11"/>
  <c r="G85" i="11"/>
  <c r="G84" i="11"/>
  <c r="G83" i="11"/>
  <c r="I93" i="11"/>
  <c r="I92" i="11"/>
  <c r="I91" i="11"/>
  <c r="I90" i="11"/>
  <c r="I89" i="11"/>
  <c r="I88" i="11"/>
  <c r="H93" i="11"/>
  <c r="H92" i="11"/>
  <c r="H91" i="11"/>
  <c r="H90" i="11"/>
  <c r="H89" i="11"/>
  <c r="H88" i="11"/>
  <c r="G93" i="11"/>
  <c r="G92" i="11"/>
  <c r="G91" i="11"/>
  <c r="G90" i="11"/>
  <c r="G89" i="11"/>
  <c r="G88" i="11"/>
  <c r="I95" i="11"/>
  <c r="H95" i="11"/>
  <c r="G95" i="11"/>
  <c r="I97" i="11"/>
  <c r="H97" i="11"/>
  <c r="G97" i="11"/>
  <c r="I113" i="11"/>
  <c r="H113" i="11"/>
  <c r="G113" i="11"/>
  <c r="G47" i="11"/>
  <c r="G46" i="11"/>
  <c r="G45" i="11"/>
  <c r="F47" i="11"/>
  <c r="F46" i="11"/>
  <c r="F45" i="11"/>
  <c r="G55" i="11"/>
  <c r="G54" i="11"/>
  <c r="G53" i="11"/>
  <c r="G52" i="11"/>
  <c r="G51" i="11"/>
  <c r="G50" i="11"/>
  <c r="F55" i="11"/>
  <c r="F54" i="11"/>
  <c r="F53" i="11"/>
  <c r="F52" i="11"/>
  <c r="F51" i="11"/>
  <c r="F50" i="11"/>
  <c r="G57" i="11"/>
  <c r="F57" i="11"/>
  <c r="G59" i="11"/>
  <c r="F59" i="11"/>
  <c r="G75" i="11"/>
  <c r="F75" i="11"/>
  <c r="B14" i="10"/>
  <c r="B13" i="10"/>
  <c r="B12" i="10"/>
  <c r="A14" i="10"/>
  <c r="A13" i="10"/>
  <c r="A12" i="10"/>
  <c r="B22" i="10"/>
  <c r="B21" i="10"/>
  <c r="B20" i="10"/>
  <c r="B19" i="10"/>
  <c r="B18" i="10"/>
  <c r="B17" i="10"/>
  <c r="A22" i="10"/>
  <c r="A21" i="10"/>
  <c r="A20" i="10"/>
  <c r="A19" i="10"/>
  <c r="A18" i="10"/>
  <c r="A17" i="10"/>
  <c r="B24" i="10"/>
  <c r="A24" i="10"/>
  <c r="B26" i="10"/>
  <c r="A26" i="10"/>
  <c r="B42" i="10"/>
  <c r="A42" i="10"/>
  <c r="J386" i="4"/>
  <c r="D386" i="4" s="1"/>
  <c r="J385" i="4"/>
  <c r="C385" i="4" s="1"/>
  <c r="J384" i="4"/>
  <c r="D384" i="4" s="1"/>
  <c r="J394" i="4"/>
  <c r="D394" i="4" s="1"/>
  <c r="J393" i="4"/>
  <c r="D393" i="4" s="1"/>
  <c r="J392" i="4"/>
  <c r="C392" i="4" s="1"/>
  <c r="J391" i="4"/>
  <c r="D391" i="4" s="1"/>
  <c r="J390" i="4"/>
  <c r="D390" i="4" s="1"/>
  <c r="J389" i="4"/>
  <c r="D389" i="4" s="1"/>
  <c r="J396" i="4"/>
  <c r="D396" i="4" s="1"/>
  <c r="J398" i="4"/>
  <c r="D398" i="4" s="1"/>
  <c r="J414" i="4"/>
  <c r="D414" i="4" s="1"/>
  <c r="J353" i="4"/>
  <c r="D353" i="4" s="1"/>
  <c r="J352" i="4"/>
  <c r="C352" i="4" s="1"/>
  <c r="J351" i="4"/>
  <c r="D351" i="4" s="1"/>
  <c r="J361" i="4"/>
  <c r="C361" i="4" s="1"/>
  <c r="J360" i="4"/>
  <c r="C360" i="4" s="1"/>
  <c r="J359" i="4"/>
  <c r="C359" i="4" s="1"/>
  <c r="J358" i="4"/>
  <c r="D358" i="4" s="1"/>
  <c r="J357" i="4"/>
  <c r="D357" i="4" s="1"/>
  <c r="J356" i="4"/>
  <c r="D356" i="4" s="1"/>
  <c r="J363" i="4"/>
  <c r="D363" i="4" s="1"/>
  <c r="J365" i="4"/>
  <c r="C365" i="4" s="1"/>
  <c r="J381" i="4"/>
  <c r="C381" i="4" s="1"/>
  <c r="J320" i="4"/>
  <c r="C320" i="4" s="1"/>
  <c r="J319" i="4"/>
  <c r="J318" i="4"/>
  <c r="D318" i="4" s="1"/>
  <c r="J328" i="4"/>
  <c r="C328" i="4" s="1"/>
  <c r="J327" i="4"/>
  <c r="C327" i="4" s="1"/>
  <c r="J326" i="4"/>
  <c r="C326" i="4" s="1"/>
  <c r="J325" i="4"/>
  <c r="D325" i="4" s="1"/>
  <c r="J324" i="4"/>
  <c r="C324" i="4" s="1"/>
  <c r="J323" i="4"/>
  <c r="C323" i="4" s="1"/>
  <c r="J330" i="4"/>
  <c r="D330" i="4" s="1"/>
  <c r="J332" i="4"/>
  <c r="C332" i="4" s="1"/>
  <c r="J348" i="4"/>
  <c r="D348" i="4" s="1"/>
  <c r="J287" i="4"/>
  <c r="C287" i="4" s="1"/>
  <c r="J286" i="4"/>
  <c r="D286" i="4" s="1"/>
  <c r="J285" i="4"/>
  <c r="J295" i="4"/>
  <c r="D295" i="4" s="1"/>
  <c r="J294" i="4"/>
  <c r="D294" i="4" s="1"/>
  <c r="J293" i="4"/>
  <c r="J292" i="4"/>
  <c r="C292" i="4" s="1"/>
  <c r="J291" i="4"/>
  <c r="C291" i="4" s="1"/>
  <c r="J290" i="4"/>
  <c r="C290" i="4" s="1"/>
  <c r="J297" i="4"/>
  <c r="J299" i="4"/>
  <c r="C299" i="4" s="1"/>
  <c r="J315" i="4"/>
  <c r="D315" i="4" s="1"/>
  <c r="J254" i="4"/>
  <c r="C254" i="4" s="1"/>
  <c r="J253" i="4"/>
  <c r="D253" i="4" s="1"/>
  <c r="J252" i="4"/>
  <c r="D252" i="4" s="1"/>
  <c r="J262" i="4"/>
  <c r="D262" i="4" s="1"/>
  <c r="J261" i="4"/>
  <c r="D261" i="4" s="1"/>
  <c r="J260" i="4"/>
  <c r="C260" i="4" s="1"/>
  <c r="J259" i="4"/>
  <c r="D259" i="4" s="1"/>
  <c r="J258" i="4"/>
  <c r="D258" i="4" s="1"/>
  <c r="J257" i="4"/>
  <c r="D257" i="4" s="1"/>
  <c r="J264" i="4"/>
  <c r="D264" i="4" s="1"/>
  <c r="J266" i="4"/>
  <c r="D266" i="4" s="1"/>
  <c r="J282" i="4"/>
  <c r="D282" i="4" s="1"/>
  <c r="J221" i="4"/>
  <c r="D221" i="4" s="1"/>
  <c r="J220" i="4"/>
  <c r="D220" i="4" s="1"/>
  <c r="J219" i="4"/>
  <c r="D219" i="4" s="1"/>
  <c r="J229" i="4"/>
  <c r="C229" i="4" s="1"/>
  <c r="J228" i="4"/>
  <c r="C228" i="4" s="1"/>
  <c r="J227" i="4"/>
  <c r="C227" i="4" s="1"/>
  <c r="J226" i="4"/>
  <c r="D226" i="4" s="1"/>
  <c r="J225" i="4"/>
  <c r="D225" i="4" s="1"/>
  <c r="J224" i="4"/>
  <c r="D224" i="4" s="1"/>
  <c r="J231" i="4"/>
  <c r="D231" i="4" s="1"/>
  <c r="J233" i="4"/>
  <c r="C233" i="4" s="1"/>
  <c r="J249" i="4"/>
  <c r="C249" i="4" s="1"/>
  <c r="J188" i="4"/>
  <c r="C188" i="4" s="1"/>
  <c r="J187" i="4"/>
  <c r="J186" i="4"/>
  <c r="D186" i="4" s="1"/>
  <c r="J196" i="4"/>
  <c r="D196" i="4" s="1"/>
  <c r="J195" i="4"/>
  <c r="C195" i="4" s="1"/>
  <c r="J194" i="4"/>
  <c r="C194" i="4" s="1"/>
  <c r="J193" i="4"/>
  <c r="D193" i="4" s="1"/>
  <c r="J192" i="4"/>
  <c r="C192" i="4" s="1"/>
  <c r="J191" i="4"/>
  <c r="C191" i="4" s="1"/>
  <c r="J198" i="4"/>
  <c r="C198" i="4" s="1"/>
  <c r="J200" i="4"/>
  <c r="D200" i="4" s="1"/>
  <c r="J216" i="4"/>
  <c r="D216" i="4" s="1"/>
  <c r="J155" i="4"/>
  <c r="C155" i="4" s="1"/>
  <c r="J154" i="4"/>
  <c r="C154" i="4" s="1"/>
  <c r="J153" i="4"/>
  <c r="J163" i="4"/>
  <c r="D163" i="4" s="1"/>
  <c r="J162" i="4"/>
  <c r="D162" i="4" s="1"/>
  <c r="J161" i="4"/>
  <c r="J160" i="4"/>
  <c r="C160" i="4" s="1"/>
  <c r="J159" i="4"/>
  <c r="D159" i="4" s="1"/>
  <c r="J158" i="4"/>
  <c r="C158" i="4" s="1"/>
  <c r="J165" i="4"/>
  <c r="J167" i="4"/>
  <c r="D167" i="4" s="1"/>
  <c r="J183" i="4"/>
  <c r="D183" i="4" s="1"/>
  <c r="J122" i="4"/>
  <c r="D122" i="4" s="1"/>
  <c r="J121" i="4"/>
  <c r="D121" i="4" s="1"/>
  <c r="J120" i="4"/>
  <c r="D120" i="4" s="1"/>
  <c r="J130" i="4"/>
  <c r="C130" i="4" s="1"/>
  <c r="J129" i="4"/>
  <c r="D129" i="4" s="1"/>
  <c r="J128" i="4"/>
  <c r="C128" i="4" s="1"/>
  <c r="J127" i="4"/>
  <c r="C127" i="4" s="1"/>
  <c r="J126" i="4"/>
  <c r="D126" i="4" s="1"/>
  <c r="J125" i="4"/>
  <c r="D125" i="4" s="1"/>
  <c r="J132" i="4"/>
  <c r="D132" i="4" s="1"/>
  <c r="J134" i="4"/>
  <c r="D134" i="4" s="1"/>
  <c r="J150" i="4"/>
  <c r="D150" i="4" s="1"/>
  <c r="J89" i="4"/>
  <c r="D89" i="4" s="1"/>
  <c r="J88" i="4"/>
  <c r="D88" i="4" s="1"/>
  <c r="J87" i="4"/>
  <c r="D87" i="4" s="1"/>
  <c r="J97" i="4"/>
  <c r="C97" i="4" s="1"/>
  <c r="J96" i="4"/>
  <c r="C96" i="4" s="1"/>
  <c r="J95" i="4"/>
  <c r="C95" i="4" s="1"/>
  <c r="J94" i="4"/>
  <c r="C94" i="4" s="1"/>
  <c r="J93" i="4"/>
  <c r="D93" i="4" s="1"/>
  <c r="J92" i="4"/>
  <c r="D92" i="4" s="1"/>
  <c r="J99" i="4"/>
  <c r="C99" i="4" s="1"/>
  <c r="J101" i="4"/>
  <c r="C101" i="4" s="1"/>
  <c r="J117" i="4"/>
  <c r="C117" i="4" s="1"/>
  <c r="J56" i="4"/>
  <c r="C56" i="4" s="1"/>
  <c r="J55" i="4"/>
  <c r="C55" i="4" s="1"/>
  <c r="J54" i="4"/>
  <c r="J64" i="4"/>
  <c r="D64" i="4" s="1"/>
  <c r="J63" i="4"/>
  <c r="C63" i="4" s="1"/>
  <c r="J62" i="4"/>
  <c r="C62" i="4" s="1"/>
  <c r="J61" i="4"/>
  <c r="D61" i="4" s="1"/>
  <c r="J60" i="4"/>
  <c r="C60" i="4" s="1"/>
  <c r="J59" i="4"/>
  <c r="D59" i="4" s="1"/>
  <c r="J66" i="4"/>
  <c r="D66" i="4" s="1"/>
  <c r="J68" i="4"/>
  <c r="J84" i="4"/>
  <c r="AJ139" i="12"/>
  <c r="AJ138" i="12"/>
  <c r="AJ137" i="12"/>
  <c r="AI139" i="12"/>
  <c r="AI138" i="12"/>
  <c r="AI137" i="12"/>
  <c r="AG139" i="12"/>
  <c r="AG138" i="12"/>
  <c r="AG137" i="12"/>
  <c r="AF139" i="12"/>
  <c r="AF138" i="12"/>
  <c r="AF137" i="12"/>
  <c r="AE139" i="12"/>
  <c r="AE138" i="12"/>
  <c r="AE137" i="12"/>
  <c r="AD139" i="12"/>
  <c r="AD138" i="12"/>
  <c r="AD137" i="12"/>
  <c r="AC139" i="12"/>
  <c r="AC138" i="12"/>
  <c r="AC137" i="12"/>
  <c r="AB139" i="12"/>
  <c r="AB138" i="12"/>
  <c r="AB137" i="12"/>
  <c r="AA139" i="12"/>
  <c r="AA138" i="12"/>
  <c r="AA137" i="12"/>
  <c r="Z139" i="12"/>
  <c r="Z138" i="12"/>
  <c r="Z137" i="12"/>
  <c r="Y139" i="12"/>
  <c r="Y138" i="12"/>
  <c r="Y137" i="12"/>
  <c r="X139" i="12"/>
  <c r="X138" i="12"/>
  <c r="X137" i="12"/>
  <c r="W139" i="12"/>
  <c r="W138" i="12"/>
  <c r="W137" i="12"/>
  <c r="V139" i="12"/>
  <c r="V138" i="12"/>
  <c r="V137" i="12"/>
  <c r="U139" i="12"/>
  <c r="U138" i="12"/>
  <c r="U137" i="12"/>
  <c r="T139" i="12"/>
  <c r="T138" i="12"/>
  <c r="T137" i="12"/>
  <c r="S139" i="12"/>
  <c r="S138" i="12"/>
  <c r="S137" i="12"/>
  <c r="Q139" i="12"/>
  <c r="Q138" i="12"/>
  <c r="Q137" i="12"/>
  <c r="O139" i="12"/>
  <c r="O138" i="12"/>
  <c r="O137" i="12"/>
  <c r="H139" i="12"/>
  <c r="H138" i="12"/>
  <c r="H137" i="12"/>
  <c r="G139" i="12"/>
  <c r="G138" i="12"/>
  <c r="G137" i="12"/>
  <c r="C139" i="12"/>
  <c r="C138" i="12"/>
  <c r="C137" i="12"/>
  <c r="AJ147" i="12"/>
  <c r="AJ146" i="12"/>
  <c r="AJ145" i="12"/>
  <c r="AJ144" i="12"/>
  <c r="AJ143" i="12"/>
  <c r="AJ142" i="12"/>
  <c r="AI147" i="12"/>
  <c r="AI146" i="12"/>
  <c r="AI145" i="12"/>
  <c r="AI144" i="12"/>
  <c r="AI143" i="12"/>
  <c r="AI142" i="12"/>
  <c r="AG147" i="12"/>
  <c r="AG146" i="12"/>
  <c r="AG145" i="12"/>
  <c r="AG144" i="12"/>
  <c r="AG143" i="12"/>
  <c r="AG142" i="12"/>
  <c r="AF147" i="12"/>
  <c r="AF146" i="12"/>
  <c r="AF145" i="12"/>
  <c r="AF144" i="12"/>
  <c r="AF143" i="12"/>
  <c r="AF142" i="12"/>
  <c r="AE147" i="12"/>
  <c r="AE146" i="12"/>
  <c r="AE145" i="12"/>
  <c r="AE144" i="12"/>
  <c r="AE143" i="12"/>
  <c r="AE142" i="12"/>
  <c r="AD147" i="12"/>
  <c r="AD146" i="12"/>
  <c r="AD145" i="12"/>
  <c r="AD144" i="12"/>
  <c r="AD143" i="12"/>
  <c r="AD142" i="12"/>
  <c r="AC147" i="12"/>
  <c r="AC146" i="12"/>
  <c r="AC145" i="12"/>
  <c r="AC144" i="12"/>
  <c r="AC143" i="12"/>
  <c r="AC142" i="12"/>
  <c r="AB147" i="12"/>
  <c r="AB146" i="12"/>
  <c r="AB145" i="12"/>
  <c r="AB144" i="12"/>
  <c r="AB143" i="12"/>
  <c r="AB142" i="12"/>
  <c r="AA147" i="12"/>
  <c r="AA146" i="12"/>
  <c r="AA145" i="12"/>
  <c r="AA144" i="12"/>
  <c r="AA143" i="12"/>
  <c r="AA142" i="12"/>
  <c r="Z147" i="12"/>
  <c r="Z146" i="12"/>
  <c r="Z145" i="12"/>
  <c r="Z144" i="12"/>
  <c r="Z143" i="12"/>
  <c r="Z142" i="12"/>
  <c r="Y147" i="12"/>
  <c r="Y146" i="12"/>
  <c r="Y145" i="12"/>
  <c r="Y144" i="12"/>
  <c r="Y143" i="12"/>
  <c r="Y142" i="12"/>
  <c r="X147" i="12"/>
  <c r="X146" i="12"/>
  <c r="X145" i="12"/>
  <c r="X144" i="12"/>
  <c r="X143" i="12"/>
  <c r="X142" i="12"/>
  <c r="W147" i="12"/>
  <c r="W146" i="12"/>
  <c r="W145" i="12"/>
  <c r="W144" i="12"/>
  <c r="W143" i="12"/>
  <c r="W142" i="12"/>
  <c r="V147" i="12"/>
  <c r="V146" i="12"/>
  <c r="V145" i="12"/>
  <c r="V144" i="12"/>
  <c r="V143" i="12"/>
  <c r="V142" i="12"/>
  <c r="U147" i="12"/>
  <c r="U146" i="12"/>
  <c r="U145" i="12"/>
  <c r="U144" i="12"/>
  <c r="U143" i="12"/>
  <c r="U142" i="12"/>
  <c r="T147" i="12"/>
  <c r="T146" i="12"/>
  <c r="T145" i="12"/>
  <c r="T144" i="12"/>
  <c r="T143" i="12"/>
  <c r="T142" i="12"/>
  <c r="S147" i="12"/>
  <c r="S146" i="12"/>
  <c r="S145" i="12"/>
  <c r="S144" i="12"/>
  <c r="S143" i="12"/>
  <c r="S142" i="12"/>
  <c r="Q147" i="12"/>
  <c r="Q146" i="12"/>
  <c r="Q145" i="12"/>
  <c r="Q144" i="12"/>
  <c r="Q143" i="12"/>
  <c r="Q142" i="12"/>
  <c r="O147" i="12"/>
  <c r="O146" i="12"/>
  <c r="O145" i="12"/>
  <c r="O144" i="12"/>
  <c r="O143" i="12"/>
  <c r="O142" i="12"/>
  <c r="H147" i="12"/>
  <c r="H146" i="12"/>
  <c r="H145" i="12"/>
  <c r="H144" i="12"/>
  <c r="H143" i="12"/>
  <c r="H142" i="12"/>
  <c r="G147" i="12"/>
  <c r="G146" i="12"/>
  <c r="G145" i="12"/>
  <c r="G144" i="12"/>
  <c r="G143" i="12"/>
  <c r="G142" i="12"/>
  <c r="C147" i="12"/>
  <c r="C146" i="12"/>
  <c r="C145" i="12"/>
  <c r="C144" i="12"/>
  <c r="C143" i="12"/>
  <c r="C142" i="12"/>
  <c r="AJ149" i="12"/>
  <c r="AI149" i="12"/>
  <c r="AG149" i="12"/>
  <c r="AF149" i="12"/>
  <c r="AE149" i="12"/>
  <c r="AD149" i="12"/>
  <c r="AC149" i="12"/>
  <c r="AB149" i="12"/>
  <c r="AA149" i="12"/>
  <c r="Z149" i="12"/>
  <c r="Y149" i="12"/>
  <c r="X149" i="12"/>
  <c r="W149" i="12"/>
  <c r="V149" i="12"/>
  <c r="U149" i="12"/>
  <c r="T149" i="12"/>
  <c r="S149" i="12"/>
  <c r="Q149" i="12"/>
  <c r="O149" i="12"/>
  <c r="H149" i="12"/>
  <c r="G149" i="12"/>
  <c r="C149" i="12"/>
  <c r="AJ151" i="12"/>
  <c r="AI151" i="12"/>
  <c r="AG151" i="12"/>
  <c r="AF151" i="12"/>
  <c r="AE151" i="12"/>
  <c r="AD151" i="12"/>
  <c r="AC151" i="12"/>
  <c r="AB151" i="12"/>
  <c r="AA151" i="12"/>
  <c r="Z151" i="12"/>
  <c r="Y151" i="12"/>
  <c r="X151" i="12"/>
  <c r="W151" i="12"/>
  <c r="V151" i="12"/>
  <c r="U151" i="12"/>
  <c r="T151" i="12"/>
  <c r="S151" i="12"/>
  <c r="Q151" i="12"/>
  <c r="O151" i="12"/>
  <c r="H151" i="12"/>
  <c r="G151" i="12"/>
  <c r="C151" i="12"/>
  <c r="AJ167" i="12"/>
  <c r="AI167" i="12"/>
  <c r="AG167" i="12"/>
  <c r="AF167" i="12"/>
  <c r="AE167" i="12"/>
  <c r="AD167" i="12"/>
  <c r="AC167" i="12"/>
  <c r="AB167" i="12"/>
  <c r="AA167" i="12"/>
  <c r="Z167" i="12"/>
  <c r="Y167" i="12"/>
  <c r="X167" i="12"/>
  <c r="W167" i="12"/>
  <c r="V167" i="12"/>
  <c r="U167" i="12"/>
  <c r="T167" i="12"/>
  <c r="S167" i="12"/>
  <c r="Q167" i="12"/>
  <c r="O167" i="12"/>
  <c r="H167" i="12"/>
  <c r="G167" i="12"/>
  <c r="C167" i="12"/>
  <c r="AP15" i="12"/>
  <c r="AP14" i="12"/>
  <c r="AP13" i="12"/>
  <c r="AJ15" i="12"/>
  <c r="AJ14" i="12"/>
  <c r="AJ13" i="12"/>
  <c r="AP23" i="12"/>
  <c r="AP22" i="12"/>
  <c r="AP21" i="12"/>
  <c r="AP20" i="12"/>
  <c r="AP19" i="12"/>
  <c r="AP18" i="12"/>
  <c r="AJ23" i="12"/>
  <c r="AJ22" i="12"/>
  <c r="AJ21" i="12"/>
  <c r="AJ20" i="12"/>
  <c r="AJ19" i="12"/>
  <c r="AJ18" i="12"/>
  <c r="AP25" i="12"/>
  <c r="AJ25" i="12"/>
  <c r="AP27" i="12"/>
  <c r="AJ27" i="12"/>
  <c r="AP43" i="12"/>
  <c r="AJ43" i="12"/>
  <c r="H42" i="3"/>
  <c r="D42" i="3"/>
  <c r="E42" i="3" s="1"/>
  <c r="AJ140" i="12"/>
  <c r="AJ141" i="12"/>
  <c r="AJ148" i="12"/>
  <c r="AJ150" i="12"/>
  <c r="AJ152" i="12"/>
  <c r="AJ153" i="12"/>
  <c r="AJ154" i="12"/>
  <c r="AJ155" i="12"/>
  <c r="AJ156" i="12"/>
  <c r="AJ157" i="12"/>
  <c r="AJ158" i="12"/>
  <c r="AJ159" i="12"/>
  <c r="AJ160" i="12"/>
  <c r="AJ161" i="12"/>
  <c r="AJ162" i="12"/>
  <c r="AJ163" i="12"/>
  <c r="AJ164" i="12"/>
  <c r="AJ165" i="12"/>
  <c r="AJ166" i="12"/>
  <c r="AJ168" i="12"/>
  <c r="AJ169" i="12"/>
  <c r="AJ136" i="12"/>
  <c r="J53" i="4"/>
  <c r="C53" i="4" s="1"/>
  <c r="J57" i="4"/>
  <c r="C57" i="4" s="1"/>
  <c r="J58" i="4"/>
  <c r="D58" i="4" s="1"/>
  <c r="J65" i="4"/>
  <c r="D65" i="4" s="1"/>
  <c r="J67" i="4"/>
  <c r="C67" i="4" s="1"/>
  <c r="J69" i="4"/>
  <c r="D69" i="4" s="1"/>
  <c r="J70" i="4"/>
  <c r="C70" i="4" s="1"/>
  <c r="J71" i="4"/>
  <c r="D71" i="4" s="1"/>
  <c r="J72" i="4"/>
  <c r="D72" i="4" s="1"/>
  <c r="J73" i="4"/>
  <c r="D73" i="4" s="1"/>
  <c r="J74" i="4"/>
  <c r="C74" i="4" s="1"/>
  <c r="J75" i="4"/>
  <c r="D75" i="4" s="1"/>
  <c r="J76" i="4"/>
  <c r="D76" i="4" s="1"/>
  <c r="J77" i="4"/>
  <c r="D77" i="4" s="1"/>
  <c r="J78" i="4"/>
  <c r="C78" i="4" s="1"/>
  <c r="J79" i="4"/>
  <c r="D79" i="4" s="1"/>
  <c r="J80" i="4"/>
  <c r="C80" i="4" s="1"/>
  <c r="J81" i="4"/>
  <c r="D81" i="4" s="1"/>
  <c r="J82" i="4"/>
  <c r="C82" i="4" s="1"/>
  <c r="J83" i="4"/>
  <c r="C83" i="4" s="1"/>
  <c r="J85" i="4"/>
  <c r="C85" i="4" s="1"/>
  <c r="J86" i="4"/>
  <c r="D86" i="4" s="1"/>
  <c r="J90" i="4"/>
  <c r="C90" i="4" s="1"/>
  <c r="J91" i="4"/>
  <c r="D91" i="4" s="1"/>
  <c r="J98" i="4"/>
  <c r="C98" i="4" s="1"/>
  <c r="J100" i="4"/>
  <c r="C100" i="4" s="1"/>
  <c r="J102" i="4"/>
  <c r="D102" i="4" s="1"/>
  <c r="J103" i="4"/>
  <c r="C103" i="4" s="1"/>
  <c r="J104" i="4"/>
  <c r="C104" i="4" s="1"/>
  <c r="J105" i="4"/>
  <c r="D105" i="4" s="1"/>
  <c r="J106" i="4"/>
  <c r="C106" i="4" s="1"/>
  <c r="J107" i="4"/>
  <c r="D107" i="4" s="1"/>
  <c r="J108" i="4"/>
  <c r="C108" i="4" s="1"/>
  <c r="J109" i="4"/>
  <c r="C109" i="4" s="1"/>
  <c r="J110" i="4"/>
  <c r="C110" i="4" s="1"/>
  <c r="J111" i="4"/>
  <c r="D111" i="4" s="1"/>
  <c r="J112" i="4"/>
  <c r="C112" i="4" s="1"/>
  <c r="J113" i="4"/>
  <c r="C113" i="4" s="1"/>
  <c r="J114" i="4"/>
  <c r="D114" i="4" s="1"/>
  <c r="J115" i="4"/>
  <c r="C115" i="4" s="1"/>
  <c r="J116" i="4"/>
  <c r="C116" i="4" s="1"/>
  <c r="J118" i="4"/>
  <c r="D118" i="4" s="1"/>
  <c r="J119" i="4"/>
  <c r="C119" i="4" s="1"/>
  <c r="J123" i="4"/>
  <c r="C123" i="4" s="1"/>
  <c r="J124" i="4"/>
  <c r="C124" i="4" s="1"/>
  <c r="J131" i="4"/>
  <c r="C131" i="4" s="1"/>
  <c r="J133" i="4"/>
  <c r="C133" i="4" s="1"/>
  <c r="J135" i="4"/>
  <c r="D135" i="4" s="1"/>
  <c r="J136" i="4"/>
  <c r="C136" i="4" s="1"/>
  <c r="J137" i="4"/>
  <c r="C137" i="4" s="1"/>
  <c r="J138" i="4"/>
  <c r="D138" i="4" s="1"/>
  <c r="J139" i="4"/>
  <c r="C139" i="4" s="1"/>
  <c r="J140" i="4"/>
  <c r="C140" i="4" s="1"/>
  <c r="J141" i="4"/>
  <c r="D141" i="4" s="1"/>
  <c r="J142" i="4"/>
  <c r="C142" i="4" s="1"/>
  <c r="J143" i="4"/>
  <c r="C143" i="4" s="1"/>
  <c r="J144" i="4"/>
  <c r="C144" i="4" s="1"/>
  <c r="J145" i="4"/>
  <c r="D145" i="4" s="1"/>
  <c r="J146" i="4"/>
  <c r="C146" i="4" s="1"/>
  <c r="J147" i="4"/>
  <c r="D147" i="4" s="1"/>
  <c r="J148" i="4"/>
  <c r="C148" i="4" s="1"/>
  <c r="J149" i="4"/>
  <c r="D149" i="4" s="1"/>
  <c r="J151" i="4"/>
  <c r="D151" i="4" s="1"/>
  <c r="J152" i="4"/>
  <c r="C152" i="4" s="1"/>
  <c r="J156" i="4"/>
  <c r="C156" i="4" s="1"/>
  <c r="J157" i="4"/>
  <c r="D157" i="4" s="1"/>
  <c r="J164" i="4"/>
  <c r="C164" i="4" s="1"/>
  <c r="J166" i="4"/>
  <c r="C166" i="4" s="1"/>
  <c r="J168" i="4"/>
  <c r="D168" i="4" s="1"/>
  <c r="J169" i="4"/>
  <c r="C169" i="4" s="1"/>
  <c r="J170" i="4"/>
  <c r="C170" i="4" s="1"/>
  <c r="J171" i="4"/>
  <c r="D171" i="4" s="1"/>
  <c r="J172" i="4"/>
  <c r="D172" i="4" s="1"/>
  <c r="J173" i="4"/>
  <c r="C173" i="4" s="1"/>
  <c r="J174" i="4"/>
  <c r="D174" i="4" s="1"/>
  <c r="J175" i="4"/>
  <c r="D175" i="4" s="1"/>
  <c r="J176" i="4"/>
  <c r="C176" i="4" s="1"/>
  <c r="J177" i="4"/>
  <c r="D177" i="4" s="1"/>
  <c r="J178" i="4"/>
  <c r="C178" i="4" s="1"/>
  <c r="J179" i="4"/>
  <c r="C179" i="4" s="1"/>
  <c r="J180" i="4"/>
  <c r="C180" i="4" s="1"/>
  <c r="J181" i="4"/>
  <c r="D181" i="4" s="1"/>
  <c r="J182" i="4"/>
  <c r="C182" i="4" s="1"/>
  <c r="J184" i="4"/>
  <c r="D184" i="4" s="1"/>
  <c r="J185" i="4"/>
  <c r="C185" i="4" s="1"/>
  <c r="J189" i="4"/>
  <c r="C189" i="4" s="1"/>
  <c r="J190" i="4"/>
  <c r="D190" i="4" s="1"/>
  <c r="J197" i="4"/>
  <c r="C197" i="4" s="1"/>
  <c r="J199" i="4"/>
  <c r="C199" i="4" s="1"/>
  <c r="J201" i="4"/>
  <c r="D201" i="4" s="1"/>
  <c r="J202" i="4"/>
  <c r="C202" i="4" s="1"/>
  <c r="J203" i="4"/>
  <c r="C203" i="4" s="1"/>
  <c r="J204" i="4"/>
  <c r="D204" i="4" s="1"/>
  <c r="J205" i="4"/>
  <c r="C205" i="4" s="1"/>
  <c r="J206" i="4"/>
  <c r="C206" i="4" s="1"/>
  <c r="J207" i="4"/>
  <c r="D207" i="4" s="1"/>
  <c r="J208" i="4"/>
  <c r="C208" i="4" s="1"/>
  <c r="J209" i="4"/>
  <c r="D209" i="4" s="1"/>
  <c r="J210" i="4"/>
  <c r="D210" i="4" s="1"/>
  <c r="J211" i="4"/>
  <c r="C211" i="4" s="1"/>
  <c r="J212" i="4"/>
  <c r="C212" i="4" s="1"/>
  <c r="J213" i="4"/>
  <c r="D213" i="4" s="1"/>
  <c r="J214" i="4"/>
  <c r="C214" i="4" s="1"/>
  <c r="J215" i="4"/>
  <c r="C215" i="4" s="1"/>
  <c r="J217" i="4"/>
  <c r="C217" i="4" s="1"/>
  <c r="J218" i="4"/>
  <c r="C218" i="4" s="1"/>
  <c r="J222" i="4"/>
  <c r="C222" i="4" s="1"/>
  <c r="J223" i="4"/>
  <c r="D223" i="4" s="1"/>
  <c r="J230" i="4"/>
  <c r="C230" i="4" s="1"/>
  <c r="J232" i="4"/>
  <c r="C232" i="4" s="1"/>
  <c r="J234" i="4"/>
  <c r="D234" i="4" s="1"/>
  <c r="J235" i="4"/>
  <c r="D235" i="4" s="1"/>
  <c r="J236" i="4"/>
  <c r="C236" i="4" s="1"/>
  <c r="J237" i="4"/>
  <c r="D237" i="4" s="1"/>
  <c r="J238" i="4"/>
  <c r="C238" i="4" s="1"/>
  <c r="J239" i="4"/>
  <c r="C239" i="4" s="1"/>
  <c r="J240" i="4"/>
  <c r="C240" i="4" s="1"/>
  <c r="J241" i="4"/>
  <c r="C241" i="4" s="1"/>
  <c r="J242" i="4"/>
  <c r="C242" i="4" s="1"/>
  <c r="J243" i="4"/>
  <c r="D243" i="4" s="1"/>
  <c r="J244" i="4"/>
  <c r="C244" i="4" s="1"/>
  <c r="J245" i="4"/>
  <c r="C245" i="4" s="1"/>
  <c r="J246" i="4"/>
  <c r="D246" i="4" s="1"/>
  <c r="J247" i="4"/>
  <c r="C247" i="4" s="1"/>
  <c r="J248" i="4"/>
  <c r="C248" i="4" s="1"/>
  <c r="J250" i="4"/>
  <c r="D250" i="4" s="1"/>
  <c r="J251" i="4"/>
  <c r="C251" i="4" s="1"/>
  <c r="J255" i="4"/>
  <c r="C255" i="4" s="1"/>
  <c r="J256" i="4"/>
  <c r="C256" i="4" s="1"/>
  <c r="J263" i="4"/>
  <c r="D263" i="4" s="1"/>
  <c r="J265" i="4"/>
  <c r="C265" i="4" s="1"/>
  <c r="J267" i="4"/>
  <c r="D267" i="4" s="1"/>
  <c r="J268" i="4"/>
  <c r="C268" i="4" s="1"/>
  <c r="J269" i="4"/>
  <c r="D269" i="4" s="1"/>
  <c r="J270" i="4"/>
  <c r="D270" i="4" s="1"/>
  <c r="J271" i="4"/>
  <c r="C271" i="4" s="1"/>
  <c r="J272" i="4"/>
  <c r="C272" i="4" s="1"/>
  <c r="J273" i="4"/>
  <c r="D273" i="4" s="1"/>
  <c r="J274" i="4"/>
  <c r="C274" i="4" s="1"/>
  <c r="J275" i="4"/>
  <c r="C275" i="4" s="1"/>
  <c r="J276" i="4"/>
  <c r="D276" i="4" s="1"/>
  <c r="J277" i="4"/>
  <c r="D277" i="4" s="1"/>
  <c r="J278" i="4"/>
  <c r="C278" i="4" s="1"/>
  <c r="J279" i="4"/>
  <c r="D279" i="4" s="1"/>
  <c r="J280" i="4"/>
  <c r="C280" i="4" s="1"/>
  <c r="J281" i="4"/>
  <c r="C281" i="4" s="1"/>
  <c r="J283" i="4"/>
  <c r="D283" i="4" s="1"/>
  <c r="J284" i="4"/>
  <c r="C284" i="4" s="1"/>
  <c r="J288" i="4"/>
  <c r="C288" i="4" s="1"/>
  <c r="J289" i="4"/>
  <c r="D289" i="4" s="1"/>
  <c r="J296" i="4"/>
  <c r="C296" i="4" s="1"/>
  <c r="J298" i="4"/>
  <c r="C298" i="4" s="1"/>
  <c r="J300" i="4"/>
  <c r="D300" i="4" s="1"/>
  <c r="J301" i="4"/>
  <c r="C301" i="4" s="1"/>
  <c r="J302" i="4"/>
  <c r="C302" i="4" s="1"/>
  <c r="J303" i="4"/>
  <c r="D303" i="4" s="1"/>
  <c r="J304" i="4"/>
  <c r="C304" i="4" s="1"/>
  <c r="J305" i="4"/>
  <c r="C305" i="4" s="1"/>
  <c r="J306" i="4"/>
  <c r="D306" i="4" s="1"/>
  <c r="J307" i="4"/>
  <c r="C307" i="4" s="1"/>
  <c r="J308" i="4"/>
  <c r="C308" i="4" s="1"/>
  <c r="J309" i="4"/>
  <c r="D309" i="4" s="1"/>
  <c r="J310" i="4"/>
  <c r="C310" i="4" s="1"/>
  <c r="J311" i="4"/>
  <c r="C311" i="4" s="1"/>
  <c r="J312" i="4"/>
  <c r="C312" i="4" s="1"/>
  <c r="J313" i="4"/>
  <c r="D313" i="4" s="1"/>
  <c r="J314" i="4"/>
  <c r="C314" i="4" s="1"/>
  <c r="J316" i="4"/>
  <c r="D316" i="4" s="1"/>
  <c r="J317" i="4"/>
  <c r="D317" i="4" s="1"/>
  <c r="J321" i="4"/>
  <c r="C321" i="4" s="1"/>
  <c r="J322" i="4"/>
  <c r="D322" i="4" s="1"/>
  <c r="J329" i="4"/>
  <c r="D329" i="4" s="1"/>
  <c r="J331" i="4"/>
  <c r="C331" i="4" s="1"/>
  <c r="J333" i="4"/>
  <c r="D333" i="4" s="1"/>
  <c r="J334" i="4"/>
  <c r="C334" i="4" s="1"/>
  <c r="J335" i="4"/>
  <c r="C335" i="4" s="1"/>
  <c r="J336" i="4"/>
  <c r="C336" i="4" s="1"/>
  <c r="J337" i="4"/>
  <c r="D337" i="4" s="1"/>
  <c r="J338" i="4"/>
  <c r="C338" i="4" s="1"/>
  <c r="J339" i="4"/>
  <c r="D339" i="4" s="1"/>
  <c r="J340" i="4"/>
  <c r="C340" i="4" s="1"/>
  <c r="J341" i="4"/>
  <c r="D341" i="4" s="1"/>
  <c r="J342" i="4"/>
  <c r="D342" i="4" s="1"/>
  <c r="J343" i="4"/>
  <c r="C343" i="4" s="1"/>
  <c r="J344" i="4"/>
  <c r="C344" i="4" s="1"/>
  <c r="J345" i="4"/>
  <c r="D345" i="4" s="1"/>
  <c r="J346" i="4"/>
  <c r="C346" i="4" s="1"/>
  <c r="J347" i="4"/>
  <c r="C347" i="4" s="1"/>
  <c r="J349" i="4"/>
  <c r="C349" i="4" s="1"/>
  <c r="J350" i="4"/>
  <c r="D350" i="4" s="1"/>
  <c r="J354" i="4"/>
  <c r="C354" i="4" s="1"/>
  <c r="J355" i="4"/>
  <c r="D355" i="4" s="1"/>
  <c r="J362" i="4"/>
  <c r="C362" i="4" s="1"/>
  <c r="J364" i="4"/>
  <c r="C364" i="4" s="1"/>
  <c r="J366" i="4"/>
  <c r="D366" i="4" s="1"/>
  <c r="J367" i="4"/>
  <c r="C367" i="4" s="1"/>
  <c r="J368" i="4"/>
  <c r="C368" i="4" s="1"/>
  <c r="J369" i="4"/>
  <c r="D369" i="4" s="1"/>
  <c r="J370" i="4"/>
  <c r="C370" i="4" s="1"/>
  <c r="J371" i="4"/>
  <c r="C371" i="4" s="1"/>
  <c r="J372" i="4"/>
  <c r="C372" i="4" s="1"/>
  <c r="J373" i="4"/>
  <c r="D373" i="4" s="1"/>
  <c r="J374" i="4"/>
  <c r="C374" i="4" s="1"/>
  <c r="J375" i="4"/>
  <c r="D375" i="4" s="1"/>
  <c r="J376" i="4"/>
  <c r="C376" i="4" s="1"/>
  <c r="J377" i="4"/>
  <c r="C377" i="4" s="1"/>
  <c r="J378" i="4"/>
  <c r="D378" i="4" s="1"/>
  <c r="J379" i="4"/>
  <c r="D379" i="4" s="1"/>
  <c r="J380" i="4"/>
  <c r="C380" i="4" s="1"/>
  <c r="J382" i="4"/>
  <c r="D382" i="4" s="1"/>
  <c r="J383" i="4"/>
  <c r="C383" i="4" s="1"/>
  <c r="J387" i="4"/>
  <c r="C387" i="4" s="1"/>
  <c r="J388" i="4"/>
  <c r="D388" i="4" s="1"/>
  <c r="J395" i="4"/>
  <c r="C395" i="4" s="1"/>
  <c r="J397" i="4"/>
  <c r="C397" i="4" s="1"/>
  <c r="J399" i="4"/>
  <c r="D399" i="4" s="1"/>
  <c r="J400" i="4"/>
  <c r="D400" i="4" s="1"/>
  <c r="J401" i="4"/>
  <c r="D401" i="4" s="1"/>
  <c r="J402" i="4"/>
  <c r="C402" i="4" s="1"/>
  <c r="J403" i="4"/>
  <c r="D403" i="4" s="1"/>
  <c r="J404" i="4"/>
  <c r="C404" i="4" s="1"/>
  <c r="J405" i="4"/>
  <c r="D405" i="4" s="1"/>
  <c r="J406" i="4"/>
  <c r="C406" i="4" s="1"/>
  <c r="J407" i="4"/>
  <c r="C407" i="4" s="1"/>
  <c r="J408" i="4"/>
  <c r="C408" i="4" s="1"/>
  <c r="J409" i="4"/>
  <c r="D409" i="4" s="1"/>
  <c r="J410" i="4"/>
  <c r="C410" i="4" s="1"/>
  <c r="J411" i="4"/>
  <c r="D411" i="4" s="1"/>
  <c r="J412" i="4"/>
  <c r="D412" i="4" s="1"/>
  <c r="J413" i="4"/>
  <c r="C413" i="4" s="1"/>
  <c r="J415" i="4"/>
  <c r="C415" i="4" s="1"/>
  <c r="E8" i="4"/>
  <c r="E37" i="4" s="1"/>
  <c r="K1" i="5"/>
  <c r="B1" i="5"/>
  <c r="A1" i="17"/>
  <c r="A1" i="8"/>
  <c r="A1" i="6"/>
  <c r="A1" i="7"/>
  <c r="E15" i="4" l="1"/>
  <c r="E27" i="4"/>
  <c r="E39" i="4"/>
  <c r="E19" i="4"/>
  <c r="F157" i="4" s="1"/>
  <c r="E31" i="4"/>
  <c r="E43" i="4"/>
  <c r="F181" i="4" s="1"/>
  <c r="E20" i="4"/>
  <c r="F158" i="4" s="1"/>
  <c r="E32" i="4"/>
  <c r="F170" i="4" s="1"/>
  <c r="E44" i="4"/>
  <c r="F182" i="4" s="1"/>
  <c r="E21" i="4"/>
  <c r="F159" i="4" s="1"/>
  <c r="E159" i="4" s="1"/>
  <c r="E33" i="4"/>
  <c r="F171" i="4" s="1"/>
  <c r="E45" i="4"/>
  <c r="F183" i="4" s="1"/>
  <c r="E183" i="4" s="1"/>
  <c r="E22" i="4"/>
  <c r="E34" i="4"/>
  <c r="E46" i="4"/>
  <c r="E23" i="4"/>
  <c r="E35" i="4"/>
  <c r="E24" i="4"/>
  <c r="F162" i="4" s="1"/>
  <c r="E162" i="4" s="1"/>
  <c r="E36" i="4"/>
  <c r="E25" i="4"/>
  <c r="F163" i="4" s="1"/>
  <c r="E163" i="4" s="1"/>
  <c r="C92" i="4"/>
  <c r="F14" i="9"/>
  <c r="F21" i="10" s="1"/>
  <c r="F11" i="9"/>
  <c r="F18" i="10" s="1"/>
  <c r="F176" i="4"/>
  <c r="D249" i="4"/>
  <c r="F153" i="4"/>
  <c r="F165" i="4"/>
  <c r="F154" i="4"/>
  <c r="F166" i="4"/>
  <c r="F178" i="4"/>
  <c r="F155" i="4"/>
  <c r="F179" i="4"/>
  <c r="F156" i="4"/>
  <c r="F168" i="4"/>
  <c r="F180" i="4"/>
  <c r="F167" i="4"/>
  <c r="E167" i="4" s="1"/>
  <c r="F184" i="4"/>
  <c r="F161" i="4"/>
  <c r="F173" i="4"/>
  <c r="F172" i="4"/>
  <c r="F174" i="4"/>
  <c r="F160" i="4"/>
  <c r="E160" i="4" s="1"/>
  <c r="N58" i="12"/>
  <c r="N171" i="12" s="1"/>
  <c r="D130" i="4"/>
  <c r="D160" i="4"/>
  <c r="D381" i="4"/>
  <c r="C87" i="4"/>
  <c r="C225" i="4"/>
  <c r="F13" i="9"/>
  <c r="F20" i="10" s="1"/>
  <c r="D117" i="4"/>
  <c r="AQ20" i="12"/>
  <c r="C120" i="4"/>
  <c r="D128" i="4"/>
  <c r="C253" i="4"/>
  <c r="D127" i="4"/>
  <c r="C186" i="4"/>
  <c r="D327" i="4"/>
  <c r="AQ18" i="12"/>
  <c r="C132" i="4"/>
  <c r="F7" i="9"/>
  <c r="F14" i="10" s="1"/>
  <c r="F19" i="9"/>
  <c r="F26" i="10" s="1"/>
  <c r="F152" i="4"/>
  <c r="C224" i="4"/>
  <c r="D385" i="4"/>
  <c r="F17" i="9"/>
  <c r="F24" i="10" s="1"/>
  <c r="F6" i="9"/>
  <c r="F13" i="10" s="1"/>
  <c r="C126" i="4"/>
  <c r="D56" i="4"/>
  <c r="C259" i="4"/>
  <c r="D154" i="4"/>
  <c r="C396" i="4"/>
  <c r="AQ14" i="12"/>
  <c r="D94" i="4"/>
  <c r="C226" i="4"/>
  <c r="D287" i="4"/>
  <c r="C258" i="4"/>
  <c r="F164" i="4"/>
  <c r="D299" i="4"/>
  <c r="C318" i="4"/>
  <c r="P58" i="12"/>
  <c r="P171" i="12" s="1"/>
  <c r="J58" i="12"/>
  <c r="J171" i="12" s="1"/>
  <c r="C121" i="4"/>
  <c r="C122" i="4"/>
  <c r="D233" i="4"/>
  <c r="C294" i="4"/>
  <c r="F177" i="4"/>
  <c r="C231" i="4"/>
  <c r="F169" i="4"/>
  <c r="F175" i="4"/>
  <c r="D198" i="4"/>
  <c r="C252" i="4"/>
  <c r="L58" i="12"/>
  <c r="L171" i="12" s="1"/>
  <c r="F10" i="9"/>
  <c r="F17" i="10" s="1"/>
  <c r="AQ13" i="12"/>
  <c r="M58" i="12"/>
  <c r="M171" i="12" s="1"/>
  <c r="C193" i="4"/>
  <c r="F12" i="9"/>
  <c r="F19" i="10" s="1"/>
  <c r="F15" i="9"/>
  <c r="F22" i="10" s="1"/>
  <c r="AQ15" i="12"/>
  <c r="C150" i="4"/>
  <c r="C257" i="4"/>
  <c r="F5" i="9"/>
  <c r="F12" i="10" s="1"/>
  <c r="AQ43" i="12"/>
  <c r="C134" i="4"/>
  <c r="AQ21" i="12"/>
  <c r="C61" i="4"/>
  <c r="D155" i="4"/>
  <c r="C219" i="4"/>
  <c r="AQ27" i="12"/>
  <c r="C220" i="4"/>
  <c r="AQ22" i="12"/>
  <c r="D60" i="4"/>
  <c r="C159" i="4"/>
  <c r="AH58" i="12"/>
  <c r="AH171" i="12" s="1"/>
  <c r="R58" i="12"/>
  <c r="R171" i="12" s="1"/>
  <c r="C66" i="4"/>
  <c r="D323" i="4"/>
  <c r="C398" i="4"/>
  <c r="C64" i="4"/>
  <c r="C162" i="4"/>
  <c r="C261" i="4"/>
  <c r="C295" i="4"/>
  <c r="AQ19" i="12"/>
  <c r="D97" i="4"/>
  <c r="C163" i="4"/>
  <c r="C196" i="4"/>
  <c r="C262" i="4"/>
  <c r="D291" i="4"/>
  <c r="C348" i="4"/>
  <c r="C351" i="4"/>
  <c r="C390" i="4"/>
  <c r="C384" i="4"/>
  <c r="F58" i="12"/>
  <c r="F171" i="12" s="1"/>
  <c r="D62" i="4"/>
  <c r="C356" i="4"/>
  <c r="C353" i="4"/>
  <c r="C391" i="4"/>
  <c r="D63" i="4"/>
  <c r="C183" i="4"/>
  <c r="C216" i="4"/>
  <c r="C282" i="4"/>
  <c r="D260" i="4"/>
  <c r="C358" i="4"/>
  <c r="C394" i="4"/>
  <c r="C386" i="4"/>
  <c r="D332" i="4"/>
  <c r="AQ25" i="12"/>
  <c r="AQ23" i="12"/>
  <c r="C315" i="4"/>
  <c r="D392" i="4"/>
  <c r="C167" i="4"/>
  <c r="C200" i="4"/>
  <c r="C266" i="4"/>
  <c r="C330" i="4"/>
  <c r="D359" i="4"/>
  <c r="C414" i="4"/>
  <c r="D158" i="4"/>
  <c r="D228" i="4"/>
  <c r="D292" i="4"/>
  <c r="C286" i="4"/>
  <c r="D324" i="4"/>
  <c r="C363" i="4"/>
  <c r="D352" i="4"/>
  <c r="D101" i="4"/>
  <c r="D96" i="4"/>
  <c r="C88" i="4"/>
  <c r="D192" i="4"/>
  <c r="D326" i="4"/>
  <c r="C389" i="4"/>
  <c r="C59" i="4"/>
  <c r="C89" i="4"/>
  <c r="D188" i="4"/>
  <c r="D254" i="4"/>
  <c r="D99" i="4"/>
  <c r="D195" i="4"/>
  <c r="D297" i="4"/>
  <c r="C297" i="4"/>
  <c r="D319" i="4"/>
  <c r="C319" i="4"/>
  <c r="C357" i="4"/>
  <c r="C393" i="4"/>
  <c r="D194" i="4"/>
  <c r="D328" i="4"/>
  <c r="D55" i="4"/>
  <c r="C125" i="4"/>
  <c r="D285" i="4"/>
  <c r="C285" i="4"/>
  <c r="D165" i="4"/>
  <c r="C165" i="4"/>
  <c r="D187" i="4"/>
  <c r="C187" i="4"/>
  <c r="D153" i="4"/>
  <c r="C153" i="4"/>
  <c r="C93" i="4"/>
  <c r="C129" i="4"/>
  <c r="C293" i="4"/>
  <c r="D293" i="4"/>
  <c r="C325" i="4"/>
  <c r="D84" i="4"/>
  <c r="C84" i="4"/>
  <c r="D290" i="4"/>
  <c r="D365" i="4"/>
  <c r="D360" i="4"/>
  <c r="C54" i="4"/>
  <c r="D54" i="4"/>
  <c r="C68" i="4"/>
  <c r="D68" i="4"/>
  <c r="C161" i="4"/>
  <c r="D161" i="4"/>
  <c r="D227" i="4"/>
  <c r="D361" i="4"/>
  <c r="D95" i="4"/>
  <c r="D191" i="4"/>
  <c r="D229" i="4"/>
  <c r="C221" i="4"/>
  <c r="C264" i="4"/>
  <c r="D320" i="4"/>
  <c r="K58" i="12"/>
  <c r="K171" i="12" s="1"/>
  <c r="E58" i="12"/>
  <c r="E171" i="12" s="1"/>
  <c r="I58" i="12"/>
  <c r="I171" i="12" s="1"/>
  <c r="I42" i="3"/>
  <c r="D380" i="4"/>
  <c r="C399" i="4"/>
  <c r="C213" i="4"/>
  <c r="C73" i="4"/>
  <c r="C339" i="4"/>
  <c r="D218" i="4"/>
  <c r="C157" i="4"/>
  <c r="D245" i="4"/>
  <c r="C172" i="4"/>
  <c r="C171" i="4"/>
  <c r="C400" i="4"/>
  <c r="D217" i="4"/>
  <c r="D376" i="4"/>
  <c r="D185" i="4"/>
  <c r="D372" i="4"/>
  <c r="D180" i="4"/>
  <c r="C355" i="4"/>
  <c r="D244" i="4"/>
  <c r="C168" i="4"/>
  <c r="C243" i="4"/>
  <c r="D144" i="4"/>
  <c r="D242" i="4"/>
  <c r="D53" i="4"/>
  <c r="C283" i="4"/>
  <c r="D281" i="4"/>
  <c r="D205" i="4"/>
  <c r="D137" i="4"/>
  <c r="C401" i="4"/>
  <c r="D136" i="4"/>
  <c r="D280" i="4"/>
  <c r="D189" i="4"/>
  <c r="D103" i="4"/>
  <c r="C322" i="4"/>
  <c r="C102" i="4"/>
  <c r="D413" i="4"/>
  <c r="C388" i="4"/>
  <c r="D362" i="4"/>
  <c r="D321" i="4"/>
  <c r="D211" i="4"/>
  <c r="D152" i="4"/>
  <c r="D100" i="4"/>
  <c r="C279" i="4"/>
  <c r="D241" i="4"/>
  <c r="C184" i="4"/>
  <c r="C135" i="4"/>
  <c r="D98" i="4"/>
  <c r="C234" i="4"/>
  <c r="C114" i="4"/>
  <c r="C379" i="4"/>
  <c r="C270" i="4"/>
  <c r="C151" i="4"/>
  <c r="C409" i="4"/>
  <c r="C174" i="4"/>
  <c r="D408" i="4"/>
  <c r="C378" i="4"/>
  <c r="C341" i="4"/>
  <c r="D304" i="4"/>
  <c r="C269" i="4"/>
  <c r="D230" i="4"/>
  <c r="C209" i="4"/>
  <c r="D173" i="4"/>
  <c r="C149" i="4"/>
  <c r="D112" i="4"/>
  <c r="C76" i="4"/>
  <c r="C329" i="4"/>
  <c r="C412" i="4"/>
  <c r="C317" i="4"/>
  <c r="C210" i="4"/>
  <c r="D113" i="4"/>
  <c r="D377" i="4"/>
  <c r="D340" i="4"/>
  <c r="D268" i="4"/>
  <c r="D208" i="4"/>
  <c r="D148" i="4"/>
  <c r="C75" i="4"/>
  <c r="D364" i="4"/>
  <c r="C342" i="4"/>
  <c r="D232" i="4"/>
  <c r="C77" i="4"/>
  <c r="D305" i="4"/>
  <c r="C303" i="4"/>
  <c r="C223" i="4"/>
  <c r="C111" i="4"/>
  <c r="D278" i="4"/>
  <c r="C277" i="4"/>
  <c r="C263" i="4"/>
  <c r="D256" i="4"/>
  <c r="C300" i="4"/>
  <c r="C72" i="4"/>
  <c r="C373" i="4"/>
  <c r="D222" i="4"/>
  <c r="C181" i="4"/>
  <c r="C145" i="4"/>
  <c r="C105" i="4"/>
  <c r="D302" i="4"/>
  <c r="D240" i="4"/>
  <c r="D74" i="4"/>
  <c r="D301" i="4"/>
  <c r="C204" i="4"/>
  <c r="D110" i="4"/>
  <c r="D354" i="4"/>
  <c r="C276" i="4"/>
  <c r="D109" i="4"/>
  <c r="C337" i="4"/>
  <c r="C273" i="4"/>
  <c r="D131" i="4"/>
  <c r="D397" i="4"/>
  <c r="C350" i="4"/>
  <c r="D336" i="4"/>
  <c r="C313" i="4"/>
  <c r="D271" i="4"/>
  <c r="D170" i="4"/>
  <c r="D108" i="4"/>
  <c r="C86" i="4"/>
  <c r="D338" i="4"/>
  <c r="D395" i="4"/>
  <c r="D349" i="4"/>
  <c r="D312" i="4"/>
  <c r="D182" i="4"/>
  <c r="D169" i="4"/>
  <c r="D124" i="4"/>
  <c r="D85" i="4"/>
  <c r="D133" i="4"/>
  <c r="D410" i="4"/>
  <c r="C333" i="4"/>
  <c r="C107" i="4"/>
  <c r="D371" i="4"/>
  <c r="D255" i="4"/>
  <c r="D203" i="4"/>
  <c r="C250" i="4"/>
  <c r="D83" i="4"/>
  <c r="C366" i="4"/>
  <c r="C306" i="4"/>
  <c r="C237" i="4"/>
  <c r="C177" i="4"/>
  <c r="C118" i="4"/>
  <c r="C79" i="4"/>
  <c r="C403" i="4"/>
  <c r="C375" i="4"/>
  <c r="D343" i="4"/>
  <c r="C316" i="4"/>
  <c r="D284" i="4"/>
  <c r="C147" i="4"/>
  <c r="D115" i="4"/>
  <c r="D78" i="4"/>
  <c r="D402" i="4"/>
  <c r="D387" i="4"/>
  <c r="D374" i="4"/>
  <c r="D314" i="4"/>
  <c r="D265" i="4"/>
  <c r="C235" i="4"/>
  <c r="D206" i="4"/>
  <c r="C175" i="4"/>
  <c r="D146" i="4"/>
  <c r="C91" i="4"/>
  <c r="C71" i="4"/>
  <c r="C65" i="4"/>
  <c r="C58" i="4"/>
  <c r="D311" i="4"/>
  <c r="D143" i="4"/>
  <c r="D57" i="4"/>
  <c r="D307" i="4"/>
  <c r="D247" i="4"/>
  <c r="C345" i="4"/>
  <c r="C289" i="4"/>
  <c r="C246" i="4"/>
  <c r="C190" i="4"/>
  <c r="C138" i="4"/>
  <c r="C267" i="4"/>
  <c r="C207" i="4"/>
  <c r="C382" i="4"/>
  <c r="D335" i="4"/>
  <c r="D275" i="4"/>
  <c r="D215" i="4"/>
  <c r="D166" i="4"/>
  <c r="D90" i="4"/>
  <c r="C369" i="4"/>
  <c r="C309" i="4"/>
  <c r="C201" i="4"/>
  <c r="C141" i="4"/>
  <c r="D407" i="4"/>
  <c r="D367" i="4"/>
  <c r="D197" i="4"/>
  <c r="D139" i="4"/>
  <c r="D415" i="4"/>
  <c r="C405" i="4"/>
  <c r="C81" i="4"/>
  <c r="D404" i="4"/>
  <c r="D347" i="4"/>
  <c r="D298" i="4"/>
  <c r="D239" i="4"/>
  <c r="D179" i="4"/>
  <c r="D123" i="4"/>
  <c r="C69" i="4"/>
  <c r="D368" i="4"/>
  <c r="D344" i="4"/>
  <c r="D331" i="4"/>
  <c r="D308" i="4"/>
  <c r="D288" i="4"/>
  <c r="D272" i="4"/>
  <c r="D248" i="4"/>
  <c r="D236" i="4"/>
  <c r="D212" i="4"/>
  <c r="D199" i="4"/>
  <c r="D176" i="4"/>
  <c r="D156" i="4"/>
  <c r="D140" i="4"/>
  <c r="D116" i="4"/>
  <c r="D104" i="4"/>
  <c r="D80" i="4"/>
  <c r="D67" i="4"/>
  <c r="D406" i="4"/>
  <c r="D383" i="4"/>
  <c r="D370" i="4"/>
  <c r="D346" i="4"/>
  <c r="D334" i="4"/>
  <c r="D310" i="4"/>
  <c r="D296" i="4"/>
  <c r="D274" i="4"/>
  <c r="D251" i="4"/>
  <c r="D238" i="4"/>
  <c r="D214" i="4"/>
  <c r="D202" i="4"/>
  <c r="D178" i="4"/>
  <c r="D164" i="4"/>
  <c r="D142" i="4"/>
  <c r="D119" i="4"/>
  <c r="D106" i="4"/>
  <c r="D82" i="4"/>
  <c r="D70" i="4"/>
  <c r="C411" i="4"/>
  <c r="E154" i="4" l="1"/>
  <c r="E161" i="4"/>
  <c r="E155" i="4"/>
  <c r="E153" i="4"/>
  <c r="E165" i="4"/>
  <c r="E158" i="4"/>
  <c r="C80" i="16"/>
  <c r="T50" i="12"/>
  <c r="U50" i="12"/>
  <c r="V50" i="12"/>
  <c r="W50" i="12"/>
  <c r="X50" i="12"/>
  <c r="Y50" i="12"/>
  <c r="Z50" i="12"/>
  <c r="AA50" i="12"/>
  <c r="AB50" i="12"/>
  <c r="AC50" i="12"/>
  <c r="AD50" i="12"/>
  <c r="AE50" i="12"/>
  <c r="AF50" i="12"/>
  <c r="AG50" i="12"/>
  <c r="AI50" i="12"/>
  <c r="S50" i="12"/>
  <c r="Q50" i="12"/>
  <c r="O50" i="12"/>
  <c r="C74" i="16"/>
  <c r="H50" i="12"/>
  <c r="C50" i="12"/>
  <c r="G50" i="12"/>
  <c r="B72" i="16"/>
  <c r="C46" i="12"/>
  <c r="AJ57" i="12"/>
  <c r="AJ55" i="12"/>
  <c r="AJ54" i="12"/>
  <c r="AJ53" i="12"/>
  <c r="D191" i="11"/>
  <c r="E191" i="11"/>
  <c r="C191" i="11"/>
  <c r="D153" i="11"/>
  <c r="E153" i="11"/>
  <c r="C153" i="11"/>
  <c r="E58" i="16" s="1"/>
  <c r="D115" i="11"/>
  <c r="E115" i="11"/>
  <c r="F115" i="11"/>
  <c r="C115" i="11"/>
  <c r="C6" i="16"/>
  <c r="C71" i="16"/>
  <c r="B71" i="16"/>
  <c r="E55" i="16" l="1"/>
  <c r="C58" i="12"/>
  <c r="E57" i="16"/>
  <c r="E61" i="16"/>
  <c r="AJ50" i="12"/>
  <c r="E59" i="16"/>
  <c r="E56" i="16"/>
  <c r="E60" i="16"/>
  <c r="C79" i="16"/>
  <c r="B79" i="16"/>
  <c r="C72" i="16"/>
  <c r="B73" i="16"/>
  <c r="C73" i="16"/>
  <c r="B77" i="16"/>
  <c r="C77" i="16"/>
  <c r="B75" i="16"/>
  <c r="C75" i="16"/>
  <c r="B78" i="16"/>
  <c r="C76" i="16"/>
  <c r="B74" i="16"/>
  <c r="B80" i="16"/>
  <c r="B76" i="16" l="1"/>
  <c r="B81" i="16" s="1"/>
  <c r="C78" i="16"/>
  <c r="C81" i="16" s="1"/>
  <c r="E77" i="11"/>
  <c r="D77" i="11"/>
  <c r="C77" i="11"/>
  <c r="G74" i="16" l="1"/>
  <c r="G73" i="16"/>
  <c r="G79" i="16"/>
  <c r="G72" i="16"/>
  <c r="G75" i="16"/>
  <c r="G76" i="16"/>
  <c r="G77" i="16"/>
  <c r="G80" i="16"/>
  <c r="G71" i="16"/>
  <c r="G78" i="16"/>
  <c r="E54" i="16"/>
  <c r="F137" i="16" s="1"/>
  <c r="E53" i="16"/>
  <c r="F136" i="16" s="1"/>
  <c r="F144" i="16"/>
  <c r="F143" i="16"/>
  <c r="F142" i="16"/>
  <c r="F141" i="16"/>
  <c r="F140" i="16"/>
  <c r="F139" i="16"/>
  <c r="F138" i="16"/>
  <c r="C7" i="16"/>
  <c r="D48" i="16" l="1"/>
  <c r="C48" i="16"/>
  <c r="G82" i="11"/>
  <c r="C39" i="11"/>
  <c r="C171" i="12"/>
  <c r="AP12" i="12"/>
  <c r="AJ12" i="12"/>
  <c r="C6" i="8" a="1"/>
  <c r="C6" i="8" s="1"/>
  <c r="D7" i="11" l="1"/>
  <c r="D19" i="11"/>
  <c r="D21" i="11"/>
  <c r="D16" i="11"/>
  <c r="D8" i="11"/>
  <c r="D17" i="11"/>
  <c r="D15" i="11"/>
  <c r="D14" i="11"/>
  <c r="D13" i="11"/>
  <c r="D9" i="11"/>
  <c r="D12" i="11"/>
  <c r="D37" i="11"/>
  <c r="D6" i="8" a="1"/>
  <c r="D6" i="8" s="1"/>
  <c r="AQ12" i="12"/>
  <c r="C8" i="3" a="1"/>
  <c r="AI169" i="12"/>
  <c r="AG169" i="12"/>
  <c r="AF169" i="12"/>
  <c r="AE169" i="12"/>
  <c r="AD169" i="12"/>
  <c r="AC169" i="12"/>
  <c r="AB169" i="12"/>
  <c r="AA169" i="12"/>
  <c r="Z169" i="12"/>
  <c r="Y169" i="12"/>
  <c r="X169" i="12"/>
  <c r="W169" i="12"/>
  <c r="V169" i="12"/>
  <c r="U169" i="12"/>
  <c r="T169" i="12"/>
  <c r="S169" i="12"/>
  <c r="Q169" i="12"/>
  <c r="O169" i="12"/>
  <c r="H169" i="12"/>
  <c r="G169" i="12"/>
  <c r="C169" i="12"/>
  <c r="AI168" i="12"/>
  <c r="AG168" i="12"/>
  <c r="AF168" i="12"/>
  <c r="AE168" i="12"/>
  <c r="AD168" i="12"/>
  <c r="AC168" i="12"/>
  <c r="AB168" i="12"/>
  <c r="AA168" i="12"/>
  <c r="Z168" i="12"/>
  <c r="Y168" i="12"/>
  <c r="X168" i="12"/>
  <c r="W168" i="12"/>
  <c r="V168" i="12"/>
  <c r="U168" i="12"/>
  <c r="T168" i="12"/>
  <c r="S168" i="12"/>
  <c r="Q168" i="12"/>
  <c r="O168" i="12"/>
  <c r="H168" i="12"/>
  <c r="G168" i="12"/>
  <c r="C168" i="12"/>
  <c r="AI166" i="12"/>
  <c r="AG166" i="12"/>
  <c r="AF166" i="12"/>
  <c r="AE166" i="12"/>
  <c r="AD166" i="12"/>
  <c r="AC166" i="12"/>
  <c r="AB166" i="12"/>
  <c r="AA166" i="12"/>
  <c r="Z166" i="12"/>
  <c r="Y166" i="12"/>
  <c r="X166" i="12"/>
  <c r="W166" i="12"/>
  <c r="V166" i="12"/>
  <c r="U166" i="12"/>
  <c r="T166" i="12"/>
  <c r="S166" i="12"/>
  <c r="Q166" i="12"/>
  <c r="O166" i="12"/>
  <c r="H166" i="12"/>
  <c r="G166" i="12"/>
  <c r="C166" i="12"/>
  <c r="AI165" i="12"/>
  <c r="AG165" i="12"/>
  <c r="AF165" i="12"/>
  <c r="AE165" i="12"/>
  <c r="AD165" i="12"/>
  <c r="AC165" i="12"/>
  <c r="AB165" i="12"/>
  <c r="AA165" i="12"/>
  <c r="Z165" i="12"/>
  <c r="Y165" i="12"/>
  <c r="X165" i="12"/>
  <c r="W165" i="12"/>
  <c r="V165" i="12"/>
  <c r="U165" i="12"/>
  <c r="T165" i="12"/>
  <c r="S165" i="12"/>
  <c r="Q165" i="12"/>
  <c r="O165" i="12"/>
  <c r="H165" i="12"/>
  <c r="G165" i="12"/>
  <c r="C165" i="12"/>
  <c r="AI164" i="12"/>
  <c r="AG164" i="12"/>
  <c r="AF164" i="12"/>
  <c r="AE164" i="12"/>
  <c r="AD164" i="12"/>
  <c r="AC164" i="12"/>
  <c r="AB164" i="12"/>
  <c r="AA164" i="12"/>
  <c r="Z164" i="12"/>
  <c r="Y164" i="12"/>
  <c r="X164" i="12"/>
  <c r="W164" i="12"/>
  <c r="V164" i="12"/>
  <c r="U164" i="12"/>
  <c r="T164" i="12"/>
  <c r="S164" i="12"/>
  <c r="Q164" i="12"/>
  <c r="O164" i="12"/>
  <c r="H164" i="12"/>
  <c r="G164" i="12"/>
  <c r="C164" i="12"/>
  <c r="AI163" i="12"/>
  <c r="AG163" i="12"/>
  <c r="AF163" i="12"/>
  <c r="AE163" i="12"/>
  <c r="AD163" i="12"/>
  <c r="AC163" i="12"/>
  <c r="AB163" i="12"/>
  <c r="AA163" i="12"/>
  <c r="Z163" i="12"/>
  <c r="Y163" i="12"/>
  <c r="X163" i="12"/>
  <c r="W163" i="12"/>
  <c r="V163" i="12"/>
  <c r="U163" i="12"/>
  <c r="T163" i="12"/>
  <c r="S163" i="12"/>
  <c r="Q163" i="12"/>
  <c r="O163" i="12"/>
  <c r="H163" i="12"/>
  <c r="G163" i="12"/>
  <c r="C163" i="12"/>
  <c r="AI162" i="12"/>
  <c r="AG162" i="12"/>
  <c r="AF162" i="12"/>
  <c r="AE162" i="12"/>
  <c r="AD162" i="12"/>
  <c r="AC162" i="12"/>
  <c r="AB162" i="12"/>
  <c r="AA162" i="12"/>
  <c r="Z162" i="12"/>
  <c r="Y162" i="12"/>
  <c r="X162" i="12"/>
  <c r="W162" i="12"/>
  <c r="V162" i="12"/>
  <c r="U162" i="12"/>
  <c r="T162" i="12"/>
  <c r="S162" i="12"/>
  <c r="Q162" i="12"/>
  <c r="O162" i="12"/>
  <c r="H162" i="12"/>
  <c r="G162" i="12"/>
  <c r="C162" i="12"/>
  <c r="AI161" i="12"/>
  <c r="AG161" i="12"/>
  <c r="AF161" i="12"/>
  <c r="AE161" i="12"/>
  <c r="AD161" i="12"/>
  <c r="AC161" i="12"/>
  <c r="AB161" i="12"/>
  <c r="AA161" i="12"/>
  <c r="Z161" i="12"/>
  <c r="Y161" i="12"/>
  <c r="X161" i="12"/>
  <c r="W161" i="12"/>
  <c r="V161" i="12"/>
  <c r="U161" i="12"/>
  <c r="T161" i="12"/>
  <c r="S161" i="12"/>
  <c r="Q161" i="12"/>
  <c r="O161" i="12"/>
  <c r="H161" i="12"/>
  <c r="G161" i="12"/>
  <c r="C161" i="12"/>
  <c r="AI160" i="12"/>
  <c r="AG160" i="12"/>
  <c r="AF160" i="12"/>
  <c r="AE160" i="12"/>
  <c r="AD160" i="12"/>
  <c r="AC160" i="12"/>
  <c r="AB160" i="12"/>
  <c r="AA160" i="12"/>
  <c r="Z160" i="12"/>
  <c r="Y160" i="12"/>
  <c r="X160" i="12"/>
  <c r="W160" i="12"/>
  <c r="V160" i="12"/>
  <c r="U160" i="12"/>
  <c r="T160" i="12"/>
  <c r="S160" i="12"/>
  <c r="Q160" i="12"/>
  <c r="O160" i="12"/>
  <c r="H160" i="12"/>
  <c r="G160" i="12"/>
  <c r="C160" i="12"/>
  <c r="AI159" i="12"/>
  <c r="AG159" i="12"/>
  <c r="AF159" i="12"/>
  <c r="AE159" i="12"/>
  <c r="AD159" i="12"/>
  <c r="AC159" i="12"/>
  <c r="AB159" i="12"/>
  <c r="AA159" i="12"/>
  <c r="Z159" i="12"/>
  <c r="Y159" i="12"/>
  <c r="X159" i="12"/>
  <c r="W159" i="12"/>
  <c r="V159" i="12"/>
  <c r="U159" i="12"/>
  <c r="T159" i="12"/>
  <c r="S159" i="12"/>
  <c r="Q159" i="12"/>
  <c r="O159" i="12"/>
  <c r="H159" i="12"/>
  <c r="G159" i="12"/>
  <c r="C159" i="12"/>
  <c r="AI158" i="12"/>
  <c r="AG158" i="12"/>
  <c r="AF158" i="12"/>
  <c r="AE158" i="12"/>
  <c r="AD158" i="12"/>
  <c r="AC158" i="12"/>
  <c r="AB158" i="12"/>
  <c r="AA158" i="12"/>
  <c r="Z158" i="12"/>
  <c r="Y158" i="12"/>
  <c r="X158" i="12"/>
  <c r="W158" i="12"/>
  <c r="V158" i="12"/>
  <c r="U158" i="12"/>
  <c r="T158" i="12"/>
  <c r="S158" i="12"/>
  <c r="Q158" i="12"/>
  <c r="O158" i="12"/>
  <c r="H158" i="12"/>
  <c r="G158" i="12"/>
  <c r="C158" i="12"/>
  <c r="AI157" i="12"/>
  <c r="AG157" i="12"/>
  <c r="AF157" i="12"/>
  <c r="AE157" i="12"/>
  <c r="AD157" i="12"/>
  <c r="AC157" i="12"/>
  <c r="AB157" i="12"/>
  <c r="AA157" i="12"/>
  <c r="Z157" i="12"/>
  <c r="Y157" i="12"/>
  <c r="X157" i="12"/>
  <c r="W157" i="12"/>
  <c r="V157" i="12"/>
  <c r="U157" i="12"/>
  <c r="T157" i="12"/>
  <c r="S157" i="12"/>
  <c r="Q157" i="12"/>
  <c r="O157" i="12"/>
  <c r="H157" i="12"/>
  <c r="G157" i="12"/>
  <c r="C157" i="12"/>
  <c r="AI156" i="12"/>
  <c r="AG156" i="12"/>
  <c r="AF156" i="12"/>
  <c r="AE156" i="12"/>
  <c r="AD156" i="12"/>
  <c r="AC156" i="12"/>
  <c r="AB156" i="12"/>
  <c r="AA156" i="12"/>
  <c r="Z156" i="12"/>
  <c r="Y156" i="12"/>
  <c r="X156" i="12"/>
  <c r="W156" i="12"/>
  <c r="V156" i="12"/>
  <c r="U156" i="12"/>
  <c r="T156" i="12"/>
  <c r="S156" i="12"/>
  <c r="Q156" i="12"/>
  <c r="O156" i="12"/>
  <c r="H156" i="12"/>
  <c r="G156" i="12"/>
  <c r="C156" i="12"/>
  <c r="AI155" i="12"/>
  <c r="AG155" i="12"/>
  <c r="AF155" i="12"/>
  <c r="AE155" i="12"/>
  <c r="AD155" i="12"/>
  <c r="AC155" i="12"/>
  <c r="AB155" i="12"/>
  <c r="AA155" i="12"/>
  <c r="Z155" i="12"/>
  <c r="Y155" i="12"/>
  <c r="X155" i="12"/>
  <c r="W155" i="12"/>
  <c r="V155" i="12"/>
  <c r="U155" i="12"/>
  <c r="T155" i="12"/>
  <c r="S155" i="12"/>
  <c r="Q155" i="12"/>
  <c r="O155" i="12"/>
  <c r="H155" i="12"/>
  <c r="G155" i="12"/>
  <c r="C155" i="12"/>
  <c r="AI154" i="12"/>
  <c r="AG154" i="12"/>
  <c r="AF154" i="12"/>
  <c r="AE154" i="12"/>
  <c r="AD154" i="12"/>
  <c r="AC154" i="12"/>
  <c r="AB154" i="12"/>
  <c r="AA154" i="12"/>
  <c r="Z154" i="12"/>
  <c r="Y154" i="12"/>
  <c r="X154" i="12"/>
  <c r="W154" i="12"/>
  <c r="V154" i="12"/>
  <c r="U154" i="12"/>
  <c r="T154" i="12"/>
  <c r="S154" i="12"/>
  <c r="Q154" i="12"/>
  <c r="O154" i="12"/>
  <c r="H154" i="12"/>
  <c r="G154" i="12"/>
  <c r="C154" i="12"/>
  <c r="AI153" i="12"/>
  <c r="AG153" i="12"/>
  <c r="AF153" i="12"/>
  <c r="AE153" i="12"/>
  <c r="AD153" i="12"/>
  <c r="AC153" i="12"/>
  <c r="AB153" i="12"/>
  <c r="AA153" i="12"/>
  <c r="Z153" i="12"/>
  <c r="Y153" i="12"/>
  <c r="X153" i="12"/>
  <c r="W153" i="12"/>
  <c r="V153" i="12"/>
  <c r="U153" i="12"/>
  <c r="T153" i="12"/>
  <c r="S153" i="12"/>
  <c r="Q153" i="12"/>
  <c r="O153" i="12"/>
  <c r="H153" i="12"/>
  <c r="G153" i="12"/>
  <c r="C153" i="12"/>
  <c r="AI152" i="12"/>
  <c r="AG152" i="12"/>
  <c r="AF152" i="12"/>
  <c r="AE152" i="12"/>
  <c r="AD152" i="12"/>
  <c r="AC152" i="12"/>
  <c r="AB152" i="12"/>
  <c r="AA152" i="12"/>
  <c r="Z152" i="12"/>
  <c r="Y152" i="12"/>
  <c r="X152" i="12"/>
  <c r="W152" i="12"/>
  <c r="V152" i="12"/>
  <c r="U152" i="12"/>
  <c r="T152" i="12"/>
  <c r="S152" i="12"/>
  <c r="Q152" i="12"/>
  <c r="O152" i="12"/>
  <c r="H152" i="12"/>
  <c r="G152" i="12"/>
  <c r="C152" i="12"/>
  <c r="AI150" i="12"/>
  <c r="AG150" i="12"/>
  <c r="AF150" i="12"/>
  <c r="AE150" i="12"/>
  <c r="AD150" i="12"/>
  <c r="AC150" i="12"/>
  <c r="AB150" i="12"/>
  <c r="AA150" i="12"/>
  <c r="Z150" i="12"/>
  <c r="Y150" i="12"/>
  <c r="X150" i="12"/>
  <c r="W150" i="12"/>
  <c r="V150" i="12"/>
  <c r="U150" i="12"/>
  <c r="T150" i="12"/>
  <c r="S150" i="12"/>
  <c r="Q150" i="12"/>
  <c r="O150" i="12"/>
  <c r="H150" i="12"/>
  <c r="G150" i="12"/>
  <c r="C150" i="12"/>
  <c r="AI148" i="12"/>
  <c r="AG148" i="12"/>
  <c r="AF148" i="12"/>
  <c r="AE148" i="12"/>
  <c r="AD148" i="12"/>
  <c r="AC148" i="12"/>
  <c r="AB148" i="12"/>
  <c r="AA148" i="12"/>
  <c r="Z148" i="12"/>
  <c r="Y148" i="12"/>
  <c r="X148" i="12"/>
  <c r="W148" i="12"/>
  <c r="V148" i="12"/>
  <c r="U148" i="12"/>
  <c r="T148" i="12"/>
  <c r="S148" i="12"/>
  <c r="Q148" i="12"/>
  <c r="O148" i="12"/>
  <c r="H148" i="12"/>
  <c r="G148" i="12"/>
  <c r="C148" i="12"/>
  <c r="AI141" i="12"/>
  <c r="AG141" i="12"/>
  <c r="AF141" i="12"/>
  <c r="AE141" i="12"/>
  <c r="AD141" i="12"/>
  <c r="AC141" i="12"/>
  <c r="AB141" i="12"/>
  <c r="AA141" i="12"/>
  <c r="Z141" i="12"/>
  <c r="Y141" i="12"/>
  <c r="X141" i="12"/>
  <c r="W141" i="12"/>
  <c r="V141" i="12"/>
  <c r="U141" i="12"/>
  <c r="T141" i="12"/>
  <c r="S141" i="12"/>
  <c r="Q141" i="12"/>
  <c r="O141" i="12"/>
  <c r="H141" i="12"/>
  <c r="G141" i="12"/>
  <c r="C141" i="12"/>
  <c r="AI140" i="12"/>
  <c r="AG140" i="12"/>
  <c r="AF140" i="12"/>
  <c r="AE140" i="12"/>
  <c r="AD140" i="12"/>
  <c r="AC140" i="12"/>
  <c r="AB140" i="12"/>
  <c r="AA140" i="12"/>
  <c r="Z140" i="12"/>
  <c r="Y140" i="12"/>
  <c r="X140" i="12"/>
  <c r="W140" i="12"/>
  <c r="V140" i="12"/>
  <c r="U140" i="12"/>
  <c r="T140" i="12"/>
  <c r="S140" i="12"/>
  <c r="Q140" i="12"/>
  <c r="O140" i="12"/>
  <c r="H140" i="12"/>
  <c r="G140" i="12"/>
  <c r="C140" i="12"/>
  <c r="AI136" i="12"/>
  <c r="AG136" i="12"/>
  <c r="AF136" i="12"/>
  <c r="AE136" i="12"/>
  <c r="AD136" i="12"/>
  <c r="AC136" i="12"/>
  <c r="AB136" i="12"/>
  <c r="AA136" i="12"/>
  <c r="Z136" i="12"/>
  <c r="Y136" i="12"/>
  <c r="X136" i="12"/>
  <c r="W136" i="12"/>
  <c r="V136" i="12"/>
  <c r="U136" i="12"/>
  <c r="T136" i="12"/>
  <c r="S136" i="12"/>
  <c r="Q136" i="12"/>
  <c r="O136" i="12"/>
  <c r="H136" i="12"/>
  <c r="G136" i="12"/>
  <c r="C136" i="12"/>
  <c r="AJ56" i="12"/>
  <c r="AJ52" i="12"/>
  <c r="AJ49" i="12"/>
  <c r="AJ48" i="12"/>
  <c r="AJ47" i="12"/>
  <c r="AO46" i="12"/>
  <c r="AN46" i="12"/>
  <c r="AM46" i="12"/>
  <c r="AL46" i="12"/>
  <c r="AK46" i="12"/>
  <c r="AI46" i="12"/>
  <c r="AI58" i="12" s="1"/>
  <c r="AI171" i="12" s="1"/>
  <c r="AG46" i="12"/>
  <c r="AG58" i="12" s="1"/>
  <c r="AG171" i="12" s="1"/>
  <c r="AF46" i="12"/>
  <c r="AF58" i="12" s="1"/>
  <c r="AF171" i="12" s="1"/>
  <c r="AE46" i="12"/>
  <c r="AE58" i="12" s="1"/>
  <c r="AE171" i="12" s="1"/>
  <c r="AD46" i="12"/>
  <c r="AD58" i="12" s="1"/>
  <c r="AD171" i="12" s="1"/>
  <c r="AC46" i="12"/>
  <c r="AC58" i="12" s="1"/>
  <c r="AC171" i="12" s="1"/>
  <c r="AB46" i="12"/>
  <c r="AB58" i="12" s="1"/>
  <c r="AB171" i="12" s="1"/>
  <c r="AA46" i="12"/>
  <c r="AA58" i="12" s="1"/>
  <c r="AA171" i="12" s="1"/>
  <c r="Z46" i="12"/>
  <c r="Z58" i="12" s="1"/>
  <c r="Z171" i="12" s="1"/>
  <c r="Y46" i="12"/>
  <c r="Y58" i="12" s="1"/>
  <c r="Y171" i="12" s="1"/>
  <c r="X46" i="12"/>
  <c r="X58" i="12" s="1"/>
  <c r="X171" i="12" s="1"/>
  <c r="W46" i="12"/>
  <c r="W58" i="12" s="1"/>
  <c r="W171" i="12" s="1"/>
  <c r="V46" i="12"/>
  <c r="V58" i="12" s="1"/>
  <c r="V171" i="12" s="1"/>
  <c r="U46" i="12"/>
  <c r="U58" i="12" s="1"/>
  <c r="U171" i="12" s="1"/>
  <c r="T46" i="12"/>
  <c r="T58" i="12" s="1"/>
  <c r="T171" i="12" s="1"/>
  <c r="S46" i="12"/>
  <c r="S58" i="12" s="1"/>
  <c r="S171" i="12" s="1"/>
  <c r="Q46" i="12"/>
  <c r="Q58" i="12" s="1"/>
  <c r="Q171" i="12" s="1"/>
  <c r="O46" i="12"/>
  <c r="O58" i="12" s="1"/>
  <c r="O171" i="12" s="1"/>
  <c r="H46" i="12"/>
  <c r="H58" i="12" s="1"/>
  <c r="H171" i="12" s="1"/>
  <c r="G46" i="12"/>
  <c r="G58" i="12" s="1"/>
  <c r="AP44" i="12"/>
  <c r="AJ44" i="12"/>
  <c r="AP42" i="12"/>
  <c r="AJ42" i="12"/>
  <c r="AP41" i="12"/>
  <c r="AJ41" i="12"/>
  <c r="AP40" i="12"/>
  <c r="AJ40" i="12"/>
  <c r="AP39" i="12"/>
  <c r="AJ39" i="12"/>
  <c r="AP38" i="12"/>
  <c r="AJ38" i="12"/>
  <c r="AP37" i="12"/>
  <c r="AJ37" i="12"/>
  <c r="AP36" i="12"/>
  <c r="AJ36" i="12"/>
  <c r="AP35" i="12"/>
  <c r="AJ35" i="12"/>
  <c r="AP34" i="12"/>
  <c r="AJ34" i="12"/>
  <c r="AP33" i="12"/>
  <c r="AJ33" i="12"/>
  <c r="AP32" i="12"/>
  <c r="AJ32" i="12"/>
  <c r="AP31" i="12"/>
  <c r="AJ31" i="12"/>
  <c r="AP30" i="12"/>
  <c r="AJ30" i="12"/>
  <c r="AP29" i="12"/>
  <c r="AJ29" i="12"/>
  <c r="AP28" i="12"/>
  <c r="AJ28" i="12"/>
  <c r="AP26" i="12"/>
  <c r="AJ26" i="12"/>
  <c r="AP24" i="12"/>
  <c r="AJ24" i="12"/>
  <c r="AP17" i="12"/>
  <c r="AJ17" i="12"/>
  <c r="AP16" i="12"/>
  <c r="AJ16" i="12"/>
  <c r="G190" i="11"/>
  <c r="F190" i="11"/>
  <c r="G188" i="11"/>
  <c r="F188" i="11"/>
  <c r="G187" i="11"/>
  <c r="F187" i="11"/>
  <c r="G186" i="11"/>
  <c r="F186" i="11"/>
  <c r="G185" i="11"/>
  <c r="F185" i="11"/>
  <c r="G184" i="11"/>
  <c r="F184" i="11"/>
  <c r="G183" i="11"/>
  <c r="F183" i="11"/>
  <c r="G182" i="11"/>
  <c r="F182" i="11"/>
  <c r="G181" i="11"/>
  <c r="F181" i="11"/>
  <c r="G180" i="11"/>
  <c r="F180" i="11"/>
  <c r="G179" i="11"/>
  <c r="F179" i="11"/>
  <c r="G178" i="11"/>
  <c r="F178" i="11"/>
  <c r="G177" i="11"/>
  <c r="F177" i="11"/>
  <c r="G176" i="11"/>
  <c r="F176" i="11"/>
  <c r="G175" i="11"/>
  <c r="F175" i="11"/>
  <c r="G174" i="11"/>
  <c r="F174" i="11"/>
  <c r="G172" i="11"/>
  <c r="F172" i="11"/>
  <c r="G170" i="11"/>
  <c r="F170" i="11"/>
  <c r="G163" i="11"/>
  <c r="F163" i="11"/>
  <c r="G162" i="11"/>
  <c r="F162" i="11"/>
  <c r="G158" i="11"/>
  <c r="F158" i="11"/>
  <c r="G152" i="11"/>
  <c r="F152" i="11"/>
  <c r="G150" i="11"/>
  <c r="F150" i="11"/>
  <c r="G149" i="11"/>
  <c r="F149" i="11"/>
  <c r="G148" i="11"/>
  <c r="F148" i="11"/>
  <c r="G147" i="11"/>
  <c r="F147" i="11"/>
  <c r="G146" i="11"/>
  <c r="F146" i="11"/>
  <c r="G145" i="11"/>
  <c r="F145" i="11"/>
  <c r="G144" i="11"/>
  <c r="F144" i="11"/>
  <c r="G143" i="11"/>
  <c r="F143" i="11"/>
  <c r="G142" i="11"/>
  <c r="F142" i="11"/>
  <c r="G141" i="11"/>
  <c r="F141" i="11"/>
  <c r="G140" i="11"/>
  <c r="F140" i="11"/>
  <c r="G139" i="11"/>
  <c r="F139" i="11"/>
  <c r="G138" i="11"/>
  <c r="F138" i="11"/>
  <c r="G137" i="11"/>
  <c r="F137" i="11"/>
  <c r="G136" i="11"/>
  <c r="F136" i="11"/>
  <c r="G134" i="11"/>
  <c r="F134" i="11"/>
  <c r="G132" i="11"/>
  <c r="F132" i="11"/>
  <c r="G125" i="11"/>
  <c r="F125" i="11"/>
  <c r="G124" i="11"/>
  <c r="F124" i="11"/>
  <c r="G120" i="11"/>
  <c r="F120" i="11"/>
  <c r="I114" i="11"/>
  <c r="H114" i="11"/>
  <c r="G114" i="11"/>
  <c r="I112" i="11"/>
  <c r="H112" i="11"/>
  <c r="G112" i="11"/>
  <c r="I111" i="11"/>
  <c r="H111" i="11"/>
  <c r="G111" i="11"/>
  <c r="I110" i="11"/>
  <c r="H110" i="11"/>
  <c r="G110" i="11"/>
  <c r="I109" i="11"/>
  <c r="H109" i="11"/>
  <c r="G109" i="11"/>
  <c r="I108" i="11"/>
  <c r="H108" i="11"/>
  <c r="G108" i="11"/>
  <c r="I107" i="11"/>
  <c r="H107" i="11"/>
  <c r="G107" i="11"/>
  <c r="I106" i="11"/>
  <c r="H106" i="11"/>
  <c r="G106" i="11"/>
  <c r="I105" i="11"/>
  <c r="H105" i="11"/>
  <c r="G105" i="11"/>
  <c r="I104" i="11"/>
  <c r="H104" i="11"/>
  <c r="G104" i="11"/>
  <c r="I103" i="11"/>
  <c r="H103" i="11"/>
  <c r="G103" i="11"/>
  <c r="I102" i="11"/>
  <c r="H102" i="11"/>
  <c r="G102" i="11"/>
  <c r="I101" i="11"/>
  <c r="H101" i="11"/>
  <c r="G101" i="11"/>
  <c r="I100" i="11"/>
  <c r="H100" i="11"/>
  <c r="G100" i="11"/>
  <c r="I99" i="11"/>
  <c r="H99" i="11"/>
  <c r="G99" i="11"/>
  <c r="I98" i="11"/>
  <c r="H98" i="11"/>
  <c r="G98" i="11"/>
  <c r="I96" i="11"/>
  <c r="H96" i="11"/>
  <c r="G96" i="11"/>
  <c r="I94" i="11"/>
  <c r="H94" i="11"/>
  <c r="G94" i="11"/>
  <c r="I87" i="11"/>
  <c r="H87" i="11"/>
  <c r="G87" i="11"/>
  <c r="I86" i="11"/>
  <c r="H86" i="11"/>
  <c r="G86" i="11"/>
  <c r="I82" i="11"/>
  <c r="H82" i="11"/>
  <c r="G76" i="11"/>
  <c r="F76" i="11"/>
  <c r="G74" i="11"/>
  <c r="F74" i="11"/>
  <c r="G73" i="11"/>
  <c r="F73" i="11"/>
  <c r="G72" i="11"/>
  <c r="F72" i="11"/>
  <c r="G71" i="11"/>
  <c r="F71" i="11"/>
  <c r="G70" i="11"/>
  <c r="F70" i="11"/>
  <c r="G69" i="11"/>
  <c r="F69" i="11"/>
  <c r="G68" i="11"/>
  <c r="F68" i="11"/>
  <c r="G67" i="11"/>
  <c r="F67" i="11"/>
  <c r="G66" i="11"/>
  <c r="F66" i="11"/>
  <c r="G65" i="11"/>
  <c r="F65" i="11"/>
  <c r="G64" i="11"/>
  <c r="F64" i="11"/>
  <c r="G63" i="11"/>
  <c r="F63" i="11"/>
  <c r="G62" i="11"/>
  <c r="F62" i="11"/>
  <c r="G61" i="11"/>
  <c r="F61" i="11"/>
  <c r="G60" i="11"/>
  <c r="F60" i="11"/>
  <c r="G58" i="11"/>
  <c r="F58" i="11"/>
  <c r="G56" i="11"/>
  <c r="F56" i="11"/>
  <c r="G49" i="11"/>
  <c r="F49" i="11"/>
  <c r="G48" i="11"/>
  <c r="F48" i="11"/>
  <c r="G44" i="11"/>
  <c r="F44" i="11"/>
  <c r="D38" i="11"/>
  <c r="D36" i="11"/>
  <c r="D35" i="11"/>
  <c r="D34" i="11"/>
  <c r="D33" i="11"/>
  <c r="D32" i="11"/>
  <c r="D31" i="11"/>
  <c r="D30" i="11"/>
  <c r="D29" i="11"/>
  <c r="D28" i="11"/>
  <c r="D27" i="11"/>
  <c r="D26" i="11"/>
  <c r="D25" i="11"/>
  <c r="D24" i="11"/>
  <c r="D23" i="11"/>
  <c r="D22" i="11"/>
  <c r="D20" i="11"/>
  <c r="D18" i="11"/>
  <c r="D11" i="11"/>
  <c r="D10" i="11"/>
  <c r="D6" i="11"/>
  <c r="B43" i="10"/>
  <c r="A43" i="10"/>
  <c r="B41" i="10"/>
  <c r="A41" i="10"/>
  <c r="B40" i="10"/>
  <c r="A40" i="10"/>
  <c r="B39" i="10"/>
  <c r="A39" i="10"/>
  <c r="B38" i="10"/>
  <c r="A38" i="10"/>
  <c r="B37" i="10"/>
  <c r="A37" i="10"/>
  <c r="B36" i="10"/>
  <c r="A36" i="10"/>
  <c r="B35" i="10"/>
  <c r="A35" i="10"/>
  <c r="B34" i="10"/>
  <c r="A34" i="10"/>
  <c r="B33" i="10"/>
  <c r="A33" i="10"/>
  <c r="B32" i="10"/>
  <c r="A32" i="10"/>
  <c r="B31" i="10"/>
  <c r="A31" i="10"/>
  <c r="B30" i="10"/>
  <c r="A30" i="10"/>
  <c r="B29" i="10"/>
  <c r="A29" i="10"/>
  <c r="B28" i="10"/>
  <c r="A28" i="10"/>
  <c r="B27" i="10"/>
  <c r="A27" i="10"/>
  <c r="B25" i="10"/>
  <c r="A25" i="10"/>
  <c r="B23" i="10"/>
  <c r="A23" i="10"/>
  <c r="B16" i="10"/>
  <c r="A16" i="10"/>
  <c r="B15" i="10"/>
  <c r="A15" i="10"/>
  <c r="B11" i="10"/>
  <c r="A11" i="10"/>
  <c r="L8" i="4"/>
  <c r="K8" i="4"/>
  <c r="J8" i="4"/>
  <c r="I8" i="4"/>
  <c r="H8" i="4"/>
  <c r="G8" i="4"/>
  <c r="F8" i="4"/>
  <c r="D8" i="4"/>
  <c r="C8" i="4"/>
  <c r="J40" i="4" l="1"/>
  <c r="J28" i="4"/>
  <c r="J16" i="4"/>
  <c r="J39" i="4"/>
  <c r="J27" i="4"/>
  <c r="J15" i="4"/>
  <c r="J38" i="4"/>
  <c r="J26" i="4"/>
  <c r="J14" i="4"/>
  <c r="J37" i="4"/>
  <c r="J25" i="4"/>
  <c r="J36" i="4"/>
  <c r="F339" i="4" s="1"/>
  <c r="E339" i="4" s="1"/>
  <c r="J24" i="4"/>
  <c r="J35" i="4"/>
  <c r="J23" i="4"/>
  <c r="J46" i="4"/>
  <c r="J34" i="4"/>
  <c r="J22" i="4"/>
  <c r="J43" i="4"/>
  <c r="J31" i="4"/>
  <c r="J19" i="4"/>
  <c r="F322" i="4" s="1"/>
  <c r="E322" i="4" s="1"/>
  <c r="J42" i="4"/>
  <c r="F345" i="4" s="1"/>
  <c r="E345" i="4" s="1"/>
  <c r="J30" i="4"/>
  <c r="J18" i="4"/>
  <c r="F321" i="4" s="1"/>
  <c r="E321" i="4" s="1"/>
  <c r="J41" i="4"/>
  <c r="J29" i="4"/>
  <c r="J17" i="4"/>
  <c r="J45" i="4"/>
  <c r="J33" i="4"/>
  <c r="J21" i="4"/>
  <c r="J44" i="4"/>
  <c r="J32" i="4"/>
  <c r="J20" i="4"/>
  <c r="K43" i="4"/>
  <c r="K31" i="4"/>
  <c r="K19" i="4"/>
  <c r="F355" i="4" s="1"/>
  <c r="E355" i="4" s="1"/>
  <c r="K42" i="4"/>
  <c r="K30" i="4"/>
  <c r="K18" i="4"/>
  <c r="K23" i="4"/>
  <c r="K41" i="4"/>
  <c r="K29" i="4"/>
  <c r="K17" i="4"/>
  <c r="K24" i="4"/>
  <c r="K35" i="4"/>
  <c r="K40" i="4"/>
  <c r="F376" i="4" s="1"/>
  <c r="E376" i="4" s="1"/>
  <c r="K28" i="4"/>
  <c r="F364" i="4" s="1"/>
  <c r="E364" i="4" s="1"/>
  <c r="K16" i="4"/>
  <c r="K39" i="4"/>
  <c r="K27" i="4"/>
  <c r="K15" i="4"/>
  <c r="K38" i="4"/>
  <c r="K26" i="4"/>
  <c r="K14" i="4"/>
  <c r="K37" i="4"/>
  <c r="K25" i="4"/>
  <c r="F361" i="4" s="1"/>
  <c r="E361" i="4" s="1"/>
  <c r="K46" i="4"/>
  <c r="F382" i="4" s="1"/>
  <c r="E382" i="4" s="1"/>
  <c r="K34" i="4"/>
  <c r="F370" i="4" s="1"/>
  <c r="E370" i="4" s="1"/>
  <c r="K22" i="4"/>
  <c r="K45" i="4"/>
  <c r="K33" i="4"/>
  <c r="K21" i="4"/>
  <c r="K44" i="4"/>
  <c r="K32" i="4"/>
  <c r="F368" i="4" s="1"/>
  <c r="E368" i="4" s="1"/>
  <c r="K20" i="4"/>
  <c r="K36" i="4"/>
  <c r="F372" i="4" s="1"/>
  <c r="E372" i="4" s="1"/>
  <c r="G43" i="4"/>
  <c r="G31" i="4"/>
  <c r="F235" i="4" s="1"/>
  <c r="E235" i="4" s="1"/>
  <c r="G19" i="4"/>
  <c r="G35" i="4"/>
  <c r="G34" i="4"/>
  <c r="F238" i="4" s="1"/>
  <c r="E238" i="4" s="1"/>
  <c r="G42" i="4"/>
  <c r="G30" i="4"/>
  <c r="G18" i="4"/>
  <c r="G36" i="4"/>
  <c r="G41" i="4"/>
  <c r="F245" i="4" s="1"/>
  <c r="E245" i="4" s="1"/>
  <c r="G29" i="4"/>
  <c r="G17" i="4"/>
  <c r="G24" i="4"/>
  <c r="G23" i="4"/>
  <c r="F227" i="4" s="1"/>
  <c r="E227" i="4" s="1"/>
  <c r="G40" i="4"/>
  <c r="F244" i="4" s="1"/>
  <c r="E244" i="4" s="1"/>
  <c r="G28" i="4"/>
  <c r="F232" i="4" s="1"/>
  <c r="E232" i="4" s="1"/>
  <c r="G16" i="4"/>
  <c r="G39" i="4"/>
  <c r="F243" i="4" s="1"/>
  <c r="E243" i="4" s="1"/>
  <c r="G27" i="4"/>
  <c r="G15" i="4"/>
  <c r="G38" i="4"/>
  <c r="G26" i="4"/>
  <c r="G14" i="4"/>
  <c r="G37" i="4"/>
  <c r="G25" i="4"/>
  <c r="G22" i="4"/>
  <c r="F226" i="4" s="1"/>
  <c r="E226" i="4" s="1"/>
  <c r="G45" i="4"/>
  <c r="F249" i="4" s="1"/>
  <c r="E249" i="4" s="1"/>
  <c r="G33" i="4"/>
  <c r="F237" i="4" s="1"/>
  <c r="E237" i="4" s="1"/>
  <c r="G21" i="4"/>
  <c r="G44" i="4"/>
  <c r="G32" i="4"/>
  <c r="G20" i="4"/>
  <c r="G46" i="4"/>
  <c r="L46" i="4"/>
  <c r="L34" i="4"/>
  <c r="L22" i="4"/>
  <c r="L27" i="4"/>
  <c r="L14" i="4"/>
  <c r="L45" i="4"/>
  <c r="L33" i="4"/>
  <c r="F402" i="4" s="1"/>
  <c r="E402" i="4" s="1"/>
  <c r="L21" i="4"/>
  <c r="L15" i="4"/>
  <c r="F384" i="4" s="1"/>
  <c r="E384" i="4" s="1"/>
  <c r="L44" i="4"/>
  <c r="L32" i="4"/>
  <c r="L20" i="4"/>
  <c r="L43" i="4"/>
  <c r="L31" i="4"/>
  <c r="F400" i="4" s="1"/>
  <c r="E400" i="4" s="1"/>
  <c r="L19" i="4"/>
  <c r="L42" i="4"/>
  <c r="F411" i="4" s="1"/>
  <c r="E411" i="4" s="1"/>
  <c r="L30" i="4"/>
  <c r="F399" i="4" s="1"/>
  <c r="E399" i="4" s="1"/>
  <c r="L18" i="4"/>
  <c r="F387" i="4" s="1"/>
  <c r="E387" i="4" s="1"/>
  <c r="L41" i="4"/>
  <c r="L29" i="4"/>
  <c r="L17" i="4"/>
  <c r="F386" i="4" s="1"/>
  <c r="E386" i="4" s="1"/>
  <c r="L40" i="4"/>
  <c r="L28" i="4"/>
  <c r="L16" i="4"/>
  <c r="L39" i="4"/>
  <c r="L38" i="4"/>
  <c r="L37" i="4"/>
  <c r="L25" i="4"/>
  <c r="L36" i="4"/>
  <c r="F405" i="4" s="1"/>
  <c r="E405" i="4" s="1"/>
  <c r="L24" i="4"/>
  <c r="L35" i="4"/>
  <c r="L23" i="4"/>
  <c r="F392" i="4" s="1"/>
  <c r="E392" i="4" s="1"/>
  <c r="L26" i="4"/>
  <c r="F395" i="4" s="1"/>
  <c r="E395" i="4" s="1"/>
  <c r="H46" i="4"/>
  <c r="H34" i="4"/>
  <c r="H22" i="4"/>
  <c r="H27" i="4"/>
  <c r="H45" i="4"/>
  <c r="H33" i="4"/>
  <c r="H21" i="4"/>
  <c r="H14" i="4"/>
  <c r="H25" i="4"/>
  <c r="F262" i="4" s="1"/>
  <c r="E262" i="4" s="1"/>
  <c r="H44" i="4"/>
  <c r="F281" i="4" s="1"/>
  <c r="E281" i="4" s="1"/>
  <c r="H32" i="4"/>
  <c r="F269" i="4" s="1"/>
  <c r="H20" i="4"/>
  <c r="F257" i="4" s="1"/>
  <c r="E257" i="4" s="1"/>
  <c r="H39" i="4"/>
  <c r="H43" i="4"/>
  <c r="H31" i="4"/>
  <c r="H19" i="4"/>
  <c r="H42" i="4"/>
  <c r="H30" i="4"/>
  <c r="H18" i="4"/>
  <c r="H41" i="4"/>
  <c r="F278" i="4" s="1"/>
  <c r="H29" i="4"/>
  <c r="F266" i="4" s="1"/>
  <c r="E266" i="4" s="1"/>
  <c r="H17" i="4"/>
  <c r="F254" i="4" s="1"/>
  <c r="E254" i="4" s="1"/>
  <c r="H40" i="4"/>
  <c r="F277" i="4" s="1"/>
  <c r="H28" i="4"/>
  <c r="F265" i="4" s="1"/>
  <c r="H16" i="4"/>
  <c r="H37" i="4"/>
  <c r="H36" i="4"/>
  <c r="H24" i="4"/>
  <c r="H35" i="4"/>
  <c r="H23" i="4"/>
  <c r="H15" i="4"/>
  <c r="F252" i="4" s="1"/>
  <c r="E252" i="4" s="1"/>
  <c r="H38" i="4"/>
  <c r="F275" i="4" s="1"/>
  <c r="H26" i="4"/>
  <c r="F263" i="4" s="1"/>
  <c r="I37" i="4"/>
  <c r="F307" i="4" s="1"/>
  <c r="I25" i="4"/>
  <c r="F295" i="4" s="1"/>
  <c r="E295" i="4" s="1"/>
  <c r="I42" i="4"/>
  <c r="F312" i="4" s="1"/>
  <c r="I36" i="4"/>
  <c r="I24" i="4"/>
  <c r="I18" i="4"/>
  <c r="I35" i="4"/>
  <c r="I23" i="4"/>
  <c r="I40" i="4"/>
  <c r="I46" i="4"/>
  <c r="I34" i="4"/>
  <c r="I22" i="4"/>
  <c r="F292" i="4" s="1"/>
  <c r="E292" i="4" s="1"/>
  <c r="I45" i="4"/>
  <c r="I33" i="4"/>
  <c r="I21" i="4"/>
  <c r="F291" i="4" s="1"/>
  <c r="E291" i="4" s="1"/>
  <c r="I44" i="4"/>
  <c r="I32" i="4"/>
  <c r="I20" i="4"/>
  <c r="I43" i="4"/>
  <c r="I31" i="4"/>
  <c r="I19" i="4"/>
  <c r="F289" i="4" s="1"/>
  <c r="I28" i="4"/>
  <c r="I16" i="4"/>
  <c r="F286" i="4" s="1"/>
  <c r="E286" i="4" s="1"/>
  <c r="I39" i="4"/>
  <c r="F309" i="4" s="1"/>
  <c r="I27" i="4"/>
  <c r="I15" i="4"/>
  <c r="I38" i="4"/>
  <c r="F308" i="4" s="1"/>
  <c r="E308" i="4" s="1"/>
  <c r="I26" i="4"/>
  <c r="I14" i="4"/>
  <c r="I30" i="4"/>
  <c r="I41" i="4"/>
  <c r="I29" i="4"/>
  <c r="F299" i="4" s="1"/>
  <c r="E299" i="4" s="1"/>
  <c r="I17" i="4"/>
  <c r="C43" i="4"/>
  <c r="F115" i="4" s="1"/>
  <c r="E115" i="4" s="1"/>
  <c r="C31" i="4"/>
  <c r="F103" i="4" s="1"/>
  <c r="C19" i="4"/>
  <c r="F91" i="4" s="1"/>
  <c r="C23" i="4"/>
  <c r="F95" i="4" s="1"/>
  <c r="E95" i="4" s="1"/>
  <c r="C22" i="4"/>
  <c r="C42" i="4"/>
  <c r="F114" i="4" s="1"/>
  <c r="C30" i="4"/>
  <c r="C18" i="4"/>
  <c r="C35" i="4"/>
  <c r="C41" i="4"/>
  <c r="C29" i="4"/>
  <c r="C17" i="4"/>
  <c r="C36" i="4"/>
  <c r="F108" i="4" s="1"/>
  <c r="C24" i="4"/>
  <c r="F96" i="4" s="1"/>
  <c r="E96" i="4" s="1"/>
  <c r="C34" i="4"/>
  <c r="F106" i="4" s="1"/>
  <c r="C40" i="4"/>
  <c r="F112" i="4" s="1"/>
  <c r="C28" i="4"/>
  <c r="C16" i="4"/>
  <c r="F88" i="4" s="1"/>
  <c r="E88" i="4" s="1"/>
  <c r="C39" i="4"/>
  <c r="C27" i="4"/>
  <c r="C15" i="4"/>
  <c r="C38" i="4"/>
  <c r="F110" i="4" s="1"/>
  <c r="C26" i="4"/>
  <c r="F98" i="4" s="1"/>
  <c r="C14" i="4"/>
  <c r="F86" i="4" s="1"/>
  <c r="E86" i="4" s="1"/>
  <c r="C37" i="4"/>
  <c r="C25" i="4"/>
  <c r="F97" i="4" s="1"/>
  <c r="E97" i="4" s="1"/>
  <c r="C45" i="4"/>
  <c r="F117" i="4" s="1"/>
  <c r="E117" i="4" s="1"/>
  <c r="C33" i="4"/>
  <c r="F105" i="4" s="1"/>
  <c r="C21" i="4"/>
  <c r="F93" i="4" s="1"/>
  <c r="E93" i="4" s="1"/>
  <c r="C44" i="4"/>
  <c r="F116" i="4" s="1"/>
  <c r="E116" i="4" s="1"/>
  <c r="C32" i="4"/>
  <c r="C20" i="4"/>
  <c r="C46" i="4"/>
  <c r="D46" i="4"/>
  <c r="D34" i="4"/>
  <c r="D22" i="4"/>
  <c r="D15" i="4"/>
  <c r="D38" i="4"/>
  <c r="D37" i="4"/>
  <c r="D45" i="4"/>
  <c r="F150" i="4" s="1"/>
  <c r="E150" i="4" s="1"/>
  <c r="D33" i="4"/>
  <c r="F138" i="4" s="1"/>
  <c r="E138" i="4" s="1"/>
  <c r="D21" i="4"/>
  <c r="F126" i="4" s="1"/>
  <c r="E126" i="4" s="1"/>
  <c r="D39" i="4"/>
  <c r="D25" i="4"/>
  <c r="D44" i="4"/>
  <c r="D32" i="4"/>
  <c r="D20" i="4"/>
  <c r="D14" i="4"/>
  <c r="D43" i="4"/>
  <c r="D31" i="4"/>
  <c r="F136" i="4" s="1"/>
  <c r="E136" i="4" s="1"/>
  <c r="D19" i="4"/>
  <c r="D42" i="4"/>
  <c r="F147" i="4" s="1"/>
  <c r="E147" i="4" s="1"/>
  <c r="D30" i="4"/>
  <c r="D18" i="4"/>
  <c r="F123" i="4" s="1"/>
  <c r="E123" i="4" s="1"/>
  <c r="D41" i="4"/>
  <c r="D29" i="4"/>
  <c r="D17" i="4"/>
  <c r="D40" i="4"/>
  <c r="F145" i="4" s="1"/>
  <c r="E145" i="4" s="1"/>
  <c r="D28" i="4"/>
  <c r="F133" i="4" s="1"/>
  <c r="E133" i="4" s="1"/>
  <c r="D16" i="4"/>
  <c r="F121" i="4" s="1"/>
  <c r="E121" i="4" s="1"/>
  <c r="D36" i="4"/>
  <c r="D24" i="4"/>
  <c r="F129" i="4" s="1"/>
  <c r="E129" i="4" s="1"/>
  <c r="D35" i="4"/>
  <c r="F140" i="4" s="1"/>
  <c r="E140" i="4" s="1"/>
  <c r="D23" i="4"/>
  <c r="D27" i="4"/>
  <c r="D26" i="4"/>
  <c r="F131" i="4" s="1"/>
  <c r="E131" i="4" s="1"/>
  <c r="F40" i="4"/>
  <c r="F28" i="4"/>
  <c r="F16" i="4"/>
  <c r="F45" i="4"/>
  <c r="F20" i="4"/>
  <c r="F39" i="4"/>
  <c r="F27" i="4"/>
  <c r="F15" i="4"/>
  <c r="F186" i="4" s="1"/>
  <c r="E186" i="4" s="1"/>
  <c r="F21" i="4"/>
  <c r="F32" i="4"/>
  <c r="F38" i="4"/>
  <c r="F26" i="4"/>
  <c r="F14" i="4"/>
  <c r="F37" i="4"/>
  <c r="F25" i="4"/>
  <c r="F36" i="4"/>
  <c r="F24" i="4"/>
  <c r="F195" i="4" s="1"/>
  <c r="E195" i="4" s="1"/>
  <c r="F35" i="4"/>
  <c r="F23" i="4"/>
  <c r="F46" i="4"/>
  <c r="F217" i="4" s="1"/>
  <c r="E217" i="4" s="1"/>
  <c r="F34" i="4"/>
  <c r="F205" i="4" s="1"/>
  <c r="E205" i="4" s="1"/>
  <c r="F22" i="4"/>
  <c r="F193" i="4" s="1"/>
  <c r="E193" i="4" s="1"/>
  <c r="F43" i="4"/>
  <c r="F214" i="4" s="1"/>
  <c r="E214" i="4" s="1"/>
  <c r="F31" i="4"/>
  <c r="F202" i="4" s="1"/>
  <c r="E202" i="4" s="1"/>
  <c r="F19" i="4"/>
  <c r="F42" i="4"/>
  <c r="F30" i="4"/>
  <c r="F18" i="4"/>
  <c r="F41" i="4"/>
  <c r="F29" i="4"/>
  <c r="F200" i="4" s="1"/>
  <c r="E200" i="4" s="1"/>
  <c r="F17" i="4"/>
  <c r="F33" i="4"/>
  <c r="F44" i="4"/>
  <c r="F215" i="4" s="1"/>
  <c r="E215" i="4" s="1"/>
  <c r="F414" i="4"/>
  <c r="E414" i="4" s="1"/>
  <c r="F390" i="4"/>
  <c r="E390" i="4" s="1"/>
  <c r="F388" i="4"/>
  <c r="E388" i="4" s="1"/>
  <c r="F401" i="4"/>
  <c r="E401" i="4" s="1"/>
  <c r="F389" i="4"/>
  <c r="E389" i="4" s="1"/>
  <c r="F412" i="4"/>
  <c r="E412" i="4" s="1"/>
  <c r="F398" i="4"/>
  <c r="E398" i="4" s="1"/>
  <c r="F385" i="4"/>
  <c r="E385" i="4" s="1"/>
  <c r="F404" i="4"/>
  <c r="E404" i="4" s="1"/>
  <c r="F408" i="4"/>
  <c r="E408" i="4" s="1"/>
  <c r="F396" i="4"/>
  <c r="E396" i="4" s="1"/>
  <c r="F406" i="4"/>
  <c r="E406" i="4" s="1"/>
  <c r="F394" i="4"/>
  <c r="E394" i="4" s="1"/>
  <c r="F305" i="4"/>
  <c r="F293" i="4"/>
  <c r="E293" i="4" s="1"/>
  <c r="F304" i="4"/>
  <c r="F315" i="4"/>
  <c r="E315" i="4" s="1"/>
  <c r="F314" i="4"/>
  <c r="E314" i="4" s="1"/>
  <c r="F302" i="4"/>
  <c r="F290" i="4"/>
  <c r="E290" i="4" s="1"/>
  <c r="F288" i="4"/>
  <c r="F311" i="4"/>
  <c r="F287" i="4"/>
  <c r="E287" i="4" s="1"/>
  <c r="F310" i="4"/>
  <c r="F285" i="4"/>
  <c r="E285" i="4" s="1"/>
  <c r="F296" i="4"/>
  <c r="F379" i="4"/>
  <c r="E379" i="4" s="1"/>
  <c r="F356" i="4"/>
  <c r="E356" i="4" s="1"/>
  <c r="F377" i="4"/>
  <c r="E377" i="4" s="1"/>
  <c r="F365" i="4"/>
  <c r="E365" i="4" s="1"/>
  <c r="F353" i="4"/>
  <c r="E353" i="4" s="1"/>
  <c r="F375" i="4"/>
  <c r="E375" i="4" s="1"/>
  <c r="F363" i="4"/>
  <c r="E363" i="4" s="1"/>
  <c r="F351" i="4"/>
  <c r="E351" i="4" s="1"/>
  <c r="F374" i="4"/>
  <c r="E374" i="4" s="1"/>
  <c r="F362" i="4"/>
  <c r="E362" i="4" s="1"/>
  <c r="F359" i="4"/>
  <c r="E359" i="4" s="1"/>
  <c r="F358" i="4"/>
  <c r="E358" i="4" s="1"/>
  <c r="F357" i="4"/>
  <c r="E357" i="4" s="1"/>
  <c r="F151" i="4"/>
  <c r="E151" i="4" s="1"/>
  <c r="F139" i="4"/>
  <c r="E139" i="4" s="1"/>
  <c r="F127" i="4"/>
  <c r="E127" i="4" s="1"/>
  <c r="F124" i="4"/>
  <c r="E124" i="4" s="1"/>
  <c r="F149" i="4"/>
  <c r="E149" i="4" s="1"/>
  <c r="F148" i="4"/>
  <c r="E148" i="4" s="1"/>
  <c r="F135" i="4"/>
  <c r="E135" i="4" s="1"/>
  <c r="F146" i="4"/>
  <c r="E146" i="4" s="1"/>
  <c r="F134" i="4"/>
  <c r="E134" i="4" s="1"/>
  <c r="F122" i="4"/>
  <c r="E122" i="4" s="1"/>
  <c r="F120" i="4"/>
  <c r="E120" i="4" s="1"/>
  <c r="F119" i="4"/>
  <c r="E119" i="4" s="1"/>
  <c r="F142" i="4"/>
  <c r="E142" i="4" s="1"/>
  <c r="F130" i="4"/>
  <c r="E130" i="4" s="1"/>
  <c r="F141" i="4"/>
  <c r="E141" i="4" s="1"/>
  <c r="F246" i="4"/>
  <c r="E246" i="4" s="1"/>
  <c r="F222" i="4"/>
  <c r="E222" i="4" s="1"/>
  <c r="F233" i="4"/>
  <c r="E233" i="4" s="1"/>
  <c r="F221" i="4"/>
  <c r="E221" i="4" s="1"/>
  <c r="F242" i="4"/>
  <c r="E242" i="4" s="1"/>
  <c r="F230" i="4"/>
  <c r="E230" i="4" s="1"/>
  <c r="F218" i="4"/>
  <c r="F248" i="4"/>
  <c r="E248" i="4" s="1"/>
  <c r="F224" i="4"/>
  <c r="E224" i="4" s="1"/>
  <c r="F228" i="4"/>
  <c r="E228" i="4" s="1"/>
  <c r="F225" i="4"/>
  <c r="E225" i="4" s="1"/>
  <c r="F236" i="4"/>
  <c r="E236" i="4" s="1"/>
  <c r="F283" i="4"/>
  <c r="E283" i="4" s="1"/>
  <c r="F271" i="4"/>
  <c r="F259" i="4"/>
  <c r="E259" i="4" s="1"/>
  <c r="F258" i="4"/>
  <c r="E258" i="4" s="1"/>
  <c r="F280" i="4"/>
  <c r="E280" i="4" s="1"/>
  <c r="F268" i="4"/>
  <c r="F279" i="4"/>
  <c r="F267" i="4"/>
  <c r="F255" i="4"/>
  <c r="F253" i="4"/>
  <c r="E253" i="4" s="1"/>
  <c r="F251" i="4"/>
  <c r="F260" i="4"/>
  <c r="E260" i="4" s="1"/>
  <c r="F264" i="4"/>
  <c r="E264" i="4" s="1"/>
  <c r="F273" i="4"/>
  <c r="F343" i="4"/>
  <c r="E343" i="4" s="1"/>
  <c r="F319" i="4"/>
  <c r="E319" i="4" s="1"/>
  <c r="F328" i="4"/>
  <c r="E328" i="4" s="1"/>
  <c r="F342" i="4"/>
  <c r="E342" i="4" s="1"/>
  <c r="F330" i="4"/>
  <c r="E330" i="4" s="1"/>
  <c r="F341" i="4"/>
  <c r="E341" i="4" s="1"/>
  <c r="F329" i="4"/>
  <c r="E329" i="4" s="1"/>
  <c r="F317" i="4"/>
  <c r="E317" i="4" s="1"/>
  <c r="F340" i="4"/>
  <c r="E340" i="4" s="1"/>
  <c r="F327" i="4"/>
  <c r="E327" i="4" s="1"/>
  <c r="F338" i="4"/>
  <c r="E338" i="4" s="1"/>
  <c r="F326" i="4"/>
  <c r="E326" i="4" s="1"/>
  <c r="F349" i="4"/>
  <c r="E349" i="4" s="1"/>
  <c r="F325" i="4"/>
  <c r="E325" i="4" s="1"/>
  <c r="F336" i="4"/>
  <c r="E336" i="4" s="1"/>
  <c r="F324" i="4"/>
  <c r="E324" i="4" s="1"/>
  <c r="F347" i="4"/>
  <c r="E347" i="4" s="1"/>
  <c r="F335" i="4"/>
  <c r="E335" i="4" s="1"/>
  <c r="F323" i="4"/>
  <c r="E323" i="4" s="1"/>
  <c r="F334" i="4"/>
  <c r="E334" i="4" s="1"/>
  <c r="F102" i="4"/>
  <c r="F90" i="4"/>
  <c r="F100" i="4"/>
  <c r="F113" i="4"/>
  <c r="E113" i="4" s="1"/>
  <c r="F99" i="4"/>
  <c r="E99" i="4" s="1"/>
  <c r="F87" i="4"/>
  <c r="E87" i="4" s="1"/>
  <c r="F104" i="4"/>
  <c r="F109" i="4"/>
  <c r="F92" i="4"/>
  <c r="E92" i="4" s="1"/>
  <c r="F118" i="4"/>
  <c r="E118" i="4" s="1"/>
  <c r="F94" i="4"/>
  <c r="E94" i="4" s="1"/>
  <c r="F199" i="4"/>
  <c r="E199" i="4" s="1"/>
  <c r="F210" i="4"/>
  <c r="E210" i="4" s="1"/>
  <c r="F198" i="4"/>
  <c r="E198" i="4" s="1"/>
  <c r="F208" i="4"/>
  <c r="E208" i="4" s="1"/>
  <c r="F209" i="4"/>
  <c r="E209" i="4" s="1"/>
  <c r="F197" i="4"/>
  <c r="E197" i="4" s="1"/>
  <c r="F185" i="4"/>
  <c r="F207" i="4"/>
  <c r="E207" i="4" s="1"/>
  <c r="F191" i="4"/>
  <c r="E191" i="4" s="1"/>
  <c r="F216" i="4"/>
  <c r="E216" i="4" s="1"/>
  <c r="F204" i="4"/>
  <c r="E204" i="4" s="1"/>
  <c r="F192" i="4"/>
  <c r="E192" i="4" s="1"/>
  <c r="F201" i="4"/>
  <c r="E201" i="4" s="1"/>
  <c r="F189" i="4"/>
  <c r="E189" i="4" s="1"/>
  <c r="F188" i="4"/>
  <c r="E188" i="4" s="1"/>
  <c r="F318" i="4"/>
  <c r="E318" i="4" s="1"/>
  <c r="F320" i="4"/>
  <c r="E320" i="4" s="1"/>
  <c r="F337" i="4"/>
  <c r="E337" i="4" s="1"/>
  <c r="F247" i="4"/>
  <c r="E247" i="4" s="1"/>
  <c r="F223" i="4"/>
  <c r="E223" i="4" s="1"/>
  <c r="F220" i="4"/>
  <c r="E220" i="4" s="1"/>
  <c r="F240" i="4"/>
  <c r="E240" i="4" s="1"/>
  <c r="F239" i="4"/>
  <c r="E239" i="4" s="1"/>
  <c r="F282" i="4"/>
  <c r="E282" i="4" s="1"/>
  <c r="F270" i="4"/>
  <c r="E270" i="4" s="1"/>
  <c r="F274" i="4"/>
  <c r="F306" i="4"/>
  <c r="F294" i="4"/>
  <c r="E294" i="4" s="1"/>
  <c r="F303" i="4"/>
  <c r="E303" i="4" s="1"/>
  <c r="F300" i="4"/>
  <c r="F313" i="4"/>
  <c r="E313" i="4" s="1"/>
  <c r="F301" i="4"/>
  <c r="F284" i="4"/>
  <c r="F298" i="4"/>
  <c r="F366" i="4"/>
  <c r="E366" i="4" s="1"/>
  <c r="F354" i="4"/>
  <c r="E354" i="4" s="1"/>
  <c r="F350" i="4"/>
  <c r="F380" i="4"/>
  <c r="E380" i="4" s="1"/>
  <c r="F373" i="4"/>
  <c r="E373" i="4" s="1"/>
  <c r="F360" i="4"/>
  <c r="E360" i="4" s="1"/>
  <c r="F381" i="4"/>
  <c r="E381" i="4" s="1"/>
  <c r="F415" i="4"/>
  <c r="E415" i="4" s="1"/>
  <c r="F403" i="4"/>
  <c r="E403" i="4" s="1"/>
  <c r="F391" i="4"/>
  <c r="E391" i="4" s="1"/>
  <c r="F397" i="4"/>
  <c r="E397" i="4" s="1"/>
  <c r="F407" i="4"/>
  <c r="E407" i="4" s="1"/>
  <c r="F383" i="4"/>
  <c r="E383" i="4" s="1"/>
  <c r="F132" i="4"/>
  <c r="E132" i="4" s="1"/>
  <c r="F128" i="4"/>
  <c r="E128" i="4" s="1"/>
  <c r="F143" i="4"/>
  <c r="E143" i="4" s="1"/>
  <c r="F101" i="4"/>
  <c r="E101" i="4" s="1"/>
  <c r="F187" i="4"/>
  <c r="E187" i="4" s="1"/>
  <c r="F196" i="4"/>
  <c r="E196" i="4" s="1"/>
  <c r="F206" i="4"/>
  <c r="E206" i="4" s="1"/>
  <c r="F194" i="4"/>
  <c r="E194" i="4" s="1"/>
  <c r="F212" i="4"/>
  <c r="E212" i="4" s="1"/>
  <c r="F190" i="4"/>
  <c r="E190" i="4" s="1"/>
  <c r="F213" i="4"/>
  <c r="E213" i="4" s="1"/>
  <c r="AP46" i="12"/>
  <c r="J39" i="3"/>
  <c r="F39" i="3"/>
  <c r="C8" i="3"/>
  <c r="F9" i="3"/>
  <c r="J9" i="3"/>
  <c r="J18" i="3"/>
  <c r="F18" i="3"/>
  <c r="J11" i="3"/>
  <c r="J17" i="3"/>
  <c r="F17" i="3"/>
  <c r="F21" i="3"/>
  <c r="J10" i="3"/>
  <c r="J16" i="3"/>
  <c r="F16" i="3"/>
  <c r="F15" i="3"/>
  <c r="F14" i="3"/>
  <c r="J19" i="3"/>
  <c r="J15" i="3"/>
  <c r="J14" i="3"/>
  <c r="J21" i="3"/>
  <c r="F10" i="3"/>
  <c r="F11" i="3"/>
  <c r="F19" i="3"/>
  <c r="J23" i="3"/>
  <c r="F23" i="3"/>
  <c r="F203" i="4"/>
  <c r="E203" i="4" s="1"/>
  <c r="F211" i="4"/>
  <c r="E211" i="4" s="1"/>
  <c r="D11" i="10" a="1"/>
  <c r="D11" i="10" s="1"/>
  <c r="I6" i="11" a="1"/>
  <c r="I6" i="11" s="1"/>
  <c r="K6" i="11" a="1"/>
  <c r="C7" i="10"/>
  <c r="J6" i="11" a="1"/>
  <c r="J6" i="11" s="1"/>
  <c r="C11" i="10" a="1"/>
  <c r="AJ58" i="12"/>
  <c r="E6" i="11" a="1"/>
  <c r="G171" i="12"/>
  <c r="I120" i="11" a="1"/>
  <c r="I120" i="11" s="1"/>
  <c r="C59" i="16" s="1"/>
  <c r="K82" i="11" a="1"/>
  <c r="K82" i="11" s="1"/>
  <c r="C56" i="16" s="1"/>
  <c r="I44" i="11" a="1"/>
  <c r="I44" i="11" s="1"/>
  <c r="C54" i="16" s="1"/>
  <c r="I158" i="11" a="1"/>
  <c r="I158" i="11" s="1"/>
  <c r="C61" i="16" s="1"/>
  <c r="H120" i="11" a="1"/>
  <c r="H120" i="11" s="1"/>
  <c r="C58" i="16" s="1"/>
  <c r="H158" i="11" a="1"/>
  <c r="H158" i="11" s="1"/>
  <c r="C60" i="16" s="1"/>
  <c r="J82" i="11" a="1"/>
  <c r="J82" i="11" s="1"/>
  <c r="C55" i="16" s="1"/>
  <c r="H44" i="11" a="1"/>
  <c r="H44" i="11" s="1"/>
  <c r="C53" i="16" s="1"/>
  <c r="L82" i="11" a="1"/>
  <c r="L82" i="11" s="1"/>
  <c r="C57" i="16" s="1"/>
  <c r="C6" i="6" a="1"/>
  <c r="C6" i="6" s="1"/>
  <c r="F107" i="4"/>
  <c r="F89" i="4"/>
  <c r="E89" i="4" s="1"/>
  <c r="F111" i="4"/>
  <c r="F137" i="4"/>
  <c r="E137" i="4" s="1"/>
  <c r="F125" i="4"/>
  <c r="E125" i="4" s="1"/>
  <c r="F144" i="4"/>
  <c r="E144" i="4" s="1"/>
  <c r="F241" i="4"/>
  <c r="E241" i="4" s="1"/>
  <c r="F229" i="4"/>
  <c r="E229" i="4" s="1"/>
  <c r="F219" i="4"/>
  <c r="E219" i="4" s="1"/>
  <c r="F231" i="4"/>
  <c r="E231" i="4" s="1"/>
  <c r="F234" i="4"/>
  <c r="E234" i="4" s="1"/>
  <c r="F250" i="4"/>
  <c r="E250" i="4" s="1"/>
  <c r="F276" i="4"/>
  <c r="E276" i="4" s="1"/>
  <c r="F261" i="4"/>
  <c r="E261" i="4" s="1"/>
  <c r="F256" i="4"/>
  <c r="E256" i="4" s="1"/>
  <c r="F272" i="4"/>
  <c r="F297" i="4"/>
  <c r="E297" i="4" s="1"/>
  <c r="F316" i="4"/>
  <c r="E316" i="4" s="1"/>
  <c r="F331" i="4"/>
  <c r="E331" i="4" s="1"/>
  <c r="F344" i="4"/>
  <c r="E344" i="4" s="1"/>
  <c r="F332" i="4"/>
  <c r="E332" i="4" s="1"/>
  <c r="F348" i="4"/>
  <c r="E348" i="4" s="1"/>
  <c r="F346" i="4"/>
  <c r="E346" i="4" s="1"/>
  <c r="F333" i="4"/>
  <c r="E333" i="4" s="1"/>
  <c r="F369" i="4"/>
  <c r="E369" i="4" s="1"/>
  <c r="F378" i="4"/>
  <c r="E378" i="4" s="1"/>
  <c r="F371" i="4"/>
  <c r="E371" i="4" s="1"/>
  <c r="F352" i="4"/>
  <c r="E352" i="4" s="1"/>
  <c r="F367" i="4"/>
  <c r="E367" i="4" s="1"/>
  <c r="F410" i="4"/>
  <c r="E410" i="4" s="1"/>
  <c r="F393" i="4"/>
  <c r="E393" i="4" s="1"/>
  <c r="F409" i="4"/>
  <c r="E409" i="4" s="1"/>
  <c r="F413" i="4"/>
  <c r="E413" i="4" s="1"/>
  <c r="D6" i="6" a="1"/>
  <c r="D6" i="6" s="1"/>
  <c r="E174" i="4"/>
  <c r="E171" i="4"/>
  <c r="E169" i="4"/>
  <c r="E168" i="4"/>
  <c r="E181" i="4"/>
  <c r="E166" i="4"/>
  <c r="E172" i="4"/>
  <c r="E184" i="4"/>
  <c r="E182" i="4"/>
  <c r="E180" i="4"/>
  <c r="E177" i="4"/>
  <c r="E157" i="4"/>
  <c r="E152" i="4"/>
  <c r="E164" i="4"/>
  <c r="E176" i="4"/>
  <c r="E179" i="4"/>
  <c r="E178" i="4"/>
  <c r="E175" i="4"/>
  <c r="E173" i="4"/>
  <c r="G6" i="8" a="1"/>
  <c r="G6" i="8" s="1"/>
  <c r="E170" i="4"/>
  <c r="F28" i="9"/>
  <c r="F35" i="10" s="1"/>
  <c r="AJ171" i="12"/>
  <c r="J27" i="3"/>
  <c r="AQ29" i="12"/>
  <c r="AQ35" i="12"/>
  <c r="AQ41" i="12"/>
  <c r="AJ46" i="12"/>
  <c r="F8" i="9"/>
  <c r="F15" i="10" s="1"/>
  <c r="F24" i="9"/>
  <c r="F31" i="10" s="1"/>
  <c r="J29" i="3"/>
  <c r="F21" i="9"/>
  <c r="F28" i="10" s="1"/>
  <c r="F27" i="9"/>
  <c r="F34" i="10" s="1"/>
  <c r="J28" i="3"/>
  <c r="F33" i="9"/>
  <c r="F40" i="10" s="1"/>
  <c r="F20" i="3"/>
  <c r="J13" i="3"/>
  <c r="J22" i="3"/>
  <c r="F34" i="3"/>
  <c r="J32" i="3"/>
  <c r="J33" i="3"/>
  <c r="F29" i="3"/>
  <c r="F20" i="9"/>
  <c r="F27" i="10" s="1"/>
  <c r="F32" i="9"/>
  <c r="F39" i="10" s="1"/>
  <c r="AQ24" i="12"/>
  <c r="AQ32" i="12"/>
  <c r="AQ38" i="12"/>
  <c r="AQ26" i="12"/>
  <c r="AQ33" i="12"/>
  <c r="AQ39" i="12"/>
  <c r="F30" i="9"/>
  <c r="F37" i="10" s="1"/>
  <c r="F18" i="9"/>
  <c r="F25" i="10" s="1"/>
  <c r="F31" i="9"/>
  <c r="F38" i="10" s="1"/>
  <c r="AQ16" i="12"/>
  <c r="AQ30" i="12"/>
  <c r="AQ36" i="12"/>
  <c r="AQ42" i="12"/>
  <c r="AQ17" i="12"/>
  <c r="AQ31" i="12"/>
  <c r="AQ37" i="12"/>
  <c r="AQ44" i="12"/>
  <c r="F4" i="9"/>
  <c r="F11" i="10" s="1"/>
  <c r="F9" i="9"/>
  <c r="F16" i="10" s="1"/>
  <c r="F23" i="9"/>
  <c r="F30" i="10" s="1"/>
  <c r="F29" i="9"/>
  <c r="F36" i="10" s="1"/>
  <c r="F36" i="9"/>
  <c r="F43" i="10" s="1"/>
  <c r="AQ28" i="12"/>
  <c r="AQ34" i="12"/>
  <c r="AQ40" i="12"/>
  <c r="F26" i="9"/>
  <c r="F33" i="10" s="1"/>
  <c r="F16" i="9"/>
  <c r="F23" i="10" s="1"/>
  <c r="F22" i="9"/>
  <c r="F29" i="10" s="1"/>
  <c r="F25" i="9"/>
  <c r="F32" i="10" s="1"/>
  <c r="F34" i="9"/>
  <c r="F41" i="10" s="1"/>
  <c r="E156" i="4"/>
  <c r="J20" i="3"/>
  <c r="F33" i="3"/>
  <c r="J34" i="3"/>
  <c r="F22" i="3"/>
  <c r="F27" i="3"/>
  <c r="F28" i="3"/>
  <c r="F13" i="3"/>
  <c r="F32" i="3"/>
  <c r="C38" i="9"/>
  <c r="D38" i="9"/>
  <c r="E41" i="16" l="1"/>
  <c r="E40" i="16"/>
  <c r="G47" i="16"/>
  <c r="G45" i="16"/>
  <c r="G43" i="16"/>
  <c r="G40" i="16"/>
  <c r="G36" i="16"/>
  <c r="E45" i="16"/>
  <c r="E47" i="16"/>
  <c r="E44" i="16"/>
  <c r="G38" i="16"/>
  <c r="E43" i="16"/>
  <c r="E36" i="16"/>
  <c r="E42" i="16"/>
  <c r="G41" i="16"/>
  <c r="G39" i="16"/>
  <c r="E37" i="16"/>
  <c r="G37" i="16"/>
  <c r="E38" i="16"/>
  <c r="G44" i="16"/>
  <c r="G46" i="16"/>
  <c r="E46" i="16"/>
  <c r="E39" i="16"/>
  <c r="G42" i="16"/>
  <c r="AQ46" i="12"/>
  <c r="G42" i="10"/>
  <c r="G39" i="10"/>
  <c r="G34" i="10"/>
  <c r="G37" i="10"/>
  <c r="G32" i="10"/>
  <c r="G35" i="10"/>
  <c r="G41" i="10"/>
  <c r="G33" i="10"/>
  <c r="G40" i="10"/>
  <c r="G36" i="10"/>
  <c r="G43" i="10"/>
  <c r="G38" i="10"/>
  <c r="L37" i="11"/>
  <c r="L36" i="11"/>
  <c r="L38" i="11"/>
  <c r="L27" i="11"/>
  <c r="L34" i="11"/>
  <c r="L28" i="11"/>
  <c r="L31" i="11"/>
  <c r="L29" i="11"/>
  <c r="L30" i="11"/>
  <c r="L32" i="11"/>
  <c r="L33" i="11"/>
  <c r="L35" i="11"/>
  <c r="K6" i="11"/>
  <c r="L6" i="11" s="1"/>
  <c r="L17" i="11"/>
  <c r="L19" i="11"/>
  <c r="L16" i="11"/>
  <c r="L21" i="11"/>
  <c r="L15" i="11"/>
  <c r="L9" i="11"/>
  <c r="L14" i="11"/>
  <c r="L13" i="11"/>
  <c r="L12" i="11"/>
  <c r="L8" i="11"/>
  <c r="L7" i="11"/>
  <c r="L18" i="11"/>
  <c r="L20" i="11"/>
  <c r="L25" i="11"/>
  <c r="L22" i="11"/>
  <c r="L23" i="11"/>
  <c r="L24" i="11"/>
  <c r="L10" i="11"/>
  <c r="L26" i="11"/>
  <c r="L11" i="11"/>
  <c r="J6" i="8" a="1"/>
  <c r="G24" i="16"/>
  <c r="E16" i="16"/>
  <c r="E33" i="16"/>
  <c r="G31" i="16"/>
  <c r="G35" i="16"/>
  <c r="G28" i="16"/>
  <c r="E28" i="16"/>
  <c r="G16" i="16"/>
  <c r="E17" i="16"/>
  <c r="G19" i="16"/>
  <c r="E26" i="16"/>
  <c r="E21" i="16"/>
  <c r="G22" i="16"/>
  <c r="E23" i="16"/>
  <c r="E34" i="16"/>
  <c r="G34" i="16"/>
  <c r="E35" i="16"/>
  <c r="G25" i="16"/>
  <c r="E20" i="16"/>
  <c r="E24" i="16"/>
  <c r="E25" i="16"/>
  <c r="G27" i="16"/>
  <c r="E32" i="16"/>
  <c r="G23" i="16"/>
  <c r="G26" i="16"/>
  <c r="G17" i="16"/>
  <c r="E27" i="16"/>
  <c r="G20" i="16"/>
  <c r="G33" i="16"/>
  <c r="G32" i="16"/>
  <c r="E31" i="16"/>
  <c r="G29" i="16"/>
  <c r="G18" i="16"/>
  <c r="E18" i="16"/>
  <c r="G30" i="16"/>
  <c r="G21" i="16"/>
  <c r="E30" i="16"/>
  <c r="E19" i="16"/>
  <c r="E22" i="16"/>
  <c r="E29" i="16"/>
  <c r="E6" i="11"/>
  <c r="G6" i="7" s="1" a="1"/>
  <c r="G6" i="7" s="1"/>
  <c r="C11" i="10"/>
  <c r="G11" i="10" s="1"/>
  <c r="G12" i="10"/>
  <c r="G20" i="10"/>
  <c r="G13" i="10"/>
  <c r="G19" i="10"/>
  <c r="G18" i="10"/>
  <c r="G17" i="10"/>
  <c r="G24" i="10"/>
  <c r="G26" i="10"/>
  <c r="G22" i="10"/>
  <c r="G21" i="10"/>
  <c r="G14" i="10"/>
  <c r="G29" i="10"/>
  <c r="G23" i="10"/>
  <c r="G16" i="10"/>
  <c r="G28" i="10"/>
  <c r="G31" i="10"/>
  <c r="G30" i="10"/>
  <c r="G25" i="10"/>
  <c r="G27" i="10"/>
  <c r="G15" i="10"/>
  <c r="S3" i="12"/>
  <c r="G6" i="6" a="1"/>
  <c r="D9" i="4"/>
  <c r="D48" i="4" s="1"/>
  <c r="L9" i="4"/>
  <c r="L48" i="4" s="1"/>
  <c r="J9" i="4"/>
  <c r="J48" i="4" s="1"/>
  <c r="H9" i="4"/>
  <c r="H48" i="4" s="1"/>
  <c r="F9" i="4"/>
  <c r="F48" i="4" s="1"/>
  <c r="E185" i="4"/>
  <c r="E9" i="4"/>
  <c r="E48" i="4" s="1"/>
  <c r="E218" i="4"/>
  <c r="G9" i="4"/>
  <c r="G48" i="4" s="1"/>
  <c r="E350" i="4"/>
  <c r="K9" i="4"/>
  <c r="K48" i="4" s="1"/>
  <c r="I9" i="4"/>
  <c r="I48" i="4" s="1"/>
  <c r="C9" i="4"/>
  <c r="C48" i="4" s="1"/>
  <c r="E300" i="4"/>
  <c r="E284" i="4"/>
  <c r="E302" i="4"/>
  <c r="E309" i="4"/>
  <c r="E301" i="4"/>
  <c r="E288" i="4"/>
  <c r="E312" i="4"/>
  <c r="E296" i="4"/>
  <c r="E304" i="4"/>
  <c r="E305" i="4"/>
  <c r="E310" i="4"/>
  <c r="E306" i="4"/>
  <c r="E298" i="4"/>
  <c r="E307" i="4"/>
  <c r="E311" i="4"/>
  <c r="E289" i="4"/>
  <c r="E271" i="4"/>
  <c r="E255" i="4"/>
  <c r="E268" i="4"/>
  <c r="E273" i="4"/>
  <c r="E269" i="4"/>
  <c r="E274" i="4"/>
  <c r="E272" i="4"/>
  <c r="E279" i="4"/>
  <c r="E267" i="4"/>
  <c r="E275" i="4"/>
  <c r="E263" i="4"/>
  <c r="E251" i="4"/>
  <c r="E265" i="4"/>
  <c r="E277" i="4"/>
  <c r="E278" i="4"/>
  <c r="E108" i="4"/>
  <c r="E102" i="4"/>
  <c r="E90" i="4"/>
  <c r="E103" i="4"/>
  <c r="E98" i="4"/>
  <c r="E110" i="4"/>
  <c r="E112" i="4"/>
  <c r="E109" i="4"/>
  <c r="E100" i="4"/>
  <c r="E105" i="4"/>
  <c r="E106" i="4"/>
  <c r="E91" i="4"/>
  <c r="E111" i="4"/>
  <c r="E107" i="4"/>
  <c r="E114" i="4"/>
  <c r="E104" i="4"/>
  <c r="J35" i="3"/>
  <c r="F35" i="3"/>
  <c r="J36" i="3"/>
  <c r="F36" i="3"/>
  <c r="F37" i="3"/>
  <c r="J37" i="3"/>
  <c r="J30" i="3"/>
  <c r="F30" i="3"/>
  <c r="F8" i="3"/>
  <c r="J8" i="3"/>
  <c r="J31" i="3"/>
  <c r="F31" i="3"/>
  <c r="C42" i="3"/>
  <c r="F42" i="3" s="1"/>
  <c r="F25" i="3"/>
  <c r="J25" i="3"/>
  <c r="J38" i="3"/>
  <c r="F38" i="3"/>
  <c r="J26" i="3"/>
  <c r="F26" i="3"/>
  <c r="F40" i="3"/>
  <c r="J40" i="3"/>
  <c r="C40" i="8"/>
  <c r="J12" i="3"/>
  <c r="F12" i="3"/>
  <c r="J24" i="3"/>
  <c r="F24" i="3"/>
  <c r="E16" i="8" l="1" a="1"/>
  <c r="E16" i="8" s="1"/>
  <c r="D109" i="16" s="1"/>
  <c r="I42" i="16"/>
  <c r="F42" i="16"/>
  <c r="I38" i="16"/>
  <c r="F38" i="16"/>
  <c r="I46" i="16"/>
  <c r="F46" i="16"/>
  <c r="F44" i="16"/>
  <c r="I44" i="16"/>
  <c r="I36" i="16"/>
  <c r="F36" i="16"/>
  <c r="E9" i="8" a="1"/>
  <c r="E9" i="8" s="1"/>
  <c r="D102" i="16" s="1"/>
  <c r="F37" i="16"/>
  <c r="I37" i="16"/>
  <c r="I40" i="16"/>
  <c r="F40" i="16"/>
  <c r="I43" i="16"/>
  <c r="F43" i="16"/>
  <c r="I39" i="16"/>
  <c r="F39" i="16"/>
  <c r="F45" i="16"/>
  <c r="I45" i="16"/>
  <c r="I41" i="16"/>
  <c r="F41" i="16"/>
  <c r="I47" i="16"/>
  <c r="F47" i="16"/>
  <c r="G6" i="6"/>
  <c r="C6" i="17" a="1"/>
  <c r="C6" i="17" s="1"/>
  <c r="C40" i="17" s="1"/>
  <c r="D6" i="17" a="1"/>
  <c r="D6" i="17" s="1"/>
  <c r="D40" i="17" s="1"/>
  <c r="G6" i="17" a="1"/>
  <c r="G6" i="17" s="1"/>
  <c r="G40" i="17" s="1"/>
  <c r="E21" i="8" a="1"/>
  <c r="E21" i="8" s="1"/>
  <c r="H21" i="8" s="1" a="1"/>
  <c r="H21" i="8" s="1"/>
  <c r="F21" i="16"/>
  <c r="I21" i="16"/>
  <c r="I23" i="16"/>
  <c r="F23" i="16"/>
  <c r="G152" i="7"/>
  <c r="J6" i="8"/>
  <c r="G151" i="7"/>
  <c r="G139" i="7"/>
  <c r="G127" i="7"/>
  <c r="H126" i="16"/>
  <c r="H114" i="16"/>
  <c r="H102" i="16"/>
  <c r="G149" i="7"/>
  <c r="G137" i="7"/>
  <c r="G125" i="7"/>
  <c r="G148" i="7"/>
  <c r="G136" i="7"/>
  <c r="H123" i="16"/>
  <c r="H111" i="16"/>
  <c r="G146" i="7"/>
  <c r="G134" i="7"/>
  <c r="H121" i="16"/>
  <c r="H109" i="16"/>
  <c r="G155" i="7"/>
  <c r="G143" i="7"/>
  <c r="G131" i="7"/>
  <c r="H130" i="16"/>
  <c r="H118" i="16"/>
  <c r="H106" i="16"/>
  <c r="G154" i="7"/>
  <c r="G142" i="7"/>
  <c r="G130" i="7"/>
  <c r="H129" i="16"/>
  <c r="H117" i="16"/>
  <c r="H105" i="16"/>
  <c r="G141" i="7"/>
  <c r="H119" i="16"/>
  <c r="G140" i="7"/>
  <c r="H116" i="16"/>
  <c r="G138" i="7"/>
  <c r="H115" i="16"/>
  <c r="G153" i="7"/>
  <c r="G128" i="7"/>
  <c r="H127" i="16"/>
  <c r="H107" i="16"/>
  <c r="G150" i="7"/>
  <c r="G126" i="7"/>
  <c r="H125" i="16"/>
  <c r="H104" i="16"/>
  <c r="G132" i="7"/>
  <c r="H128" i="16"/>
  <c r="G129" i="7"/>
  <c r="H124" i="16"/>
  <c r="H122" i="16"/>
  <c r="H120" i="16"/>
  <c r="H113" i="16"/>
  <c r="H112" i="16"/>
  <c r="G156" i="7"/>
  <c r="G147" i="7"/>
  <c r="H108" i="16"/>
  <c r="G145" i="7"/>
  <c r="H103" i="16"/>
  <c r="G144" i="7"/>
  <c r="H101" i="16"/>
  <c r="G135" i="7"/>
  <c r="H100" i="16"/>
  <c r="G133" i="7"/>
  <c r="H110" i="16"/>
  <c r="H131" i="16"/>
  <c r="E13" i="8" a="1"/>
  <c r="E13" i="8" s="1"/>
  <c r="H13" i="8" s="1" a="1"/>
  <c r="H13" i="8" s="1"/>
  <c r="I27" i="16"/>
  <c r="F27" i="16"/>
  <c r="I19" i="16"/>
  <c r="F19" i="16"/>
  <c r="E14" i="8" a="1"/>
  <c r="E14" i="8" s="1"/>
  <c r="H14" i="8" s="1" a="1"/>
  <c r="H14" i="8" s="1"/>
  <c r="I30" i="16"/>
  <c r="F30" i="16"/>
  <c r="E15" i="8" a="1"/>
  <c r="E15" i="8" s="1"/>
  <c r="H15" i="8" s="1" a="1"/>
  <c r="H15" i="8" s="1"/>
  <c r="E8" i="8" a="1"/>
  <c r="E8" i="8" s="1"/>
  <c r="H8" i="8" s="1" a="1"/>
  <c r="H8" i="8" s="1"/>
  <c r="E17" i="8" a="1"/>
  <c r="E17" i="8" s="1"/>
  <c r="F18" i="16"/>
  <c r="I18" i="16"/>
  <c r="F29" i="16"/>
  <c r="I29" i="16"/>
  <c r="F16" i="16"/>
  <c r="I16" i="16"/>
  <c r="E37" i="8" a="1"/>
  <c r="E37" i="8" s="1"/>
  <c r="H37" i="8" s="1" a="1"/>
  <c r="H37" i="8" s="1"/>
  <c r="F32" i="16"/>
  <c r="I32" i="16"/>
  <c r="I25" i="16"/>
  <c r="F25" i="16"/>
  <c r="I28" i="16"/>
  <c r="F28" i="16"/>
  <c r="E7" i="8" a="1"/>
  <c r="E7" i="8" s="1"/>
  <c r="H7" i="8" s="1" a="1"/>
  <c r="H7" i="8" s="1"/>
  <c r="G15" i="16"/>
  <c r="E15" i="16"/>
  <c r="E48" i="16" s="1"/>
  <c r="C6" i="7" a="1"/>
  <c r="C6" i="7" s="1"/>
  <c r="C40" i="7" s="1"/>
  <c r="D13" i="5" s="1"/>
  <c r="D77" i="16"/>
  <c r="F77" i="16" s="1"/>
  <c r="E11" i="10" a="1"/>
  <c r="E11" i="10" s="1"/>
  <c r="D6" i="7" a="1"/>
  <c r="D6" i="7" s="1"/>
  <c r="D75" i="16"/>
  <c r="F75" i="16" s="1"/>
  <c r="D73" i="16"/>
  <c r="F73" i="16" s="1"/>
  <c r="E4" i="9" a="1"/>
  <c r="E4" i="9" s="1"/>
  <c r="D72" i="16"/>
  <c r="F72" i="16" s="1"/>
  <c r="D76" i="16"/>
  <c r="F76" i="16" s="1"/>
  <c r="C8" i="16"/>
  <c r="D74" i="16"/>
  <c r="F74" i="16" s="1"/>
  <c r="D79" i="16"/>
  <c r="F79" i="16" s="1"/>
  <c r="D71" i="16"/>
  <c r="D78" i="16"/>
  <c r="F78" i="16" s="1"/>
  <c r="D80" i="16"/>
  <c r="F80" i="16" s="1"/>
  <c r="I33" i="16"/>
  <c r="F33" i="16"/>
  <c r="F35" i="16"/>
  <c r="I35" i="16"/>
  <c r="I20" i="16"/>
  <c r="F20" i="16"/>
  <c r="I34" i="16"/>
  <c r="F34" i="16"/>
  <c r="F31" i="16"/>
  <c r="I31" i="16"/>
  <c r="E19" i="8" a="1"/>
  <c r="E19" i="8" s="1"/>
  <c r="F17" i="16"/>
  <c r="I17" i="16"/>
  <c r="E12" i="8" a="1"/>
  <c r="E12" i="8" s="1"/>
  <c r="I26" i="16"/>
  <c r="F26" i="16"/>
  <c r="F22" i="16"/>
  <c r="I22" i="16"/>
  <c r="F24" i="16"/>
  <c r="I24" i="16"/>
  <c r="J6" i="17" a="1"/>
  <c r="M48" i="4"/>
  <c r="E27" i="8" a="1"/>
  <c r="E27" i="8" s="1"/>
  <c r="E35" i="8" a="1"/>
  <c r="E35" i="8" s="1"/>
  <c r="E34" i="8" a="1"/>
  <c r="E34" i="8" s="1"/>
  <c r="E20" i="8" a="1"/>
  <c r="E20" i="8" s="1"/>
  <c r="E10" i="8" a="1"/>
  <c r="E10" i="8" s="1"/>
  <c r="E38" i="8" a="1"/>
  <c r="E38" i="8" s="1"/>
  <c r="E26" i="8" a="1"/>
  <c r="E26" i="8" s="1"/>
  <c r="E23" i="8" a="1"/>
  <c r="E23" i="8" s="1"/>
  <c r="E33" i="8" a="1"/>
  <c r="E33" i="8" s="1"/>
  <c r="E11" i="8" a="1"/>
  <c r="E11" i="8" s="1"/>
  <c r="E29" i="8" a="1"/>
  <c r="E29" i="8" s="1"/>
  <c r="E36" i="8" a="1"/>
  <c r="E36" i="8" s="1"/>
  <c r="E25" i="8" a="1"/>
  <c r="E25" i="8" s="1"/>
  <c r="E24" i="8" a="1"/>
  <c r="E24" i="8" s="1"/>
  <c r="E22" i="8" a="1"/>
  <c r="E22" i="8" s="1"/>
  <c r="E18" i="8" a="1"/>
  <c r="E18" i="8" s="1"/>
  <c r="E30" i="8" a="1"/>
  <c r="E30" i="8" s="1"/>
  <c r="E28" i="8" a="1"/>
  <c r="E28" i="8" s="1"/>
  <c r="E6" i="8" a="1"/>
  <c r="E6" i="8" s="1"/>
  <c r="E32" i="8" a="1"/>
  <c r="E32" i="8" s="1"/>
  <c r="E31" i="8" a="1"/>
  <c r="E31" i="8" s="1"/>
  <c r="M9" i="4"/>
  <c r="D11" i="5"/>
  <c r="O1" i="5"/>
  <c r="J42" i="3"/>
  <c r="H16" i="8" l="1" a="1"/>
  <c r="H16" i="8" s="1"/>
  <c r="E109" i="16" s="1"/>
  <c r="F109" i="16" s="1"/>
  <c r="C134" i="7"/>
  <c r="H9" i="8" a="1"/>
  <c r="H9" i="8" s="1"/>
  <c r="D127" i="7" s="1"/>
  <c r="C127" i="7"/>
  <c r="C130" i="7"/>
  <c r="D105" i="16"/>
  <c r="G48" i="16"/>
  <c r="F15" i="16"/>
  <c r="F48" i="16" s="1"/>
  <c r="I15" i="16"/>
  <c r="H12" i="8" a="1"/>
  <c r="H12" i="8" s="1"/>
  <c r="C105" i="16" s="1"/>
  <c r="D101" i="16"/>
  <c r="C126" i="7"/>
  <c r="C101" i="16"/>
  <c r="B126" i="7"/>
  <c r="D122" i="16"/>
  <c r="C147" i="7"/>
  <c r="C9" i="16"/>
  <c r="D57" i="16"/>
  <c r="D56" i="16"/>
  <c r="D61" i="16"/>
  <c r="D55" i="16"/>
  <c r="C11" i="16"/>
  <c r="C10" i="16"/>
  <c r="D58" i="16"/>
  <c r="D54" i="16"/>
  <c r="D59" i="16"/>
  <c r="D53" i="16"/>
  <c r="D60" i="16"/>
  <c r="B125" i="7"/>
  <c r="C100" i="16"/>
  <c r="C125" i="7"/>
  <c r="D100" i="16"/>
  <c r="D130" i="16"/>
  <c r="C155" i="7"/>
  <c r="B155" i="7"/>
  <c r="C130" i="16"/>
  <c r="C133" i="7"/>
  <c r="D108" i="16"/>
  <c r="B133" i="7"/>
  <c r="C108" i="16"/>
  <c r="D118" i="16"/>
  <c r="C143" i="7"/>
  <c r="D104" i="16"/>
  <c r="C129" i="7"/>
  <c r="C154" i="7"/>
  <c r="D129" i="16"/>
  <c r="D125" i="16"/>
  <c r="C150" i="7"/>
  <c r="D133" i="7"/>
  <c r="E108" i="16"/>
  <c r="D131" i="7"/>
  <c r="E106" i="16"/>
  <c r="E107" i="16"/>
  <c r="D132" i="7"/>
  <c r="C149" i="7"/>
  <c r="D124" i="16"/>
  <c r="G124" i="7"/>
  <c r="G157" i="7" s="1"/>
  <c r="H99" i="16"/>
  <c r="H132" i="16" s="1"/>
  <c r="C124" i="7"/>
  <c r="D99" i="16"/>
  <c r="C156" i="7"/>
  <c r="D131" i="16"/>
  <c r="D139" i="7"/>
  <c r="E114" i="16"/>
  <c r="C148" i="7"/>
  <c r="D123" i="16"/>
  <c r="C137" i="7"/>
  <c r="D112" i="16"/>
  <c r="H19" i="8" a="1"/>
  <c r="H19" i="8" s="1"/>
  <c r="C109" i="16"/>
  <c r="E102" i="16"/>
  <c r="F102" i="16" s="1"/>
  <c r="C151" i="7"/>
  <c r="D126" i="16"/>
  <c r="D116" i="16"/>
  <c r="C141" i="7"/>
  <c r="D119" i="16"/>
  <c r="C144" i="7"/>
  <c r="C107" i="16"/>
  <c r="D107" i="16"/>
  <c r="C132" i="7"/>
  <c r="B132" i="7"/>
  <c r="D121" i="16"/>
  <c r="C146" i="7"/>
  <c r="C128" i="7"/>
  <c r="D103" i="16"/>
  <c r="C136" i="7"/>
  <c r="D111" i="16"/>
  <c r="C138" i="7"/>
  <c r="D113" i="16"/>
  <c r="D155" i="7"/>
  <c r="E130" i="16"/>
  <c r="B134" i="7"/>
  <c r="J6" i="17"/>
  <c r="C140" i="7"/>
  <c r="D115" i="16"/>
  <c r="C152" i="7"/>
  <c r="D127" i="16"/>
  <c r="D126" i="7"/>
  <c r="E101" i="16"/>
  <c r="C145" i="7"/>
  <c r="D120" i="16"/>
  <c r="C142" i="7"/>
  <c r="D117" i="16"/>
  <c r="C153" i="7"/>
  <c r="D128" i="16"/>
  <c r="D81" i="16"/>
  <c r="E78" i="16" s="1"/>
  <c r="F71" i="16"/>
  <c r="D125" i="7"/>
  <c r="E100" i="16"/>
  <c r="C135" i="7"/>
  <c r="D110" i="16"/>
  <c r="B131" i="7"/>
  <c r="C131" i="7"/>
  <c r="D106" i="16"/>
  <c r="C106" i="16"/>
  <c r="B139" i="7"/>
  <c r="C114" i="16"/>
  <c r="C139" i="7"/>
  <c r="D114" i="16"/>
  <c r="H17" i="8" a="1"/>
  <c r="H17" i="8" s="1"/>
  <c r="C110" i="16" s="1"/>
  <c r="B127" i="7"/>
  <c r="J6" i="6" a="1"/>
  <c r="J6" i="7" a="1"/>
  <c r="E6" i="17" a="1"/>
  <c r="F37" i="17" s="1"/>
  <c r="H32" i="8" a="1"/>
  <c r="H32" i="8" s="1"/>
  <c r="H26" i="8" a="1"/>
  <c r="H26" i="8" s="1"/>
  <c r="C119" i="16" s="1"/>
  <c r="C92" i="16"/>
  <c r="H28" i="8" a="1"/>
  <c r="H28" i="8" s="1"/>
  <c r="B146" i="7" s="1"/>
  <c r="H38" i="8" a="1"/>
  <c r="H38" i="8" s="1"/>
  <c r="C131" i="16" s="1"/>
  <c r="H30" i="8" a="1"/>
  <c r="H30" i="8" s="1"/>
  <c r="H20" i="8" a="1"/>
  <c r="H20" i="8" s="1"/>
  <c r="C113" i="16" s="1"/>
  <c r="H34" i="8" a="1"/>
  <c r="H34" i="8" s="1"/>
  <c r="H22" i="8" a="1"/>
  <c r="H22" i="8" s="1"/>
  <c r="C115" i="16" s="1"/>
  <c r="H24" i="8" a="1"/>
  <c r="H24" i="8" s="1"/>
  <c r="B142" i="7" s="1"/>
  <c r="H35" i="8" a="1"/>
  <c r="H35" i="8" s="1"/>
  <c r="H27" i="8" a="1"/>
  <c r="H27" i="8" s="1"/>
  <c r="B145" i="7" s="1"/>
  <c r="H18" i="8" a="1"/>
  <c r="H18" i="8" s="1"/>
  <c r="B136" i="7" s="1"/>
  <c r="H25" i="8" a="1"/>
  <c r="H25" i="8" s="1"/>
  <c r="H36" i="8" a="1"/>
  <c r="H36" i="8" s="1"/>
  <c r="C129" i="16" s="1"/>
  <c r="H10" i="8" a="1"/>
  <c r="H10" i="8" s="1"/>
  <c r="H29" i="8" a="1"/>
  <c r="H29" i="8" s="1"/>
  <c r="H11" i="8" a="1"/>
  <c r="H11" i="8" s="1"/>
  <c r="B129" i="7" s="1"/>
  <c r="H31" i="8" a="1"/>
  <c r="H31" i="8" s="1"/>
  <c r="H33" i="8" a="1"/>
  <c r="H33" i="8" s="1"/>
  <c r="H23" i="8" a="1"/>
  <c r="H23" i="8" s="1"/>
  <c r="H6" i="8" a="1"/>
  <c r="H6" i="8" s="1"/>
  <c r="B124" i="7" s="1"/>
  <c r="E6" i="7" a="1"/>
  <c r="F37" i="7" s="1"/>
  <c r="E6" i="6" a="1"/>
  <c r="F37" i="6" s="1"/>
  <c r="F6" i="8" a="1"/>
  <c r="F6" i="8" s="1"/>
  <c r="E40" i="8"/>
  <c r="D40" i="8"/>
  <c r="C40" i="6"/>
  <c r="D12" i="5" s="1"/>
  <c r="D134" i="7" l="1"/>
  <c r="E134" i="7" s="1"/>
  <c r="F107" i="16"/>
  <c r="E127" i="7"/>
  <c r="C102" i="16"/>
  <c r="E131" i="7"/>
  <c r="E139" i="7"/>
  <c r="E155" i="7"/>
  <c r="F130" i="16"/>
  <c r="C117" i="16"/>
  <c r="C120" i="16"/>
  <c r="C99" i="16"/>
  <c r="C111" i="16"/>
  <c r="E73" i="16"/>
  <c r="E132" i="7"/>
  <c r="H39" i="16"/>
  <c r="H45" i="16"/>
  <c r="H38" i="16"/>
  <c r="H43" i="16"/>
  <c r="H41" i="16"/>
  <c r="H42" i="16"/>
  <c r="H40" i="16"/>
  <c r="H36" i="16"/>
  <c r="H47" i="16"/>
  <c r="H44" i="16"/>
  <c r="H37" i="16"/>
  <c r="E6" i="6"/>
  <c r="F7" i="6"/>
  <c r="F21" i="6"/>
  <c r="F12" i="6"/>
  <c r="F9" i="6"/>
  <c r="F17" i="6"/>
  <c r="F15" i="6"/>
  <c r="F14" i="6"/>
  <c r="F13" i="6"/>
  <c r="F19" i="6"/>
  <c r="F8" i="6"/>
  <c r="F16" i="6"/>
  <c r="E6" i="7"/>
  <c r="F9" i="7"/>
  <c r="F8" i="7"/>
  <c r="F21" i="7"/>
  <c r="F12" i="7"/>
  <c r="F16" i="7"/>
  <c r="F14" i="7"/>
  <c r="F17" i="7"/>
  <c r="F15" i="7"/>
  <c r="F13" i="7"/>
  <c r="F19" i="7"/>
  <c r="F7" i="7"/>
  <c r="J6" i="7"/>
  <c r="J6" i="6"/>
  <c r="D150" i="7"/>
  <c r="E150" i="7" s="1"/>
  <c r="E125" i="16"/>
  <c r="F125" i="16" s="1"/>
  <c r="E6" i="17"/>
  <c r="F9" i="17"/>
  <c r="F15" i="17"/>
  <c r="F19" i="17"/>
  <c r="F21" i="17"/>
  <c r="F17" i="17"/>
  <c r="F7" i="17"/>
  <c r="F14" i="17"/>
  <c r="F8" i="17"/>
  <c r="F16" i="17"/>
  <c r="F13" i="17"/>
  <c r="F12" i="17"/>
  <c r="E128" i="16"/>
  <c r="F128" i="16" s="1"/>
  <c r="D153" i="7"/>
  <c r="E153" i="7" s="1"/>
  <c r="E116" i="16"/>
  <c r="F116" i="16" s="1"/>
  <c r="D141" i="7"/>
  <c r="E141" i="7" s="1"/>
  <c r="D140" i="7"/>
  <c r="E140" i="7" s="1"/>
  <c r="E115" i="16"/>
  <c r="F115" i="16" s="1"/>
  <c r="B153" i="7"/>
  <c r="B144" i="7"/>
  <c r="D151" i="7"/>
  <c r="E151" i="7" s="1"/>
  <c r="E126" i="16"/>
  <c r="F126" i="16" s="1"/>
  <c r="E126" i="7"/>
  <c r="D152" i="7"/>
  <c r="E152" i="7" s="1"/>
  <c r="E127" i="16"/>
  <c r="F127" i="16" s="1"/>
  <c r="B135" i="7"/>
  <c r="D149" i="7"/>
  <c r="E149" i="7" s="1"/>
  <c r="E124" i="16"/>
  <c r="F124" i="16" s="1"/>
  <c r="E113" i="16"/>
  <c r="F113" i="16" s="1"/>
  <c r="D138" i="7"/>
  <c r="E138" i="7" s="1"/>
  <c r="C127" i="16"/>
  <c r="E138" i="16"/>
  <c r="F55" i="16"/>
  <c r="F101" i="16"/>
  <c r="E104" i="16"/>
  <c r="F104" i="16" s="1"/>
  <c r="D129" i="7"/>
  <c r="E129" i="7" s="1"/>
  <c r="E110" i="16"/>
  <c r="F110" i="16" s="1"/>
  <c r="D135" i="7"/>
  <c r="E135" i="7" s="1"/>
  <c r="B152" i="7"/>
  <c r="B138" i="7"/>
  <c r="E76" i="16"/>
  <c r="D137" i="7"/>
  <c r="E137" i="7" s="1"/>
  <c r="E112" i="16"/>
  <c r="F112" i="16" s="1"/>
  <c r="B156" i="7"/>
  <c r="C124" i="16"/>
  <c r="C125" i="16"/>
  <c r="F100" i="16"/>
  <c r="E144" i="16"/>
  <c r="F61" i="16"/>
  <c r="D130" i="7"/>
  <c r="E130" i="7" s="1"/>
  <c r="E105" i="16"/>
  <c r="F105" i="16" s="1"/>
  <c r="D143" i="7"/>
  <c r="E143" i="7" s="1"/>
  <c r="E118" i="16"/>
  <c r="F118" i="16" s="1"/>
  <c r="D148" i="7"/>
  <c r="E148" i="7" s="1"/>
  <c r="E123" i="16"/>
  <c r="F123" i="16" s="1"/>
  <c r="D147" i="7"/>
  <c r="E147" i="7" s="1"/>
  <c r="E122" i="16"/>
  <c r="F122" i="16" s="1"/>
  <c r="C121" i="16"/>
  <c r="B149" i="7"/>
  <c r="B143" i="7"/>
  <c r="E125" i="7"/>
  <c r="E139" i="16"/>
  <c r="F56" i="16"/>
  <c r="D128" i="7"/>
  <c r="E128" i="7" s="1"/>
  <c r="E103" i="16"/>
  <c r="F103" i="16" s="1"/>
  <c r="B141" i="7"/>
  <c r="C118" i="16"/>
  <c r="F57" i="16"/>
  <c r="E140" i="16"/>
  <c r="E131" i="16"/>
  <c r="F131" i="16" s="1"/>
  <c r="D156" i="7"/>
  <c r="E156" i="7" s="1"/>
  <c r="D146" i="7"/>
  <c r="E146" i="7" s="1"/>
  <c r="E121" i="16"/>
  <c r="F121" i="16" s="1"/>
  <c r="F114" i="16"/>
  <c r="E129" i="16"/>
  <c r="F129" i="16" s="1"/>
  <c r="D154" i="7"/>
  <c r="E154" i="7" s="1"/>
  <c r="E79" i="16"/>
  <c r="B140" i="7"/>
  <c r="C116" i="16"/>
  <c r="C112" i="16"/>
  <c r="B150" i="7"/>
  <c r="H15" i="16"/>
  <c r="H46" i="16"/>
  <c r="H26" i="16"/>
  <c r="H27" i="16"/>
  <c r="H21" i="16"/>
  <c r="H18" i="16"/>
  <c r="H33" i="16"/>
  <c r="H20" i="16"/>
  <c r="H35" i="16"/>
  <c r="H24" i="16"/>
  <c r="I48" i="16"/>
  <c r="H23" i="16"/>
  <c r="H25" i="16"/>
  <c r="H34" i="16"/>
  <c r="H22" i="16"/>
  <c r="H31" i="16"/>
  <c r="H32" i="16"/>
  <c r="H30" i="16"/>
  <c r="H16" i="16"/>
  <c r="H28" i="16"/>
  <c r="H29" i="16"/>
  <c r="H17" i="16"/>
  <c r="H19" i="16"/>
  <c r="B137" i="7"/>
  <c r="F60" i="16"/>
  <c r="E143" i="16"/>
  <c r="B147" i="7"/>
  <c r="C123" i="16"/>
  <c r="E74" i="16"/>
  <c r="F53" i="16"/>
  <c r="E136" i="16"/>
  <c r="C122" i="16"/>
  <c r="B148" i="7"/>
  <c r="F108" i="16"/>
  <c r="E142" i="16"/>
  <c r="F59" i="16"/>
  <c r="D136" i="7"/>
  <c r="E136" i="7" s="1"/>
  <c r="E111" i="16"/>
  <c r="F111" i="16" s="1"/>
  <c r="C103" i="16"/>
  <c r="C126" i="16"/>
  <c r="B154" i="7"/>
  <c r="E133" i="7"/>
  <c r="F54" i="16"/>
  <c r="E137" i="16"/>
  <c r="B130" i="7"/>
  <c r="E119" i="16"/>
  <c r="F119" i="16" s="1"/>
  <c r="D144" i="7"/>
  <c r="E144" i="7" s="1"/>
  <c r="D145" i="7"/>
  <c r="E145" i="7" s="1"/>
  <c r="E120" i="16"/>
  <c r="F120" i="16" s="1"/>
  <c r="F81" i="16"/>
  <c r="E80" i="16"/>
  <c r="E77" i="16"/>
  <c r="E72" i="16"/>
  <c r="E75" i="16"/>
  <c r="F106" i="16"/>
  <c r="D124" i="7"/>
  <c r="E124" i="7" s="1"/>
  <c r="E99" i="16"/>
  <c r="E117" i="16"/>
  <c r="F117" i="16" s="1"/>
  <c r="D142" i="7"/>
  <c r="E142" i="7" s="1"/>
  <c r="C128" i="16"/>
  <c r="B128" i="7"/>
  <c r="B151" i="7"/>
  <c r="C104" i="16"/>
  <c r="F58" i="16"/>
  <c r="E141" i="16"/>
  <c r="E71" i="16"/>
  <c r="H6" i="17" a="1"/>
  <c r="I37" i="17" s="1"/>
  <c r="K37" i="17" s="1"/>
  <c r="C115" i="17" s="1"/>
  <c r="F35" i="17"/>
  <c r="F31" i="17"/>
  <c r="F27" i="17"/>
  <c r="F23" i="17"/>
  <c r="F11" i="17"/>
  <c r="F34" i="17"/>
  <c r="F26" i="17"/>
  <c r="F30" i="17"/>
  <c r="F10" i="17"/>
  <c r="F22" i="17"/>
  <c r="F36" i="17"/>
  <c r="F32" i="17"/>
  <c r="F28" i="17"/>
  <c r="F24" i="17"/>
  <c r="F18" i="17"/>
  <c r="F25" i="17"/>
  <c r="F20" i="17"/>
  <c r="F29" i="17"/>
  <c r="F38" i="17"/>
  <c r="F33" i="17"/>
  <c r="J40" i="17"/>
  <c r="C157" i="7"/>
  <c r="C140" i="16"/>
  <c r="D132" i="16"/>
  <c r="C138" i="16"/>
  <c r="C141" i="16"/>
  <c r="C139" i="16"/>
  <c r="C94" i="16"/>
  <c r="C91" i="16"/>
  <c r="H6" i="7" a="1"/>
  <c r="I37" i="7" s="1"/>
  <c r="K37" i="7" s="1"/>
  <c r="D115" i="17" s="1"/>
  <c r="C93" i="16"/>
  <c r="C143" i="16"/>
  <c r="C144" i="16"/>
  <c r="C136" i="16"/>
  <c r="C137" i="16"/>
  <c r="C142" i="16"/>
  <c r="H6" i="6" a="1"/>
  <c r="I37" i="6" s="1"/>
  <c r="K37" i="6" s="1"/>
  <c r="I6" i="8" a="1"/>
  <c r="K37" i="8" s="1"/>
  <c r="E11" i="5"/>
  <c r="H40" i="8"/>
  <c r="J11" i="5" s="1"/>
  <c r="F32" i="6"/>
  <c r="F34" i="6"/>
  <c r="F22" i="6"/>
  <c r="F11" i="6"/>
  <c r="F11" i="5"/>
  <c r="B157" i="7" l="1"/>
  <c r="E115" i="17"/>
  <c r="I6" i="8"/>
  <c r="K9" i="8"/>
  <c r="K8" i="8"/>
  <c r="K16" i="8"/>
  <c r="K7" i="8"/>
  <c r="K19" i="8"/>
  <c r="K14" i="8"/>
  <c r="K21" i="8"/>
  <c r="K15" i="8"/>
  <c r="K12" i="8"/>
  <c r="K17" i="8"/>
  <c r="K13" i="8"/>
  <c r="H6" i="6"/>
  <c r="I15" i="6"/>
  <c r="K15" i="6" s="1"/>
  <c r="I21" i="6"/>
  <c r="K21" i="6" s="1"/>
  <c r="I7" i="6"/>
  <c r="K7" i="6" s="1"/>
  <c r="I16" i="6"/>
  <c r="K16" i="6" s="1"/>
  <c r="I14" i="6"/>
  <c r="K14" i="6" s="1"/>
  <c r="I13" i="6"/>
  <c r="K13" i="6" s="1"/>
  <c r="I19" i="6"/>
  <c r="K19" i="6" s="1"/>
  <c r="I8" i="6"/>
  <c r="K8" i="6" s="1"/>
  <c r="I12" i="6"/>
  <c r="K12" i="6" s="1"/>
  <c r="I17" i="6"/>
  <c r="K17" i="6" s="1"/>
  <c r="I9" i="6"/>
  <c r="K9" i="6" s="1"/>
  <c r="H6" i="7"/>
  <c r="I14" i="7"/>
  <c r="K14" i="7" s="1"/>
  <c r="D92" i="17" s="1"/>
  <c r="I12" i="7"/>
  <c r="K12" i="7" s="1"/>
  <c r="D90" i="17" s="1"/>
  <c r="I19" i="7"/>
  <c r="K19" i="7" s="1"/>
  <c r="D97" i="17" s="1"/>
  <c r="I17" i="7"/>
  <c r="K17" i="7" s="1"/>
  <c r="D95" i="17" s="1"/>
  <c r="I16" i="7"/>
  <c r="K16" i="7" s="1"/>
  <c r="D94" i="17" s="1"/>
  <c r="I21" i="7"/>
  <c r="K21" i="7" s="1"/>
  <c r="D99" i="17" s="1"/>
  <c r="I15" i="7"/>
  <c r="K15" i="7" s="1"/>
  <c r="D93" i="17" s="1"/>
  <c r="I7" i="7"/>
  <c r="K7" i="7" s="1"/>
  <c r="D85" i="17" s="1"/>
  <c r="I9" i="7"/>
  <c r="K9" i="7" s="1"/>
  <c r="D87" i="17" s="1"/>
  <c r="I8" i="7"/>
  <c r="K8" i="7" s="1"/>
  <c r="D86" i="17" s="1"/>
  <c r="I13" i="7"/>
  <c r="K13" i="7" s="1"/>
  <c r="D91" i="17" s="1"/>
  <c r="H6" i="17"/>
  <c r="I14" i="17"/>
  <c r="K14" i="17" s="1"/>
  <c r="C92" i="17" s="1"/>
  <c r="I9" i="17"/>
  <c r="K9" i="17" s="1"/>
  <c r="C87" i="17" s="1"/>
  <c r="I16" i="17"/>
  <c r="K16" i="17" s="1"/>
  <c r="C94" i="17" s="1"/>
  <c r="I21" i="17"/>
  <c r="K21" i="17" s="1"/>
  <c r="C99" i="17" s="1"/>
  <c r="I17" i="17"/>
  <c r="K17" i="17" s="1"/>
  <c r="C95" i="17" s="1"/>
  <c r="I15" i="17"/>
  <c r="K15" i="17" s="1"/>
  <c r="C93" i="17" s="1"/>
  <c r="I8" i="17"/>
  <c r="K8" i="17" s="1"/>
  <c r="C86" i="17" s="1"/>
  <c r="I12" i="17"/>
  <c r="K12" i="17" s="1"/>
  <c r="C90" i="17" s="1"/>
  <c r="I7" i="17"/>
  <c r="K7" i="17" s="1"/>
  <c r="C85" i="17" s="1"/>
  <c r="I13" i="17"/>
  <c r="K13" i="17" s="1"/>
  <c r="C91" i="17" s="1"/>
  <c r="I19" i="17"/>
  <c r="K19" i="17" s="1"/>
  <c r="C97" i="17" s="1"/>
  <c r="D140" i="16"/>
  <c r="G140" i="16" s="1"/>
  <c r="D157" i="7"/>
  <c r="E157" i="7"/>
  <c r="F125" i="7" s="1"/>
  <c r="E132" i="16"/>
  <c r="I35" i="17"/>
  <c r="K35" i="17" s="1"/>
  <c r="C113" i="17" s="1"/>
  <c r="I31" i="17"/>
  <c r="K31" i="17" s="1"/>
  <c r="C109" i="17" s="1"/>
  <c r="I27" i="17"/>
  <c r="K27" i="17" s="1"/>
  <c r="C105" i="17" s="1"/>
  <c r="I23" i="17"/>
  <c r="K23" i="17" s="1"/>
  <c r="C101" i="17" s="1"/>
  <c r="I11" i="17"/>
  <c r="K11" i="17" s="1"/>
  <c r="C89" i="17" s="1"/>
  <c r="I30" i="17"/>
  <c r="K30" i="17" s="1"/>
  <c r="C108" i="17" s="1"/>
  <c r="I26" i="17"/>
  <c r="K26" i="17" s="1"/>
  <c r="C104" i="17" s="1"/>
  <c r="I29" i="17"/>
  <c r="K29" i="17" s="1"/>
  <c r="C107" i="17" s="1"/>
  <c r="I34" i="17"/>
  <c r="K34" i="17" s="1"/>
  <c r="C112" i="17" s="1"/>
  <c r="I10" i="17"/>
  <c r="K10" i="17" s="1"/>
  <c r="C88" i="17" s="1"/>
  <c r="I38" i="17"/>
  <c r="K38" i="17" s="1"/>
  <c r="C116" i="17" s="1"/>
  <c r="I22" i="17"/>
  <c r="K22" i="17" s="1"/>
  <c r="C100" i="17" s="1"/>
  <c r="I33" i="17"/>
  <c r="K33" i="17" s="1"/>
  <c r="C111" i="17" s="1"/>
  <c r="I25" i="17"/>
  <c r="K25" i="17" s="1"/>
  <c r="C103" i="17" s="1"/>
  <c r="I20" i="17"/>
  <c r="K20" i="17" s="1"/>
  <c r="C98" i="17" s="1"/>
  <c r="I36" i="17"/>
  <c r="K36" i="17" s="1"/>
  <c r="C114" i="17" s="1"/>
  <c r="I32" i="17"/>
  <c r="K32" i="17" s="1"/>
  <c r="C110" i="17" s="1"/>
  <c r="I28" i="17"/>
  <c r="K28" i="17" s="1"/>
  <c r="C106" i="17" s="1"/>
  <c r="I24" i="17"/>
  <c r="K24" i="17" s="1"/>
  <c r="C102" i="17" s="1"/>
  <c r="I18" i="17"/>
  <c r="K18" i="17" s="1"/>
  <c r="C96" i="17" s="1"/>
  <c r="F6" i="17"/>
  <c r="F40" i="17" s="1"/>
  <c r="E40" i="17"/>
  <c r="D143" i="16"/>
  <c r="G143" i="16" s="1"/>
  <c r="D138" i="16"/>
  <c r="G138" i="16" s="1"/>
  <c r="D139" i="16"/>
  <c r="G139" i="16" s="1"/>
  <c r="D144" i="16"/>
  <c r="G144" i="16" s="1"/>
  <c r="D136" i="16"/>
  <c r="G136" i="16" s="1"/>
  <c r="D141" i="16"/>
  <c r="G141" i="16" s="1"/>
  <c r="D142" i="16"/>
  <c r="G142" i="16" s="1"/>
  <c r="D137" i="16"/>
  <c r="G137" i="16" s="1"/>
  <c r="C132" i="16"/>
  <c r="F99" i="16"/>
  <c r="F10" i="6"/>
  <c r="F40" i="8"/>
  <c r="G11" i="5" s="1"/>
  <c r="F26" i="7"/>
  <c r="F36" i="6"/>
  <c r="F31" i="6"/>
  <c r="F28" i="7"/>
  <c r="F11" i="7"/>
  <c r="D40" i="7"/>
  <c r="E13" i="5" s="1"/>
  <c r="F34" i="7"/>
  <c r="F20" i="6"/>
  <c r="F10" i="7"/>
  <c r="F26" i="6"/>
  <c r="F33" i="6"/>
  <c r="F32" i="7"/>
  <c r="F38" i="6"/>
  <c r="F30" i="6"/>
  <c r="F33" i="7"/>
  <c r="F24" i="7"/>
  <c r="F25" i="6"/>
  <c r="F27" i="6"/>
  <c r="F31" i="7"/>
  <c r="D40" i="6"/>
  <c r="E12" i="5" s="1"/>
  <c r="F29" i="6"/>
  <c r="F36" i="7"/>
  <c r="F22" i="7"/>
  <c r="F23" i="7"/>
  <c r="F20" i="7"/>
  <c r="F18" i="7"/>
  <c r="E40" i="6"/>
  <c r="F6" i="6"/>
  <c r="F30" i="7"/>
  <c r="F29" i="7"/>
  <c r="F23" i="6"/>
  <c r="F35" i="7"/>
  <c r="F35" i="6"/>
  <c r="F25" i="7"/>
  <c r="F24" i="6"/>
  <c r="F18" i="6"/>
  <c r="F38" i="7"/>
  <c r="F28" i="6"/>
  <c r="F27" i="7"/>
  <c r="F6" i="7"/>
  <c r="E40" i="7"/>
  <c r="G40" i="8"/>
  <c r="E90" i="17" l="1"/>
  <c r="E91" i="17"/>
  <c r="E85" i="17"/>
  <c r="E95" i="17"/>
  <c r="E92" i="17"/>
  <c r="E93" i="17"/>
  <c r="E86" i="17"/>
  <c r="F137" i="7"/>
  <c r="E99" i="17"/>
  <c r="F126" i="7"/>
  <c r="E94" i="17"/>
  <c r="F133" i="7"/>
  <c r="E87" i="17"/>
  <c r="F130" i="7"/>
  <c r="E97" i="17"/>
  <c r="F157" i="7"/>
  <c r="F127" i="7"/>
  <c r="F134" i="7"/>
  <c r="F131" i="7"/>
  <c r="F155" i="7"/>
  <c r="F132" i="7"/>
  <c r="F139" i="7"/>
  <c r="F135" i="7"/>
  <c r="F153" i="7"/>
  <c r="F146" i="7"/>
  <c r="F128" i="7"/>
  <c r="F151" i="7"/>
  <c r="F129" i="7"/>
  <c r="F138" i="7"/>
  <c r="F141" i="7"/>
  <c r="F145" i="7"/>
  <c r="F143" i="7"/>
  <c r="F156" i="7"/>
  <c r="F149" i="7"/>
  <c r="F136" i="7"/>
  <c r="F154" i="7"/>
  <c r="F152" i="7"/>
  <c r="F144" i="7"/>
  <c r="F124" i="7"/>
  <c r="F148" i="7"/>
  <c r="F140" i="7"/>
  <c r="F150" i="7"/>
  <c r="F142" i="7"/>
  <c r="F147" i="7"/>
  <c r="I6" i="17"/>
  <c r="H40" i="17"/>
  <c r="F132" i="16"/>
  <c r="H40" i="6"/>
  <c r="J12" i="5" s="1"/>
  <c r="I40" i="8"/>
  <c r="D7" i="5" s="1"/>
  <c r="F40" i="6"/>
  <c r="G12" i="5" s="1"/>
  <c r="F40" i="7"/>
  <c r="G13" i="5" s="1"/>
  <c r="F12" i="5"/>
  <c r="K27" i="8"/>
  <c r="K34" i="8"/>
  <c r="K20" i="8"/>
  <c r="K33" i="8"/>
  <c r="K18" i="8"/>
  <c r="K31" i="8"/>
  <c r="K10" i="8"/>
  <c r="K30" i="8"/>
  <c r="K29" i="8"/>
  <c r="K28" i="8"/>
  <c r="K38" i="8"/>
  <c r="K24" i="8"/>
  <c r="K36" i="8"/>
  <c r="K23" i="8"/>
  <c r="K22" i="8"/>
  <c r="K35" i="8"/>
  <c r="K32" i="8"/>
  <c r="K26" i="8"/>
  <c r="K11" i="8"/>
  <c r="K25" i="8"/>
  <c r="H40" i="7"/>
  <c r="J13" i="5" s="1"/>
  <c r="I38" i="7"/>
  <c r="I25" i="7"/>
  <c r="I34" i="7"/>
  <c r="I22" i="7"/>
  <c r="I33" i="7"/>
  <c r="I20" i="7"/>
  <c r="I29" i="7"/>
  <c r="I28" i="7"/>
  <c r="I10" i="7"/>
  <c r="I36" i="7"/>
  <c r="I31" i="7"/>
  <c r="I18" i="7"/>
  <c r="I35" i="7"/>
  <c r="I32" i="7"/>
  <c r="I26" i="7"/>
  <c r="I30" i="7"/>
  <c r="I27" i="7"/>
  <c r="I24" i="7"/>
  <c r="I23" i="7"/>
  <c r="I11" i="7"/>
  <c r="I11" i="5"/>
  <c r="I29" i="6"/>
  <c r="I32" i="6"/>
  <c r="I18" i="6"/>
  <c r="I33" i="6"/>
  <c r="I10" i="6"/>
  <c r="I31" i="6"/>
  <c r="I27" i="6"/>
  <c r="I28" i="6"/>
  <c r="I23" i="6"/>
  <c r="I22" i="6"/>
  <c r="I36" i="6"/>
  <c r="I11" i="6"/>
  <c r="I38" i="6"/>
  <c r="I35" i="6"/>
  <c r="I34" i="6"/>
  <c r="I30" i="6"/>
  <c r="I26" i="6"/>
  <c r="I25" i="6"/>
  <c r="I24" i="6"/>
  <c r="I20" i="6"/>
  <c r="F13" i="5"/>
  <c r="G99" i="16" l="1"/>
  <c r="G109" i="16"/>
  <c r="G130" i="16"/>
  <c r="G102" i="16"/>
  <c r="G107" i="16"/>
  <c r="G105" i="16"/>
  <c r="G114" i="16"/>
  <c r="G110" i="16"/>
  <c r="G108" i="16"/>
  <c r="G101" i="16"/>
  <c r="G112" i="16"/>
  <c r="G100" i="16"/>
  <c r="G106" i="16"/>
  <c r="I40" i="17"/>
  <c r="K6" i="17"/>
  <c r="C84" i="17" s="1"/>
  <c r="G132" i="16"/>
  <c r="G128" i="16"/>
  <c r="G111" i="16"/>
  <c r="G126" i="16"/>
  <c r="G121" i="16"/>
  <c r="G120" i="16"/>
  <c r="G123" i="16"/>
  <c r="G117" i="16"/>
  <c r="G104" i="16"/>
  <c r="G122" i="16"/>
  <c r="G119" i="16"/>
  <c r="G118" i="16"/>
  <c r="G125" i="16"/>
  <c r="G115" i="16"/>
  <c r="G127" i="16"/>
  <c r="G113" i="16"/>
  <c r="G129" i="16"/>
  <c r="G103" i="16"/>
  <c r="G124" i="16"/>
  <c r="G131" i="16"/>
  <c r="G116" i="16"/>
  <c r="K11" i="5"/>
  <c r="G40" i="7"/>
  <c r="I13" i="5" s="1"/>
  <c r="I6" i="7"/>
  <c r="I40" i="7" s="1"/>
  <c r="K13" i="5" s="1"/>
  <c r="J40" i="8"/>
  <c r="K6" i="8"/>
  <c r="I6" i="6"/>
  <c r="I40" i="6" s="1"/>
  <c r="K12" i="5" s="1"/>
  <c r="G40" i="6"/>
  <c r="C45" i="17" l="1" a="1"/>
  <c r="C45" i="17" s="1"/>
  <c r="C79" i="17" s="1"/>
  <c r="D45" i="17" a="1"/>
  <c r="G45" i="17" a="1"/>
  <c r="G45" i="17" s="1"/>
  <c r="G79" i="17" s="1"/>
  <c r="C118" i="17"/>
  <c r="K40" i="17"/>
  <c r="L6" i="8" a="1"/>
  <c r="L6" i="8" s="1"/>
  <c r="G84" i="7" a="1"/>
  <c r="F84" i="7" a="1"/>
  <c r="F84" i="7" s="1"/>
  <c r="C84" i="7" a="1"/>
  <c r="C84" i="7" s="1"/>
  <c r="H45" i="7" a="1"/>
  <c r="D45" i="7" a="1"/>
  <c r="C45" i="7" a="1"/>
  <c r="C45" i="7" s="1"/>
  <c r="D84" i="7" a="1"/>
  <c r="G45" i="7" a="1"/>
  <c r="G45" i="7" s="1"/>
  <c r="F45" i="7" a="1"/>
  <c r="F45" i="7" s="1"/>
  <c r="K36" i="6"/>
  <c r="K24" i="6"/>
  <c r="K27" i="6"/>
  <c r="K38" i="6"/>
  <c r="K22" i="6"/>
  <c r="K35" i="6"/>
  <c r="K20" i="6"/>
  <c r="K32" i="6"/>
  <c r="K10" i="6"/>
  <c r="K33" i="6"/>
  <c r="K28" i="6"/>
  <c r="K26" i="6"/>
  <c r="K18" i="6"/>
  <c r="K23" i="6"/>
  <c r="K34" i="6"/>
  <c r="K31" i="6"/>
  <c r="K30" i="6"/>
  <c r="K29" i="6"/>
  <c r="K25" i="6"/>
  <c r="K11" i="6"/>
  <c r="C36" i="5"/>
  <c r="E35" i="5"/>
  <c r="F34" i="5"/>
  <c r="G29" i="5"/>
  <c r="I27" i="5"/>
  <c r="K40" i="8"/>
  <c r="E38" i="5"/>
  <c r="E37" i="5"/>
  <c r="E36" i="5"/>
  <c r="C35" i="5"/>
  <c r="C34" i="5"/>
  <c r="C29" i="5"/>
  <c r="C28" i="5"/>
  <c r="C27" i="5"/>
  <c r="C26" i="5"/>
  <c r="C25" i="5"/>
  <c r="C38" i="5"/>
  <c r="C37" i="5"/>
  <c r="E29" i="5"/>
  <c r="I25" i="5"/>
  <c r="F35" i="5"/>
  <c r="G26" i="5"/>
  <c r="E25" i="5"/>
  <c r="I37" i="5"/>
  <c r="G36" i="5"/>
  <c r="F26" i="5"/>
  <c r="I38" i="5"/>
  <c r="G37" i="5"/>
  <c r="E34" i="5"/>
  <c r="I28" i="5"/>
  <c r="G25" i="5"/>
  <c r="I35" i="5"/>
  <c r="F28" i="5"/>
  <c r="E28" i="5"/>
  <c r="I26" i="5"/>
  <c r="G35" i="5"/>
  <c r="I29" i="5"/>
  <c r="E26" i="5"/>
  <c r="F38" i="5"/>
  <c r="I36" i="5"/>
  <c r="F29" i="5"/>
  <c r="F36" i="5"/>
  <c r="G27" i="5"/>
  <c r="F27" i="5"/>
  <c r="I34" i="5"/>
  <c r="E27" i="5"/>
  <c r="G34" i="5"/>
  <c r="G28" i="5"/>
  <c r="F25" i="5"/>
  <c r="G38" i="5"/>
  <c r="F37" i="5"/>
  <c r="L11" i="5"/>
  <c r="I12" i="5"/>
  <c r="K32" i="7"/>
  <c r="D110" i="17" s="1"/>
  <c r="E110" i="17" s="1"/>
  <c r="K18" i="7"/>
  <c r="D96" i="17" s="1"/>
  <c r="E96" i="17" s="1"/>
  <c r="K29" i="7"/>
  <c r="D107" i="17" s="1"/>
  <c r="E107" i="17" s="1"/>
  <c r="K28" i="7"/>
  <c r="D106" i="17" s="1"/>
  <c r="E106" i="17" s="1"/>
  <c r="K36" i="7"/>
  <c r="D114" i="17" s="1"/>
  <c r="E114" i="17" s="1"/>
  <c r="K24" i="7"/>
  <c r="D102" i="17" s="1"/>
  <c r="E102" i="17" s="1"/>
  <c r="K35" i="7"/>
  <c r="D113" i="17" s="1"/>
  <c r="E113" i="17" s="1"/>
  <c r="K23" i="7"/>
  <c r="D101" i="17" s="1"/>
  <c r="E101" i="17" s="1"/>
  <c r="K26" i="7"/>
  <c r="D104" i="17" s="1"/>
  <c r="E104" i="17" s="1"/>
  <c r="K25" i="7"/>
  <c r="D103" i="17" s="1"/>
  <c r="E103" i="17" s="1"/>
  <c r="K11" i="7"/>
  <c r="D89" i="17" s="1"/>
  <c r="E89" i="17" s="1"/>
  <c r="K30" i="7"/>
  <c r="D108" i="17" s="1"/>
  <c r="E108" i="17" s="1"/>
  <c r="K22" i="7"/>
  <c r="D100" i="17" s="1"/>
  <c r="E100" i="17" s="1"/>
  <c r="K20" i="7"/>
  <c r="D98" i="17" s="1"/>
  <c r="E98" i="17" s="1"/>
  <c r="K10" i="7"/>
  <c r="D88" i="17" s="1"/>
  <c r="E88" i="17" s="1"/>
  <c r="K38" i="7"/>
  <c r="D116" i="17" s="1"/>
  <c r="E116" i="17" s="1"/>
  <c r="K34" i="7"/>
  <c r="D112" i="17" s="1"/>
  <c r="E112" i="17" s="1"/>
  <c r="K33" i="7"/>
  <c r="D111" i="17" s="1"/>
  <c r="E111" i="17" s="1"/>
  <c r="K31" i="7"/>
  <c r="D109" i="17" s="1"/>
  <c r="E109" i="17" s="1"/>
  <c r="K27" i="7"/>
  <c r="D105" i="17" s="1"/>
  <c r="E105" i="17" s="1"/>
  <c r="E76" i="17" l="1"/>
  <c r="I76" i="7"/>
  <c r="E76" i="7"/>
  <c r="H115" i="7"/>
  <c r="J76" i="17"/>
  <c r="H76" i="17"/>
  <c r="E115" i="7"/>
  <c r="D45" i="7"/>
  <c r="E47" i="7"/>
  <c r="E51" i="7"/>
  <c r="E46" i="7"/>
  <c r="E60" i="7"/>
  <c r="E54" i="7"/>
  <c r="E52" i="7"/>
  <c r="E56" i="7"/>
  <c r="E53" i="7"/>
  <c r="E58" i="7"/>
  <c r="E55" i="7"/>
  <c r="E48" i="7"/>
  <c r="H45" i="7"/>
  <c r="I56" i="7"/>
  <c r="I58" i="7"/>
  <c r="I51" i="7"/>
  <c r="I54" i="7"/>
  <c r="I53" i="7"/>
  <c r="I52" i="7"/>
  <c r="I47" i="7"/>
  <c r="I55" i="7"/>
  <c r="I60" i="7"/>
  <c r="I48" i="7"/>
  <c r="I46" i="7"/>
  <c r="G84" i="7"/>
  <c r="H95" i="7"/>
  <c r="H97" i="7"/>
  <c r="H85" i="7"/>
  <c r="H92" i="7"/>
  <c r="H86" i="7"/>
  <c r="H99" i="7"/>
  <c r="H93" i="7"/>
  <c r="H90" i="7"/>
  <c r="H94" i="7"/>
  <c r="H91" i="7"/>
  <c r="H87" i="7"/>
  <c r="E48" i="17"/>
  <c r="H48" i="17" s="1"/>
  <c r="E47" i="17"/>
  <c r="H47" i="17" s="1"/>
  <c r="E51" i="17"/>
  <c r="H51" i="17" s="1"/>
  <c r="E60" i="17"/>
  <c r="H60" i="17" s="1"/>
  <c r="E56" i="17"/>
  <c r="H56" i="17" s="1"/>
  <c r="E55" i="17"/>
  <c r="H55" i="17" s="1"/>
  <c r="E53" i="17"/>
  <c r="H53" i="17" s="1"/>
  <c r="E52" i="17"/>
  <c r="H52" i="17" s="1"/>
  <c r="E46" i="17"/>
  <c r="H46" i="17" s="1"/>
  <c r="E54" i="17"/>
  <c r="H54" i="17" s="1"/>
  <c r="E58" i="17"/>
  <c r="H58" i="17" s="1"/>
  <c r="D84" i="7"/>
  <c r="E92" i="7"/>
  <c r="E93" i="7"/>
  <c r="E90" i="7"/>
  <c r="E87" i="7"/>
  <c r="E97" i="7"/>
  <c r="E86" i="7"/>
  <c r="E85" i="7"/>
  <c r="E95" i="7"/>
  <c r="E94" i="7"/>
  <c r="E91" i="7"/>
  <c r="E99" i="7"/>
  <c r="D45" i="17"/>
  <c r="E45" i="17" s="1"/>
  <c r="E50" i="17"/>
  <c r="H50" i="17" s="1"/>
  <c r="E70" i="17"/>
  <c r="H70" i="17" s="1"/>
  <c r="E57" i="17"/>
  <c r="H57" i="17" s="1"/>
  <c r="E49" i="17"/>
  <c r="H49" i="17" s="1"/>
  <c r="E68" i="17"/>
  <c r="H68" i="17" s="1"/>
  <c r="E69" i="17"/>
  <c r="H69" i="17" s="1"/>
  <c r="E71" i="17"/>
  <c r="H71" i="17" s="1"/>
  <c r="E74" i="17"/>
  <c r="H74" i="17" s="1"/>
  <c r="E75" i="17"/>
  <c r="H75" i="17" s="1"/>
  <c r="E66" i="17"/>
  <c r="H66" i="17" s="1"/>
  <c r="E73" i="17"/>
  <c r="H73" i="17" s="1"/>
  <c r="E61" i="17"/>
  <c r="H61" i="17" s="1"/>
  <c r="E67" i="17"/>
  <c r="H67" i="17" s="1"/>
  <c r="E77" i="17"/>
  <c r="H77" i="17" s="1"/>
  <c r="E62" i="17"/>
  <c r="H62" i="17" s="1"/>
  <c r="E65" i="17"/>
  <c r="H65" i="17" s="1"/>
  <c r="E59" i="17"/>
  <c r="H59" i="17" s="1"/>
  <c r="E63" i="17"/>
  <c r="H63" i="17" s="1"/>
  <c r="E72" i="17"/>
  <c r="H72" i="17" s="1"/>
  <c r="E64" i="17"/>
  <c r="H64" i="17" s="1"/>
  <c r="Q11" i="5"/>
  <c r="L40" i="8"/>
  <c r="H28" i="5"/>
  <c r="H34" i="5"/>
  <c r="H36" i="5"/>
  <c r="H27" i="5"/>
  <c r="D5" i="5"/>
  <c r="B4" i="5"/>
  <c r="H35" i="5"/>
  <c r="H26" i="5"/>
  <c r="H38" i="5"/>
  <c r="R11" i="5"/>
  <c r="D6" i="5"/>
  <c r="H37" i="5"/>
  <c r="H25" i="5"/>
  <c r="M11" i="5"/>
  <c r="H29" i="5"/>
  <c r="P11" i="5"/>
  <c r="O11" i="5"/>
  <c r="S11" i="5"/>
  <c r="J40" i="6"/>
  <c r="K6" i="6"/>
  <c r="L6" i="6" s="1" a="1"/>
  <c r="L6" i="6" s="1"/>
  <c r="J40" i="7"/>
  <c r="K6" i="7"/>
  <c r="J48" i="17" l="1"/>
  <c r="J52" i="17"/>
  <c r="J47" i="17"/>
  <c r="J54" i="17"/>
  <c r="J56" i="17"/>
  <c r="J46" i="17"/>
  <c r="J51" i="17"/>
  <c r="J58" i="17"/>
  <c r="J60" i="17"/>
  <c r="J53" i="17"/>
  <c r="J55" i="17"/>
  <c r="S35" i="5"/>
  <c r="S29" i="5"/>
  <c r="S28" i="5"/>
  <c r="S27" i="5"/>
  <c r="S26" i="5"/>
  <c r="S25" i="5"/>
  <c r="R27" i="5"/>
  <c r="R25" i="5"/>
  <c r="R28" i="5"/>
  <c r="R29" i="5"/>
  <c r="R26" i="5"/>
  <c r="J50" i="17"/>
  <c r="J45" i="17"/>
  <c r="H45" i="17"/>
  <c r="H79" i="17" s="1"/>
  <c r="J66" i="17"/>
  <c r="J57" i="17"/>
  <c r="J68" i="17"/>
  <c r="J61" i="17"/>
  <c r="J64" i="17"/>
  <c r="J77" i="17"/>
  <c r="J69" i="17"/>
  <c r="J59" i="17"/>
  <c r="J63" i="17"/>
  <c r="J74" i="17"/>
  <c r="L6" i="7" a="1"/>
  <c r="L6" i="7" s="1"/>
  <c r="D84" i="17"/>
  <c r="E84" i="17" s="1"/>
  <c r="J65" i="17"/>
  <c r="J49" i="17"/>
  <c r="J67" i="17"/>
  <c r="J71" i="17"/>
  <c r="J62" i="17"/>
  <c r="J70" i="17"/>
  <c r="J72" i="17"/>
  <c r="J75" i="17"/>
  <c r="J73" i="17"/>
  <c r="D79" i="17"/>
  <c r="E79" i="17"/>
  <c r="F79" i="7"/>
  <c r="D20" i="5" s="1"/>
  <c r="C118" i="7"/>
  <c r="N18" i="5" s="1"/>
  <c r="C79" i="7"/>
  <c r="K18" i="5" s="1"/>
  <c r="G79" i="7"/>
  <c r="D19" i="5" s="1"/>
  <c r="F118" i="7"/>
  <c r="R18" i="5" s="1"/>
  <c r="I50" i="7"/>
  <c r="I59" i="7"/>
  <c r="E108" i="7"/>
  <c r="E70" i="7"/>
  <c r="E69" i="7"/>
  <c r="E67" i="7"/>
  <c r="E57" i="7"/>
  <c r="E113" i="7"/>
  <c r="E111" i="7"/>
  <c r="H104" i="7"/>
  <c r="I68" i="7"/>
  <c r="E116" i="7"/>
  <c r="H101" i="7"/>
  <c r="I49" i="7"/>
  <c r="I70" i="7"/>
  <c r="I77" i="7"/>
  <c r="I74" i="7"/>
  <c r="H89" i="7"/>
  <c r="E89" i="7"/>
  <c r="H100" i="7"/>
  <c r="E72" i="7"/>
  <c r="E101" i="7"/>
  <c r="I62" i="7"/>
  <c r="E63" i="7"/>
  <c r="I66" i="7"/>
  <c r="E50" i="7"/>
  <c r="I69" i="7"/>
  <c r="E71" i="7"/>
  <c r="H98" i="7"/>
  <c r="E74" i="7"/>
  <c r="L12" i="5"/>
  <c r="I67" i="7"/>
  <c r="E62" i="7"/>
  <c r="I63" i="7"/>
  <c r="E59" i="7"/>
  <c r="E75" i="7"/>
  <c r="H103" i="7"/>
  <c r="H110" i="7"/>
  <c r="E98" i="7"/>
  <c r="E102" i="7"/>
  <c r="H113" i="7"/>
  <c r="I57" i="7"/>
  <c r="E73" i="7"/>
  <c r="D79" i="7"/>
  <c r="E45" i="7"/>
  <c r="E100" i="7"/>
  <c r="E103" i="7"/>
  <c r="I64" i="7"/>
  <c r="I71" i="7"/>
  <c r="E68" i="7"/>
  <c r="E112" i="7"/>
  <c r="H84" i="7"/>
  <c r="G118" i="7"/>
  <c r="R19" i="5" s="1"/>
  <c r="H114" i="7"/>
  <c r="H108" i="7"/>
  <c r="I73" i="7"/>
  <c r="I65" i="7"/>
  <c r="I61" i="7"/>
  <c r="R37" i="5"/>
  <c r="L26" i="5"/>
  <c r="N25" i="5"/>
  <c r="K40" i="7"/>
  <c r="P38" i="5"/>
  <c r="P37" i="5"/>
  <c r="O36" i="5"/>
  <c r="L35" i="5"/>
  <c r="O26" i="5"/>
  <c r="R38" i="5"/>
  <c r="L37" i="5"/>
  <c r="O28" i="5"/>
  <c r="L27" i="5"/>
  <c r="O38" i="5"/>
  <c r="R34" i="5"/>
  <c r="P29" i="5"/>
  <c r="N28" i="5"/>
  <c r="O35" i="5"/>
  <c r="R36" i="5"/>
  <c r="O29" i="5"/>
  <c r="N26" i="5"/>
  <c r="N38" i="5"/>
  <c r="N29" i="5"/>
  <c r="P36" i="5"/>
  <c r="L38" i="5"/>
  <c r="L29" i="5"/>
  <c r="N36" i="5"/>
  <c r="P27" i="5"/>
  <c r="O34" i="5"/>
  <c r="N27" i="5"/>
  <c r="N34" i="5"/>
  <c r="P25" i="5"/>
  <c r="O37" i="5"/>
  <c r="R35" i="5"/>
  <c r="L34" i="5"/>
  <c r="O25" i="5"/>
  <c r="N37" i="5"/>
  <c r="P28" i="5"/>
  <c r="L25" i="5"/>
  <c r="P35" i="5"/>
  <c r="L28" i="5"/>
  <c r="L36" i="5"/>
  <c r="N35" i="5"/>
  <c r="P34" i="5"/>
  <c r="O27" i="5"/>
  <c r="P26" i="5"/>
  <c r="S34" i="5"/>
  <c r="S38" i="5"/>
  <c r="S37" i="5"/>
  <c r="S36" i="5"/>
  <c r="E49" i="7"/>
  <c r="E114" i="7"/>
  <c r="E106" i="7"/>
  <c r="H107" i="7"/>
  <c r="H102" i="7"/>
  <c r="D118" i="7"/>
  <c r="N19" i="5" s="1"/>
  <c r="E84" i="7"/>
  <c r="H111" i="7"/>
  <c r="H116" i="7"/>
  <c r="H112" i="7"/>
  <c r="H106" i="7"/>
  <c r="H79" i="7"/>
  <c r="I45" i="7"/>
  <c r="E66" i="7"/>
  <c r="E96" i="7"/>
  <c r="I72" i="7"/>
  <c r="I75" i="7"/>
  <c r="E65" i="7"/>
  <c r="E64" i="7"/>
  <c r="E104" i="7"/>
  <c r="E110" i="7"/>
  <c r="L13" i="5"/>
  <c r="E77" i="7"/>
  <c r="E61" i="7"/>
  <c r="K40" i="6"/>
  <c r="E105" i="7"/>
  <c r="E88" i="7"/>
  <c r="H88" i="7"/>
  <c r="H105" i="7"/>
  <c r="E107" i="7"/>
  <c r="E109" i="7"/>
  <c r="H96" i="7"/>
  <c r="H109" i="7"/>
  <c r="D118" i="17" l="1"/>
  <c r="E118" i="17" s="1"/>
  <c r="Q12" i="5"/>
  <c r="L40" i="6"/>
  <c r="F20" i="5"/>
  <c r="Q13" i="5"/>
  <c r="L40" i="7"/>
  <c r="I79" i="7"/>
  <c r="E20" i="5" s="1"/>
  <c r="F19" i="5"/>
  <c r="I18" i="5"/>
  <c r="E118" i="7"/>
  <c r="N21" i="5" s="1"/>
  <c r="O18" i="5" s="1"/>
  <c r="E79" i="7"/>
  <c r="I21" i="5" s="1"/>
  <c r="H118" i="7"/>
  <c r="R21" i="5" s="1"/>
  <c r="S18" i="5" s="1"/>
  <c r="Q38" i="5"/>
  <c r="R13" i="5"/>
  <c r="O4" i="5"/>
  <c r="Q27" i="5"/>
  <c r="Q29" i="5"/>
  <c r="Q5" i="5"/>
  <c r="M13" i="5"/>
  <c r="Q26" i="5"/>
  <c r="Q36" i="5"/>
  <c r="Q34" i="5"/>
  <c r="Q25" i="5"/>
  <c r="Q37" i="5"/>
  <c r="Q6" i="5"/>
  <c r="Q28" i="5"/>
  <c r="Q35" i="5"/>
  <c r="O13" i="5"/>
  <c r="S13" i="5"/>
  <c r="P13" i="5"/>
  <c r="J18" i="5"/>
  <c r="K5" i="5"/>
  <c r="R12" i="5"/>
  <c r="M12" i="5"/>
  <c r="K7" i="5"/>
  <c r="K6" i="5"/>
  <c r="I4" i="5"/>
  <c r="P12" i="5"/>
  <c r="O12" i="5"/>
  <c r="S12" i="5"/>
  <c r="J19" i="5"/>
  <c r="I19" i="5"/>
  <c r="K19" i="5"/>
  <c r="D18" i="5"/>
  <c r="D21" i="5" s="1"/>
  <c r="F18" i="5"/>
  <c r="E18" i="5" l="1"/>
  <c r="E19" i="5"/>
  <c r="Q7" i="5"/>
  <c r="O19" i="5"/>
  <c r="S19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<sst xmlns="http://schemas.openxmlformats.org/spreadsheetml/2006/main" count="2833" uniqueCount="808">
  <si>
    <t>Estímulos Nacionales — Ingreso de Escenarios</t>
  </si>
  <si>
    <t>Ingrese el monto del estímulo por sector. Use la columna D para el escenario base y H para el alternativo.</t>
  </si>
  <si>
    <t>Especifique el sector donde usted considere que se realizará la inversión, el gasto o la exportación según su política</t>
  </si>
  <si>
    <t>Escenario Base</t>
  </si>
  <si>
    <t>Escenario Alternativo</t>
  </si>
  <si>
    <t>Sector</t>
  </si>
  <si>
    <t>PIB (MUSD)</t>
  </si>
  <si>
    <t>MUSD</t>
  </si>
  <si>
    <t>Guaraníes (millones)</t>
  </si>
  <si>
    <t>% PIB Sector</t>
  </si>
  <si>
    <t>Minería</t>
  </si>
  <si>
    <t>Química, farmacia y caucho</t>
  </si>
  <si>
    <t>Minerales no metálicos</t>
  </si>
  <si>
    <t>Hierro y acero</t>
  </si>
  <si>
    <t>Productos de metal</t>
  </si>
  <si>
    <t>Maquinaria, equipo y vehículos</t>
  </si>
  <si>
    <t>Otras manufacturas y reparación</t>
  </si>
  <si>
    <t>Electricidad, gas, y agua</t>
  </si>
  <si>
    <t>Construcción</t>
  </si>
  <si>
    <t>Comercio al por mayor y menor</t>
  </si>
  <si>
    <t>Transporte</t>
  </si>
  <si>
    <t>Turismo (aloj., alimentación y recreación)</t>
  </si>
  <si>
    <t>Telecomunicaciones, edición y servicios de info.</t>
  </si>
  <si>
    <t>Finanzas y seguros</t>
  </si>
  <si>
    <t>Servicios inmobiliarios</t>
  </si>
  <si>
    <t>Servicios a las empresas</t>
  </si>
  <si>
    <t>Total</t>
  </si>
  <si>
    <t>Simulador de Impacto  ·  Matriz Insumo-Producto del Paraguay</t>
  </si>
  <si>
    <t>Guía rápida de uso  —  efectos sobre producción, valor agregado, empleo y comercio</t>
  </si>
  <si>
    <t>1</t>
  </si>
  <si>
    <t>Análisis de Impacto Nacional</t>
  </si>
  <si>
    <t>Evalúa el efecto de cambios en la demanda final doméstica sobre producción, valor agregado y empleo.</t>
  </si>
  <si>
    <t>Abra la hoja «Estímulos Nacionales».</t>
  </si>
  <si>
    <t>2</t>
  </si>
  <si>
    <t>3</t>
  </si>
  <si>
    <t>Análisis de Impacto Comparado</t>
  </si>
  <si>
    <t>Compara dos escenarios alternativos de inversión o gasto sobre las mismas variables.</t>
  </si>
  <si>
    <t>Compare ambos escenarios en el «Resumen Ejecutivo» y detalles en las siguientes.</t>
  </si>
  <si>
    <t>Análisis de Impacto Internacional</t>
  </si>
  <si>
    <t>Evalúa el efecto sobre Paraguay de cambios en la demanda de otros países (marco MRIO).</t>
  </si>
  <si>
    <t>Abra la hoja «Estímulos Internacionales».</t>
  </si>
  <si>
    <t>Ingrese el shock (%) por región en el Panel (Modo A) o por sector (Modo B).</t>
  </si>
  <si>
    <t>Sugerencia:  solo las celdas resaltadas son editables. No modifique las hojas intermedias (Matrices Nacionales, MRIO, Parámetros).</t>
  </si>
  <si>
    <t>Créditos y Referencias</t>
  </si>
  <si>
    <t>La herramienta</t>
  </si>
  <si>
    <t>Simulador de Impacto basado en la Matriz Insumo-Producto (MIP) del Paraguay</t>
  </si>
  <si>
    <t>Marco analítico:   MIP doméstica del Paraguay (2024) integrada a un marco multirregional (MRIO) FIGARO-CEPAL.</t>
  </si>
  <si>
    <t>Equipo técnico</t>
  </si>
  <si>
    <t>Autor / Consultor:   Nicolás Garrido  ·  Economista</t>
  </si>
  <si>
    <t>Responsable técnico (RBSA):   Túlio Cravo  ·  Especialista en Política Pública y Productividad, OIT ROLAC (Lima)</t>
  </si>
  <si>
    <t xml:space="preserve">Backstopping técnico:   </t>
  </si>
  <si>
    <t>Datos y fuentes</t>
  </si>
  <si>
    <t>•</t>
  </si>
  <si>
    <t>Matriz Insumo-Producto del Paraguay, 2024 — elaborada conjuntamente por CEPAL y OIT.</t>
  </si>
  <si>
    <t>Base multirregional FIGARO-CEPAL (64 países × 50 sectores).</t>
  </si>
  <si>
    <t>Estadísticas de empleo del Paraguay — registros administrativos y/o Encuesta Permanente de Hogares.</t>
  </si>
  <si>
    <t>4</t>
  </si>
  <si>
    <t>Referencias metodológicas</t>
  </si>
  <si>
    <t>›</t>
  </si>
  <si>
    <t>Durán Lima, J. E., &amp; Santacruz Banacloche, S. (2021). Análisis económicos a partir de matrices de insumo-producto: definiciones, indicadores y aplicaciones para América Latina (LC/TS.2021/177). CEPAL, Santiago de Chile.</t>
  </si>
  <si>
    <t>CEPAL (2016). La matriz de insumo-producto de América del Sur: principales supuestos y consideraciones metodológicas.</t>
  </si>
  <si>
    <t>Durán, J., &amp; Zaclicever, D. (2014). América Latina y el Caribe en las cadenas internacionales de valor. Serie Comercio Internacional N.° 124. CEPAL, Santiago de Chile.</t>
  </si>
  <si>
    <t>Miller, R. E., &amp; Blair, P. D. (2009). Input-Output Analysis: Foundations and Extensions. Cambridge University Press.</t>
  </si>
  <si>
    <t>© Organización Internacional del Trabajo (OIT).</t>
  </si>
  <si>
    <t>Panel de Escenarios Internacionales — Shocks de Demanda Externa</t>
  </si>
  <si>
    <t>Modo A: shock % uniforme por región con controles ▲▼  |  Modo B: shock diferenciado por sector  |  Ambos modos alimentan el vector ΔF automáticamente</t>
  </si>
  <si>
    <t>▌  MODO A — Shock uniforme por región</t>
  </si>
  <si>
    <t>Use las flechas ▲▼ en la fila 7 o escriba directamente el % en la fila 8. El valor se propaga a todos los sectores de esa región en la Tabla.</t>
  </si>
  <si>
    <t>Brasil</t>
  </si>
  <si>
    <t>Unión Europea (27)</t>
  </si>
  <si>
    <t>China</t>
  </si>
  <si>
    <t>Estados Unidos</t>
  </si>
  <si>
    <t>Argentina</t>
  </si>
  <si>
    <t>Asia-Pacífico</t>
  </si>
  <si>
    <t>América Latina resto</t>
  </si>
  <si>
    <t>Mercosur resto</t>
  </si>
  <si>
    <t>Reino Unido</t>
  </si>
  <si>
    <t>Resto del mundo</t>
  </si>
  <si>
    <t>Shock %</t>
  </si>
  <si>
    <t>← ingrese aquí o use ▲▼</t>
  </si>
  <si>
    <t>ΔF (MUSD)</t>
  </si>
  <si>
    <t>▌  MODO B — Shock diferenciado por sector y región</t>
  </si>
  <si>
    <t>Por defecto cada celda hereda el shock % del Modo A. Escriba un valor para sobreescribir ese par sector-región.</t>
  </si>
  <si>
    <t>Cód.</t>
  </si>
  <si>
    <t>UE27</t>
  </si>
  <si>
    <t>USA</t>
  </si>
  <si>
    <t>Asia</t>
  </si>
  <si>
    <t>LAC</t>
  </si>
  <si>
    <t>MCS</t>
  </si>
  <si>
    <t>Gbr</t>
  </si>
  <si>
    <t>ROW</t>
  </si>
  <si>
    <t>MNE</t>
  </si>
  <si>
    <t>MAD</t>
  </si>
  <si>
    <t>QUI</t>
  </si>
  <si>
    <t>MNM</t>
  </si>
  <si>
    <t>HIE</t>
  </si>
  <si>
    <t>MET</t>
  </si>
  <si>
    <t>MAQ</t>
  </si>
  <si>
    <t>OMF</t>
  </si>
  <si>
    <t>EGA</t>
  </si>
  <si>
    <t>CON</t>
  </si>
  <si>
    <t>COM</t>
  </si>
  <si>
    <t>TRA</t>
  </si>
  <si>
    <t>TUR</t>
  </si>
  <si>
    <t>TIC</t>
  </si>
  <si>
    <t>FIN</t>
  </si>
  <si>
    <t>INM</t>
  </si>
  <si>
    <t>SEM</t>
  </si>
  <si>
    <t>ΔF TOTAL</t>
  </si>
  <si>
    <t>Variación total de demanda por región (MUSD)</t>
  </si>
  <si>
    <t>#</t>
  </si>
  <si>
    <t>Región</t>
  </si>
  <si>
    <t>Valor Agregado</t>
  </si>
  <si>
    <t>VBP</t>
  </si>
  <si>
    <t>ΔF</t>
  </si>
  <si>
    <t>Shock%</t>
  </si>
  <si>
    <t>PY</t>
  </si>
  <si>
    <t>ARG</t>
  </si>
  <si>
    <t>BRA</t>
  </si>
  <si>
    <t>CHN</t>
  </si>
  <si>
    <t>GBR</t>
  </si>
  <si>
    <t>ASIA</t>
  </si>
  <si>
    <t xml:space="preserve"> PRODUCCIÓN</t>
  </si>
  <si>
    <t>VALOR AGREGADO (PIB)</t>
  </si>
  <si>
    <t>EMPLEO</t>
  </si>
  <si>
    <t>% del PIB 2024</t>
  </si>
  <si>
    <t>% empleo base total</t>
  </si>
  <si>
    <t>Multiplicador</t>
  </si>
  <si>
    <t>Multiplicador VA</t>
  </si>
  <si>
    <t>Empleos / MUSD Producidos</t>
  </si>
  <si>
    <t>Ef. indirecto</t>
  </si>
  <si>
    <t>VA / Producción</t>
  </si>
  <si>
    <t>% Mujeres generado</t>
  </si>
  <si>
    <t xml:space="preserve">  DESCOMPOSICIÓN DEL IMPACTO POR CANAL  (absoluto en MUSD/miles y relativo)</t>
  </si>
  <si>
    <t>Indicador</t>
  </si>
  <si>
    <t>Efecto Inicial</t>
  </si>
  <si>
    <t>Directo Nacional</t>
  </si>
  <si>
    <t>Directo Internacional</t>
  </si>
  <si>
    <t>Dir. Total</t>
  </si>
  <si>
    <t>Indirecto Nacional</t>
  </si>
  <si>
    <t>Indirecto Internacional</t>
  </si>
  <si>
    <t>Indirecto Total</t>
  </si>
  <si>
    <t>Inducido</t>
  </si>
  <si>
    <t>TOTAL</t>
  </si>
  <si>
    <t>% Nac.</t>
  </si>
  <si>
    <t>% Intl.</t>
  </si>
  <si>
    <t>% Inducido</t>
  </si>
  <si>
    <t>Δ/PIB o Δ/Emp.base</t>
  </si>
  <si>
    <t>Retención local</t>
  </si>
  <si>
    <t xml:space="preserve">  Producción (MUSD)</t>
  </si>
  <si>
    <t xml:space="preserve">  Valor Agregado (MUSD)</t>
  </si>
  <si>
    <t xml:space="preserve">  Empleo</t>
  </si>
  <si>
    <t xml:space="preserve">  Dir. Nac. = encadenamiento doméstico directo · Ind. Nac. = indirecto doméstico · Intl. = vía MRIO (socios comerciales) · Inducido = consumo inducido · Δ/PIB = ΔVar / PIB 2024 · Retención local = % que queda en Paraguay</t>
  </si>
  <si>
    <t xml:space="preserve">  CALIDAD DEL EMPLEO GENERADO  (absoluto en trabajadores · % relativo a base y al total generado)</t>
  </si>
  <si>
    <t>Calificación</t>
  </si>
  <si>
    <t>Empleos</t>
  </si>
  <si>
    <t>%</t>
  </si>
  <si>
    <t>% sobre total empleo generado</t>
  </si>
  <si>
    <t>Sexo</t>
  </si>
  <si>
    <t>Contratos</t>
  </si>
  <si>
    <t>Area</t>
  </si>
  <si>
    <t xml:space="preserve">  Calificación Alta</t>
  </si>
  <si>
    <t>Mujeres</t>
  </si>
  <si>
    <t>Formal</t>
  </si>
  <si>
    <t>Urbano</t>
  </si>
  <si>
    <t xml:space="preserve">  Calificación Media</t>
  </si>
  <si>
    <t>Hombres</t>
  </si>
  <si>
    <t>Informal</t>
  </si>
  <si>
    <t>Rural</t>
  </si>
  <si>
    <t xml:space="preserve">  Calificación Baja</t>
  </si>
  <si>
    <t xml:space="preserve"> TOP 5 — ΔProducción  (MUSD · absoluto y relativo)</t>
  </si>
  <si>
    <t>TOP 5 — ΔEmpleo  (absoluto y relativo)</t>
  </si>
  <si>
    <t>ΔMUSD total</t>
  </si>
  <si>
    <t>Dir.</t>
  </si>
  <si>
    <t>Ind.</t>
  </si>
  <si>
    <t>% del total</t>
  </si>
  <si>
    <t>% VA base sector</t>
  </si>
  <si>
    <t>Δ total</t>
  </si>
  <si>
    <t>% Emp. base sector</t>
  </si>
  <si>
    <t>Emp/MUSD</t>
  </si>
  <si>
    <t>Peores  5 — ΔProducción  (MUSD · absoluto y relativo)</t>
  </si>
  <si>
    <t>Peores 5 — ΔEmpleo  (absoluto y relativo)</t>
  </si>
  <si>
    <t>Efecto Directo</t>
  </si>
  <si>
    <t>Efecto Indirecto</t>
  </si>
  <si>
    <t>Efecto Inducido</t>
  </si>
  <si>
    <t>Efecto Total</t>
  </si>
  <si>
    <t>Crecimiento Sectorial</t>
  </si>
  <si>
    <t>Nacional</t>
  </si>
  <si>
    <t>Internacional</t>
  </si>
  <si>
    <t>Totales</t>
  </si>
  <si>
    <t>Empleo Por Género</t>
  </si>
  <si>
    <t>Empleo por Nivel Educativo</t>
  </si>
  <si>
    <t>Bajo</t>
  </si>
  <si>
    <t>Medio</t>
  </si>
  <si>
    <t>Alto</t>
  </si>
  <si>
    <t>Empleo Por Área</t>
  </si>
  <si>
    <t>Urbanos</t>
  </si>
  <si>
    <t>Rurales</t>
  </si>
  <si>
    <t>Producción por sector (millones de USD)  ·  Fuente: MIP Paraguay 2023</t>
  </si>
  <si>
    <t>Produccion (MUSD)</t>
  </si>
  <si>
    <t>Encadenamientos Productivos — Paraguay</t>
  </si>
  <si>
    <t>Índices de Rasmussen-Hirschman basados en la inversa de Leontief</t>
  </si>
  <si>
    <t>Encad. Hacia Atrás
(Poder dispersión)</t>
  </si>
  <si>
    <t>Encad. Hacia Adelante
(Sensibilidad)</t>
  </si>
  <si>
    <t>Empleo por cada MUSD</t>
  </si>
  <si>
    <t>Tipo de Sector</t>
  </si>
  <si>
    <t>Retención de Valor, Contenido Importado (por origen) y Empleo por Sector</t>
  </si>
  <si>
    <t>Análisis estructural de encadenamientos · retención y empleo = MIP-MRIO Paraguay · composición del insumo importado = enfoque híbrido (magnitud MIP × origen FIGARO 2018)</t>
  </si>
  <si>
    <t>Benchmark Mercosur (VA/VBP):</t>
  </si>
  <si>
    <t>← editable · semáforo de retención</t>
  </si>
  <si>
    <t>Promedio nacional (VA/VBP):</t>
  </si>
  <si>
    <t>Banda del semáforo (±):</t>
  </si>
  <si>
    <t>Retención
Valor</t>
  </si>
  <si>
    <t>Import.
total</t>
  </si>
  <si>
    <t>Empleo
(e/MUSD)</t>
  </si>
  <si>
    <t>Tipo de
encadenamiento</t>
  </si>
  <si>
    <t>Lectura semáforo</t>
  </si>
  <si>
    <t>Notas metodológicas — enfoque híbrido</t>
  </si>
  <si>
    <t>Información de Empleo — Paraguay</t>
  </si>
  <si>
    <t>Fuente: datos de empleo de Paraguay</t>
  </si>
  <si>
    <t xml:space="preserve">Información de empleo </t>
  </si>
  <si>
    <t>Empleo
Total</t>
  </si>
  <si>
    <t>% del
total</t>
  </si>
  <si>
    <t>Coeficientes. Empleos por cada MUSD</t>
  </si>
  <si>
    <t>Por sexo</t>
  </si>
  <si>
    <t>Proporción</t>
  </si>
  <si>
    <t>Coeficientes</t>
  </si>
  <si>
    <t>% Hombres</t>
  </si>
  <si>
    <t>% Mujeres</t>
  </si>
  <si>
    <t>Hombres por cada MUSD</t>
  </si>
  <si>
    <t>Mujeres por cada MUSD</t>
  </si>
  <si>
    <t>Por nivel de calificación</t>
  </si>
  <si>
    <t>Baja
calificación</t>
  </si>
  <si>
    <t>Media
calificación</t>
  </si>
  <si>
    <t>Alta
calificación</t>
  </si>
  <si>
    <t>% Baja</t>
  </si>
  <si>
    <t>% Media</t>
  </si>
  <si>
    <t>% Alta</t>
  </si>
  <si>
    <t>Baja por cada MUSD</t>
  </si>
  <si>
    <t>Media por cada MUSD</t>
  </si>
  <si>
    <t>Alta por cada MUSD</t>
  </si>
  <si>
    <t>Por Situación Laboral</t>
  </si>
  <si>
    <t>Formales por cada MUSD</t>
  </si>
  <si>
    <t>Informales por cada MUSD</t>
  </si>
  <si>
    <t>Por Area</t>
  </si>
  <si>
    <t>% Urbano</t>
  </si>
  <si>
    <t>% Rural</t>
  </si>
  <si>
    <t>Urbano por cada MUSD</t>
  </si>
  <si>
    <t>Rural por cada MUSD</t>
  </si>
  <si>
    <t>Matriz de insumo-producto</t>
  </si>
  <si>
    <t>Doméstica a precio básico, actividad por actividad</t>
  </si>
  <si>
    <t>Supuesto: estructura de ventas fija por producto</t>
  </si>
  <si>
    <t>Millones de Dólares (MUSD)</t>
  </si>
  <si>
    <t>Matrices de cálculo intermedio (Coeficientes Técnicos y Multiplicadores)</t>
  </si>
  <si>
    <t>Actividad</t>
  </si>
  <si>
    <t>Demanda Intermedia</t>
  </si>
  <si>
    <t>Consumo de hogares</t>
  </si>
  <si>
    <t>Consumo de gobierno</t>
  </si>
  <si>
    <t>Formación bruta de capital fijo</t>
  </si>
  <si>
    <t>Variación de existencias</t>
  </si>
  <si>
    <t>Exportaciones</t>
  </si>
  <si>
    <t>Demanda Final</t>
  </si>
  <si>
    <t>Producción precio básico</t>
  </si>
  <si>
    <t xml:space="preserve">Importaciones precios cif </t>
  </si>
  <si>
    <t>Impuestos sobre productos</t>
  </si>
  <si>
    <t>Derechos de importación</t>
  </si>
  <si>
    <t xml:space="preserve">Valor agregado </t>
  </si>
  <si>
    <t>Remuneraciones de asalariados</t>
  </si>
  <si>
    <t>Excedente bruto de explotación</t>
  </si>
  <si>
    <t>Impuestos netos sobre la producción</t>
  </si>
  <si>
    <t>Producción precios básicos</t>
  </si>
  <si>
    <t>Coeficientes Técnicos</t>
  </si>
  <si>
    <t>Multiplicadores</t>
  </si>
  <si>
    <t>Transacciones Inducidas</t>
  </si>
  <si>
    <t>Coeficientes Técnicos Inducidos</t>
  </si>
  <si>
    <t>Multiplicadores Inducidos</t>
  </si>
  <si>
    <t>Coeficientes Técnicos Ghosh</t>
  </si>
  <si>
    <t>Multiplicadores Ghosh</t>
  </si>
  <si>
    <t>cod</t>
  </si>
  <si>
    <t>Interpretación: cada celda muestra qué fracción de la producción de cada par región-sector j proviene de Paraguay sector i. Las columnas PY×PY (destacadas en azul) son los coeficientes técnicos domésticos de la MIP paraguaya. Las columnas de otras regiones capturan la participación de Paraguay en cadenas de valor externas.  Efecto directo: ΔX_PY_directo = A_PY × ΔF</t>
  </si>
  <si>
    <t>PY
MNE</t>
  </si>
  <si>
    <t>PY
MAD</t>
  </si>
  <si>
    <t>PY
QUI</t>
  </si>
  <si>
    <t>PY
MNM</t>
  </si>
  <si>
    <t>PY
HIE</t>
  </si>
  <si>
    <t>PY
MET</t>
  </si>
  <si>
    <t>PY
MAQ</t>
  </si>
  <si>
    <t>PY
OMF</t>
  </si>
  <si>
    <t>PY
EGA</t>
  </si>
  <si>
    <t>PY
CON</t>
  </si>
  <si>
    <t>PY
COM</t>
  </si>
  <si>
    <t>PY
TRA</t>
  </si>
  <si>
    <t>PY
TUR</t>
  </si>
  <si>
    <t>PY
TIC</t>
  </si>
  <si>
    <t>PY
FIN</t>
  </si>
  <si>
    <t>PY
INM</t>
  </si>
  <si>
    <t>PY
SEM</t>
  </si>
  <si>
    <t>BRA
MNE</t>
  </si>
  <si>
    <t>BRA
MAD</t>
  </si>
  <si>
    <t>BRA
QUI</t>
  </si>
  <si>
    <t>BRA
MNM</t>
  </si>
  <si>
    <t>BRA
HIE</t>
  </si>
  <si>
    <t>BRA
MET</t>
  </si>
  <si>
    <t>BRA
MAQ</t>
  </si>
  <si>
    <t>BRA
OMF</t>
  </si>
  <si>
    <t>BRA
EGA</t>
  </si>
  <si>
    <t>BRA
CON</t>
  </si>
  <si>
    <t>BRA
COM</t>
  </si>
  <si>
    <t>BRA
TRA</t>
  </si>
  <si>
    <t>BRA
TUR</t>
  </si>
  <si>
    <t>BRA
TIC</t>
  </si>
  <si>
    <t>BRA
FIN</t>
  </si>
  <si>
    <t>BRA
INM</t>
  </si>
  <si>
    <t>BRA
SEM</t>
  </si>
  <si>
    <t>UE27
MNE</t>
  </si>
  <si>
    <t>UE27
MAD</t>
  </si>
  <si>
    <t>UE27
QUI</t>
  </si>
  <si>
    <t>UE27
MNM</t>
  </si>
  <si>
    <t>UE27
HIE</t>
  </si>
  <si>
    <t>UE27
MET</t>
  </si>
  <si>
    <t>UE27
MAQ</t>
  </si>
  <si>
    <t>UE27
OMF</t>
  </si>
  <si>
    <t>UE27
EGA</t>
  </si>
  <si>
    <t>UE27
CON</t>
  </si>
  <si>
    <t>UE27
COM</t>
  </si>
  <si>
    <t>UE27
TRA</t>
  </si>
  <si>
    <t>UE27
TUR</t>
  </si>
  <si>
    <t>UE27
TIC</t>
  </si>
  <si>
    <t>UE27
FIN</t>
  </si>
  <si>
    <t>UE27
INM</t>
  </si>
  <si>
    <t>UE27
SEM</t>
  </si>
  <si>
    <t>CHN
MNE</t>
  </si>
  <si>
    <t>CHN
MAD</t>
  </si>
  <si>
    <t>CHN
QUI</t>
  </si>
  <si>
    <t>CHN
MNM</t>
  </si>
  <si>
    <t>CHN
HIE</t>
  </si>
  <si>
    <t>CHN
MET</t>
  </si>
  <si>
    <t>CHN
MAQ</t>
  </si>
  <si>
    <t>CHN
OMF</t>
  </si>
  <si>
    <t>CHN
EGA</t>
  </si>
  <si>
    <t>CHN
CON</t>
  </si>
  <si>
    <t>CHN
COM</t>
  </si>
  <si>
    <t>CHN
TRA</t>
  </si>
  <si>
    <t>CHN
TUR</t>
  </si>
  <si>
    <t>CHN
TIC</t>
  </si>
  <si>
    <t>CHN
FIN</t>
  </si>
  <si>
    <t>CHN
INM</t>
  </si>
  <si>
    <t>CHN
SEM</t>
  </si>
  <si>
    <t>USA
MNE</t>
  </si>
  <si>
    <t>USA
MAD</t>
  </si>
  <si>
    <t>USA
QUI</t>
  </si>
  <si>
    <t>USA
MNM</t>
  </si>
  <si>
    <t>USA
HIE</t>
  </si>
  <si>
    <t>USA
MET</t>
  </si>
  <si>
    <t>USA
MAQ</t>
  </si>
  <si>
    <t>USA
OMF</t>
  </si>
  <si>
    <t>USA
EGA</t>
  </si>
  <si>
    <t>USA
CON</t>
  </si>
  <si>
    <t>USA
COM</t>
  </si>
  <si>
    <t>USA
TRA</t>
  </si>
  <si>
    <t>USA
TUR</t>
  </si>
  <si>
    <t>USA
TIC</t>
  </si>
  <si>
    <t>USA
FIN</t>
  </si>
  <si>
    <t>USA
INM</t>
  </si>
  <si>
    <t>USA
SEM</t>
  </si>
  <si>
    <t>ARG
MNE</t>
  </si>
  <si>
    <t>ARG
MAD</t>
  </si>
  <si>
    <t>ARG
QUI</t>
  </si>
  <si>
    <t>ARG
MNM</t>
  </si>
  <si>
    <t>ARG
HIE</t>
  </si>
  <si>
    <t>ARG
MET</t>
  </si>
  <si>
    <t>ARG
MAQ</t>
  </si>
  <si>
    <t>ARG
OMF</t>
  </si>
  <si>
    <t>ARG
EGA</t>
  </si>
  <si>
    <t>ARG
CON</t>
  </si>
  <si>
    <t>ARG
COM</t>
  </si>
  <si>
    <t>ARG
TRA</t>
  </si>
  <si>
    <t>ARG
TUR</t>
  </si>
  <si>
    <t>ARG
TIC</t>
  </si>
  <si>
    <t>ARG
FIN</t>
  </si>
  <si>
    <t>ARG
INM</t>
  </si>
  <si>
    <t>ARG
SEM</t>
  </si>
  <si>
    <t>ASIA
MNE</t>
  </si>
  <si>
    <t>ASIA
MAD</t>
  </si>
  <si>
    <t>ASIA
QUI</t>
  </si>
  <si>
    <t>ASIA
MNM</t>
  </si>
  <si>
    <t>ASIA
HIE</t>
  </si>
  <si>
    <t>ASIA
MET</t>
  </si>
  <si>
    <t>ASIA
MAQ</t>
  </si>
  <si>
    <t>ASIA
OMF</t>
  </si>
  <si>
    <t>ASIA
EGA</t>
  </si>
  <si>
    <t>ASIA
CON</t>
  </si>
  <si>
    <t>ASIA
COM</t>
  </si>
  <si>
    <t>ASIA
TRA</t>
  </si>
  <si>
    <t>ASIA
TUR</t>
  </si>
  <si>
    <t>ASIA
TIC</t>
  </si>
  <si>
    <t>ASIA
FIN</t>
  </si>
  <si>
    <t>ASIA
INM</t>
  </si>
  <si>
    <t>ASIA
SEM</t>
  </si>
  <si>
    <t>LAC
MNE</t>
  </si>
  <si>
    <t>LAC
MAD</t>
  </si>
  <si>
    <t>LAC
QUI</t>
  </si>
  <si>
    <t>LAC
MNM</t>
  </si>
  <si>
    <t>LAC
HIE</t>
  </si>
  <si>
    <t>LAC
MET</t>
  </si>
  <si>
    <t>LAC
MAQ</t>
  </si>
  <si>
    <t>LAC
OMF</t>
  </si>
  <si>
    <t>LAC
EGA</t>
  </si>
  <si>
    <t>LAC
CON</t>
  </si>
  <si>
    <t>LAC
COM</t>
  </si>
  <si>
    <t>LAC
TRA</t>
  </si>
  <si>
    <t>LAC
TUR</t>
  </si>
  <si>
    <t>LAC
TIC</t>
  </si>
  <si>
    <t>LAC
FIN</t>
  </si>
  <si>
    <t>LAC
INM</t>
  </si>
  <si>
    <t>LAC
SEM</t>
  </si>
  <si>
    <t>MCS
MNE</t>
  </si>
  <si>
    <t>MCS
MAD</t>
  </si>
  <si>
    <t>MCS
QUI</t>
  </si>
  <si>
    <t>MCS
MNM</t>
  </si>
  <si>
    <t>MCS
HIE</t>
  </si>
  <si>
    <t>MCS
MET</t>
  </si>
  <si>
    <t>MCS
MAQ</t>
  </si>
  <si>
    <t>MCS
OMF</t>
  </si>
  <si>
    <t>MCS
EGA</t>
  </si>
  <si>
    <t>MCS
CON</t>
  </si>
  <si>
    <t>MCS
COM</t>
  </si>
  <si>
    <t>MCS
TRA</t>
  </si>
  <si>
    <t>MCS
TUR</t>
  </si>
  <si>
    <t>MCS
TIC</t>
  </si>
  <si>
    <t>MCS
FIN</t>
  </si>
  <si>
    <t>MCS
INM</t>
  </si>
  <si>
    <t>MCS
SEM</t>
  </si>
  <si>
    <t>GBR
MNE</t>
  </si>
  <si>
    <t>GBR
MAD</t>
  </si>
  <si>
    <t>GBR
QUI</t>
  </si>
  <si>
    <t>GBR
MNM</t>
  </si>
  <si>
    <t>GBR
HIE</t>
  </si>
  <si>
    <t>GBR
MET</t>
  </si>
  <si>
    <t>GBR
MAQ</t>
  </si>
  <si>
    <t>GBR
OMF</t>
  </si>
  <si>
    <t>GBR
EGA</t>
  </si>
  <si>
    <t>GBR
CON</t>
  </si>
  <si>
    <t>GBR
COM</t>
  </si>
  <si>
    <t>GBR
TRA</t>
  </si>
  <si>
    <t>GBR
TUR</t>
  </si>
  <si>
    <t>GBR
TIC</t>
  </si>
  <si>
    <t>GBR
FIN</t>
  </si>
  <si>
    <t>GBR
INM</t>
  </si>
  <si>
    <t>GBR
SEM</t>
  </si>
  <si>
    <t>ROW
MNE</t>
  </si>
  <si>
    <t>ROW
MAD</t>
  </si>
  <si>
    <t>ROW
QUI</t>
  </si>
  <si>
    <t>ROW
MNM</t>
  </si>
  <si>
    <t>ROW
HIE</t>
  </si>
  <si>
    <t>ROW
MET</t>
  </si>
  <si>
    <t>ROW
MAQ</t>
  </si>
  <si>
    <t>ROW
OMF</t>
  </si>
  <si>
    <t>ROW
EGA</t>
  </si>
  <si>
    <t>ROW
CON</t>
  </si>
  <si>
    <t>ROW
COM</t>
  </si>
  <si>
    <t>ROW
TRA</t>
  </si>
  <si>
    <t>ROW
TUR</t>
  </si>
  <si>
    <t>ROW
TIC</t>
  </si>
  <si>
    <t>ROW
FIN</t>
  </si>
  <si>
    <t>ROW
INM</t>
  </si>
  <si>
    <t>ROW
SEM</t>
  </si>
  <si>
    <t>Parámetros</t>
  </si>
  <si>
    <t>Tipo de Cambio (PYG/USD)</t>
  </si>
  <si>
    <t>PIB de Referencia (2024)</t>
  </si>
  <si>
    <t>Indique los sectores que reciben un estímulo que representa el cambio de demanda.</t>
  </si>
  <si>
    <t>Ingrese el Estímulo Base en la columna D y el Alternativo en la columna H en dólares de EEUU</t>
  </si>
  <si>
    <t>Matrix L</t>
  </si>
  <si>
    <t>Interpretación: L_PY[i,j] indica cuántas unidades adicionales produce Paraguay sector i por cada unidad de demanda final generada en el par región-sector j. El bloque PY×PY (destacado en azul) son los multiplicadores de Leontief domésticos. Efecto total: ΔX_PY_total = L_PY × ΔF  |  Efecto indirecto: ΔX_indirecto = ΔX_total − ΔX_directo</t>
  </si>
  <si>
    <t>VBP a 22 sectores</t>
  </si>
  <si>
    <t>Empleo Asociado a las Exportaciones</t>
  </si>
  <si>
    <t>Análisis estructural · línea base 2024 · no depende del escenario simulado</t>
  </si>
  <si>
    <t>1 · Síntesis</t>
  </si>
  <si>
    <t>Exportaciones totales (MUSD)</t>
  </si>
  <si>
    <t>Producción activada (MUSD)</t>
  </si>
  <si>
    <t>Empleo exportador (personas)</t>
  </si>
  <si>
    <t>Participación en el empleo nacional</t>
  </si>
  <si>
    <t>Multiplicador de empleo exportador</t>
  </si>
  <si>
    <t>Empleos por MUSD exportado</t>
  </si>
  <si>
    <t>2 · Empleo exportador por sector</t>
  </si>
  <si>
    <t>Exportaciones
(MUSD)</t>
  </si>
  <si>
    <t>Producción
activada (MUSD)</t>
  </si>
  <si>
    <t>Empleo
directo</t>
  </si>
  <si>
    <t>Empleo
indirecto</t>
  </si>
  <si>
    <t>Empleo
total</t>
  </si>
  <si>
    <t>% del empleo
exportador</t>
  </si>
  <si>
    <t>Empleos por
MUSD export.</t>
  </si>
  <si>
    <t>3 · Composición del empleo exportador frente al promedio nacional</t>
  </si>
  <si>
    <t>Dimensión</t>
  </si>
  <si>
    <t>Categoría</t>
  </si>
  <si>
    <t>Empleo
exportador</t>
  </si>
  <si>
    <t>% del empleo
nacional</t>
  </si>
  <si>
    <t>Brecha
(pp)</t>
  </si>
  <si>
    <t>Baja</t>
  </si>
  <si>
    <t>Media</t>
  </si>
  <si>
    <t>Alta</t>
  </si>
  <si>
    <t>Formalidad</t>
  </si>
  <si>
    <t>Área</t>
  </si>
  <si>
    <t>4 · Empleo exportador por destino</t>
  </si>
  <si>
    <t>Zona reservada. Requiere estadísticas de comercio bilateral por sector y destino (BCP o COMTRADE/BACI). La estructura de destino de FIGARO-CEPAL 2018 no es utilizable para Paraguay: asigna 4.804 MUSD a servicios profesionales, omite las exportaciones de electricidad y no registra ventas de alimentos hacia la UE-27.</t>
  </si>
  <si>
    <t>Metodología: E = ê · L · x, donde x es el vector de exportaciones de la MIP 2024, L la inversa de Leontief doméstica y ê los coeficientes de empleo. El empleo directo corresponde al sector exportador; el indirecto, a la cadena de proveedores nacionales. Las proporciones por sexo, calificación, formalidad y área provienen de la EPHC 2024 a nivel de rama.</t>
  </si>
  <si>
    <t>5 · Escenario simulado — empleo activado por el estímulo internacional</t>
  </si>
  <si>
    <t>Bloque dinámico: se recalcula con el escenario cargado en la hoja Estímulos Internacionales. Considera el canal internacional (efecto directo + indirecto); el efecto inducido se reporta por separado porque se derrama sobre toda la economía vía consumo y no constituye empleo exportador en sentido estricto.</t>
  </si>
  <si>
    <t>5.1 · Síntesis del escenario</t>
  </si>
  <si>
    <t>Producción activada — canal internacional (MUSD)</t>
  </si>
  <si>
    <t>Empleo activado — directo (personas)</t>
  </si>
  <si>
    <t>Empleo activado — indirecto (personas)</t>
  </si>
  <si>
    <t>Empleo activado — total exportador (personas)</t>
  </si>
  <si>
    <t>5.2 · Empleo activado por sector</t>
  </si>
  <si>
    <t>% del empleo
activado</t>
  </si>
  <si>
    <t>Efecto inducido
(referencia)</t>
  </si>
  <si>
    <t>5.3 · Perfil del empleo activado frente a la canasta exportadora actual</t>
  </si>
  <si>
    <t>Empleo
activado</t>
  </si>
  <si>
    <t>% canasta
exportadora</t>
  </si>
  <si>
    <t>% empleo
nacional</t>
  </si>
  <si>
    <t>Brecha vs.
canasta (pp)</t>
  </si>
  <si>
    <t>Matriz de exportaciones por sector y destino — MUSD 2024 (solo bienes)</t>
  </si>
  <si>
    <t>Anclas: BCP Reporte de Comercio Exterior dic-2024 (soja, carne bovina, arroz, harina de soja, energía eléctrica, maquila). Pin UE-27: Eurostat Comext 2024 por sección CUCI. Residuos distribuidos en proporción a los destinos identificados. Servicios sin dato = 0.</t>
  </si>
  <si>
    <t>4.1 · Exportaciones, producción y empleo activado por región de destino</t>
  </si>
  <si>
    <t>% del empleo
por destino</t>
  </si>
  <si>
    <t>% de las
exportaciones</t>
  </si>
  <si>
    <t>TOTAL BIENES</t>
  </si>
  <si>
    <t>MIP Paraguay 2024 · CEPAL / OIT</t>
  </si>
  <si>
    <t xml:space="preserve">   Sueldos y salarios</t>
  </si>
  <si>
    <t xml:space="preserve">   Contribuciones sociales</t>
  </si>
  <si>
    <t>Ingreso mixto</t>
  </si>
  <si>
    <t>Ingreso Laboral</t>
  </si>
  <si>
    <t xml:space="preserve">Información de Ingreso </t>
  </si>
  <si>
    <t>Coeficiente de Sueldos por cada MUSD</t>
  </si>
  <si>
    <t>Coeficiente Contribuciones</t>
  </si>
  <si>
    <t>Coeficiente Ingresos Mixtos</t>
  </si>
  <si>
    <t>Composición del Ingreso generado</t>
  </si>
  <si>
    <t>Composición del Ingreso (MUSD)</t>
  </si>
  <si>
    <t>Sueldos y Salarios</t>
  </si>
  <si>
    <t>Ingreso Mixto</t>
  </si>
  <si>
    <t>Ingreso laboral</t>
  </si>
  <si>
    <t>Costo Laboral</t>
  </si>
  <si>
    <t>Contribuciones</t>
  </si>
  <si>
    <t>Costo Total = Ingreso + Contribuciones</t>
  </si>
  <si>
    <t>Estructura</t>
  </si>
  <si>
    <t>% Ingreso Mixto</t>
  </si>
  <si>
    <t>Calidad del Ingreso Generado</t>
  </si>
  <si>
    <t>Consulte resultados en «Resumen Ejecutivo», y detalles en «Producción», «Empleo», «Ingreso Laboral» y «PIB».</t>
  </si>
  <si>
    <t>Empleo de Exportación (Número de Personas)</t>
  </si>
  <si>
    <t>Número de Trabajadores</t>
  </si>
  <si>
    <t>Por Tipo de Contrato</t>
  </si>
  <si>
    <t>Ingreso medio (USD/año) por individuo</t>
  </si>
  <si>
    <t>Número de Personas Empleadas</t>
  </si>
  <si>
    <t>Ingreso Medio</t>
  </si>
  <si>
    <t>Miles de Trabajadores</t>
  </si>
  <si>
    <t>Fuente: MIP Paraguay 2024</t>
  </si>
  <si>
    <t>Fuente: MIP Paraguay 2023</t>
  </si>
  <si>
    <t>Valor Agregado (MUSD)</t>
  </si>
  <si>
    <t>Empleo</t>
  </si>
  <si>
    <t>Directo</t>
  </si>
  <si>
    <t>Indirecto</t>
  </si>
  <si>
    <t>PYG/USD</t>
  </si>
  <si>
    <t>VBP 2018 (FIGARO)</t>
  </si>
  <si>
    <t>Factor</t>
  </si>
  <si>
    <t>VA 2018 (FIGARO)</t>
  </si>
  <si>
    <t>Factor 2018→2024</t>
  </si>
  <si>
    <t>Fuente / nota</t>
  </si>
  <si>
    <t>MIP 2024 / FIGARO 2018 — derivado</t>
  </si>
  <si>
    <t>PIB nominal USD corrientes</t>
  </si>
  <si>
    <t>PIB nominal USD — alta volatilidad cambiaria</t>
  </si>
  <si>
    <t>Ponderado; Japón cae por depreciación del yen</t>
  </si>
  <si>
    <t>Ponderado, dominado por México</t>
  </si>
  <si>
    <t>Uruguay y Bolivia</t>
  </si>
  <si>
    <t>Ponderado; incluye Rusia, Canadá, Turquía, Suiza</t>
  </si>
  <si>
    <t>Los factores son aproximados y editables. Antes de usarlos en un producto publicado conviene validarlos contra el World Economic Outlook del FMI. El de Paraguay se obtiene de la propia matriz: 78.041,2 / 68.794,6.</t>
  </si>
  <si>
    <t>Exportaciones por Sector y Destino</t>
  </si>
  <si>
    <t>Aplicar Escala</t>
  </si>
  <si>
    <t>Diferencia de Ingreso Laboral (MUSD)</t>
  </si>
  <si>
    <t>Propension Marginal a Consumir</t>
  </si>
  <si>
    <t>Entre 0 y 1. Si cambia, Recalcule</t>
  </si>
  <si>
    <t>Ingreso Laboral Total (MUSD)</t>
  </si>
  <si>
    <t>Variación de demanda total en la región</t>
  </si>
  <si>
    <t>Agricultura</t>
  </si>
  <si>
    <t>Ganadería</t>
  </si>
  <si>
    <t>Forestal</t>
  </si>
  <si>
    <t>Pesca</t>
  </si>
  <si>
    <t>Producción de carne</t>
  </si>
  <si>
    <t>Elaboración de aceites</t>
  </si>
  <si>
    <t>Producción de lácteos</t>
  </si>
  <si>
    <t>Molinería y panadería</t>
  </si>
  <si>
    <t>Azúcar</t>
  </si>
  <si>
    <t>Otros alimentos</t>
  </si>
  <si>
    <t>Bebidas y tabaco</t>
  </si>
  <si>
    <t>Textiles y prendas de vestir</t>
  </si>
  <si>
    <t>Cuero y calzado</t>
  </si>
  <si>
    <t>Industria de la madera</t>
  </si>
  <si>
    <t>Papel y productos del papel</t>
  </si>
  <si>
    <t>Servicios a los hogares</t>
  </si>
  <si>
    <t>Servicios gubernamentales</t>
  </si>
  <si>
    <t>AGRI</t>
  </si>
  <si>
    <t>GAN</t>
  </si>
  <si>
    <t>FOR</t>
  </si>
  <si>
    <t>PES</t>
  </si>
  <si>
    <t>CAR</t>
  </si>
  <si>
    <t>ACE</t>
  </si>
  <si>
    <t>MOL</t>
  </si>
  <si>
    <t>AZU</t>
  </si>
  <si>
    <t>OAL</t>
  </si>
  <si>
    <t>BEB</t>
  </si>
  <si>
    <t>TXP</t>
  </si>
  <si>
    <t>CUE</t>
  </si>
  <si>
    <t>PAP</t>
  </si>
  <si>
    <t>SHO</t>
  </si>
  <si>
    <t>GOB</t>
  </si>
  <si>
    <t>PY
AGRI</t>
  </si>
  <si>
    <t>PY
GAN</t>
  </si>
  <si>
    <t>PY
FOR</t>
  </si>
  <si>
    <t>PY
PES</t>
  </si>
  <si>
    <t>PY
CAR</t>
  </si>
  <si>
    <t>PY
ACE</t>
  </si>
  <si>
    <t>PY
LAC</t>
  </si>
  <si>
    <t>PY
MOL</t>
  </si>
  <si>
    <t>PY
AZU</t>
  </si>
  <si>
    <t>PY
OAL</t>
  </si>
  <si>
    <t>PY
BEB</t>
  </si>
  <si>
    <t>PY
TXP</t>
  </si>
  <si>
    <t>PY
CUE</t>
  </si>
  <si>
    <t>PY
PAP</t>
  </si>
  <si>
    <t>PY
SHO</t>
  </si>
  <si>
    <t>PY
GOB</t>
  </si>
  <si>
    <t>BRA
AGRI</t>
  </si>
  <si>
    <t>BRA
GAN</t>
  </si>
  <si>
    <t>BRA
FOR</t>
  </si>
  <si>
    <t>BRA
PES</t>
  </si>
  <si>
    <t>BRA
CAR</t>
  </si>
  <si>
    <t>BRA
ACE</t>
  </si>
  <si>
    <t>BRA
LAC</t>
  </si>
  <si>
    <t>BRA
MOL</t>
  </si>
  <si>
    <t>BRA
AZU</t>
  </si>
  <si>
    <t>BRA
OAL</t>
  </si>
  <si>
    <t>BRA
BEB</t>
  </si>
  <si>
    <t>BRA
TXP</t>
  </si>
  <si>
    <t>BRA
CUE</t>
  </si>
  <si>
    <t>BRA
PAP</t>
  </si>
  <si>
    <t>BRA
SHO</t>
  </si>
  <si>
    <t>BRA
GOB</t>
  </si>
  <si>
    <t>UE27
AGRI</t>
  </si>
  <si>
    <t>UE27
GAN</t>
  </si>
  <si>
    <t>UE27
FOR</t>
  </si>
  <si>
    <t>UE27
PES</t>
  </si>
  <si>
    <t>UE27
CAR</t>
  </si>
  <si>
    <t>UE27
ACE</t>
  </si>
  <si>
    <t>UE27
LAC</t>
  </si>
  <si>
    <t>UE27
MOL</t>
  </si>
  <si>
    <t>UE27
AZU</t>
  </si>
  <si>
    <t>UE27
OAL</t>
  </si>
  <si>
    <t>UE27
BEB</t>
  </si>
  <si>
    <t>UE27
TXP</t>
  </si>
  <si>
    <t>UE27
CUE</t>
  </si>
  <si>
    <t>UE27
PAP</t>
  </si>
  <si>
    <t>UE27
SHO</t>
  </si>
  <si>
    <t>UE27
GOB</t>
  </si>
  <si>
    <t>CHN
AGRI</t>
  </si>
  <si>
    <t>CHN
GAN</t>
  </si>
  <si>
    <t>CHN
FOR</t>
  </si>
  <si>
    <t>CHN
PES</t>
  </si>
  <si>
    <t>CHN
CAR</t>
  </si>
  <si>
    <t>CHN
ACE</t>
  </si>
  <si>
    <t>CHN
LAC</t>
  </si>
  <si>
    <t>CHN
MOL</t>
  </si>
  <si>
    <t>CHN
AZU</t>
  </si>
  <si>
    <t>CHN
OAL</t>
  </si>
  <si>
    <t>CHN
BEB</t>
  </si>
  <si>
    <t>CHN
TXP</t>
  </si>
  <si>
    <t>CHN
CUE</t>
  </si>
  <si>
    <t>CHN
PAP</t>
  </si>
  <si>
    <t>CHN
SHO</t>
  </si>
  <si>
    <t>CHN
GOB</t>
  </si>
  <si>
    <t>USA
AGRI</t>
  </si>
  <si>
    <t>USA
GAN</t>
  </si>
  <si>
    <t>USA
FOR</t>
  </si>
  <si>
    <t>USA
PES</t>
  </si>
  <si>
    <t>USA
CAR</t>
  </si>
  <si>
    <t>USA
ACE</t>
  </si>
  <si>
    <t>USA
LAC</t>
  </si>
  <si>
    <t>USA
MOL</t>
  </si>
  <si>
    <t>USA
AZU</t>
  </si>
  <si>
    <t>USA
OAL</t>
  </si>
  <si>
    <t>USA
BEB</t>
  </si>
  <si>
    <t>USA
TXP</t>
  </si>
  <si>
    <t>USA
CUE</t>
  </si>
  <si>
    <t>USA
PAP</t>
  </si>
  <si>
    <t>USA
SHO</t>
  </si>
  <si>
    <t>USA
GOB</t>
  </si>
  <si>
    <t>ARG
AGRI</t>
  </si>
  <si>
    <t>ARG
GAN</t>
  </si>
  <si>
    <t>ARG
FOR</t>
  </si>
  <si>
    <t>ARG
PES</t>
  </si>
  <si>
    <t>ARG
CAR</t>
  </si>
  <si>
    <t>ARG
ACE</t>
  </si>
  <si>
    <t>ARG
LAC</t>
  </si>
  <si>
    <t>ARG
MOL</t>
  </si>
  <si>
    <t>ARG
AZU</t>
  </si>
  <si>
    <t>ARG
OAL</t>
  </si>
  <si>
    <t>ARG
BEB</t>
  </si>
  <si>
    <t>ARG
TXP</t>
  </si>
  <si>
    <t>ARG
CUE</t>
  </si>
  <si>
    <t>ARG
PAP</t>
  </si>
  <si>
    <t>ARG
SHO</t>
  </si>
  <si>
    <t>ARG
GOB</t>
  </si>
  <si>
    <t>ASIA
AGRI</t>
  </si>
  <si>
    <t>ASIA
GAN</t>
  </si>
  <si>
    <t>ASIA
FOR</t>
  </si>
  <si>
    <t>ASIA
PES</t>
  </si>
  <si>
    <t>ASIA
CAR</t>
  </si>
  <si>
    <t>ASIA
ACE</t>
  </si>
  <si>
    <t>ASIA
LAC</t>
  </si>
  <si>
    <t>ASIA
MOL</t>
  </si>
  <si>
    <t>ASIA
AZU</t>
  </si>
  <si>
    <t>ASIA
OAL</t>
  </si>
  <si>
    <t>ASIA
BEB</t>
  </si>
  <si>
    <t>ASIA
TXP</t>
  </si>
  <si>
    <t>ASIA
CUE</t>
  </si>
  <si>
    <t>ASIA
PAP</t>
  </si>
  <si>
    <t>ASIA
SHO</t>
  </si>
  <si>
    <t>ASIA
GOB</t>
  </si>
  <si>
    <t>LAC
AGRI</t>
  </si>
  <si>
    <t>LAC
GAN</t>
  </si>
  <si>
    <t>LAC
FOR</t>
  </si>
  <si>
    <t>LAC
PES</t>
  </si>
  <si>
    <t>LAC
CAR</t>
  </si>
  <si>
    <t>LAC
ACE</t>
  </si>
  <si>
    <t>LAC
LAC</t>
  </si>
  <si>
    <t>LAC
MOL</t>
  </si>
  <si>
    <t>LAC
AZU</t>
  </si>
  <si>
    <t>LAC
OAL</t>
  </si>
  <si>
    <t>LAC
BEB</t>
  </si>
  <si>
    <t>LAC
TXP</t>
  </si>
  <si>
    <t>LAC
CUE</t>
  </si>
  <si>
    <t>LAC
PAP</t>
  </si>
  <si>
    <t>LAC
SHO</t>
  </si>
  <si>
    <t>LAC
GOB</t>
  </si>
  <si>
    <t>MCS
AGRI</t>
  </si>
  <si>
    <t>MCS
GAN</t>
  </si>
  <si>
    <t>MCS
FOR</t>
  </si>
  <si>
    <t>MCS
PES</t>
  </si>
  <si>
    <t>MCS
CAR</t>
  </si>
  <si>
    <t>MCS
ACE</t>
  </si>
  <si>
    <t>MCS
LAC</t>
  </si>
  <si>
    <t>MCS
MOL</t>
  </si>
  <si>
    <t>MCS
AZU</t>
  </si>
  <si>
    <t>MCS
OAL</t>
  </si>
  <si>
    <t>MCS
BEB</t>
  </si>
  <si>
    <t>MCS
TXP</t>
  </si>
  <si>
    <t>MCS
CUE</t>
  </si>
  <si>
    <t>MCS
PAP</t>
  </si>
  <si>
    <t>MCS
SHO</t>
  </si>
  <si>
    <t>MCS
GOB</t>
  </si>
  <si>
    <t>GBR
AGRI</t>
  </si>
  <si>
    <t>GBR
GAN</t>
  </si>
  <si>
    <t>GBR
FOR</t>
  </si>
  <si>
    <t>GBR
PES</t>
  </si>
  <si>
    <t>GBR
CAR</t>
  </si>
  <si>
    <t>GBR
ACE</t>
  </si>
  <si>
    <t>GBR
LAC</t>
  </si>
  <si>
    <t>GBR
MOL</t>
  </si>
  <si>
    <t>GBR
AZU</t>
  </si>
  <si>
    <t>GBR
OAL</t>
  </si>
  <si>
    <t>GBR
BEB</t>
  </si>
  <si>
    <t>GBR
TXP</t>
  </si>
  <si>
    <t>GBR
CUE</t>
  </si>
  <si>
    <t>GBR
PAP</t>
  </si>
  <si>
    <t>GBR
SHO</t>
  </si>
  <si>
    <t>GBR
GOB</t>
  </si>
  <si>
    <t>ROW
AGRI</t>
  </si>
  <si>
    <t>ROW
GAN</t>
  </si>
  <si>
    <t>ROW
FOR</t>
  </si>
  <si>
    <t>ROW
PES</t>
  </si>
  <si>
    <t>ROW
CAR</t>
  </si>
  <si>
    <t>ROW
ACE</t>
  </si>
  <si>
    <t>ROW
LAC</t>
  </si>
  <si>
    <t>ROW
MOL</t>
  </si>
  <si>
    <t>ROW
AZU</t>
  </si>
  <si>
    <t>ROW
OAL</t>
  </si>
  <si>
    <t>ROW
BEB</t>
  </si>
  <si>
    <t>ROW
TXP</t>
  </si>
  <si>
    <t>ROW
CUE</t>
  </si>
  <si>
    <t>ROW
PAP</t>
  </si>
  <si>
    <t>ROW
SHO</t>
  </si>
  <si>
    <t>ROW
GOB</t>
  </si>
  <si>
    <t>Prueba</t>
  </si>
  <si>
    <t>Inicial</t>
  </si>
  <si>
    <t>Total prod</t>
  </si>
  <si>
    <t>Total PIB</t>
  </si>
  <si>
    <t>Total empleo</t>
  </si>
  <si>
    <t>Dir intl</t>
  </si>
  <si>
    <t>Ind intl</t>
  </si>
  <si>
    <t>dF intl</t>
  </si>
  <si>
    <t>Formula C20</t>
  </si>
  <si>
    <t>Base sin shock</t>
  </si>
  <si>
    <t>CON +100 MUSD</t>
  </si>
  <si>
    <t>ACE +100 MUSD</t>
  </si>
  <si>
    <t>AGRI +100 MUSD</t>
  </si>
  <si>
    <t>BRA +10%</t>
  </si>
  <si>
    <t>BRA +10% y C20=50%</t>
  </si>
  <si>
    <t>Tras reinicios</t>
  </si>
  <si>
    <r>
      <rPr>
        <b/>
        <i/>
        <sz val="9"/>
        <color rgb="FF2C3E50"/>
        <rFont val="Calibri"/>
        <family val="2"/>
      </rPr>
      <t>Versión de 33 sectores:</t>
    </r>
    <r>
      <rPr>
        <i/>
        <sz val="9"/>
        <color rgb="FF2C3E50"/>
        <rFont val="Calibri"/>
        <family val="2"/>
      </rPr>
      <t xml:space="preserve"> desagrega AGR, ALI, TEX, MAD y OTS del simulador de 21 sectores. Al sumar los subsectores reproduce exactamente sus datos.</t>
    </r>
  </si>
  <si>
    <t>Versión / fecha:   v33.10  ·  Octubre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</si>
</sst>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2" formatCode="_ &quot;$&quot;* #,##0_ ;_ &quot;$&quot;* \-#,##0_ ;_ &quot;$&quot;* &quot;-&quot;_ ;_ @_ "/>
    <numFmt numFmtId="41" formatCode="_ * #,##0_ ;_ * \-#,##0_ ;_ * &quot;-&quot;_ ;_ @_ "/>
    <numFmt numFmtId="164" formatCode="0.0000"/>
    <numFmt numFmtId="165" formatCode="_ * #,##0.00_ ;_ * \-#,##0.00_ ;_ * &quot;-&quot;_ ;_ @_ "/>
    <numFmt numFmtId="166" formatCode="mmm\.yyyy"/>
    <numFmt numFmtId="167" formatCode="0.000000"/>
    <numFmt numFmtId="168" formatCode="#,##0.000"/>
    <numFmt numFmtId="169" formatCode="0.0&quot;%&quot;"/>
    <numFmt numFmtId="170" formatCode="#,##0.0"/>
    <numFmt numFmtId="171" formatCode="0.00&quot;%&quot;"/>
    <numFmt numFmtId="172" formatCode="0.0000000"/>
    <numFmt numFmtId="173" formatCode="0.00000"/>
    <numFmt numFmtId="174" formatCode="0.0%"/>
    <numFmt numFmtId="175" formatCode="0.0"/>
    <numFmt numFmtId="176" formatCode="0.000"/>
    <numFmt numFmtId="177" formatCode="0.000%"/>
    <numFmt numFmtId="178" formatCode="0.00&quot;×&quot;"/>
    <numFmt numFmtId="179" formatCode="#,##0.0&quot; MUSD&quot;"/>
    <numFmt numFmtId="180" formatCode="\+0.0;\-0.0;0.0"/>
  </numFmts>
  <fonts count="116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Times New Roman"/>
      <family val="2"/>
    </font>
    <font>
      <sz val="11"/>
      <color theme="1"/>
      <name val="Arial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sz val="11"/>
      <color theme="1"/>
      <name val="Aptos Narrow"/>
      <family val="2"/>
      <scheme val="minor"/>
    </font>
    <font>
      <sz val="10"/>
      <name val="MS Sans Serif"/>
      <family val="2"/>
    </font>
    <font>
      <sz val="10"/>
      <color indexed="8"/>
      <name val="MS Sans Serif"/>
      <family val="2"/>
    </font>
    <font>
      <sz val="10"/>
      <color rgb="FF1A1A1A"/>
      <name val="Calibri"/>
      <family val="2"/>
    </font>
    <font>
      <b/>
      <sz val="13"/>
      <color rgb="FFFFFFFF"/>
      <name val="Calibri"/>
      <family val="2"/>
    </font>
    <font>
      <b/>
      <sz val="11"/>
      <color rgb="FF2C3E50"/>
      <name val="Calibri"/>
      <family val="2"/>
    </font>
    <font>
      <sz val="9"/>
      <color rgb="FF1A1A1A"/>
      <name val="Calibri"/>
      <family val="2"/>
    </font>
    <font>
      <b/>
      <sz val="10"/>
      <color rgb="FF2980B9"/>
      <name val="Calibri"/>
      <family val="2"/>
    </font>
    <font>
      <i/>
      <sz val="8"/>
      <color rgb="FF717D7E"/>
      <name val="Calibri"/>
      <family val="2"/>
    </font>
    <font>
      <b/>
      <sz val="9"/>
      <color rgb="FFFFFFFF"/>
      <name val="Calibri"/>
      <family val="2"/>
    </font>
    <font>
      <b/>
      <sz val="9"/>
      <color rgb="FF717D7E"/>
      <name val="Calibri"/>
      <family val="2"/>
    </font>
    <font>
      <sz val="8"/>
      <color rgb="FF1A1A1A"/>
      <name val="Calibri"/>
      <family val="2"/>
    </font>
    <font>
      <i/>
      <sz val="7"/>
      <color rgb="FF717D7E"/>
      <name val="Calibri"/>
      <family val="2"/>
    </font>
    <font>
      <sz val="8"/>
      <color rgb="FF717D7E"/>
      <name val="Calibri"/>
      <family val="2"/>
    </font>
    <font>
      <b/>
      <sz val="10"/>
      <color rgb="FF2C3E50"/>
      <name val="Calibri"/>
      <family val="2"/>
    </font>
    <font>
      <b/>
      <sz val="9"/>
      <color rgb="FF2C3E50"/>
      <name val="Calibri"/>
      <family val="2"/>
    </font>
    <font>
      <i/>
      <sz val="9"/>
      <color rgb="FF2980B9"/>
      <name val="Calibri"/>
      <family val="2"/>
    </font>
    <font>
      <b/>
      <sz val="8"/>
      <color rgb="FFFFFFFF"/>
      <name val="Calibri"/>
      <family val="2"/>
    </font>
    <font>
      <sz val="7"/>
      <color rgb="FF1A1A1A"/>
      <name val="Calibri"/>
      <family val="2"/>
    </font>
    <font>
      <b/>
      <sz val="8"/>
      <color rgb="FF717D7E"/>
      <name val="Calibri"/>
      <family val="2"/>
    </font>
    <font>
      <i/>
      <sz val="7"/>
      <color rgb="FF2C3E50"/>
      <name val="Calibri"/>
      <family val="2"/>
    </font>
    <font>
      <sz val="9"/>
      <name val="Calibri"/>
      <family val="2"/>
    </font>
    <font>
      <b/>
      <sz val="10"/>
      <color rgb="FFFFFFFF"/>
      <name val="Calibri"/>
      <family val="2"/>
    </font>
    <font>
      <b/>
      <sz val="13"/>
      <color rgb="FF2980B9"/>
      <name val="Calibri"/>
      <family val="2"/>
    </font>
    <font>
      <sz val="10"/>
      <color theme="0"/>
      <name val="Calibri"/>
      <family val="2"/>
    </font>
    <font>
      <b/>
      <sz val="15"/>
      <color rgb="FFFFFFFF"/>
      <name val="Calibri"/>
      <family val="2"/>
    </font>
    <font>
      <b/>
      <sz val="13"/>
      <color rgb="FFFFFFFF"/>
      <name val="Calibri"/>
      <family val="2"/>
    </font>
    <font>
      <i/>
      <sz val="8"/>
      <color rgb="FF717D7E"/>
      <name val="Calibri"/>
      <family val="2"/>
    </font>
    <font>
      <b/>
      <sz val="28"/>
      <color rgb="FFFFFFFF"/>
      <name val="Calibri"/>
      <family val="2"/>
    </font>
    <font>
      <sz val="9"/>
      <color rgb="FFBDC3C7"/>
      <name val="Calibri"/>
      <family val="2"/>
    </font>
    <font>
      <b/>
      <sz val="11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2C3E50"/>
      <name val="Calibri"/>
      <family val="2"/>
    </font>
    <font>
      <sz val="11"/>
      <color rgb="FF1A1A1A"/>
      <name val="Calibri"/>
      <family val="2"/>
    </font>
    <font>
      <b/>
      <sz val="11"/>
      <color rgb="FF3D566E"/>
      <name val="Calibri"/>
      <family val="2"/>
    </font>
    <font>
      <b/>
      <sz val="11"/>
      <color rgb="FF2980B9"/>
      <name val="Calibri"/>
      <family val="2"/>
    </font>
    <font>
      <sz val="11"/>
      <color rgb="FF3D566E"/>
      <name val="Calibri"/>
      <family val="2"/>
    </font>
    <font>
      <b/>
      <sz val="11"/>
      <color rgb="FF1A6B8A"/>
      <name val="Calibri"/>
      <family val="2"/>
    </font>
    <font>
      <sz val="11"/>
      <color rgb="FF1A6B8A"/>
      <name val="Calibri"/>
      <family val="2"/>
    </font>
    <font>
      <b/>
      <sz val="11"/>
      <color rgb="FF2C3E50"/>
      <name val="Calibri"/>
      <family val="2"/>
    </font>
    <font>
      <b/>
      <sz val="12"/>
      <color rgb="FFFFFFFF"/>
      <name val="Calibri"/>
      <family val="2"/>
    </font>
    <font>
      <b/>
      <sz val="12"/>
      <color rgb="FF1A6B8A"/>
      <name val="Calibri"/>
      <family val="2"/>
    </font>
    <font>
      <sz val="10"/>
      <color rgb="FF1A6B8A"/>
      <name val="Calibri"/>
      <family val="2"/>
    </font>
    <font>
      <sz val="12"/>
      <name val="Calibri"/>
      <family val="2"/>
    </font>
    <font>
      <b/>
      <sz val="15"/>
      <color rgb="FFFFFFFF"/>
      <name val="Calibri"/>
      <family val="2"/>
    </font>
    <font>
      <sz val="10"/>
      <color rgb="FFD5DCE4"/>
      <name val="Calibri"/>
      <family val="2"/>
    </font>
    <font>
      <b/>
      <sz val="11"/>
      <color rgb="FFFFFFFF"/>
      <name val="Calibri"/>
      <family val="2"/>
    </font>
    <font>
      <b/>
      <sz val="12"/>
      <color rgb="FF2C3E50"/>
      <name val="Calibri"/>
      <family val="2"/>
    </font>
    <font>
      <i/>
      <sz val="9.5"/>
      <color rgb="FF5D6D7E"/>
      <name val="Calibri"/>
      <family val="2"/>
    </font>
    <font>
      <b/>
      <sz val="10"/>
      <color rgb="FFFFFFFF"/>
      <name val="Calibri"/>
      <family val="2"/>
    </font>
    <font>
      <sz val="10"/>
      <color rgb="FF1A1A1A"/>
      <name val="Calibri"/>
      <family val="2"/>
    </font>
    <font>
      <i/>
      <sz val="9"/>
      <color rgb="FF2C3E50"/>
      <name val="Calibri"/>
      <family val="2"/>
    </font>
    <font>
      <b/>
      <sz val="10"/>
      <color rgb="FF1A1A1A"/>
      <name val="Calibri"/>
      <family val="2"/>
    </font>
    <font>
      <b/>
      <sz val="12"/>
      <color rgb="FF16897E"/>
      <name val="Calibri"/>
      <family val="2"/>
    </font>
    <font>
      <sz val="9.5"/>
      <color rgb="FF1A1A1A"/>
      <name val="Calibri"/>
      <family val="2"/>
    </font>
    <font>
      <i/>
      <sz val="8.5"/>
      <color rgb="FF5D6D7E"/>
      <name val="Calibri"/>
      <family val="2"/>
    </font>
    <font>
      <b/>
      <sz val="14"/>
      <color rgb="FFFFFFFF"/>
      <name val="Calibri"/>
      <family val="2"/>
    </font>
    <font>
      <b/>
      <sz val="10"/>
      <color rgb="FF2C3E50"/>
      <name val="Calibri"/>
      <family val="2"/>
    </font>
    <font>
      <b/>
      <sz val="11"/>
      <color rgb="FF0000FF"/>
      <name val="Calibri"/>
      <family val="2"/>
    </font>
    <font>
      <b/>
      <sz val="11"/>
      <color rgb="FF2C3E50"/>
      <name val="Calibri"/>
      <family val="2"/>
    </font>
    <font>
      <b/>
      <sz val="9"/>
      <color rgb="FF2C3E50"/>
      <name val="Calibri"/>
      <family val="2"/>
    </font>
    <font>
      <sz val="9"/>
      <color rgb="FF1A1A1A"/>
      <name val="Calibri"/>
      <family val="2"/>
    </font>
    <font>
      <b/>
      <sz val="8.5"/>
      <color rgb="FFFFFFFF"/>
      <name val="Calibri"/>
      <family val="2"/>
    </font>
    <font>
      <sz val="9"/>
      <color rgb="FFD5DCE4"/>
      <name val="Calibri"/>
      <family val="2"/>
    </font>
    <font>
      <sz val="8.5"/>
      <color rgb="FF1A1A1A"/>
      <name val="Calibri"/>
      <family val="2"/>
    </font>
    <font>
      <b/>
      <sz val="12"/>
      <color theme="0"/>
      <name val="Calibri"/>
      <family val="2"/>
    </font>
    <font>
      <sz val="10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theme="0"/>
      <name val="Calibri"/>
      <family val="2"/>
    </font>
    <font>
      <sz val="10"/>
      <color rgb="FFFFFFFF"/>
      <name val="Calibri"/>
      <family val="2"/>
    </font>
    <font>
      <sz val="11"/>
      <color rgb="FFFFFFFF"/>
      <name val="Calibri"/>
      <family val="2"/>
    </font>
    <font>
      <sz val="14"/>
      <color rgb="FFFFFFFF"/>
      <name val="Calibri"/>
      <family val="2"/>
    </font>
    <font>
      <sz val="12"/>
      <color rgb="FFFFFFFF"/>
      <name val="Calibri"/>
      <family val="2"/>
    </font>
    <font>
      <sz val="14"/>
      <color rgb="FF1A1A1A"/>
      <name val="Calibri"/>
      <family val="2"/>
    </font>
    <font>
      <sz val="14"/>
      <color rgb="FF3D566E"/>
      <name val="Calibri"/>
      <family val="2"/>
    </font>
    <font>
      <sz val="14"/>
      <color rgb="FF1A6B8A"/>
      <name val="Calibri"/>
      <family val="2"/>
    </font>
    <font>
      <sz val="14"/>
      <color rgb="FF717D7E"/>
      <name val="Calibri"/>
      <family val="2"/>
    </font>
    <font>
      <b/>
      <sz val="14"/>
      <color rgb="FF1A6B8A"/>
      <name val="Calibri"/>
      <family val="2"/>
    </font>
    <font>
      <sz val="14"/>
      <color rgb="FF2980B9"/>
      <name val="Calibri"/>
      <family val="2"/>
    </font>
    <font>
      <b/>
      <sz val="14"/>
      <color rgb="FF2980B9"/>
      <name val="Calibri"/>
      <family val="2"/>
    </font>
    <font>
      <i/>
      <sz val="14"/>
      <color rgb="FF717D7E"/>
      <name val="Calibri"/>
      <family val="2"/>
    </font>
    <font>
      <sz val="12"/>
      <color rgb="FF1A1A1A"/>
      <name val="Calibri"/>
      <family val="2"/>
    </font>
    <font>
      <b/>
      <sz val="14"/>
      <color rgb="FFFFC000"/>
      <name val="Calibri"/>
      <family val="2"/>
    </font>
    <font>
      <b/>
      <sz val="12"/>
      <color rgb="FF7A3800"/>
      <name val="Calibri"/>
      <family val="2"/>
    </font>
    <font>
      <b/>
      <sz val="11"/>
      <color rgb="FF7A3800"/>
      <name val="Calibri"/>
      <family val="2"/>
    </font>
    <font>
      <sz val="10"/>
      <color rgb="FF7A3800"/>
      <name val="Calibri"/>
      <family val="2"/>
    </font>
    <font>
      <b/>
      <sz val="12"/>
      <color rgb="FF005700"/>
      <name val="Calibri"/>
      <family val="2"/>
    </font>
    <font>
      <b/>
      <sz val="11"/>
      <color rgb="FF005700"/>
      <name val="Calibri"/>
      <family val="2"/>
    </font>
    <font>
      <sz val="10"/>
      <color rgb="FF005700"/>
      <name val="Calibri"/>
      <family val="2"/>
    </font>
    <font>
      <i/>
      <sz val="8"/>
      <color rgb="FF3F4D4E"/>
      <name val="Calibri"/>
      <family val="2"/>
    </font>
    <font>
      <sz val="8"/>
      <color rgb="FF3F4D4E"/>
      <name val="Calibri"/>
      <family val="2"/>
    </font>
    <font>
      <sz val="14"/>
      <color rgb="FF3F4D4E"/>
      <name val="Calibri"/>
      <family val="2"/>
    </font>
    <font>
      <sz val="7"/>
      <color rgb="FF3F4D4E"/>
      <name val="Calibri"/>
      <family val="2"/>
    </font>
    <font>
      <i/>
      <sz val="8"/>
      <color theme="0"/>
      <name val="Calibri"/>
      <family val="2"/>
    </font>
    <font>
      <sz val="12"/>
      <color rgb="FF5D6D7E"/>
      <name val="Calibri"/>
      <family val="2"/>
    </font>
    <font>
      <i/>
      <sz val="11"/>
      <color rgb="FF2980B9"/>
      <name val="Aptos Narrow"/>
      <scheme val="minor"/>
    </font>
    <font>
      <sz val="11"/>
      <color rgb="FF000000"/>
      <name val="Aptos Narrow"/>
    </font>
    <font>
      <sz val="12"/>
      <color rgb="FF000000"/>
      <name val="Aptos Narrow"/>
    </font>
    <font>
      <b/>
      <sz val="9"/>
      <color rgb="FF1A1A1A"/>
      <name val="Calibri"/>
      <family val="2"/>
    </font>
    <font>
      <i/>
      <sz val="8.5"/>
      <color rgb="FF717D7E"/>
      <name val="Calibri"/>
      <family val="2"/>
    </font>
    <font>
      <sz val="9"/>
      <color rgb="FF717D7E"/>
      <name val="Calibri"/>
      <family val="2"/>
    </font>
    <font>
      <b/>
      <sz val="9"/>
      <name val="Calibri"/>
      <family val="2"/>
    </font>
    <font>
      <i/>
      <sz val="11"/>
      <color rgb="FF3D566E"/>
      <name val="Calibri"/>
      <family val="2"/>
    </font>
    <font>
      <sz val="11"/>
      <name val="Calibri"/>
      <family val="2"/>
    </font>
    <font>
      <sz val="9"/>
      <color theme="1"/>
      <name val="Aptos Narrow"/>
      <family val="2"/>
      <scheme val="minor"/>
    </font>
    <font>
      <b/>
      <sz val="11"/>
      <name val="Calibri"/>
      <family val="2"/>
    </font>
    <font>
      <b/>
      <sz val="24"/>
      <color rgb="FF2C3E50"/>
      <name val="Calibri"/>
      <family val="2"/>
    </font>
    <font>
      <b/>
      <i/>
      <sz val="9"/>
      <color rgb="FF2C3E50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F3EAAE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2C3E50"/>
      </patternFill>
    </fill>
    <fill>
      <patternFill patternType="solid">
        <fgColor rgb="FFFFFFFF"/>
      </patternFill>
    </fill>
    <fill>
      <patternFill patternType="solid">
        <fgColor rgb="FFF4F6F7"/>
      </patternFill>
    </fill>
    <fill>
      <patternFill patternType="solid">
        <fgColor rgb="FFEAF4FB"/>
      </patternFill>
    </fill>
    <fill>
      <patternFill patternType="solid">
        <fgColor rgb="FF2980B9"/>
      </patternFill>
    </fill>
    <fill>
      <patternFill patternType="solid">
        <fgColor rgb="FF3D566E"/>
      </patternFill>
    </fill>
    <fill>
      <patternFill patternType="solid">
        <fgColor rgb="FF1A6B8A"/>
      </patternFill>
    </fill>
    <fill>
      <patternFill patternType="solid">
        <fgColor rgb="FFEAF0F6"/>
      </patternFill>
    </fill>
    <fill>
      <patternFill patternType="solid">
        <fgColor rgb="FFF0F5F9"/>
      </patternFill>
    </fill>
    <fill>
      <patternFill patternType="solid">
        <fgColor rgb="FFF0F7FF"/>
      </patternFill>
    </fill>
    <fill>
      <patternFill patternType="solid">
        <fgColor rgb="FFF2F2F2"/>
      </patternFill>
    </fill>
    <fill>
      <patternFill patternType="solid">
        <fgColor rgb="FFF9F9F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E8EDF2"/>
      </patternFill>
    </fill>
    <fill>
      <patternFill patternType="solid">
        <fgColor rgb="FFD1E8F0"/>
      </patternFill>
    </fill>
    <fill>
      <patternFill patternType="solid">
        <fgColor rgb="FFDBEAFE"/>
      </patternFill>
    </fill>
    <fill>
      <patternFill patternType="solid">
        <fgColor rgb="FFD5F5E3"/>
      </patternFill>
    </fill>
    <fill>
      <patternFill patternType="solid">
        <fgColor rgb="FFFEF3C7"/>
      </patternFill>
    </fill>
    <fill>
      <patternFill patternType="solid">
        <fgColor rgb="FF2C3E50"/>
      </patternFill>
    </fill>
    <fill>
      <patternFill patternType="solid">
        <fgColor rgb="FF16897E"/>
      </patternFill>
    </fill>
    <fill>
      <patternFill patternType="solid">
        <fgColor rgb="FFFFFFFF"/>
      </patternFill>
    </fill>
    <fill>
      <patternFill patternType="solid">
        <fgColor rgb="FF1F9E93"/>
      </patternFill>
    </fill>
    <fill>
      <patternFill patternType="solid">
        <fgColor rgb="FFF4F6F7"/>
      </patternFill>
    </fill>
    <fill>
      <patternFill patternType="solid">
        <fgColor rgb="FFECF0F1"/>
      </patternFill>
    </fill>
    <fill>
      <patternFill patternType="solid">
        <fgColor rgb="FFFFF9E6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4F6F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3" tint="0.74999237037263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/>
      <diagonal/>
    </border>
    <border>
      <left style="thin">
        <color rgb="FF2980B9"/>
      </left>
      <right style="thin">
        <color rgb="FF2980B9"/>
      </right>
      <top style="thin">
        <color rgb="FF2980B9"/>
      </top>
      <bottom style="thin">
        <color rgb="FF2980B9"/>
      </bottom>
      <diagonal/>
    </border>
    <border>
      <left/>
      <right/>
      <top/>
      <bottom style="thin">
        <color rgb="FFD5D8DC"/>
      </bottom>
      <diagonal/>
    </border>
    <border>
      <left style="thin">
        <color rgb="FF1A1A1A"/>
      </left>
      <right style="thin">
        <color rgb="FF1A1A1A"/>
      </right>
      <top style="thin">
        <color rgb="FF1A1A1A"/>
      </top>
      <bottom style="thin">
        <color rgb="FF1A1A1A"/>
      </bottom>
      <diagonal/>
    </border>
    <border>
      <left style="medium">
        <color rgb="FFFFFFFF"/>
      </left>
      <right style="medium">
        <color rgb="FFFFFFFF"/>
      </right>
      <top/>
      <bottom style="thin">
        <color rgb="FFFFFFFF"/>
      </bottom>
      <diagonal/>
    </border>
    <border>
      <left style="medium">
        <color rgb="FFFFFFFF"/>
      </left>
      <right/>
      <top/>
      <bottom/>
      <diagonal/>
    </border>
    <border>
      <left/>
      <right/>
      <top/>
      <bottom style="medium">
        <color rgb="FFFFFFFF"/>
      </bottom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thin">
        <color rgb="FFE8E8E8"/>
      </bottom>
      <diagonal/>
    </border>
    <border>
      <left style="thin">
        <color rgb="FFBFBFBF"/>
      </left>
      <right/>
      <top/>
      <bottom style="thin">
        <color rgb="FFE8E8E8"/>
      </bottom>
      <diagonal/>
    </border>
    <border>
      <left style="medium">
        <color rgb="FF2C3E50"/>
      </left>
      <right/>
      <top/>
      <bottom style="thin">
        <color rgb="FFE8E8E8"/>
      </bottom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 style="medium">
        <color rgb="FFFFFFFF"/>
      </left>
      <right/>
      <top/>
      <bottom style="thin">
        <color rgb="FFFFFFFF"/>
      </bottom>
      <diagonal/>
    </border>
    <border>
      <left/>
      <right/>
      <top/>
      <bottom style="thin">
        <color rgb="FFFFFFFF"/>
      </bottom>
      <diagonal/>
    </border>
    <border>
      <left style="medium">
        <color rgb="FFBFBFBF"/>
      </left>
      <right/>
      <top/>
      <bottom style="thin">
        <color rgb="FFE8E8E8"/>
      </bottom>
      <diagonal/>
    </border>
    <border>
      <left style="medium">
        <color rgb="FFFFFFFF"/>
      </left>
      <right/>
      <top/>
      <bottom style="thin">
        <color indexed="64"/>
      </bottom>
      <diagonal/>
    </border>
    <border>
      <left style="medium">
        <color rgb="FFFFFFFF"/>
      </left>
      <right/>
      <top/>
      <bottom style="thin">
        <color theme="0"/>
      </bottom>
      <diagonal/>
    </border>
    <border>
      <left/>
      <right/>
      <top/>
      <bottom/>
      <diagonal/>
    </border>
    <border>
      <left/>
      <right/>
      <top/>
      <bottom style="medium">
        <color rgb="FF16897E"/>
      </bottom>
      <diagonal/>
    </border>
    <border>
      <left/>
      <right/>
      <top/>
      <bottom/>
      <diagonal/>
    </border>
    <border>
      <left style="medium">
        <color rgb="FF16897E"/>
      </left>
      <right/>
      <top/>
      <bottom/>
      <diagonal/>
    </border>
    <border>
      <left style="thin">
        <color rgb="FF16897E"/>
      </left>
      <right style="thin">
        <color rgb="FF16897E"/>
      </right>
      <top style="thin">
        <color rgb="FF16897E"/>
      </top>
      <bottom style="thin">
        <color rgb="FF16897E"/>
      </bottom>
      <diagonal/>
    </border>
    <border>
      <left style="thin">
        <color rgb="FFD5DBDB"/>
      </left>
      <right style="thin">
        <color rgb="FFD5DBDB"/>
      </right>
      <top style="thin">
        <color rgb="FFD5DBDB"/>
      </top>
      <bottom style="thin">
        <color rgb="FFD5DBDB"/>
      </bottom>
      <diagonal/>
    </border>
    <border>
      <left/>
      <right/>
      <top/>
      <bottom style="thin">
        <color rgb="FFD5DBDB"/>
      </bottom>
      <diagonal/>
    </border>
    <border>
      <left style="thin">
        <color rgb="FFD5D8DC"/>
      </left>
      <right style="thin">
        <color rgb="FFD5D8DC"/>
      </right>
      <top style="thin">
        <color rgb="FFD5D8DC"/>
      </top>
      <bottom style="thin">
        <color rgb="FFD5D8DC"/>
      </bottom>
      <diagonal/>
    </border>
    <border>
      <left/>
      <right style="thin">
        <color rgb="FFD5D8DC"/>
      </right>
      <top style="thin">
        <color rgb="FFD5D8DC"/>
      </top>
      <bottom style="thin">
        <color rgb="FFD5D8DC"/>
      </bottom>
      <diagonal/>
    </border>
    <border>
      <left style="thin">
        <color rgb="FFD5D8DC"/>
      </left>
      <right style="thin">
        <color rgb="FFD5D8DC"/>
      </right>
      <top/>
      <bottom style="thin">
        <color rgb="FFD5D8DC"/>
      </bottom>
      <diagonal/>
    </border>
    <border>
      <left style="thin">
        <color rgb="FFD5D8DC"/>
      </left>
      <right style="thin">
        <color rgb="FFD5D8DC"/>
      </right>
      <top/>
      <bottom/>
      <diagonal/>
    </border>
    <border>
      <left/>
      <right style="thin">
        <color rgb="FFFFFFFF"/>
      </right>
      <top/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11">
    <xf numFmtId="0" fontId="0" fillId="0" borderId="24"/>
    <xf numFmtId="41" fontId="1" fillId="0" borderId="24"/>
    <xf numFmtId="0" fontId="2" fillId="0" borderId="24"/>
    <xf numFmtId="0" fontId="4" fillId="0" borderId="24"/>
    <xf numFmtId="0" fontId="6" fillId="0" borderId="24"/>
    <xf numFmtId="0" fontId="8" fillId="0" borderId="24"/>
    <xf numFmtId="0" fontId="9" fillId="0" borderId="24"/>
    <xf numFmtId="0" fontId="4" fillId="0" borderId="24"/>
    <xf numFmtId="0" fontId="10" fillId="0" borderId="24"/>
    <xf numFmtId="0" fontId="6" fillId="0" borderId="24"/>
    <xf numFmtId="9" fontId="1" fillId="0" borderId="24"/>
  </cellStyleXfs>
  <cellXfs count="531">
    <xf numFmtId="0" fontId="0" fillId="0" borderId="0" xfId="0" applyBorder="1"/>
    <xf numFmtId="0" fontId="0" fillId="2" borderId="0" xfId="0" applyFill="1" applyBorder="1"/>
    <xf numFmtId="0" fontId="2" fillId="3" borderId="0" xfId="2" applyFill="1" applyBorder="1"/>
    <xf numFmtId="0" fontId="0" fillId="4" borderId="0" xfId="0" applyFill="1" applyBorder="1"/>
    <xf numFmtId="0" fontId="5" fillId="0" borderId="0" xfId="3" applyFont="1" applyBorder="1"/>
    <xf numFmtId="0" fontId="3" fillId="0" borderId="0" xfId="5" applyFont="1" applyBorder="1"/>
    <xf numFmtId="0" fontId="7" fillId="0" borderId="1" xfId="3" applyFont="1" applyBorder="1"/>
    <xf numFmtId="3" fontId="5" fillId="0" borderId="0" xfId="3" applyNumberFormat="1" applyFont="1" applyBorder="1" applyAlignment="1">
      <alignment horizontal="right"/>
    </xf>
    <xf numFmtId="3" fontId="5" fillId="0" borderId="0" xfId="3" applyNumberFormat="1" applyFont="1" applyBorder="1"/>
    <xf numFmtId="3" fontId="7" fillId="0" borderId="1" xfId="3" applyNumberFormat="1" applyFont="1" applyBorder="1"/>
    <xf numFmtId="0" fontId="5" fillId="0" borderId="0" xfId="3" applyFont="1" applyBorder="1" applyAlignment="1">
      <alignment horizontal="left"/>
    </xf>
    <xf numFmtId="164" fontId="3" fillId="0" borderId="0" xfId="5" applyNumberFormat="1" applyFont="1" applyBorder="1" applyAlignment="1">
      <alignment horizontal="center"/>
    </xf>
    <xf numFmtId="2" fontId="3" fillId="0" borderId="0" xfId="5" applyNumberFormat="1" applyFont="1" applyBorder="1"/>
    <xf numFmtId="0" fontId="3" fillId="0" borderId="0" xfId="5" applyFont="1" applyBorder="1" applyAlignment="1">
      <alignment horizontal="left"/>
    </xf>
    <xf numFmtId="164" fontId="3" fillId="0" borderId="0" xfId="5" applyNumberFormat="1" applyFont="1" applyBorder="1"/>
    <xf numFmtId="0" fontId="0" fillId="0" borderId="0" xfId="0" applyBorder="1" applyAlignment="1">
      <alignment horizontal="left"/>
    </xf>
    <xf numFmtId="0" fontId="8" fillId="0" borderId="0" xfId="5" applyBorder="1"/>
    <xf numFmtId="4" fontId="8" fillId="0" borderId="0" xfId="5" applyNumberFormat="1" applyBorder="1"/>
    <xf numFmtId="0" fontId="11" fillId="0" borderId="4" xfId="0" applyFont="1" applyBorder="1" applyAlignment="1">
      <alignment horizontal="left" vertical="center"/>
    </xf>
    <xf numFmtId="0" fontId="14" fillId="7" borderId="4" xfId="0" applyFont="1" applyFill="1" applyBorder="1" applyAlignment="1">
      <alignment horizontal="left" vertical="center"/>
    </xf>
    <xf numFmtId="0" fontId="14" fillId="7" borderId="0" xfId="0" applyFont="1" applyFill="1" applyBorder="1" applyAlignment="1">
      <alignment horizontal="left" vertical="center"/>
    </xf>
    <xf numFmtId="0" fontId="14" fillId="6" borderId="4" xfId="0" applyFont="1" applyFill="1" applyBorder="1" applyAlignment="1">
      <alignment horizontal="left" vertical="center"/>
    </xf>
    <xf numFmtId="0" fontId="14" fillId="6" borderId="0" xfId="0" applyFont="1" applyFill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7" fillId="5" borderId="4" xfId="0" applyFont="1" applyFill="1" applyBorder="1" applyAlignment="1">
      <alignment horizontal="center" vertical="center" wrapText="1"/>
    </xf>
    <xf numFmtId="0" fontId="11" fillId="7" borderId="4" xfId="0" applyFont="1" applyFill="1" applyBorder="1" applyAlignment="1">
      <alignment horizontal="left" vertical="center"/>
    </xf>
    <xf numFmtId="0" fontId="11" fillId="6" borderId="4" xfId="0" applyFont="1" applyFill="1" applyBorder="1" applyAlignment="1">
      <alignment horizontal="left" vertical="center"/>
    </xf>
    <xf numFmtId="4" fontId="17" fillId="5" borderId="4" xfId="0" applyNumberFormat="1" applyFont="1" applyFill="1" applyBorder="1" applyAlignment="1">
      <alignment horizontal="right" vertical="center"/>
    </xf>
    <xf numFmtId="0" fontId="18" fillId="7" borderId="4" xfId="0" applyFont="1" applyFill="1" applyBorder="1" applyAlignment="1">
      <alignment horizontal="center" vertical="center"/>
    </xf>
    <xf numFmtId="0" fontId="18" fillId="6" borderId="4" xfId="0" applyFont="1" applyFill="1" applyBorder="1" applyAlignment="1">
      <alignment horizontal="center" vertical="center"/>
    </xf>
    <xf numFmtId="41" fontId="11" fillId="0" borderId="4" xfId="1" applyFont="1" applyBorder="1" applyAlignment="1">
      <alignment horizontal="left" vertical="center"/>
    </xf>
    <xf numFmtId="4" fontId="17" fillId="5" borderId="4" xfId="1" applyNumberFormat="1" applyFont="1" applyFill="1" applyBorder="1" applyAlignment="1">
      <alignment horizontal="right" vertical="center"/>
    </xf>
    <xf numFmtId="165" fontId="11" fillId="0" borderId="4" xfId="1" applyNumberFormat="1" applyFont="1" applyBorder="1" applyAlignment="1">
      <alignment horizontal="left" vertical="center"/>
    </xf>
    <xf numFmtId="166" fontId="11" fillId="0" borderId="4" xfId="0" applyNumberFormat="1" applyFont="1" applyBorder="1" applyAlignment="1">
      <alignment horizontal="left" vertical="center"/>
    </xf>
    <xf numFmtId="0" fontId="19" fillId="0" borderId="0" xfId="0" applyFont="1" applyBorder="1"/>
    <xf numFmtId="0" fontId="13" fillId="0" borderId="0" xfId="4" applyFont="1" applyBorder="1"/>
    <xf numFmtId="0" fontId="16" fillId="0" borderId="0" xfId="3" applyFont="1" applyBorder="1"/>
    <xf numFmtId="0" fontId="19" fillId="0" borderId="0" xfId="3" applyFont="1" applyBorder="1"/>
    <xf numFmtId="0" fontId="21" fillId="0" borderId="0" xfId="3" applyFont="1" applyBorder="1"/>
    <xf numFmtId="0" fontId="19" fillId="0" borderId="0" xfId="4" applyFont="1" applyBorder="1"/>
    <xf numFmtId="0" fontId="19" fillId="0" borderId="0" xfId="6" applyFont="1" applyBorder="1" applyAlignment="1">
      <alignment horizontal="left"/>
    </xf>
    <xf numFmtId="0" fontId="19" fillId="0" borderId="2" xfId="3" applyFont="1" applyBorder="1"/>
    <xf numFmtId="0" fontId="19" fillId="0" borderId="2" xfId="5" applyFont="1" applyBorder="1"/>
    <xf numFmtId="0" fontId="25" fillId="5" borderId="0" xfId="3" applyFont="1" applyFill="1" applyBorder="1" applyAlignment="1">
      <alignment horizontal="center" vertical="center" wrapText="1"/>
    </xf>
    <xf numFmtId="0" fontId="19" fillId="0" borderId="1" xfId="3" applyFont="1" applyBorder="1"/>
    <xf numFmtId="0" fontId="19" fillId="0" borderId="1" xfId="5" applyFont="1" applyBorder="1"/>
    <xf numFmtId="0" fontId="19" fillId="0" borderId="0" xfId="3" applyFont="1" applyBorder="1" applyAlignment="1">
      <alignment horizontal="center" wrapText="1"/>
    </xf>
    <xf numFmtId="0" fontId="19" fillId="0" borderId="0" xfId="5" applyFont="1" applyBorder="1" applyAlignment="1">
      <alignment horizontal="center" vertical="center" wrapText="1"/>
    </xf>
    <xf numFmtId="0" fontId="19" fillId="0" borderId="0" xfId="7" applyFont="1" applyBorder="1" applyAlignment="1">
      <alignment horizontal="center" vertical="center" wrapText="1"/>
    </xf>
    <xf numFmtId="0" fontId="25" fillId="5" borderId="0" xfId="5" applyFont="1" applyFill="1" applyBorder="1" applyAlignment="1">
      <alignment horizontal="center" vertical="center" wrapText="1"/>
    </xf>
    <xf numFmtId="0" fontId="19" fillId="0" borderId="3" xfId="3" applyFont="1" applyBorder="1"/>
    <xf numFmtId="0" fontId="19" fillId="0" borderId="3" xfId="3" applyFont="1" applyBorder="1" applyAlignment="1">
      <alignment horizontal="center"/>
    </xf>
    <xf numFmtId="0" fontId="19" fillId="0" borderId="0" xfId="3" applyFont="1" applyBorder="1" applyAlignment="1">
      <alignment horizontal="center"/>
    </xf>
    <xf numFmtId="0" fontId="19" fillId="7" borderId="0" xfId="0" applyFont="1" applyFill="1" applyBorder="1"/>
    <xf numFmtId="3" fontId="19" fillId="7" borderId="0" xfId="3" applyNumberFormat="1" applyFont="1" applyFill="1" applyBorder="1" applyAlignment="1">
      <alignment horizontal="right"/>
    </xf>
    <xf numFmtId="3" fontId="19" fillId="7" borderId="0" xfId="3" applyNumberFormat="1" applyFont="1" applyFill="1" applyBorder="1"/>
    <xf numFmtId="3" fontId="19" fillId="7" borderId="0" xfId="0" applyNumberFormat="1" applyFont="1" applyFill="1" applyBorder="1"/>
    <xf numFmtId="0" fontId="19" fillId="7" borderId="0" xfId="5" applyFont="1" applyFill="1" applyBorder="1"/>
    <xf numFmtId="0" fontId="19" fillId="6" borderId="0" xfId="0" applyFont="1" applyFill="1" applyBorder="1"/>
    <xf numFmtId="3" fontId="19" fillId="6" borderId="0" xfId="3" applyNumberFormat="1" applyFont="1" applyFill="1" applyBorder="1" applyAlignment="1">
      <alignment horizontal="right"/>
    </xf>
    <xf numFmtId="3" fontId="19" fillId="6" borderId="0" xfId="3" applyNumberFormat="1" applyFont="1" applyFill="1" applyBorder="1"/>
    <xf numFmtId="3" fontId="19" fillId="6" borderId="0" xfId="0" applyNumberFormat="1" applyFont="1" applyFill="1" applyBorder="1"/>
    <xf numFmtId="0" fontId="19" fillId="6" borderId="0" xfId="5" applyFont="1" applyFill="1" applyBorder="1"/>
    <xf numFmtId="0" fontId="25" fillId="5" borderId="0" xfId="0" applyFont="1" applyFill="1" applyBorder="1" applyAlignment="1">
      <alignment horizontal="center" textRotation="90"/>
    </xf>
    <xf numFmtId="167" fontId="26" fillId="7" borderId="0" xfId="0" applyNumberFormat="1" applyFont="1" applyFill="1" applyBorder="1"/>
    <xf numFmtId="167" fontId="26" fillId="6" borderId="0" xfId="0" applyNumberFormat="1" applyFont="1" applyFill="1" applyBorder="1"/>
    <xf numFmtId="167" fontId="26" fillId="6" borderId="0" xfId="0" applyNumberFormat="1" applyFont="1" applyFill="1" applyBorder="1" applyAlignment="1">
      <alignment horizontal="center" textRotation="90"/>
    </xf>
    <xf numFmtId="0" fontId="0" fillId="5" borderId="0" xfId="0" applyFill="1" applyBorder="1"/>
    <xf numFmtId="0" fontId="17" fillId="5" borderId="16" xfId="0" applyFont="1" applyFill="1" applyBorder="1" applyAlignment="1">
      <alignment horizontal="center" vertical="center" wrapText="1"/>
    </xf>
    <xf numFmtId="0" fontId="17" fillId="10" borderId="17" xfId="0" applyFont="1" applyFill="1" applyBorder="1" applyAlignment="1">
      <alignment horizontal="center" vertical="center" wrapText="1"/>
    </xf>
    <xf numFmtId="0" fontId="17" fillId="11" borderId="17" xfId="0" applyFont="1" applyFill="1" applyBorder="1" applyAlignment="1">
      <alignment horizontal="center" vertical="center" wrapText="1"/>
    </xf>
    <xf numFmtId="0" fontId="17" fillId="5" borderId="0" xfId="0" applyFont="1" applyFill="1" applyBorder="1" applyAlignment="1">
      <alignment horizontal="left" vertical="center"/>
    </xf>
    <xf numFmtId="0" fontId="11" fillId="5" borderId="4" xfId="0" applyFont="1" applyFill="1" applyBorder="1" applyAlignment="1">
      <alignment horizontal="left" vertical="center"/>
    </xf>
    <xf numFmtId="0" fontId="25" fillId="5" borderId="7" xfId="0" applyFont="1" applyFill="1" applyBorder="1" applyAlignment="1">
      <alignment horizontal="center" vertical="center" wrapText="1"/>
    </xf>
    <xf numFmtId="0" fontId="17" fillId="5" borderId="9" xfId="0" applyFont="1" applyFill="1" applyBorder="1" applyAlignment="1">
      <alignment horizontal="center" vertical="center" wrapText="1"/>
    </xf>
    <xf numFmtId="0" fontId="25" fillId="5" borderId="10" xfId="0" applyFont="1" applyFill="1" applyBorder="1" applyAlignment="1">
      <alignment horizontal="left" vertical="center"/>
    </xf>
    <xf numFmtId="0" fontId="25" fillId="5" borderId="10" xfId="0" applyFont="1" applyFill="1" applyBorder="1" applyAlignment="1">
      <alignment horizontal="center" vertical="center"/>
    </xf>
    <xf numFmtId="0" fontId="25" fillId="5" borderId="10" xfId="0" applyFont="1" applyFill="1" applyBorder="1" applyAlignment="1">
      <alignment horizontal="center" vertical="center" wrapText="1"/>
    </xf>
    <xf numFmtId="0" fontId="25" fillId="10" borderId="11" xfId="0" applyFont="1" applyFill="1" applyBorder="1" applyAlignment="1">
      <alignment horizontal="center" vertical="center" wrapText="1"/>
    </xf>
    <xf numFmtId="0" fontId="25" fillId="9" borderId="10" xfId="0" applyFont="1" applyFill="1" applyBorder="1" applyAlignment="1">
      <alignment horizontal="center" vertical="center" wrapText="1"/>
    </xf>
    <xf numFmtId="0" fontId="25" fillId="10" borderId="10" xfId="0" applyFont="1" applyFill="1" applyBorder="1" applyAlignment="1">
      <alignment horizontal="center" vertical="center" wrapText="1"/>
    </xf>
    <xf numFmtId="0" fontId="25" fillId="11" borderId="11" xfId="0" applyFont="1" applyFill="1" applyBorder="1" applyAlignment="1">
      <alignment horizontal="center" vertical="center" wrapText="1"/>
    </xf>
    <xf numFmtId="0" fontId="25" fillId="11" borderId="10" xfId="0" applyFont="1" applyFill="1" applyBorder="1" applyAlignment="1">
      <alignment horizontal="center" vertical="center" wrapText="1"/>
    </xf>
    <xf numFmtId="0" fontId="27" fillId="7" borderId="4" xfId="0" applyFont="1" applyFill="1" applyBorder="1" applyAlignment="1">
      <alignment horizontal="center" vertical="center"/>
    </xf>
    <xf numFmtId="0" fontId="27" fillId="6" borderId="4" xfId="0" applyFont="1" applyFill="1" applyBorder="1" applyAlignment="1">
      <alignment horizontal="center" vertical="center"/>
    </xf>
    <xf numFmtId="168" fontId="17" fillId="5" borderId="4" xfId="0" applyNumberFormat="1" applyFont="1" applyFill="1" applyBorder="1" applyAlignment="1">
      <alignment horizontal="left" vertical="center"/>
    </xf>
    <xf numFmtId="0" fontId="29" fillId="0" borderId="4" xfId="0" applyFont="1" applyBorder="1"/>
    <xf numFmtId="0" fontId="29" fillId="5" borderId="4" xfId="0" applyFont="1" applyFill="1" applyBorder="1"/>
    <xf numFmtId="0" fontId="25" fillId="10" borderId="4" xfId="5" applyFont="1" applyFill="1" applyBorder="1" applyAlignment="1">
      <alignment horizontal="center" vertical="center" wrapText="1"/>
    </xf>
    <xf numFmtId="0" fontId="25" fillId="5" borderId="4" xfId="5" applyFont="1" applyFill="1" applyBorder="1" applyAlignment="1">
      <alignment horizontal="center" vertical="center"/>
    </xf>
    <xf numFmtId="0" fontId="29" fillId="7" borderId="4" xfId="0" applyFont="1" applyFill="1" applyBorder="1"/>
    <xf numFmtId="169" fontId="30" fillId="5" borderId="4" xfId="0" applyNumberFormat="1" applyFont="1" applyFill="1" applyBorder="1" applyAlignment="1">
      <alignment horizontal="center" vertical="center"/>
    </xf>
    <xf numFmtId="170" fontId="17" fillId="5" borderId="4" xfId="5" applyNumberFormat="1" applyFont="1" applyFill="1" applyBorder="1" applyAlignment="1">
      <alignment horizontal="center" vertical="center"/>
    </xf>
    <xf numFmtId="170" fontId="17" fillId="5" borderId="4" xfId="0" applyNumberFormat="1" applyFont="1" applyFill="1" applyBorder="1" applyAlignment="1">
      <alignment horizontal="center" vertical="center"/>
    </xf>
    <xf numFmtId="0" fontId="27" fillId="14" borderId="12" xfId="5" applyFont="1" applyFill="1" applyBorder="1" applyAlignment="1">
      <alignment horizontal="center" vertical="center"/>
    </xf>
    <xf numFmtId="0" fontId="14" fillId="14" borderId="12" xfId="5" applyFont="1" applyFill="1" applyBorder="1" applyAlignment="1">
      <alignment horizontal="left" vertical="center"/>
    </xf>
    <xf numFmtId="0" fontId="27" fillId="6" borderId="12" xfId="5" applyFont="1" applyFill="1" applyBorder="1" applyAlignment="1">
      <alignment horizontal="center" vertical="center"/>
    </xf>
    <xf numFmtId="0" fontId="29" fillId="0" borderId="4" xfId="5" applyFont="1" applyBorder="1"/>
    <xf numFmtId="4" fontId="29" fillId="0" borderId="4" xfId="5" applyNumberFormat="1" applyFont="1" applyBorder="1"/>
    <xf numFmtId="171" fontId="29" fillId="0" borderId="4" xfId="5" applyNumberFormat="1" applyFont="1" applyBorder="1"/>
    <xf numFmtId="0" fontId="20" fillId="6" borderId="4" xfId="0" applyFont="1" applyFill="1" applyBorder="1" applyAlignment="1">
      <alignment horizontal="right" vertical="center"/>
    </xf>
    <xf numFmtId="0" fontId="20" fillId="6" borderId="4" xfId="0" applyFont="1" applyFill="1" applyBorder="1" applyAlignment="1">
      <alignment horizontal="left" vertical="center"/>
    </xf>
    <xf numFmtId="0" fontId="22" fillId="7" borderId="4" xfId="0" applyFont="1" applyFill="1" applyBorder="1" applyAlignment="1">
      <alignment horizontal="right" vertical="center"/>
    </xf>
    <xf numFmtId="0" fontId="29" fillId="7" borderId="4" xfId="5" applyFont="1" applyFill="1" applyBorder="1"/>
    <xf numFmtId="1" fontId="29" fillId="7" borderId="4" xfId="5" applyNumberFormat="1" applyFont="1" applyFill="1" applyBorder="1"/>
    <xf numFmtId="0" fontId="25" fillId="5" borderId="4" xfId="0" applyFont="1" applyFill="1" applyBorder="1" applyAlignment="1">
      <alignment horizontal="center" vertical="center"/>
    </xf>
    <xf numFmtId="0" fontId="25" fillId="11" borderId="4" xfId="0" applyFont="1" applyFill="1" applyBorder="1" applyAlignment="1">
      <alignment horizontal="center" vertical="center"/>
    </xf>
    <xf numFmtId="0" fontId="14" fillId="14" borderId="12" xfId="0" applyFont="1" applyFill="1" applyBorder="1" applyAlignment="1">
      <alignment horizontal="left" vertical="center"/>
    </xf>
    <xf numFmtId="0" fontId="14" fillId="6" borderId="12" xfId="0" applyFont="1" applyFill="1" applyBorder="1" applyAlignment="1">
      <alignment horizontal="left" vertical="center"/>
    </xf>
    <xf numFmtId="169" fontId="29" fillId="0" borderId="4" xfId="5" applyNumberFormat="1" applyFont="1" applyBorder="1"/>
    <xf numFmtId="170" fontId="29" fillId="0" borderId="4" xfId="5" applyNumberFormat="1" applyFont="1" applyBorder="1"/>
    <xf numFmtId="167" fontId="0" fillId="0" borderId="0" xfId="0" applyNumberFormat="1" applyBorder="1"/>
    <xf numFmtId="172" fontId="0" fillId="0" borderId="0" xfId="0" applyNumberFormat="1" applyBorder="1"/>
    <xf numFmtId="173" fontId="0" fillId="0" borderId="0" xfId="0" applyNumberFormat="1" applyBorder="1"/>
    <xf numFmtId="0" fontId="32" fillId="5" borderId="4" xfId="0" applyFont="1" applyFill="1" applyBorder="1" applyAlignment="1">
      <alignment horizontal="left" vertical="center"/>
    </xf>
    <xf numFmtId="0" fontId="17" fillId="5" borderId="17" xfId="0" applyFont="1" applyFill="1" applyBorder="1" applyAlignment="1">
      <alignment horizontal="center" vertical="center"/>
    </xf>
    <xf numFmtId="0" fontId="17" fillId="9" borderId="17" xfId="0" applyFont="1" applyFill="1" applyBorder="1" applyAlignment="1">
      <alignment horizontal="center" vertical="center" wrapText="1"/>
    </xf>
    <xf numFmtId="3" fontId="14" fillId="7" borderId="13" xfId="0" applyNumberFormat="1" applyFont="1" applyFill="1" applyBorder="1" applyAlignment="1">
      <alignment horizontal="right" vertical="center"/>
    </xf>
    <xf numFmtId="3" fontId="14" fillId="6" borderId="13" xfId="0" applyNumberFormat="1" applyFont="1" applyFill="1" applyBorder="1" applyAlignment="1">
      <alignment horizontal="right" vertical="center"/>
    </xf>
    <xf numFmtId="0" fontId="30" fillId="5" borderId="0" xfId="0" applyFont="1" applyFill="1" applyBorder="1" applyAlignment="1">
      <alignment horizontal="left" vertical="center"/>
    </xf>
    <xf numFmtId="3" fontId="30" fillId="5" borderId="15" xfId="0" applyNumberFormat="1" applyFont="1" applyFill="1" applyBorder="1" applyAlignment="1">
      <alignment horizontal="right" vertical="center"/>
    </xf>
    <xf numFmtId="169" fontId="30" fillId="5" borderId="9" xfId="0" applyNumberFormat="1" applyFont="1" applyFill="1" applyBorder="1" applyAlignment="1">
      <alignment horizontal="right" vertical="center"/>
    </xf>
    <xf numFmtId="9" fontId="14" fillId="7" borderId="19" xfId="10" applyFont="1" applyFill="1" applyBorder="1" applyAlignment="1">
      <alignment horizontal="center" vertical="center"/>
    </xf>
    <xf numFmtId="174" fontId="14" fillId="7" borderId="13" xfId="10" applyNumberFormat="1" applyFont="1" applyFill="1" applyBorder="1" applyAlignment="1">
      <alignment horizontal="center" vertical="center"/>
    </xf>
    <xf numFmtId="174" fontId="14" fillId="6" borderId="13" xfId="10" applyNumberFormat="1" applyFont="1" applyFill="1" applyBorder="1" applyAlignment="1">
      <alignment horizontal="center" vertical="center"/>
    </xf>
    <xf numFmtId="9" fontId="14" fillId="6" borderId="19" xfId="0" applyNumberFormat="1" applyFont="1" applyFill="1" applyBorder="1" applyAlignment="1">
      <alignment horizontal="center" vertical="center"/>
    </xf>
    <xf numFmtId="9" fontId="14" fillId="7" borderId="19" xfId="0" applyNumberFormat="1" applyFont="1" applyFill="1" applyBorder="1" applyAlignment="1">
      <alignment horizontal="center" vertical="center"/>
    </xf>
    <xf numFmtId="1" fontId="14" fillId="7" borderId="19" xfId="0" applyNumberFormat="1" applyFont="1" applyFill="1" applyBorder="1" applyAlignment="1">
      <alignment horizontal="center" vertical="center"/>
    </xf>
    <xf numFmtId="1" fontId="14" fillId="6" borderId="19" xfId="0" applyNumberFormat="1" applyFont="1" applyFill="1" applyBorder="1" applyAlignment="1">
      <alignment horizontal="center" vertical="center"/>
    </xf>
    <xf numFmtId="3" fontId="14" fillId="7" borderId="13" xfId="0" applyNumberFormat="1" applyFont="1" applyFill="1" applyBorder="1" applyAlignment="1">
      <alignment horizontal="center" vertical="center"/>
    </xf>
    <xf numFmtId="3" fontId="14" fillId="6" borderId="13" xfId="0" applyNumberFormat="1" applyFont="1" applyFill="1" applyBorder="1" applyAlignment="1">
      <alignment horizontal="center" vertical="center"/>
    </xf>
    <xf numFmtId="9" fontId="30" fillId="5" borderId="9" xfId="0" applyNumberFormat="1" applyFont="1" applyFill="1" applyBorder="1" applyAlignment="1">
      <alignment horizontal="center" vertical="center"/>
    </xf>
    <xf numFmtId="0" fontId="25" fillId="11" borderId="20" xfId="0" applyFont="1" applyFill="1" applyBorder="1" applyAlignment="1">
      <alignment horizontal="center" vertical="center" wrapText="1"/>
    </xf>
    <xf numFmtId="0" fontId="25" fillId="9" borderId="1" xfId="0" applyFont="1" applyFill="1" applyBorder="1" applyAlignment="1">
      <alignment horizontal="center" vertical="center" wrapText="1"/>
    </xf>
    <xf numFmtId="175" fontId="14" fillId="7" borderId="19" xfId="0" applyNumberFormat="1" applyFont="1" applyFill="1" applyBorder="1" applyAlignment="1">
      <alignment horizontal="center" vertical="center"/>
    </xf>
    <xf numFmtId="175" fontId="14" fillId="6" borderId="19" xfId="0" applyNumberFormat="1" applyFont="1" applyFill="1" applyBorder="1" applyAlignment="1">
      <alignment horizontal="center" vertical="center"/>
    </xf>
    <xf numFmtId="4" fontId="17" fillId="5" borderId="4" xfId="0" applyNumberFormat="1" applyFont="1" applyFill="1" applyBorder="1" applyAlignment="1">
      <alignment horizontal="center" vertical="center"/>
    </xf>
    <xf numFmtId="0" fontId="28" fillId="0" borderId="4" xfId="5" applyFont="1" applyBorder="1" applyAlignment="1">
      <alignment vertical="center" wrapText="1"/>
    </xf>
    <xf numFmtId="0" fontId="28" fillId="0" borderId="4" xfId="5" applyFont="1" applyBorder="1" applyAlignment="1">
      <alignment horizontal="left" vertical="center" wrapText="1"/>
    </xf>
    <xf numFmtId="9" fontId="31" fillId="8" borderId="5" xfId="10" applyFont="1" applyFill="1" applyBorder="1" applyAlignment="1">
      <alignment horizontal="center" vertical="center"/>
    </xf>
    <xf numFmtId="9" fontId="24" fillId="15" borderId="12" xfId="10" applyFont="1" applyFill="1" applyBorder="1" applyAlignment="1">
      <alignment horizontal="center" vertical="center"/>
    </xf>
    <xf numFmtId="9" fontId="24" fillId="16" borderId="12" xfId="10" applyFont="1" applyFill="1" applyBorder="1" applyAlignment="1">
      <alignment horizontal="center" vertical="center"/>
    </xf>
    <xf numFmtId="42" fontId="14" fillId="7" borderId="4" xfId="0" applyNumberFormat="1" applyFont="1" applyFill="1" applyBorder="1" applyAlignment="1">
      <alignment horizontal="right" vertical="center" indent="2"/>
    </xf>
    <xf numFmtId="42" fontId="17" fillId="5" borderId="4" xfId="0" applyNumberFormat="1" applyFont="1" applyFill="1" applyBorder="1" applyAlignment="1">
      <alignment horizontal="right" vertical="center" indent="2"/>
    </xf>
    <xf numFmtId="41" fontId="15" fillId="8" borderId="4" xfId="1" applyFont="1" applyFill="1" applyBorder="1" applyAlignment="1">
      <alignment horizontal="center" vertical="center"/>
    </xf>
    <xf numFmtId="4" fontId="14" fillId="7" borderId="4" xfId="0" applyNumberFormat="1" applyFont="1" applyFill="1" applyBorder="1" applyAlignment="1">
      <alignment horizontal="right" vertical="center"/>
    </xf>
    <xf numFmtId="41" fontId="15" fillId="8" borderId="4" xfId="1" applyFont="1" applyFill="1" applyBorder="1" applyAlignment="1" applyProtection="1">
      <alignment horizontal="center" vertical="center"/>
      <protection locked="0"/>
    </xf>
    <xf numFmtId="3" fontId="14" fillId="7" borderId="12" xfId="1" applyNumberFormat="1" applyFont="1" applyFill="1" applyBorder="1" applyAlignment="1">
      <alignment horizontal="right" vertical="center" indent="2"/>
    </xf>
    <xf numFmtId="3" fontId="14" fillId="7" borderId="13" xfId="1" applyNumberFormat="1" applyFont="1" applyFill="1" applyBorder="1" applyAlignment="1">
      <alignment horizontal="right" vertical="center" indent="2"/>
    </xf>
    <xf numFmtId="3" fontId="23" fillId="12" borderId="14" xfId="1" applyNumberFormat="1" applyFont="1" applyFill="1" applyBorder="1" applyAlignment="1">
      <alignment horizontal="right" vertical="center" indent="2"/>
    </xf>
    <xf numFmtId="3" fontId="14" fillId="6" borderId="12" xfId="1" applyNumberFormat="1" applyFont="1" applyFill="1" applyBorder="1" applyAlignment="1">
      <alignment horizontal="right" vertical="center" indent="2"/>
    </xf>
    <xf numFmtId="3" fontId="14" fillId="6" borderId="13" xfId="1" applyNumberFormat="1" applyFont="1" applyFill="1" applyBorder="1" applyAlignment="1">
      <alignment horizontal="right" vertical="center" indent="2"/>
    </xf>
    <xf numFmtId="3" fontId="23" fillId="13" borderId="14" xfId="1" applyNumberFormat="1" applyFont="1" applyFill="1" applyBorder="1" applyAlignment="1">
      <alignment horizontal="right" vertical="center" indent="2"/>
    </xf>
    <xf numFmtId="41" fontId="11" fillId="0" borderId="4" xfId="1" applyFont="1" applyBorder="1" applyAlignment="1">
      <alignment horizontal="right" vertical="center" indent="2"/>
    </xf>
    <xf numFmtId="3" fontId="17" fillId="5" borderId="4" xfId="1" applyNumberFormat="1" applyFont="1" applyFill="1" applyBorder="1" applyAlignment="1">
      <alignment horizontal="right" vertical="center" indent="2"/>
    </xf>
    <xf numFmtId="3" fontId="17" fillId="5" borderId="15" xfId="1" applyNumberFormat="1" applyFont="1" applyFill="1" applyBorder="1" applyAlignment="1">
      <alignment horizontal="right" vertical="center" indent="2"/>
    </xf>
    <xf numFmtId="3" fontId="17" fillId="5" borderId="9" xfId="1" applyNumberFormat="1" applyFont="1" applyFill="1" applyBorder="1" applyAlignment="1">
      <alignment horizontal="right" vertical="center" indent="2"/>
    </xf>
    <xf numFmtId="170" fontId="23" fillId="12" borderId="14" xfId="1" applyNumberFormat="1" applyFont="1" applyFill="1" applyBorder="1" applyAlignment="1">
      <alignment horizontal="right" vertical="center" indent="2"/>
    </xf>
    <xf numFmtId="170" fontId="23" fillId="13" borderId="14" xfId="1" applyNumberFormat="1" applyFont="1" applyFill="1" applyBorder="1" applyAlignment="1">
      <alignment horizontal="right" vertical="center" indent="2"/>
    </xf>
    <xf numFmtId="170" fontId="17" fillId="5" borderId="4" xfId="1" applyNumberFormat="1" applyFont="1" applyFill="1" applyBorder="1" applyAlignment="1">
      <alignment horizontal="right" vertical="center" indent="2"/>
    </xf>
    <xf numFmtId="170" fontId="17" fillId="5" borderId="15" xfId="1" applyNumberFormat="1" applyFont="1" applyFill="1" applyBorder="1" applyAlignment="1">
      <alignment horizontal="right" vertical="center" indent="2"/>
    </xf>
    <xf numFmtId="170" fontId="17" fillId="5" borderId="9" xfId="1" applyNumberFormat="1" applyFont="1" applyFill="1" applyBorder="1" applyAlignment="1">
      <alignment horizontal="right" vertical="center" indent="2"/>
    </xf>
    <xf numFmtId="9" fontId="8" fillId="0" borderId="0" xfId="10" applyFont="1" applyBorder="1"/>
    <xf numFmtId="0" fontId="0" fillId="0" borderId="0" xfId="0" applyBorder="1" applyAlignment="1">
      <alignment horizontal="right" indent="2"/>
    </xf>
    <xf numFmtId="0" fontId="11" fillId="0" borderId="4" xfId="0" applyFont="1" applyBorder="1" applyAlignment="1">
      <alignment horizontal="right" vertical="center"/>
    </xf>
    <xf numFmtId="9" fontId="24" fillId="17" borderId="12" xfId="10" applyFont="1" applyFill="1" applyBorder="1" applyAlignment="1">
      <alignment horizontal="center" vertical="center"/>
    </xf>
    <xf numFmtId="41" fontId="1" fillId="18" borderId="4" xfId="1" applyFill="1" applyBorder="1"/>
    <xf numFmtId="0" fontId="0" fillId="19" borderId="0" xfId="0" applyFill="1" applyBorder="1"/>
    <xf numFmtId="170" fontId="41" fillId="7" borderId="0" xfId="0" applyNumberFormat="1" applyFont="1" applyFill="1" applyBorder="1" applyAlignment="1">
      <alignment horizontal="center" vertical="center"/>
    </xf>
    <xf numFmtId="170" fontId="44" fillId="20" borderId="0" xfId="0" applyNumberFormat="1" applyFont="1" applyFill="1" applyBorder="1" applyAlignment="1">
      <alignment horizontal="center" vertical="center"/>
    </xf>
    <xf numFmtId="170" fontId="46" fillId="22" borderId="0" xfId="0" applyNumberFormat="1" applyFont="1" applyFill="1" applyBorder="1" applyAlignment="1">
      <alignment horizontal="center" vertical="center"/>
    </xf>
    <xf numFmtId="170" fontId="38" fillId="5" borderId="0" xfId="0" applyNumberFormat="1" applyFont="1" applyFill="1" applyBorder="1" applyAlignment="1">
      <alignment horizontal="center" vertical="center"/>
    </xf>
    <xf numFmtId="174" fontId="42" fillId="12" borderId="0" xfId="0" applyNumberFormat="1" applyFont="1" applyFill="1" applyBorder="1" applyAlignment="1">
      <alignment horizontal="center" vertical="center"/>
    </xf>
    <xf numFmtId="174" fontId="43" fillId="21" borderId="0" xfId="0" applyNumberFormat="1" applyFont="1" applyFill="1" applyBorder="1" applyAlignment="1">
      <alignment horizontal="center" vertical="center"/>
    </xf>
    <xf numFmtId="10" fontId="45" fillId="22" borderId="0" xfId="0" applyNumberFormat="1" applyFont="1" applyFill="1" applyBorder="1" applyAlignment="1">
      <alignment horizontal="center" vertical="center"/>
    </xf>
    <xf numFmtId="174" fontId="47" fillId="12" borderId="0" xfId="0" applyNumberFormat="1" applyFont="1" applyFill="1" applyBorder="1" applyAlignment="1">
      <alignment horizontal="center" vertical="center"/>
    </xf>
    <xf numFmtId="170" fontId="41" fillId="6" borderId="0" xfId="0" applyNumberFormat="1" applyFont="1" applyFill="1" applyBorder="1" applyAlignment="1">
      <alignment horizontal="center" vertical="center"/>
    </xf>
    <xf numFmtId="0" fontId="41" fillId="19" borderId="0" xfId="0" applyFont="1" applyFill="1" applyBorder="1" applyAlignment="1">
      <alignment horizontal="center" vertical="center"/>
    </xf>
    <xf numFmtId="174" fontId="23" fillId="12" borderId="14" xfId="1" applyNumberFormat="1" applyFont="1" applyFill="1" applyBorder="1" applyAlignment="1">
      <alignment horizontal="right" vertical="center" indent="2"/>
    </xf>
    <xf numFmtId="174" fontId="23" fillId="13" borderId="14" xfId="1" applyNumberFormat="1" applyFont="1" applyFill="1" applyBorder="1" applyAlignment="1">
      <alignment horizontal="right" vertical="center" indent="2"/>
    </xf>
    <xf numFmtId="174" fontId="17" fillId="5" borderId="9" xfId="1" applyNumberFormat="1" applyFont="1" applyFill="1" applyBorder="1" applyAlignment="1">
      <alignment horizontal="right" vertical="center" indent="2"/>
    </xf>
    <xf numFmtId="0" fontId="0" fillId="4" borderId="4" xfId="0" applyFill="1" applyBorder="1"/>
    <xf numFmtId="174" fontId="14" fillId="7" borderId="6" xfId="0" applyNumberFormat="1" applyFont="1" applyFill="1" applyBorder="1" applyAlignment="1">
      <alignment horizontal="right" vertical="center"/>
    </xf>
    <xf numFmtId="174" fontId="14" fillId="6" borderId="6" xfId="0" applyNumberFormat="1" applyFont="1" applyFill="1" applyBorder="1" applyAlignment="1">
      <alignment horizontal="right" vertical="center"/>
    </xf>
    <xf numFmtId="174" fontId="17" fillId="5" borderId="4" xfId="0" applyNumberFormat="1" applyFont="1" applyFill="1" applyBorder="1" applyAlignment="1">
      <alignment horizontal="right" vertical="center"/>
    </xf>
    <xf numFmtId="0" fontId="51" fillId="0" borderId="22" xfId="2" applyFont="1" applyBorder="1" applyAlignment="1">
      <alignment horizontal="left" vertical="center"/>
    </xf>
    <xf numFmtId="0" fontId="51" fillId="0" borderId="22" xfId="0" applyFont="1" applyBorder="1" applyAlignment="1">
      <alignment horizontal="left" vertical="center"/>
    </xf>
    <xf numFmtId="0" fontId="54" fillId="24" borderId="22" xfId="2" applyFont="1" applyFill="1" applyBorder="1" applyAlignment="1">
      <alignment horizontal="center" vertical="center"/>
    </xf>
    <xf numFmtId="0" fontId="55" fillId="26" borderId="23" xfId="2" applyFont="1" applyFill="1" applyBorder="1" applyAlignment="1">
      <alignment horizontal="left" vertical="center" indent="1"/>
    </xf>
    <xf numFmtId="0" fontId="51" fillId="0" borderId="23" xfId="2" applyFont="1" applyBorder="1" applyAlignment="1">
      <alignment horizontal="left" vertical="center"/>
    </xf>
    <xf numFmtId="0" fontId="57" fillId="27" borderId="22" xfId="2" applyFont="1" applyFill="1" applyBorder="1" applyAlignment="1">
      <alignment horizontal="center" vertical="center"/>
    </xf>
    <xf numFmtId="0" fontId="58" fillId="28" borderId="22" xfId="2" applyFont="1" applyFill="1" applyBorder="1" applyAlignment="1">
      <alignment horizontal="left" vertical="center" indent="1"/>
    </xf>
    <xf numFmtId="0" fontId="58" fillId="26" borderId="22" xfId="2" applyFont="1" applyFill="1" applyBorder="1" applyAlignment="1">
      <alignment horizontal="left" vertical="center" indent="1"/>
    </xf>
    <xf numFmtId="0" fontId="57" fillId="27" borderId="22" xfId="0" applyFont="1" applyFill="1" applyBorder="1" applyAlignment="1">
      <alignment horizontal="center" vertical="center"/>
    </xf>
    <xf numFmtId="0" fontId="58" fillId="28" borderId="22" xfId="0" applyFont="1" applyFill="1" applyBorder="1" applyAlignment="1">
      <alignment horizontal="left" vertical="center" indent="1"/>
    </xf>
    <xf numFmtId="0" fontId="54" fillId="24" borderId="22" xfId="0" applyFont="1" applyFill="1" applyBorder="1" applyAlignment="1">
      <alignment horizontal="center" vertical="center"/>
    </xf>
    <xf numFmtId="0" fontId="55" fillId="26" borderId="23" xfId="0" applyFont="1" applyFill="1" applyBorder="1" applyAlignment="1">
      <alignment horizontal="left" vertical="center" indent="1"/>
    </xf>
    <xf numFmtId="0" fontId="51" fillId="0" borderId="23" xfId="0" applyFont="1" applyBorder="1" applyAlignment="1">
      <alignment horizontal="left" vertical="center"/>
    </xf>
    <xf numFmtId="0" fontId="61" fillId="28" borderId="22" xfId="0" applyFont="1" applyFill="1" applyBorder="1" applyAlignment="1">
      <alignment horizontal="center" vertical="center"/>
    </xf>
    <xf numFmtId="0" fontId="58" fillId="28" borderId="22" xfId="0" applyFont="1" applyFill="1" applyBorder="1" applyAlignment="1">
      <alignment horizontal="left" vertical="center" wrapText="1" indent="1"/>
    </xf>
    <xf numFmtId="0" fontId="61" fillId="26" borderId="22" xfId="0" applyFont="1" applyFill="1" applyBorder="1" applyAlignment="1">
      <alignment horizontal="center" vertical="center"/>
    </xf>
    <xf numFmtId="0" fontId="58" fillId="26" borderId="22" xfId="0" applyFont="1" applyFill="1" applyBorder="1" applyAlignment="1">
      <alignment horizontal="left" vertical="center" wrapText="1" indent="1"/>
    </xf>
    <xf numFmtId="0" fontId="61" fillId="28" borderId="22" xfId="0" applyFont="1" applyFill="1" applyBorder="1" applyAlignment="1">
      <alignment horizontal="center" vertical="top"/>
    </xf>
    <xf numFmtId="0" fontId="62" fillId="28" borderId="22" xfId="0" applyFont="1" applyFill="1" applyBorder="1" applyAlignment="1">
      <alignment horizontal="left" vertical="center" wrapText="1" indent="1"/>
    </xf>
    <xf numFmtId="0" fontId="61" fillId="26" borderId="22" xfId="0" applyFont="1" applyFill="1" applyBorder="1" applyAlignment="1">
      <alignment horizontal="center" vertical="top"/>
    </xf>
    <xf numFmtId="0" fontId="62" fillId="26" borderId="22" xfId="0" applyFont="1" applyFill="1" applyBorder="1" applyAlignment="1">
      <alignment horizontal="left" vertical="center" wrapText="1" indent="1"/>
    </xf>
    <xf numFmtId="174" fontId="66" fillId="30" borderId="26" xfId="0" applyNumberFormat="1" applyFont="1" applyFill="1" applyBorder="1" applyAlignment="1">
      <alignment horizontal="center" vertical="center"/>
    </xf>
    <xf numFmtId="174" fontId="67" fillId="26" borderId="27" xfId="0" applyNumberFormat="1" applyFont="1" applyFill="1" applyBorder="1" applyAlignment="1">
      <alignment horizontal="center" vertical="center"/>
    </xf>
    <xf numFmtId="0" fontId="68" fillId="28" borderId="28" xfId="0" applyFont="1" applyFill="1" applyBorder="1" applyAlignment="1">
      <alignment horizontal="center" vertical="center"/>
    </xf>
    <xf numFmtId="174" fontId="60" fillId="28" borderId="28" xfId="0" applyNumberFormat="1" applyFont="1" applyFill="1" applyBorder="1" applyAlignment="1">
      <alignment horizontal="center" vertical="center"/>
    </xf>
    <xf numFmtId="174" fontId="58" fillId="28" borderId="28" xfId="0" applyNumberFormat="1" applyFont="1" applyFill="1" applyBorder="1" applyAlignment="1">
      <alignment horizontal="center" vertical="center"/>
    </xf>
    <xf numFmtId="0" fontId="69" fillId="28" borderId="28" xfId="0" applyFont="1" applyFill="1" applyBorder="1" applyAlignment="1">
      <alignment horizontal="left" vertical="center" indent="1"/>
    </xf>
    <xf numFmtId="0" fontId="68" fillId="26" borderId="28" xfId="0" applyFont="1" applyFill="1" applyBorder="1" applyAlignment="1">
      <alignment horizontal="center" vertical="center"/>
    </xf>
    <xf numFmtId="174" fontId="60" fillId="26" borderId="28" xfId="0" applyNumberFormat="1" applyFont="1" applyFill="1" applyBorder="1" applyAlignment="1">
      <alignment horizontal="center" vertical="center"/>
    </xf>
    <xf numFmtId="174" fontId="58" fillId="26" borderId="28" xfId="0" applyNumberFormat="1" applyFont="1" applyFill="1" applyBorder="1" applyAlignment="1">
      <alignment horizontal="center" vertical="center"/>
    </xf>
    <xf numFmtId="0" fontId="69" fillId="26" borderId="28" xfId="0" applyFont="1" applyFill="1" applyBorder="1" applyAlignment="1">
      <alignment horizontal="left" vertical="center" indent="1"/>
    </xf>
    <xf numFmtId="0" fontId="63" fillId="0" borderId="22" xfId="0" applyFont="1" applyBorder="1" applyAlignment="1">
      <alignment horizontal="left" vertical="center" indent="1"/>
    </xf>
    <xf numFmtId="0" fontId="70" fillId="24" borderId="23" xfId="0" applyFont="1" applyFill="1" applyBorder="1" applyAlignment="1">
      <alignment horizontal="center" vertical="center" wrapText="1"/>
    </xf>
    <xf numFmtId="170" fontId="62" fillId="28" borderId="28" xfId="0" applyNumberFormat="1" applyFont="1" applyFill="1" applyBorder="1" applyAlignment="1">
      <alignment horizontal="center" vertical="center"/>
    </xf>
    <xf numFmtId="176" fontId="72" fillId="28" borderId="28" xfId="0" applyNumberFormat="1" applyFont="1" applyFill="1" applyBorder="1" applyAlignment="1">
      <alignment horizontal="left" vertical="center" indent="1"/>
    </xf>
    <xf numFmtId="170" fontId="62" fillId="26" borderId="28" xfId="0" applyNumberFormat="1" applyFont="1" applyFill="1" applyBorder="1" applyAlignment="1">
      <alignment horizontal="center" vertical="center"/>
    </xf>
    <xf numFmtId="176" fontId="72" fillId="26" borderId="28" xfId="0" applyNumberFormat="1" applyFont="1" applyFill="1" applyBorder="1" applyAlignment="1">
      <alignment horizontal="left" vertical="center" indent="1"/>
    </xf>
    <xf numFmtId="0" fontId="0" fillId="0" borderId="24" xfId="0"/>
    <xf numFmtId="0" fontId="11" fillId="26" borderId="22" xfId="2" applyFont="1" applyFill="1" applyBorder="1" applyAlignment="1">
      <alignment horizontal="left" vertical="center" indent="1"/>
    </xf>
    <xf numFmtId="0" fontId="11" fillId="28" borderId="22" xfId="2" applyFont="1" applyFill="1" applyBorder="1" applyAlignment="1">
      <alignment horizontal="left" vertical="center" indent="1"/>
    </xf>
    <xf numFmtId="0" fontId="11" fillId="28" borderId="22" xfId="0" applyFont="1" applyFill="1" applyBorder="1" applyAlignment="1">
      <alignment horizontal="left" vertical="center" indent="1"/>
    </xf>
    <xf numFmtId="41" fontId="15" fillId="8" borderId="5" xfId="1" applyFont="1" applyFill="1" applyBorder="1" applyAlignment="1">
      <alignment horizontal="right" vertical="center" indent="2"/>
    </xf>
    <xf numFmtId="41" fontId="15" fillId="8" borderId="5" xfId="1" applyFont="1" applyFill="1" applyBorder="1" applyAlignment="1" applyProtection="1">
      <alignment horizontal="right" vertical="center" indent="2"/>
      <protection locked="0"/>
    </xf>
    <xf numFmtId="3" fontId="44" fillId="20" borderId="0" xfId="0" applyNumberFormat="1" applyFont="1" applyFill="1" applyBorder="1" applyAlignment="1">
      <alignment horizontal="center" vertical="center"/>
    </xf>
    <xf numFmtId="3" fontId="38" fillId="5" borderId="0" xfId="0" applyNumberFormat="1" applyFont="1" applyFill="1" applyBorder="1" applyAlignment="1">
      <alignment horizontal="center" vertical="center"/>
    </xf>
    <xf numFmtId="3" fontId="46" fillId="22" borderId="0" xfId="0" applyNumberFormat="1" applyFont="1" applyFill="1" applyBorder="1" applyAlignment="1">
      <alignment horizontal="center" vertical="center"/>
    </xf>
    <xf numFmtId="3" fontId="41" fillId="7" borderId="0" xfId="0" applyNumberFormat="1" applyFont="1" applyFill="1" applyBorder="1" applyAlignment="1">
      <alignment horizontal="center" vertical="center"/>
    </xf>
    <xf numFmtId="0" fontId="75" fillId="0" borderId="0" xfId="0" applyFont="1" applyBorder="1"/>
    <xf numFmtId="0" fontId="25" fillId="32" borderId="9" xfId="0" applyFont="1" applyFill="1" applyBorder="1" applyAlignment="1">
      <alignment horizontal="center" vertical="center" wrapText="1"/>
    </xf>
    <xf numFmtId="0" fontId="25" fillId="32" borderId="11" xfId="0" applyFont="1" applyFill="1" applyBorder="1" applyAlignment="1">
      <alignment horizontal="center" vertical="center" wrapText="1"/>
    </xf>
    <xf numFmtId="3" fontId="14" fillId="7" borderId="6" xfId="0" applyNumberFormat="1" applyFont="1" applyFill="1" applyBorder="1" applyAlignment="1">
      <alignment horizontal="right" vertical="center" indent="2"/>
    </xf>
    <xf numFmtId="3" fontId="14" fillId="6" borderId="6" xfId="0" applyNumberFormat="1" applyFont="1" applyFill="1" applyBorder="1" applyAlignment="1">
      <alignment horizontal="right" vertical="center" indent="2"/>
    </xf>
    <xf numFmtId="0" fontId="74" fillId="19" borderId="0" xfId="0" applyFont="1" applyFill="1" applyBorder="1"/>
    <xf numFmtId="0" fontId="77" fillId="9" borderId="4" xfId="0" applyFont="1" applyFill="1" applyBorder="1" applyAlignment="1">
      <alignment horizontal="center" vertical="center" wrapText="1"/>
    </xf>
    <xf numFmtId="0" fontId="77" fillId="10" borderId="4" xfId="0" applyFont="1" applyFill="1" applyBorder="1" applyAlignment="1">
      <alignment horizontal="center" vertical="center" wrapText="1"/>
    </xf>
    <xf numFmtId="0" fontId="77" fillId="5" borderId="4" xfId="0" applyFont="1" applyFill="1" applyBorder="1" applyAlignment="1">
      <alignment horizontal="center" vertical="center" wrapText="1"/>
    </xf>
    <xf numFmtId="0" fontId="75" fillId="19" borderId="0" xfId="0" applyFont="1" applyFill="1" applyBorder="1"/>
    <xf numFmtId="0" fontId="79" fillId="10" borderId="4" xfId="0" applyFont="1" applyFill="1" applyBorder="1" applyAlignment="1">
      <alignment horizontal="center" vertical="center" wrapText="1"/>
    </xf>
    <xf numFmtId="0" fontId="79" fillId="11" borderId="4" xfId="0" applyFont="1" applyFill="1" applyBorder="1" applyAlignment="1">
      <alignment horizontal="center" vertical="center" wrapText="1"/>
    </xf>
    <xf numFmtId="0" fontId="78" fillId="11" borderId="4" xfId="0" applyFont="1" applyFill="1" applyBorder="1" applyAlignment="1">
      <alignment horizontal="center" vertical="center" wrapText="1"/>
    </xf>
    <xf numFmtId="0" fontId="77" fillId="11" borderId="4" xfId="0" applyFont="1" applyFill="1" applyBorder="1" applyAlignment="1">
      <alignment horizontal="center" vertical="center" wrapText="1"/>
    </xf>
    <xf numFmtId="3" fontId="80" fillId="9" borderId="4" xfId="0" applyNumberFormat="1" applyFont="1" applyFill="1" applyBorder="1" applyAlignment="1">
      <alignment horizontal="right" vertical="center" indent="2"/>
    </xf>
    <xf numFmtId="3" fontId="80" fillId="10" borderId="4" xfId="0" applyNumberFormat="1" applyFont="1" applyFill="1" applyBorder="1" applyAlignment="1">
      <alignment horizontal="right" vertical="center" indent="2"/>
    </xf>
    <xf numFmtId="174" fontId="43" fillId="12" borderId="4" xfId="0" applyNumberFormat="1" applyFont="1" applyFill="1" applyBorder="1" applyAlignment="1">
      <alignment horizontal="center" vertical="center"/>
    </xf>
    <xf numFmtId="174" fontId="42" fillId="12" borderId="4" xfId="0" applyNumberFormat="1" applyFont="1" applyFill="1" applyBorder="1" applyAlignment="1">
      <alignment horizontal="center" vertical="center"/>
    </xf>
    <xf numFmtId="3" fontId="49" fillId="12" borderId="4" xfId="0" applyNumberFormat="1" applyFont="1" applyFill="1" applyBorder="1" applyAlignment="1">
      <alignment horizontal="center" vertical="center"/>
    </xf>
    <xf numFmtId="174" fontId="45" fillId="12" borderId="4" xfId="0" applyNumberFormat="1" applyFont="1" applyFill="1" applyBorder="1" applyAlignment="1">
      <alignment horizontal="center" vertical="center"/>
    </xf>
    <xf numFmtId="177" fontId="50" fillId="12" borderId="4" xfId="0" applyNumberFormat="1" applyFont="1" applyFill="1" applyBorder="1" applyAlignment="1">
      <alignment horizontal="center" vertical="center"/>
    </xf>
    <xf numFmtId="41" fontId="1" fillId="31" borderId="24" xfId="1" applyFill="1" applyAlignment="1">
      <alignment horizontal="center"/>
    </xf>
    <xf numFmtId="0" fontId="79" fillId="5" borderId="4" xfId="0" applyFont="1" applyFill="1" applyBorder="1" applyAlignment="1">
      <alignment horizontal="center" vertical="center" wrapText="1"/>
    </xf>
    <xf numFmtId="0" fontId="25" fillId="0" borderId="4" xfId="0" applyFont="1" applyBorder="1" applyAlignment="1">
      <alignment horizontal="center" vertical="center"/>
    </xf>
    <xf numFmtId="169" fontId="21" fillId="0" borderId="4" xfId="0" applyNumberFormat="1" applyFont="1" applyBorder="1" applyAlignment="1">
      <alignment horizontal="center" vertical="center"/>
    </xf>
    <xf numFmtId="169" fontId="21" fillId="0" borderId="4" xfId="5" applyNumberFormat="1" applyFont="1" applyBorder="1" applyAlignment="1">
      <alignment horizontal="center" vertical="center"/>
    </xf>
    <xf numFmtId="170" fontId="17" fillId="5" borderId="4" xfId="5" applyNumberFormat="1" applyFont="1" applyFill="1" applyBorder="1" applyAlignment="1">
      <alignment horizontal="center" vertical="center" wrapText="1"/>
    </xf>
    <xf numFmtId="170" fontId="17" fillId="5" borderId="4" xfId="0" applyNumberFormat="1" applyFont="1" applyFill="1" applyBorder="1" applyAlignment="1">
      <alignment horizontal="center" vertical="center" wrapText="1"/>
    </xf>
    <xf numFmtId="9" fontId="24" fillId="14" borderId="12" xfId="0" applyNumberFormat="1" applyFont="1" applyFill="1" applyBorder="1" applyAlignment="1">
      <alignment horizontal="center" vertical="center"/>
    </xf>
    <xf numFmtId="3" fontId="14" fillId="7" borderId="4" xfId="0" applyNumberFormat="1" applyFont="1" applyFill="1" applyBorder="1" applyAlignment="1">
      <alignment horizontal="right" vertical="center" indent="2"/>
    </xf>
    <xf numFmtId="3" fontId="14" fillId="6" borderId="4" xfId="0" applyNumberFormat="1" applyFont="1" applyFill="1" applyBorder="1" applyAlignment="1">
      <alignment horizontal="right" vertical="center" indent="2"/>
    </xf>
    <xf numFmtId="0" fontId="33" fillId="5" borderId="4" xfId="0" applyFont="1" applyFill="1" applyBorder="1" applyAlignment="1">
      <alignment vertical="center"/>
    </xf>
    <xf numFmtId="0" fontId="81" fillId="19" borderId="0" xfId="0" applyFont="1" applyFill="1" applyBorder="1" applyAlignment="1">
      <alignment horizontal="center" vertical="center"/>
    </xf>
    <xf numFmtId="0" fontId="79" fillId="9" borderId="4" xfId="0" applyFont="1" applyFill="1" applyBorder="1" applyAlignment="1">
      <alignment horizontal="center" vertical="center" wrapText="1"/>
    </xf>
    <xf numFmtId="0" fontId="64" fillId="11" borderId="0" xfId="0" applyFont="1" applyFill="1" applyBorder="1" applyAlignment="1">
      <alignment horizontal="center" vertical="center"/>
    </xf>
    <xf numFmtId="170" fontId="64" fillId="11" borderId="0" xfId="0" applyNumberFormat="1" applyFont="1" applyFill="1" applyBorder="1" applyAlignment="1">
      <alignment horizontal="center" vertical="center"/>
    </xf>
    <xf numFmtId="170" fontId="82" fillId="7" borderId="0" xfId="0" applyNumberFormat="1" applyFont="1" applyFill="1" applyBorder="1" applyAlignment="1">
      <alignment horizontal="center" vertical="center"/>
    </xf>
    <xf numFmtId="170" fontId="83" fillId="7" borderId="0" xfId="0" applyNumberFormat="1" applyFont="1" applyFill="1" applyBorder="1" applyAlignment="1">
      <alignment horizontal="center" vertical="center"/>
    </xf>
    <xf numFmtId="174" fontId="85" fillId="12" borderId="0" xfId="0" applyNumberFormat="1" applyFont="1" applyFill="1" applyBorder="1" applyAlignment="1">
      <alignment horizontal="center" vertical="center"/>
    </xf>
    <xf numFmtId="0" fontId="64" fillId="9" borderId="0" xfId="0" applyFont="1" applyFill="1" applyBorder="1" applyAlignment="1">
      <alignment horizontal="center" vertical="center"/>
    </xf>
    <xf numFmtId="3" fontId="64" fillId="9" borderId="0" xfId="0" applyNumberFormat="1" applyFont="1" applyFill="1" applyBorder="1" applyAlignment="1">
      <alignment horizontal="center" vertical="center"/>
    </xf>
    <xf numFmtId="3" fontId="82" fillId="7" borderId="0" xfId="0" applyNumberFormat="1" applyFont="1" applyFill="1" applyBorder="1" applyAlignment="1">
      <alignment horizontal="center" vertical="center"/>
    </xf>
    <xf numFmtId="3" fontId="86" fillId="7" borderId="0" xfId="0" applyNumberFormat="1" applyFont="1" applyFill="1" applyBorder="1" applyAlignment="1">
      <alignment horizontal="center" vertical="center"/>
    </xf>
    <xf numFmtId="174" fontId="87" fillId="12" borderId="0" xfId="0" applyNumberFormat="1" applyFont="1" applyFill="1" applyBorder="1" applyAlignment="1">
      <alignment horizontal="center" vertical="center"/>
    </xf>
    <xf numFmtId="170" fontId="82" fillId="6" borderId="0" xfId="0" applyNumberFormat="1" applyFont="1" applyFill="1" applyBorder="1" applyAlignment="1">
      <alignment horizontal="center" vertical="center"/>
    </xf>
    <xf numFmtId="170" fontId="83" fillId="6" borderId="0" xfId="0" applyNumberFormat="1" applyFont="1" applyFill="1" applyBorder="1" applyAlignment="1">
      <alignment horizontal="center" vertical="center"/>
    </xf>
    <xf numFmtId="174" fontId="84" fillId="6" borderId="0" xfId="0" applyNumberFormat="1" applyFont="1" applyFill="1" applyBorder="1" applyAlignment="1">
      <alignment horizontal="center" vertical="center"/>
    </xf>
    <xf numFmtId="3" fontId="82" fillId="6" borderId="0" xfId="0" applyNumberFormat="1" applyFont="1" applyFill="1" applyBorder="1" applyAlignment="1">
      <alignment horizontal="center" vertical="center"/>
    </xf>
    <xf numFmtId="3" fontId="86" fillId="6" borderId="0" xfId="0" applyNumberFormat="1" applyFont="1" applyFill="1" applyBorder="1" applyAlignment="1">
      <alignment horizontal="center" vertical="center"/>
    </xf>
    <xf numFmtId="175" fontId="84" fillId="6" borderId="0" xfId="0" applyNumberFormat="1" applyFont="1" applyFill="1" applyBorder="1" applyAlignment="1">
      <alignment horizontal="center" vertical="center"/>
    </xf>
    <xf numFmtId="0" fontId="80" fillId="5" borderId="4" xfId="0" applyFont="1" applyFill="1" applyBorder="1" applyAlignment="1">
      <alignment horizontal="center" vertical="center" wrapText="1"/>
    </xf>
    <xf numFmtId="1" fontId="14" fillId="7" borderId="6" xfId="1" applyNumberFormat="1" applyFont="1" applyFill="1" applyBorder="1" applyAlignment="1">
      <alignment horizontal="center" vertical="center"/>
    </xf>
    <xf numFmtId="1" fontId="14" fillId="6" borderId="6" xfId="1" applyNumberFormat="1" applyFont="1" applyFill="1" applyBorder="1" applyAlignment="1">
      <alignment horizontal="center" vertical="center"/>
    </xf>
    <xf numFmtId="176" fontId="14" fillId="7" borderId="6" xfId="1" applyNumberFormat="1" applyFont="1" applyFill="1" applyBorder="1" applyAlignment="1">
      <alignment horizontal="center" vertical="center"/>
    </xf>
    <xf numFmtId="176" fontId="14" fillId="6" borderId="6" xfId="1" applyNumberFormat="1" applyFont="1" applyFill="1" applyBorder="1" applyAlignment="1">
      <alignment horizontal="center" vertical="center"/>
    </xf>
    <xf numFmtId="1" fontId="14" fillId="7" borderId="6" xfId="1" applyNumberFormat="1" applyFont="1" applyFill="1" applyBorder="1" applyAlignment="1">
      <alignment horizontal="left" vertical="center"/>
    </xf>
    <xf numFmtId="1" fontId="14" fillId="6" borderId="6" xfId="1" applyNumberFormat="1" applyFont="1" applyFill="1" applyBorder="1" applyAlignment="1">
      <alignment horizontal="left" vertical="center"/>
    </xf>
    <xf numFmtId="3" fontId="91" fillId="23" borderId="4" xfId="0" applyNumberFormat="1" applyFont="1" applyFill="1" applyBorder="1" applyAlignment="1">
      <alignment horizontal="center" vertical="center"/>
    </xf>
    <xf numFmtId="174" fontId="92" fillId="23" borderId="4" xfId="0" applyNumberFormat="1" applyFont="1" applyFill="1" applyBorder="1" applyAlignment="1">
      <alignment horizontal="center" vertical="center"/>
    </xf>
    <xf numFmtId="177" fontId="93" fillId="23" borderId="4" xfId="0" applyNumberFormat="1" applyFont="1" applyFill="1" applyBorder="1" applyAlignment="1">
      <alignment horizontal="center" vertical="center"/>
    </xf>
    <xf numFmtId="3" fontId="94" fillId="22" borderId="4" xfId="0" applyNumberFormat="1" applyFont="1" applyFill="1" applyBorder="1" applyAlignment="1">
      <alignment horizontal="center" vertical="center"/>
    </xf>
    <xf numFmtId="174" fontId="95" fillId="22" borderId="4" xfId="0" applyNumberFormat="1" applyFont="1" applyFill="1" applyBorder="1" applyAlignment="1">
      <alignment horizontal="center" vertical="center"/>
    </xf>
    <xf numFmtId="177" fontId="96" fillId="22" borderId="4" xfId="0" applyNumberFormat="1" applyFont="1" applyFill="1" applyBorder="1" applyAlignment="1">
      <alignment horizontal="center" vertical="center"/>
    </xf>
    <xf numFmtId="0" fontId="97" fillId="7" borderId="4" xfId="0" applyFont="1" applyFill="1" applyBorder="1" applyAlignment="1">
      <alignment horizontal="left" vertical="center"/>
    </xf>
    <xf numFmtId="1" fontId="98" fillId="7" borderId="4" xfId="0" applyNumberFormat="1" applyFont="1" applyFill="1" applyBorder="1" applyAlignment="1">
      <alignment horizontal="center" vertical="center"/>
    </xf>
    <xf numFmtId="174" fontId="99" fillId="7" borderId="0" xfId="0" applyNumberFormat="1" applyFont="1" applyFill="1" applyBorder="1" applyAlignment="1">
      <alignment horizontal="center" vertical="center"/>
    </xf>
    <xf numFmtId="175" fontId="99" fillId="7" borderId="0" xfId="0" applyNumberFormat="1" applyFont="1" applyFill="1" applyBorder="1" applyAlignment="1">
      <alignment horizontal="center" vertical="center"/>
    </xf>
    <xf numFmtId="0" fontId="100" fillId="7" borderId="2" xfId="0" applyFont="1" applyFill="1" applyBorder="1" applyAlignment="1">
      <alignment horizontal="center" vertical="center"/>
    </xf>
    <xf numFmtId="0" fontId="100" fillId="7" borderId="0" xfId="8" applyFont="1" applyFill="1" applyBorder="1" applyAlignment="1">
      <alignment horizontal="center" vertical="center"/>
    </xf>
    <xf numFmtId="0" fontId="100" fillId="7" borderId="0" xfId="3" applyFont="1" applyFill="1" applyBorder="1" applyAlignment="1">
      <alignment horizontal="center" vertical="center"/>
    </xf>
    <xf numFmtId="0" fontId="100" fillId="7" borderId="2" xfId="3" applyFont="1" applyFill="1" applyBorder="1" applyAlignment="1">
      <alignment horizontal="center" vertical="center"/>
    </xf>
    <xf numFmtId="0" fontId="16" fillId="6" borderId="4" xfId="5" applyFont="1" applyFill="1" applyBorder="1" applyAlignment="1">
      <alignment vertical="center"/>
    </xf>
    <xf numFmtId="4" fontId="17" fillId="5" borderId="4" xfId="1" applyNumberFormat="1" applyFont="1" applyFill="1" applyBorder="1" applyAlignment="1">
      <alignment horizontal="center" vertical="center"/>
    </xf>
    <xf numFmtId="0" fontId="11" fillId="28" borderId="22" xfId="0" applyFont="1" applyFill="1" applyBorder="1" applyAlignment="1">
      <alignment horizontal="left" vertical="center" wrapText="1" indent="1"/>
    </xf>
    <xf numFmtId="0" fontId="12" fillId="5" borderId="24" xfId="0" applyFont="1" applyFill="1" applyAlignment="1">
      <alignment horizontal="left" vertical="center"/>
    </xf>
    <xf numFmtId="0" fontId="17" fillId="9" borderId="24" xfId="0" applyFont="1" applyFill="1" applyAlignment="1">
      <alignment horizontal="center" vertical="center"/>
    </xf>
    <xf numFmtId="0" fontId="16" fillId="6" borderId="24" xfId="0" applyFont="1" applyFill="1" applyAlignment="1">
      <alignment horizontal="left" vertical="center"/>
    </xf>
    <xf numFmtId="0" fontId="17" fillId="11" borderId="8" xfId="0" applyFont="1" applyFill="1" applyBorder="1" applyAlignment="1">
      <alignment horizontal="center" vertical="center"/>
    </xf>
    <xf numFmtId="0" fontId="17" fillId="10" borderId="8" xfId="0" applyFont="1" applyFill="1" applyBorder="1" applyAlignment="1">
      <alignment horizontal="center" vertical="center"/>
    </xf>
    <xf numFmtId="0" fontId="17" fillId="11" borderId="21" xfId="0" applyFont="1" applyFill="1" applyBorder="1" applyAlignment="1">
      <alignment horizontal="center" vertical="center"/>
    </xf>
    <xf numFmtId="3" fontId="17" fillId="5" borderId="4" xfId="0" applyNumberFormat="1" applyFont="1" applyFill="1" applyBorder="1" applyAlignment="1">
      <alignment horizontal="right" vertical="center"/>
    </xf>
    <xf numFmtId="0" fontId="17" fillId="9" borderId="24" xfId="0" applyFont="1" applyFill="1" applyAlignment="1">
      <alignment horizontal="center" vertical="center" wrapText="1"/>
    </xf>
    <xf numFmtId="0" fontId="8" fillId="0" borderId="24" xfId="5"/>
    <xf numFmtId="4" fontId="8" fillId="0" borderId="24" xfId="5" applyNumberFormat="1"/>
    <xf numFmtId="9" fontId="8" fillId="0" borderId="24" xfId="10" applyFont="1"/>
    <xf numFmtId="169" fontId="24" fillId="0" borderId="4" xfId="5" applyNumberFormat="1" applyFont="1" applyBorder="1"/>
    <xf numFmtId="9" fontId="103" fillId="0" borderId="0" xfId="5" applyNumberFormat="1" applyFont="1" applyBorder="1"/>
    <xf numFmtId="167" fontId="26" fillId="7" borderId="24" xfId="0" applyNumberFormat="1" applyFont="1" applyFill="1"/>
    <xf numFmtId="167" fontId="41" fillId="7" borderId="24" xfId="0" applyNumberFormat="1" applyFont="1" applyFill="1"/>
    <xf numFmtId="0" fontId="8" fillId="0" borderId="24" xfId="0" applyFont="1"/>
    <xf numFmtId="0" fontId="89" fillId="0" borderId="0" xfId="3" applyFont="1" applyBorder="1"/>
    <xf numFmtId="3" fontId="0" fillId="0" borderId="0" xfId="0" applyNumberFormat="1" applyBorder="1"/>
    <xf numFmtId="0" fontId="14" fillId="33" borderId="24" xfId="0" applyFont="1" applyFill="1" applyAlignment="1">
      <alignment horizontal="left" vertical="center"/>
    </xf>
    <xf numFmtId="0" fontId="14" fillId="34" borderId="24" xfId="0" applyFont="1" applyFill="1" applyAlignment="1">
      <alignment horizontal="left" vertical="center"/>
    </xf>
    <xf numFmtId="0" fontId="19" fillId="28" borderId="24" xfId="0" applyFont="1" applyFill="1"/>
    <xf numFmtId="0" fontId="19" fillId="26" borderId="24" xfId="0" applyFont="1" applyFill="1"/>
    <xf numFmtId="0" fontId="19" fillId="28" borderId="24" xfId="5" applyFont="1" applyFill="1"/>
    <xf numFmtId="0" fontId="19" fillId="26" borderId="24" xfId="5" applyFont="1" applyFill="1"/>
    <xf numFmtId="3" fontId="14" fillId="28" borderId="19" xfId="0" applyNumberFormat="1" applyFont="1" applyFill="1" applyBorder="1" applyAlignment="1">
      <alignment horizontal="right" vertical="center"/>
    </xf>
    <xf numFmtId="3" fontId="14" fillId="26" borderId="19" xfId="0" applyNumberFormat="1" applyFont="1" applyFill="1" applyBorder="1" applyAlignment="1">
      <alignment horizontal="right" vertical="center"/>
    </xf>
    <xf numFmtId="0" fontId="14" fillId="28" borderId="29" xfId="0" applyFont="1" applyFill="1" applyBorder="1" applyAlignment="1">
      <alignment horizontal="left" vertical="center" indent="1"/>
    </xf>
    <xf numFmtId="170" fontId="22" fillId="28" borderId="29" xfId="0" applyNumberFormat="1" applyFont="1" applyFill="1" applyBorder="1" applyAlignment="1">
      <alignment horizontal="right" vertical="center" indent="1"/>
    </xf>
    <xf numFmtId="0" fontId="14" fillId="26" borderId="29" xfId="0" applyFont="1" applyFill="1" applyBorder="1" applyAlignment="1">
      <alignment horizontal="left" vertical="center" indent="1"/>
    </xf>
    <xf numFmtId="170" fontId="22" fillId="26" borderId="29" xfId="0" applyNumberFormat="1" applyFont="1" applyFill="1" applyBorder="1" applyAlignment="1">
      <alignment horizontal="right" vertical="center" indent="1"/>
    </xf>
    <xf numFmtId="3" fontId="22" fillId="28" borderId="29" xfId="0" applyNumberFormat="1" applyFont="1" applyFill="1" applyBorder="1" applyAlignment="1">
      <alignment horizontal="right" vertical="center" indent="1"/>
    </xf>
    <xf numFmtId="174" fontId="22" fillId="26" borderId="29" xfId="0" applyNumberFormat="1" applyFont="1" applyFill="1" applyBorder="1" applyAlignment="1">
      <alignment horizontal="right" vertical="center" indent="1"/>
    </xf>
    <xf numFmtId="176" fontId="22" fillId="28" borderId="29" xfId="0" applyNumberFormat="1" applyFont="1" applyFill="1" applyBorder="1" applyAlignment="1">
      <alignment horizontal="right" vertical="center" indent="1"/>
    </xf>
    <xf numFmtId="0" fontId="70" fillId="24" borderId="29" xfId="0" applyFont="1" applyFill="1" applyBorder="1" applyAlignment="1">
      <alignment horizontal="center" vertical="center" wrapText="1"/>
    </xf>
    <xf numFmtId="0" fontId="70" fillId="24" borderId="29" xfId="0" applyFont="1" applyFill="1" applyBorder="1" applyAlignment="1">
      <alignment horizontal="left" vertical="center" wrapText="1"/>
    </xf>
    <xf numFmtId="0" fontId="23" fillId="28" borderId="29" xfId="0" applyFont="1" applyFill="1" applyBorder="1" applyAlignment="1">
      <alignment horizontal="center" vertical="center"/>
    </xf>
    <xf numFmtId="170" fontId="14" fillId="28" borderId="29" xfId="0" applyNumberFormat="1" applyFont="1" applyFill="1" applyBorder="1" applyAlignment="1">
      <alignment horizontal="right" vertical="center" indent="1"/>
    </xf>
    <xf numFmtId="3" fontId="14" fillId="28" borderId="29" xfId="0" applyNumberFormat="1" applyFont="1" applyFill="1" applyBorder="1" applyAlignment="1">
      <alignment horizontal="right" vertical="center" indent="1"/>
    </xf>
    <xf numFmtId="3" fontId="106" fillId="28" borderId="29" xfId="0" applyNumberFormat="1" applyFont="1" applyFill="1" applyBorder="1" applyAlignment="1">
      <alignment horizontal="right" vertical="center" indent="1"/>
    </xf>
    <xf numFmtId="174" fontId="14" fillId="28" borderId="29" xfId="0" applyNumberFormat="1" applyFont="1" applyFill="1" applyBorder="1" applyAlignment="1">
      <alignment horizontal="right" vertical="center" indent="1"/>
    </xf>
    <xf numFmtId="0" fontId="23" fillId="26" borderId="29" xfId="0" applyFont="1" applyFill="1" applyBorder="1" applyAlignment="1">
      <alignment horizontal="center" vertical="center"/>
    </xf>
    <xf numFmtId="170" fontId="14" fillId="26" borderId="29" xfId="0" applyNumberFormat="1" applyFont="1" applyFill="1" applyBorder="1" applyAlignment="1">
      <alignment horizontal="right" vertical="center" indent="1"/>
    </xf>
    <xf numFmtId="3" fontId="14" fillId="26" borderId="29" xfId="0" applyNumberFormat="1" applyFont="1" applyFill="1" applyBorder="1" applyAlignment="1">
      <alignment horizontal="right" vertical="center" indent="1"/>
    </xf>
    <xf numFmtId="3" fontId="106" fillId="26" borderId="29" xfId="0" applyNumberFormat="1" applyFont="1" applyFill="1" applyBorder="1" applyAlignment="1">
      <alignment horizontal="right" vertical="center" indent="1"/>
    </xf>
    <xf numFmtId="174" fontId="14" fillId="26" borderId="29" xfId="0" applyNumberFormat="1" applyFont="1" applyFill="1" applyBorder="1" applyAlignment="1">
      <alignment horizontal="right" vertical="center" indent="1"/>
    </xf>
    <xf numFmtId="0" fontId="17" fillId="24" borderId="29" xfId="0" applyFont="1" applyFill="1" applyBorder="1"/>
    <xf numFmtId="0" fontId="17" fillId="24" borderId="29" xfId="0" applyFont="1" applyFill="1" applyBorder="1" applyAlignment="1">
      <alignment horizontal="left" vertical="center" indent="1"/>
    </xf>
    <xf numFmtId="170" fontId="17" fillId="24" borderId="29" xfId="0" applyNumberFormat="1" applyFont="1" applyFill="1" applyBorder="1" applyAlignment="1">
      <alignment horizontal="right" vertical="center" indent="1"/>
    </xf>
    <xf numFmtId="3" fontId="17" fillId="24" borderId="29" xfId="0" applyNumberFormat="1" applyFont="1" applyFill="1" applyBorder="1" applyAlignment="1">
      <alignment horizontal="right" vertical="center" indent="1"/>
    </xf>
    <xf numFmtId="174" fontId="17" fillId="24" borderId="29" xfId="0" applyNumberFormat="1" applyFont="1" applyFill="1" applyBorder="1" applyAlignment="1">
      <alignment horizontal="right" vertical="center" indent="1"/>
    </xf>
    <xf numFmtId="180" fontId="23" fillId="28" borderId="29" xfId="0" applyNumberFormat="1" applyFont="1" applyFill="1" applyBorder="1" applyAlignment="1">
      <alignment horizontal="right" vertical="center" indent="1"/>
    </xf>
    <xf numFmtId="180" fontId="23" fillId="26" borderId="29" xfId="0" applyNumberFormat="1" applyFont="1" applyFill="1" applyBorder="1" applyAlignment="1">
      <alignment horizontal="right" vertical="center" indent="1"/>
    </xf>
    <xf numFmtId="0" fontId="23" fillId="0" borderId="24" xfId="0" applyFont="1" applyAlignment="1">
      <alignment horizontal="left" vertical="center" indent="1"/>
    </xf>
    <xf numFmtId="3" fontId="22" fillId="26" borderId="29" xfId="0" applyNumberFormat="1" applyFont="1" applyFill="1" applyBorder="1" applyAlignment="1">
      <alignment horizontal="right" vertical="center" indent="1"/>
    </xf>
    <xf numFmtId="3" fontId="15" fillId="28" borderId="29" xfId="0" applyNumberFormat="1" applyFont="1" applyFill="1" applyBorder="1" applyAlignment="1">
      <alignment horizontal="right" vertical="center" indent="1"/>
    </xf>
    <xf numFmtId="3" fontId="108" fillId="28" borderId="29" xfId="0" applyNumberFormat="1" applyFont="1" applyFill="1" applyBorder="1" applyAlignment="1">
      <alignment horizontal="right" vertical="center" indent="1"/>
    </xf>
    <xf numFmtId="3" fontId="108" fillId="26" borderId="29" xfId="0" applyNumberFormat="1" applyFont="1" applyFill="1" applyBorder="1" applyAlignment="1">
      <alignment horizontal="right" vertical="center" indent="1"/>
    </xf>
    <xf numFmtId="174" fontId="108" fillId="28" borderId="29" xfId="0" applyNumberFormat="1" applyFont="1" applyFill="1" applyBorder="1" applyAlignment="1">
      <alignment horizontal="right" vertical="center" indent="1"/>
    </xf>
    <xf numFmtId="174" fontId="108" fillId="26" borderId="29" xfId="0" applyNumberFormat="1" applyFont="1" applyFill="1" applyBorder="1" applyAlignment="1">
      <alignment horizontal="right" vertical="center" indent="1"/>
    </xf>
    <xf numFmtId="0" fontId="22" fillId="0" borderId="24" xfId="0" applyFont="1"/>
    <xf numFmtId="0" fontId="17" fillId="24" borderId="24" xfId="0" applyFont="1" applyFill="1"/>
    <xf numFmtId="0" fontId="17" fillId="24" borderId="24" xfId="0" applyFont="1" applyFill="1" applyAlignment="1">
      <alignment horizontal="center"/>
    </xf>
    <xf numFmtId="170" fontId="29" fillId="0" borderId="24" xfId="0" applyNumberFormat="1" applyFont="1"/>
    <xf numFmtId="0" fontId="29" fillId="0" borderId="24" xfId="0" applyFont="1"/>
    <xf numFmtId="0" fontId="29" fillId="24" borderId="24" xfId="0" applyFont="1" applyFill="1"/>
    <xf numFmtId="0" fontId="110" fillId="0" borderId="24" xfId="3" applyFont="1" applyAlignment="1">
      <alignment horizontal="left"/>
    </xf>
    <xf numFmtId="3" fontId="5" fillId="0" borderId="24" xfId="3" applyNumberFormat="1" applyFont="1" applyAlignment="1">
      <alignment horizontal="right"/>
    </xf>
    <xf numFmtId="0" fontId="111" fillId="0" borderId="24" xfId="3" applyFont="1" applyAlignment="1">
      <alignment horizontal="left"/>
    </xf>
    <xf numFmtId="3" fontId="5" fillId="0" borderId="24" xfId="5" applyNumberFormat="1" applyFont="1" applyAlignment="1">
      <alignment horizontal="right"/>
    </xf>
    <xf numFmtId="3" fontId="5" fillId="0" borderId="24" xfId="0" applyNumberFormat="1" applyFont="1" applyAlignment="1">
      <alignment horizontal="right"/>
    </xf>
    <xf numFmtId="3" fontId="5" fillId="0" borderId="24" xfId="3" applyNumberFormat="1" applyFont="1"/>
    <xf numFmtId="170" fontId="0" fillId="0" borderId="24" xfId="0" applyNumberFormat="1"/>
    <xf numFmtId="4" fontId="14" fillId="7" borderId="13" xfId="0" applyNumberFormat="1" applyFont="1" applyFill="1" applyBorder="1" applyAlignment="1">
      <alignment horizontal="center" vertical="center"/>
    </xf>
    <xf numFmtId="4" fontId="14" fillId="6" borderId="13" xfId="0" applyNumberFormat="1" applyFont="1" applyFill="1" applyBorder="1" applyAlignment="1">
      <alignment horizontal="center" vertical="center"/>
    </xf>
    <xf numFmtId="1" fontId="14" fillId="35" borderId="6" xfId="1" applyNumberFormat="1" applyFont="1" applyFill="1" applyBorder="1" applyAlignment="1">
      <alignment horizontal="center" vertical="center"/>
    </xf>
    <xf numFmtId="9" fontId="112" fillId="0" borderId="24" xfId="10" applyFont="1" applyAlignment="1">
      <alignment horizontal="center"/>
    </xf>
    <xf numFmtId="0" fontId="17" fillId="36" borderId="8" xfId="0" applyFont="1" applyFill="1" applyBorder="1" applyAlignment="1">
      <alignment horizontal="center" vertical="center"/>
    </xf>
    <xf numFmtId="0" fontId="25" fillId="36" borderId="11" xfId="0" applyFont="1" applyFill="1" applyBorder="1" applyAlignment="1">
      <alignment horizontal="center" vertical="center" wrapText="1"/>
    </xf>
    <xf numFmtId="0" fontId="25" fillId="36" borderId="10" xfId="0" applyFont="1" applyFill="1" applyBorder="1" applyAlignment="1">
      <alignment horizontal="center" vertical="center" wrapText="1"/>
    </xf>
    <xf numFmtId="0" fontId="17" fillId="37" borderId="8" xfId="0" applyFont="1" applyFill="1" applyBorder="1" applyAlignment="1">
      <alignment horizontal="center" vertical="center"/>
    </xf>
    <xf numFmtId="0" fontId="25" fillId="37" borderId="11" xfId="0" applyFont="1" applyFill="1" applyBorder="1" applyAlignment="1">
      <alignment horizontal="center" vertical="center" wrapText="1"/>
    </xf>
    <xf numFmtId="0" fontId="25" fillId="37" borderId="10" xfId="0" applyFont="1" applyFill="1" applyBorder="1" applyAlignment="1">
      <alignment horizontal="center" vertical="center" wrapText="1"/>
    </xf>
    <xf numFmtId="0" fontId="25" fillId="38" borderId="9" xfId="0" applyFont="1" applyFill="1" applyBorder="1" applyAlignment="1">
      <alignment horizontal="center" vertical="center" wrapText="1"/>
    </xf>
    <xf numFmtId="0" fontId="25" fillId="38" borderId="11" xfId="0" applyFont="1" applyFill="1" applyBorder="1" applyAlignment="1">
      <alignment horizontal="center" vertical="center" wrapText="1"/>
    </xf>
    <xf numFmtId="0" fontId="25" fillId="37" borderId="20" xfId="0" applyFont="1" applyFill="1" applyBorder="1" applyAlignment="1">
      <alignment horizontal="center" vertical="center" wrapText="1"/>
    </xf>
    <xf numFmtId="0" fontId="25" fillId="37" borderId="1" xfId="0" applyFont="1" applyFill="1" applyBorder="1" applyAlignment="1">
      <alignment horizontal="center" vertical="center" wrapText="1"/>
    </xf>
    <xf numFmtId="0" fontId="32" fillId="5" borderId="4" xfId="0" applyFont="1" applyFill="1" applyBorder="1" applyAlignment="1">
      <alignment horizontal="left" vertical="center" wrapText="1"/>
    </xf>
    <xf numFmtId="0" fontId="70" fillId="36" borderId="29" xfId="0" applyFont="1" applyFill="1" applyBorder="1" applyAlignment="1">
      <alignment horizontal="center" vertical="center" wrapText="1"/>
    </xf>
    <xf numFmtId="170" fontId="113" fillId="38" borderId="0" xfId="0" applyNumberFormat="1" applyFont="1" applyFill="1" applyBorder="1" applyAlignment="1">
      <alignment horizontal="center" vertical="center"/>
    </xf>
    <xf numFmtId="3" fontId="113" fillId="38" borderId="0" xfId="0" applyNumberFormat="1" applyFont="1" applyFill="1" applyBorder="1" applyAlignment="1">
      <alignment horizontal="center" vertical="center"/>
    </xf>
    <xf numFmtId="174" fontId="111" fillId="38" borderId="0" xfId="0" applyNumberFormat="1" applyFont="1" applyFill="1" applyBorder="1" applyAlignment="1">
      <alignment horizontal="center" vertical="center"/>
    </xf>
    <xf numFmtId="0" fontId="114" fillId="0" borderId="4" xfId="0" applyFont="1" applyBorder="1" applyAlignment="1">
      <alignment horizontal="left" vertical="center"/>
    </xf>
    <xf numFmtId="170" fontId="108" fillId="0" borderId="24" xfId="0" applyNumberFormat="1" applyFont="1"/>
    <xf numFmtId="176" fontId="108" fillId="0" borderId="24" xfId="0" applyNumberFormat="1" applyFont="1"/>
    <xf numFmtId="170" fontId="108" fillId="0" borderId="24" xfId="5" applyNumberFormat="1" applyFont="1"/>
    <xf numFmtId="170" fontId="109" fillId="0" borderId="24" xfId="5" applyNumberFormat="1" applyFont="1" applyAlignment="1">
      <alignment horizontal="center"/>
    </xf>
    <xf numFmtId="0" fontId="60" fillId="28" borderId="29" xfId="0" applyFont="1" applyFill="1" applyBorder="1" applyAlignment="1">
      <alignment horizontal="center"/>
    </xf>
    <xf numFmtId="176" fontId="15" fillId="28" borderId="29" xfId="0" applyNumberFormat="1" applyFont="1" applyFill="1" applyBorder="1" applyAlignment="1">
      <alignment horizontal="center"/>
    </xf>
    <xf numFmtId="0" fontId="21" fillId="28" borderId="29" xfId="0" applyFont="1" applyFill="1" applyBorder="1" applyAlignment="1">
      <alignment horizontal="left"/>
    </xf>
    <xf numFmtId="0" fontId="60" fillId="26" borderId="29" xfId="0" applyFont="1" applyFill="1" applyBorder="1" applyAlignment="1">
      <alignment horizontal="center"/>
    </xf>
    <xf numFmtId="176" fontId="15" fillId="26" borderId="29" xfId="0" applyNumberFormat="1" applyFont="1" applyFill="1" applyBorder="1" applyAlignment="1">
      <alignment horizontal="center"/>
    </xf>
    <xf numFmtId="0" fontId="21" fillId="26" borderId="29" xfId="0" applyFont="1" applyFill="1" applyBorder="1" applyAlignment="1">
      <alignment horizontal="left"/>
    </xf>
    <xf numFmtId="0" fontId="109" fillId="0" borderId="29" xfId="0" applyFont="1" applyBorder="1" applyAlignment="1">
      <alignment horizontal="center" wrapText="1"/>
    </xf>
    <xf numFmtId="170" fontId="0" fillId="0" borderId="0" xfId="0" applyNumberFormat="1" applyBorder="1"/>
    <xf numFmtId="0" fontId="0" fillId="38" borderId="0" xfId="0" applyFill="1" applyBorder="1"/>
    <xf numFmtId="170" fontId="29" fillId="17" borderId="24" xfId="0" applyNumberFormat="1" applyFont="1" applyFill="1"/>
    <xf numFmtId="170" fontId="14" fillId="7" borderId="13" xfId="1" applyNumberFormat="1" applyFont="1" applyFill="1" applyBorder="1" applyAlignment="1">
      <alignment horizontal="right" vertical="center" indent="2"/>
    </xf>
    <xf numFmtId="170" fontId="14" fillId="6" borderId="13" xfId="1" applyNumberFormat="1" applyFont="1" applyFill="1" applyBorder="1" applyAlignment="1">
      <alignment horizontal="right" vertical="center" indent="2"/>
    </xf>
    <xf numFmtId="165" fontId="1" fillId="18" borderId="4" xfId="1" applyNumberFormat="1" applyFill="1" applyBorder="1"/>
    <xf numFmtId="0" fontId="38" fillId="5" borderId="24" xfId="0" applyFont="1" applyFill="1" applyAlignment="1">
      <alignment horizontal="center" vertical="center" wrapText="1"/>
    </xf>
    <xf numFmtId="0" fontId="25" fillId="5" borderId="0" xfId="0" applyFont="1" applyFill="1" applyBorder="1" applyAlignment="1">
      <alignment horizontal="center" textRotation="90" wrapText="1"/>
    </xf>
    <xf numFmtId="0" fontId="53" fillId="24" borderId="24" xfId="2" applyFont="1" applyFill="1" applyAlignment="1">
      <alignment horizontal="left" vertical="center" indent="1"/>
    </xf>
    <xf numFmtId="0" fontId="2" fillId="3" borderId="0" xfId="2" applyFill="1" applyBorder="1"/>
    <xf numFmtId="0" fontId="0" fillId="0" borderId="0" xfId="0" applyBorder="1"/>
    <xf numFmtId="0" fontId="52" fillId="24" borderId="24" xfId="2" applyFont="1" applyFill="1" applyAlignment="1">
      <alignment horizontal="left" vertical="center" indent="1"/>
    </xf>
    <xf numFmtId="0" fontId="56" fillId="26" borderId="24" xfId="2" applyFont="1" applyFill="1" applyAlignment="1">
      <alignment horizontal="left" vertical="center" wrapText="1" indent="1"/>
    </xf>
    <xf numFmtId="0" fontId="59" fillId="29" borderId="25" xfId="2" applyFont="1" applyFill="1" applyBorder="1" applyAlignment="1">
      <alignment horizontal="left" vertical="center" wrapText="1" indent="1"/>
    </xf>
    <xf numFmtId="0" fontId="51" fillId="25" borderId="24" xfId="2" applyFont="1" applyFill="1" applyAlignment="1">
      <alignment horizontal="left" vertical="center"/>
    </xf>
    <xf numFmtId="0" fontId="51" fillId="28" borderId="24" xfId="0" applyFont="1" applyFill="1" applyAlignment="1">
      <alignment horizontal="left" vertical="center" wrapText="1" indent="1"/>
    </xf>
    <xf numFmtId="0" fontId="63" fillId="29" borderId="25" xfId="0" applyFont="1" applyFill="1" applyBorder="1" applyAlignment="1">
      <alignment horizontal="left" vertical="center" wrapText="1" indent="1"/>
    </xf>
    <xf numFmtId="0" fontId="60" fillId="28" borderId="24" xfId="0" applyFont="1" applyFill="1" applyAlignment="1">
      <alignment horizontal="left" vertical="center" wrapText="1" indent="1"/>
    </xf>
    <xf numFmtId="0" fontId="51" fillId="26" borderId="24" xfId="0" applyFont="1" applyFill="1" applyAlignment="1">
      <alignment horizontal="left" vertical="center" wrapText="1" indent="1"/>
    </xf>
    <xf numFmtId="0" fontId="51" fillId="25" borderId="24" xfId="0" applyFont="1" applyFill="1" applyAlignment="1">
      <alignment horizontal="left" vertical="center"/>
    </xf>
    <xf numFmtId="0" fontId="0" fillId="2" borderId="0" xfId="0" applyFill="1" applyBorder="1"/>
    <xf numFmtId="0" fontId="53" fillId="24" borderId="24" xfId="0" applyFont="1" applyFill="1" applyAlignment="1">
      <alignment horizontal="left" vertical="center" indent="1"/>
    </xf>
    <xf numFmtId="0" fontId="52" fillId="24" borderId="24" xfId="0" applyFont="1" applyFill="1" applyAlignment="1">
      <alignment horizontal="left" vertical="center" indent="1"/>
    </xf>
    <xf numFmtId="0" fontId="51" fillId="28" borderId="24" xfId="0" applyFont="1" applyFill="1" applyAlignment="1">
      <alignment horizontal="left" vertical="center" indent="1"/>
    </xf>
    <xf numFmtId="0" fontId="16" fillId="0" borderId="24" xfId="0" applyFont="1" applyAlignment="1">
      <alignment vertical="top" wrapText="1"/>
    </xf>
    <xf numFmtId="0" fontId="0" fillId="0" borderId="24" xfId="0"/>
    <xf numFmtId="0" fontId="12" fillId="5" borderId="24" xfId="5" applyFont="1" applyFill="1" applyAlignment="1">
      <alignment horizontal="left" vertical="center"/>
    </xf>
    <xf numFmtId="0" fontId="30" fillId="10" borderId="24" xfId="5" applyFont="1" applyFill="1" applyAlignment="1">
      <alignment horizontal="left" vertical="center"/>
    </xf>
    <xf numFmtId="0" fontId="19" fillId="7" borderId="24" xfId="5" applyFont="1" applyFill="1" applyAlignment="1">
      <alignment horizontal="left" vertical="center" wrapText="1"/>
    </xf>
    <xf numFmtId="0" fontId="30" fillId="11" borderId="24" xfId="5" applyFont="1" applyFill="1" applyAlignment="1">
      <alignment horizontal="left" vertical="center"/>
    </xf>
    <xf numFmtId="170" fontId="19" fillId="7" borderId="24" xfId="5" applyNumberFormat="1" applyFont="1" applyFill="1" applyAlignment="1">
      <alignment horizontal="left" vertical="center" wrapText="1"/>
    </xf>
    <xf numFmtId="0" fontId="89" fillId="7" borderId="24" xfId="0" applyFont="1" applyFill="1" applyAlignment="1">
      <alignment horizontal="left" vertical="center"/>
    </xf>
    <xf numFmtId="0" fontId="75" fillId="0" borderId="0" xfId="0" applyFont="1" applyBorder="1"/>
    <xf numFmtId="178" fontId="38" fillId="10" borderId="24" xfId="0" applyNumberFormat="1" applyFont="1" applyFill="1" applyAlignment="1">
      <alignment horizontal="center" vertical="center"/>
    </xf>
    <xf numFmtId="179" fontId="36" fillId="10" borderId="24" xfId="0" applyNumberFormat="1" applyFont="1" applyFill="1" applyAlignment="1">
      <alignment horizontal="center" vertical="center"/>
    </xf>
    <xf numFmtId="0" fontId="37" fillId="11" borderId="24" xfId="0" applyFont="1" applyFill="1" applyAlignment="1">
      <alignment horizontal="left" vertical="center"/>
    </xf>
    <xf numFmtId="0" fontId="48" fillId="9" borderId="24" xfId="0" applyFont="1" applyFill="1" applyAlignment="1">
      <alignment horizontal="left" vertical="center"/>
    </xf>
    <xf numFmtId="3" fontId="36" fillId="9" borderId="24" xfId="0" applyNumberFormat="1" applyFont="1" applyFill="1" applyAlignment="1">
      <alignment horizontal="center" vertical="center"/>
    </xf>
    <xf numFmtId="0" fontId="79" fillId="10" borderId="24" xfId="0" applyFont="1" applyFill="1" applyAlignment="1">
      <alignment horizontal="center" vertical="center" wrapText="1"/>
    </xf>
    <xf numFmtId="0" fontId="101" fillId="5" borderId="24" xfId="0" applyFont="1" applyFill="1" applyAlignment="1">
      <alignment horizontal="center" vertical="center"/>
    </xf>
    <xf numFmtId="0" fontId="37" fillId="9" borderId="24" xfId="0" applyFont="1" applyFill="1" applyAlignment="1">
      <alignment horizontal="left" vertical="center"/>
    </xf>
    <xf numFmtId="0" fontId="55" fillId="7" borderId="24" xfId="0" applyFont="1" applyFill="1" applyAlignment="1">
      <alignment horizontal="left" vertical="center"/>
    </xf>
    <xf numFmtId="0" fontId="64" fillId="9" borderId="24" xfId="0" applyFont="1" applyFill="1" applyAlignment="1">
      <alignment horizontal="left" vertical="center"/>
    </xf>
    <xf numFmtId="0" fontId="39" fillId="5" borderId="24" xfId="0" applyFont="1" applyFill="1" applyAlignment="1">
      <alignment horizontal="left" vertical="center"/>
    </xf>
    <xf numFmtId="0" fontId="79" fillId="5" borderId="24" xfId="0" applyFont="1" applyFill="1" applyAlignment="1">
      <alignment horizontal="center" vertical="center" wrapText="1"/>
    </xf>
    <xf numFmtId="0" fontId="77" fillId="9" borderId="24" xfId="0" applyFont="1" applyFill="1" applyAlignment="1">
      <alignment horizontal="center" vertical="center" wrapText="1"/>
    </xf>
    <xf numFmtId="0" fontId="76" fillId="5" borderId="24" xfId="0" applyFont="1" applyFill="1" applyAlignment="1">
      <alignment horizontal="left" vertical="center"/>
    </xf>
    <xf numFmtId="0" fontId="0" fillId="0" borderId="0" xfId="0" applyBorder="1" applyAlignment="1">
      <alignment horizontal="left"/>
    </xf>
    <xf numFmtId="179" fontId="34" fillId="11" borderId="24" xfId="0" applyNumberFormat="1" applyFont="1" applyFill="1" applyAlignment="1">
      <alignment horizontal="center" vertical="center"/>
    </xf>
    <xf numFmtId="10" fontId="38" fillId="11" borderId="24" xfId="0" applyNumberFormat="1" applyFont="1" applyFill="1" applyAlignment="1">
      <alignment horizontal="center" vertical="center"/>
    </xf>
    <xf numFmtId="179" fontId="38" fillId="10" borderId="24" xfId="0" applyNumberFormat="1" applyFont="1" applyFill="1" applyAlignment="1">
      <alignment horizontal="center" vertical="center"/>
    </xf>
    <xf numFmtId="177" fontId="38" fillId="9" borderId="24" xfId="0" applyNumberFormat="1" applyFont="1" applyFill="1" applyAlignment="1">
      <alignment horizontal="center" vertical="center"/>
    </xf>
    <xf numFmtId="0" fontId="35" fillId="6" borderId="24" xfId="0" applyFont="1" applyFill="1" applyAlignment="1">
      <alignment horizontal="left" vertical="center"/>
    </xf>
    <xf numFmtId="0" fontId="89" fillId="6" borderId="24" xfId="0" applyFont="1" applyFill="1" applyAlignment="1">
      <alignment horizontal="left" vertical="center"/>
    </xf>
    <xf numFmtId="0" fontId="77" fillId="11" borderId="24" xfId="0" applyFont="1" applyFill="1" applyAlignment="1">
      <alignment horizontal="center" vertical="center" wrapText="1"/>
    </xf>
    <xf numFmtId="175" fontId="38" fillId="9" borderId="24" xfId="0" applyNumberFormat="1" applyFont="1" applyFill="1" applyAlignment="1">
      <alignment horizontal="center" vertical="center"/>
    </xf>
    <xf numFmtId="0" fontId="22" fillId="6" borderId="24" xfId="0" applyFont="1" applyFill="1" applyAlignment="1">
      <alignment horizontal="left" vertical="center"/>
    </xf>
    <xf numFmtId="177" fontId="43" fillId="21" borderId="24" xfId="0" applyNumberFormat="1" applyFont="1" applyFill="1" applyAlignment="1">
      <alignment horizontal="center" vertical="center"/>
    </xf>
    <xf numFmtId="0" fontId="80" fillId="10" borderId="24" xfId="0" applyFont="1" applyFill="1" applyAlignment="1">
      <alignment horizontal="center" vertical="center" wrapText="1"/>
    </xf>
    <xf numFmtId="0" fontId="80" fillId="5" borderId="24" xfId="0" applyFont="1" applyFill="1" applyAlignment="1">
      <alignment horizontal="center" vertical="center" wrapText="1"/>
    </xf>
    <xf numFmtId="0" fontId="40" fillId="7" borderId="24" xfId="0" applyFont="1" applyFill="1" applyAlignment="1">
      <alignment horizontal="left" vertical="center"/>
    </xf>
    <xf numFmtId="0" fontId="64" fillId="10" borderId="24" xfId="0" applyFont="1" applyFill="1" applyAlignment="1">
      <alignment horizontal="left" vertical="center"/>
    </xf>
    <xf numFmtId="179" fontId="36" fillId="11" borderId="24" xfId="0" applyNumberFormat="1" applyFont="1" applyFill="1" applyAlignment="1">
      <alignment horizontal="center" vertical="center"/>
    </xf>
    <xf numFmtId="0" fontId="37" fillId="10" borderId="24" xfId="0" applyFont="1" applyFill="1" applyAlignment="1">
      <alignment horizontal="left" vertical="center"/>
    </xf>
    <xf numFmtId="178" fontId="38" fillId="11" borderId="24" xfId="0" applyNumberFormat="1" applyFont="1" applyFill="1" applyAlignment="1">
      <alignment horizontal="center" vertical="center"/>
    </xf>
    <xf numFmtId="0" fontId="77" fillId="5" borderId="24" xfId="0" applyFont="1" applyFill="1" applyAlignment="1">
      <alignment horizontal="center" vertical="center" wrapText="1"/>
    </xf>
    <xf numFmtId="0" fontId="64" fillId="11" borderId="24" xfId="0" applyFont="1" applyFill="1" applyAlignment="1">
      <alignment horizontal="left" vertical="center"/>
    </xf>
    <xf numFmtId="0" fontId="79" fillId="11" borderId="24" xfId="0" applyFont="1" applyFill="1" applyAlignment="1">
      <alignment horizontal="center" vertical="center" wrapText="1"/>
    </xf>
    <xf numFmtId="0" fontId="79" fillId="9" borderId="24" xfId="0" applyFont="1" applyFill="1" applyAlignment="1">
      <alignment horizontal="center" vertical="center" wrapText="1"/>
    </xf>
    <xf numFmtId="174" fontId="43" fillId="12" borderId="24" xfId="0" applyNumberFormat="1" applyFont="1" applyFill="1" applyAlignment="1">
      <alignment horizontal="center" vertical="center"/>
    </xf>
    <xf numFmtId="174" fontId="38" fillId="9" borderId="24" xfId="0" applyNumberFormat="1" applyFont="1" applyFill="1" applyAlignment="1">
      <alignment horizontal="center" vertical="center"/>
    </xf>
    <xf numFmtId="0" fontId="77" fillId="10" borderId="24" xfId="0" applyFont="1" applyFill="1" applyAlignment="1">
      <alignment horizontal="center" vertical="center" wrapText="1"/>
    </xf>
    <xf numFmtId="174" fontId="42" fillId="12" borderId="24" xfId="0" applyNumberFormat="1" applyFont="1" applyFill="1" applyAlignment="1">
      <alignment horizontal="center" vertical="center"/>
    </xf>
    <xf numFmtId="174" fontId="38" fillId="11" borderId="24" xfId="0" applyNumberFormat="1" applyFont="1" applyFill="1" applyAlignment="1">
      <alignment horizontal="center" vertical="center"/>
    </xf>
    <xf numFmtId="0" fontId="90" fillId="11" borderId="24" xfId="0" applyFont="1" applyFill="1" applyAlignment="1">
      <alignment horizontal="left" vertical="center"/>
    </xf>
    <xf numFmtId="177" fontId="42" fillId="21" borderId="24" xfId="0" applyNumberFormat="1" applyFont="1" applyFill="1" applyAlignment="1">
      <alignment horizontal="center" vertical="center"/>
    </xf>
    <xf numFmtId="10" fontId="38" fillId="10" borderId="24" xfId="0" applyNumberFormat="1" applyFont="1" applyFill="1" applyAlignment="1">
      <alignment horizontal="center" vertical="center"/>
    </xf>
    <xf numFmtId="0" fontId="90" fillId="9" borderId="24" xfId="0" applyFont="1" applyFill="1" applyAlignment="1">
      <alignment horizontal="left" vertical="center"/>
    </xf>
    <xf numFmtId="0" fontId="80" fillId="9" borderId="24" xfId="0" applyFont="1" applyFill="1" applyAlignment="1">
      <alignment horizontal="center" vertical="center" wrapText="1"/>
    </xf>
    <xf numFmtId="0" fontId="80" fillId="38" borderId="24" xfId="0" applyFont="1" applyFill="1" applyAlignment="1">
      <alignment horizontal="center" vertical="center" wrapText="1"/>
    </xf>
    <xf numFmtId="0" fontId="88" fillId="6" borderId="24" xfId="0" applyFont="1" applyFill="1" applyAlignment="1">
      <alignment horizontal="left" vertical="center"/>
    </xf>
    <xf numFmtId="0" fontId="77" fillId="38" borderId="24" xfId="0" applyFont="1" applyFill="1" applyAlignment="1">
      <alignment horizontal="center" vertical="center" wrapText="1"/>
    </xf>
    <xf numFmtId="0" fontId="22" fillId="7" borderId="24" xfId="0" applyFont="1" applyFill="1" applyAlignment="1">
      <alignment horizontal="left" vertical="center"/>
    </xf>
    <xf numFmtId="0" fontId="78" fillId="5" borderId="24" xfId="0" applyFont="1" applyFill="1" applyAlignment="1">
      <alignment horizontal="center" vertical="center" wrapText="1"/>
    </xf>
    <xf numFmtId="0" fontId="12" fillId="5" borderId="24" xfId="0" applyFont="1" applyFill="1" applyAlignment="1">
      <alignment horizontal="left" vertical="center"/>
    </xf>
    <xf numFmtId="0" fontId="32" fillId="36" borderId="6" xfId="0" applyFont="1" applyFill="1" applyBorder="1" applyAlignment="1">
      <alignment horizontal="center" vertical="center"/>
    </xf>
    <xf numFmtId="0" fontId="17" fillId="36" borderId="9" xfId="0" applyFont="1" applyFill="1" applyBorder="1" applyAlignment="1">
      <alignment horizontal="center" vertical="center"/>
    </xf>
    <xf numFmtId="0" fontId="17" fillId="36" borderId="24" xfId="0" applyFont="1" applyFill="1" applyAlignment="1">
      <alignment horizontal="center" vertical="center"/>
    </xf>
    <xf numFmtId="0" fontId="17" fillId="37" borderId="9" xfId="0" applyFont="1" applyFill="1" applyBorder="1" applyAlignment="1">
      <alignment horizontal="center" vertical="center"/>
    </xf>
    <xf numFmtId="0" fontId="17" fillId="37" borderId="24" xfId="0" applyFont="1" applyFill="1" applyAlignment="1">
      <alignment horizontal="center" vertical="center"/>
    </xf>
    <xf numFmtId="0" fontId="17" fillId="10" borderId="9" xfId="0" applyFont="1" applyFill="1" applyBorder="1" applyAlignment="1">
      <alignment horizontal="center" vertical="center"/>
    </xf>
    <xf numFmtId="0" fontId="17" fillId="10" borderId="24" xfId="0" applyFont="1" applyFill="1" applyAlignment="1">
      <alignment horizontal="center" vertical="center"/>
    </xf>
    <xf numFmtId="0" fontId="17" fillId="11" borderId="9" xfId="0" applyFont="1" applyFill="1" applyBorder="1" applyAlignment="1">
      <alignment horizontal="center" vertical="center"/>
    </xf>
    <xf numFmtId="0" fontId="17" fillId="11" borderId="24" xfId="0" applyFont="1" applyFill="1" applyAlignment="1">
      <alignment horizontal="center" vertical="center"/>
    </xf>
    <xf numFmtId="0" fontId="17" fillId="10" borderId="9" xfId="0" applyFont="1" applyFill="1" applyBorder="1" applyAlignment="1">
      <alignment horizontal="center" vertical="center" wrapText="1"/>
    </xf>
    <xf numFmtId="0" fontId="17" fillId="10" borderId="11" xfId="0" applyFont="1" applyFill="1" applyBorder="1" applyAlignment="1">
      <alignment horizontal="center" vertical="center" wrapText="1"/>
    </xf>
    <xf numFmtId="0" fontId="25" fillId="9" borderId="34" xfId="0" applyFont="1" applyFill="1" applyBorder="1" applyAlignment="1">
      <alignment horizontal="center" vertical="center" wrapText="1"/>
    </xf>
    <xf numFmtId="0" fontId="25" fillId="9" borderId="35" xfId="0" applyFont="1" applyFill="1" applyBorder="1" applyAlignment="1">
      <alignment horizontal="center" vertical="center" wrapText="1"/>
    </xf>
    <xf numFmtId="0" fontId="14" fillId="26" borderId="29" xfId="0" applyFont="1" applyFill="1" applyBorder="1" applyAlignment="1">
      <alignment horizontal="left" vertical="center" indent="1"/>
    </xf>
    <xf numFmtId="0" fontId="0" fillId="0" borderId="30" xfId="0" applyBorder="1"/>
    <xf numFmtId="0" fontId="0" fillId="24" borderId="24" xfId="0" applyFill="1"/>
    <xf numFmtId="0" fontId="64" fillId="24" borderId="24" xfId="0" applyFont="1" applyFill="1" applyAlignment="1">
      <alignment horizontal="left" vertical="center" indent="1"/>
    </xf>
    <xf numFmtId="0" fontId="71" fillId="24" borderId="24" xfId="0" applyFont="1" applyFill="1" applyAlignment="1">
      <alignment horizontal="left" vertical="center" indent="1"/>
    </xf>
    <xf numFmtId="0" fontId="30" fillId="10" borderId="24" xfId="0" applyFont="1" applyFill="1" applyAlignment="1">
      <alignment horizontal="left" vertical="center" indent="1"/>
    </xf>
    <xf numFmtId="0" fontId="14" fillId="28" borderId="29" xfId="0" applyFont="1" applyFill="1" applyBorder="1" applyAlignment="1">
      <alignment horizontal="left" vertical="center" indent="1"/>
    </xf>
    <xf numFmtId="0" fontId="107" fillId="28" borderId="24" xfId="0" applyFont="1" applyFill="1" applyAlignment="1">
      <alignment horizontal="left" vertical="top" wrapText="1" indent="1"/>
    </xf>
    <xf numFmtId="0" fontId="23" fillId="28" borderId="29" xfId="0" applyFont="1" applyFill="1" applyBorder="1" applyAlignment="1">
      <alignment horizontal="center" vertical="center"/>
    </xf>
    <xf numFmtId="0" fontId="0" fillId="0" borderId="31" xfId="0" applyBorder="1"/>
    <xf numFmtId="0" fontId="23" fillId="26" borderId="29" xfId="0" applyFont="1" applyFill="1" applyBorder="1" applyAlignment="1">
      <alignment horizontal="center" vertical="center"/>
    </xf>
    <xf numFmtId="0" fontId="0" fillId="0" borderId="32" xfId="0" applyBorder="1"/>
    <xf numFmtId="0" fontId="16" fillId="26" borderId="24" xfId="0" applyFont="1" applyFill="1" applyAlignment="1">
      <alignment horizontal="left" vertical="top" wrapText="1" indent="1"/>
    </xf>
    <xf numFmtId="0" fontId="106" fillId="28" borderId="29" xfId="0" applyFont="1" applyFill="1" applyBorder="1" applyAlignment="1">
      <alignment horizontal="left" vertical="center" indent="1"/>
    </xf>
    <xf numFmtId="0" fontId="102" fillId="0" borderId="24" xfId="0" applyFont="1" applyAlignment="1">
      <alignment horizontal="left" vertical="top" wrapText="1" indent="1"/>
    </xf>
    <xf numFmtId="0" fontId="65" fillId="29" borderId="24" xfId="0" applyFont="1" applyFill="1" applyAlignment="1">
      <alignment horizontal="left" vertical="center" indent="1"/>
    </xf>
    <xf numFmtId="0" fontId="65" fillId="0" borderId="23" xfId="0" applyFont="1" applyBorder="1" applyAlignment="1">
      <alignment horizontal="left" vertical="center" indent="1"/>
    </xf>
    <xf numFmtId="0" fontId="0" fillId="0" borderId="23" xfId="0" applyBorder="1"/>
    <xf numFmtId="0" fontId="17" fillId="10" borderId="17" xfId="0" applyFont="1" applyFill="1" applyBorder="1" applyAlignment="1">
      <alignment horizontal="center" vertical="center"/>
    </xf>
    <xf numFmtId="0" fontId="0" fillId="0" borderId="18" xfId="0" applyBorder="1"/>
    <xf numFmtId="0" fontId="17" fillId="5" borderId="24" xfId="0" applyFont="1" applyFill="1" applyAlignment="1">
      <alignment horizontal="center" vertical="center"/>
    </xf>
    <xf numFmtId="0" fontId="17" fillId="5" borderId="33" xfId="0" applyFont="1" applyFill="1" applyBorder="1" applyAlignment="1">
      <alignment horizontal="center" vertical="center"/>
    </xf>
    <xf numFmtId="0" fontId="73" fillId="24" borderId="24" xfId="0" applyFont="1" applyFill="1" applyAlignment="1">
      <alignment horizontal="left" vertical="center"/>
    </xf>
    <xf numFmtId="0" fontId="16" fillId="0" borderId="24" xfId="0" applyFont="1" applyAlignment="1">
      <alignment horizontal="left" wrapText="1"/>
    </xf>
  </cellXfs>
  <cellStyles count="11">
    <cellStyle name="Millares [0]" xfId="1" builtinId="6"/>
    <cellStyle name="Normal" xfId="0" builtinId="0"/>
    <cellStyle name="Normal 2" xfId="5" xr:uid="{00000000-0005-0000-0000-000005000000}"/>
    <cellStyle name="Normal 3" xfId="2" xr:uid="{00000000-0005-0000-0000-000002000000}"/>
    <cellStyle name="Normal 4" xfId="4" xr:uid="{00000000-0005-0000-0000-000004000000}"/>
    <cellStyle name="Normal 4 6" xfId="9" xr:uid="{00000000-0005-0000-0000-000009000000}"/>
    <cellStyle name="Normal_00_Glosa" xfId="8" xr:uid="{00000000-0005-0000-0000-000008000000}"/>
    <cellStyle name="Normal_consulta212 2" xfId="3" xr:uid="{00000000-0005-0000-0000-000003000000}"/>
    <cellStyle name="Normal_consulta212 5" xfId="7" xr:uid="{00000000-0005-0000-0000-000007000000}"/>
    <cellStyle name="Normal_DESEST97" xfId="6" xr:uid="{00000000-0005-0000-0000-000006000000}"/>
    <cellStyle name="Porcentaje" xfId="10" builtinId="5"/>
  </cellStyles>
  <dxfs count="51">
    <dxf>
      <font>
        <b/>
        <sz val="10"/>
        <color rgb="FF9C6500"/>
        <name val="Calibri"/>
      </font>
      <fill>
        <patternFill patternType="solid">
          <fgColor rgb="FFFFEB9C"/>
        </patternFill>
      </fill>
    </dxf>
    <dxf>
      <font>
        <b/>
        <sz val="10"/>
        <color rgb="FF9C0006"/>
        <name val="Calibri"/>
      </font>
      <fill>
        <patternFill patternType="solid">
          <fgColor rgb="FFFFC7CE"/>
        </patternFill>
      </fill>
    </dxf>
    <dxf>
      <font>
        <b/>
        <sz val="10"/>
        <color rgb="FF1E7145"/>
        <name val="Calibri"/>
      </font>
      <fill>
        <patternFill patternType="solid">
          <fgColor rgb="FFC6EFCE"/>
        </patternFill>
      </fill>
    </dxf>
    <dxf>
      <font>
        <b/>
        <sz val="10"/>
        <color rgb="FF9C6500"/>
        <name val="Calibri"/>
      </font>
      <fill>
        <patternFill patternType="solid">
          <fgColor rgb="FFFFEB9C"/>
        </patternFill>
      </fill>
    </dxf>
    <dxf>
      <font>
        <b/>
        <sz val="10"/>
        <color rgb="FF9C0006"/>
        <name val="Calibri"/>
      </font>
      <fill>
        <patternFill patternType="solid">
          <fgColor rgb="FFFFC7CE"/>
        </patternFill>
      </fill>
    </dxf>
    <dxf>
      <font>
        <b/>
        <sz val="10"/>
        <color rgb="FF1E7145"/>
        <name val="Calibri"/>
      </font>
      <fill>
        <patternFill patternType="solid">
          <f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Empleo por Género y Sector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Empleo!$B$44</c:f>
              <c:strCache>
                <c:ptCount val="1"/>
                <c:pt idx="0">
                  <c:v>Cód.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Empleo!$A$45:$A$77</c:f>
              <c:strCache>
                <c:ptCount val="33"/>
                <c:pt idx="0">
                  <c:v>Agricultura</c:v>
                </c:pt>
                <c:pt idx="1">
                  <c:v>Ganadería</c:v>
                </c:pt>
                <c:pt idx="2">
                  <c:v>Forestal</c:v>
                </c:pt>
                <c:pt idx="3">
                  <c:v>Pesca</c:v>
                </c:pt>
                <c:pt idx="4">
                  <c:v>Minería</c:v>
                </c:pt>
                <c:pt idx="5">
                  <c:v>Producción de carne</c:v>
                </c:pt>
                <c:pt idx="6">
                  <c:v>Elaboración de aceites</c:v>
                </c:pt>
                <c:pt idx="7">
                  <c:v>Producción de lácteos</c:v>
                </c:pt>
                <c:pt idx="8">
                  <c:v>Molinería y panadería</c:v>
                </c:pt>
                <c:pt idx="9">
                  <c:v>Azúcar</c:v>
                </c:pt>
                <c:pt idx="10">
                  <c:v>Otros alimentos</c:v>
                </c:pt>
                <c:pt idx="11">
                  <c:v>Bebidas y tabaco</c:v>
                </c:pt>
                <c:pt idx="12">
                  <c:v>Textiles y prendas de vestir</c:v>
                </c:pt>
                <c:pt idx="13">
                  <c:v>Cuero y calzado</c:v>
                </c:pt>
                <c:pt idx="14">
                  <c:v>Industria de la madera</c:v>
                </c:pt>
                <c:pt idx="15">
                  <c:v>Papel y productos del papel</c:v>
                </c:pt>
                <c:pt idx="16">
                  <c:v>Química, farmacia y caucho</c:v>
                </c:pt>
                <c:pt idx="17">
                  <c:v>Minerales no metálicos</c:v>
                </c:pt>
                <c:pt idx="18">
                  <c:v>Hierro y acero</c:v>
                </c:pt>
                <c:pt idx="19">
                  <c:v>Productos de metal</c:v>
                </c:pt>
                <c:pt idx="20">
                  <c:v>Maquinaria, equipo y vehículos</c:v>
                </c:pt>
                <c:pt idx="21">
                  <c:v>Otras manufacturas y reparación</c:v>
                </c:pt>
                <c:pt idx="22">
                  <c:v>Electricidad, gas, y agua</c:v>
                </c:pt>
                <c:pt idx="23">
                  <c:v>Construcción</c:v>
                </c:pt>
                <c:pt idx="24">
                  <c:v>Comercio al por mayor y menor</c:v>
                </c:pt>
                <c:pt idx="25">
                  <c:v>Transporte</c:v>
                </c:pt>
                <c:pt idx="26">
                  <c:v>Turismo (aloj., alimentación y recreación)</c:v>
                </c:pt>
                <c:pt idx="27">
                  <c:v>Telecomunicaciones, edición y servicios de info.</c:v>
                </c:pt>
                <c:pt idx="28">
                  <c:v>Finanzas y seguros</c:v>
                </c:pt>
                <c:pt idx="29">
                  <c:v>Servicios inmobiliarios</c:v>
                </c:pt>
                <c:pt idx="30">
                  <c:v>Servicios a las empresas</c:v>
                </c:pt>
                <c:pt idx="31">
                  <c:v>Servicios a los hogares</c:v>
                </c:pt>
                <c:pt idx="32">
                  <c:v>Servicios gubernamentales</c:v>
                </c:pt>
              </c:strCache>
            </c:strRef>
          </c:cat>
          <c:val>
            <c:numRef>
              <c:f>Empleo!$B$45:$B$77</c:f>
            </c:numRef>
          </c:val>
          <c:extLst>
            <c:ext xmlns:c16="http://schemas.microsoft.com/office/drawing/2014/chart" uri="{C3380CC4-5D6E-409C-BE32-E72D297353CC}">
              <c16:uniqueId val="{00000000-99AB-FC4E-86B1-0F0AFE1DD8BC}"/>
            </c:ext>
          </c:extLst>
        </c:ser>
        <c:ser>
          <c:idx val="1"/>
          <c:order val="1"/>
          <c:tx>
            <c:strRef>
              <c:f>Empleo!$C$44</c:f>
              <c:strCache>
                <c:ptCount val="1"/>
                <c:pt idx="0">
                  <c:v>Mujeres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strRef>
              <c:f>Empleo!$A$45:$A$77</c:f>
              <c:strCache>
                <c:ptCount val="33"/>
                <c:pt idx="0">
                  <c:v>Agricultura</c:v>
                </c:pt>
                <c:pt idx="1">
                  <c:v>Ganadería</c:v>
                </c:pt>
                <c:pt idx="2">
                  <c:v>Forestal</c:v>
                </c:pt>
                <c:pt idx="3">
                  <c:v>Pesca</c:v>
                </c:pt>
                <c:pt idx="4">
                  <c:v>Minería</c:v>
                </c:pt>
                <c:pt idx="5">
                  <c:v>Producción de carne</c:v>
                </c:pt>
                <c:pt idx="6">
                  <c:v>Elaboración de aceites</c:v>
                </c:pt>
                <c:pt idx="7">
                  <c:v>Producción de lácteos</c:v>
                </c:pt>
                <c:pt idx="8">
                  <c:v>Molinería y panadería</c:v>
                </c:pt>
                <c:pt idx="9">
                  <c:v>Azúcar</c:v>
                </c:pt>
                <c:pt idx="10">
                  <c:v>Otros alimentos</c:v>
                </c:pt>
                <c:pt idx="11">
                  <c:v>Bebidas y tabaco</c:v>
                </c:pt>
                <c:pt idx="12">
                  <c:v>Textiles y prendas de vestir</c:v>
                </c:pt>
                <c:pt idx="13">
                  <c:v>Cuero y calzado</c:v>
                </c:pt>
                <c:pt idx="14">
                  <c:v>Industria de la madera</c:v>
                </c:pt>
                <c:pt idx="15">
                  <c:v>Papel y productos del papel</c:v>
                </c:pt>
                <c:pt idx="16">
                  <c:v>Química, farmacia y caucho</c:v>
                </c:pt>
                <c:pt idx="17">
                  <c:v>Minerales no metálicos</c:v>
                </c:pt>
                <c:pt idx="18">
                  <c:v>Hierro y acero</c:v>
                </c:pt>
                <c:pt idx="19">
                  <c:v>Productos de metal</c:v>
                </c:pt>
                <c:pt idx="20">
                  <c:v>Maquinaria, equipo y vehículos</c:v>
                </c:pt>
                <c:pt idx="21">
                  <c:v>Otras manufacturas y reparación</c:v>
                </c:pt>
                <c:pt idx="22">
                  <c:v>Electricidad, gas, y agua</c:v>
                </c:pt>
                <c:pt idx="23">
                  <c:v>Construcción</c:v>
                </c:pt>
                <c:pt idx="24">
                  <c:v>Comercio al por mayor y menor</c:v>
                </c:pt>
                <c:pt idx="25">
                  <c:v>Transporte</c:v>
                </c:pt>
                <c:pt idx="26">
                  <c:v>Turismo (aloj., alimentación y recreación)</c:v>
                </c:pt>
                <c:pt idx="27">
                  <c:v>Telecomunicaciones, edición y servicios de info.</c:v>
                </c:pt>
                <c:pt idx="28">
                  <c:v>Finanzas y seguros</c:v>
                </c:pt>
                <c:pt idx="29">
                  <c:v>Servicios inmobiliarios</c:v>
                </c:pt>
                <c:pt idx="30">
                  <c:v>Servicios a las empresas</c:v>
                </c:pt>
                <c:pt idx="31">
                  <c:v>Servicios a los hogares</c:v>
                </c:pt>
                <c:pt idx="32">
                  <c:v>Servicios gubernamentales</c:v>
                </c:pt>
              </c:strCache>
            </c:strRef>
          </c:cat>
          <c:val>
            <c:numRef>
              <c:f>Empleo!$C$45:$C$77</c:f>
              <c:numCache>
                <c:formatCode>#,##0</c:formatCode>
                <c:ptCount val="33"/>
                <c:pt idx="0">
                  <c:v>-151.93575688592719</c:v>
                </c:pt>
                <c:pt idx="1">
                  <c:v>491.51779569328312</c:v>
                </c:pt>
                <c:pt idx="2">
                  <c:v>6.4781073174634543</c:v>
                </c:pt>
                <c:pt idx="3">
                  <c:v>0.96620619258635287</c:v>
                </c:pt>
                <c:pt idx="4">
                  <c:v>0.34719223289189194</c:v>
                </c:pt>
                <c:pt idx="5">
                  <c:v>185.5435105498639</c:v>
                </c:pt>
                <c:pt idx="6">
                  <c:v>-86.096042547309992</c:v>
                </c:pt>
                <c:pt idx="7">
                  <c:v>1.5011868678006008</c:v>
                </c:pt>
                <c:pt idx="8">
                  <c:v>12.287520809530278</c:v>
                </c:pt>
                <c:pt idx="9">
                  <c:v>0.51990182423664488</c:v>
                </c:pt>
                <c:pt idx="10">
                  <c:v>10.339651910993423</c:v>
                </c:pt>
                <c:pt idx="11">
                  <c:v>1.513469933643822</c:v>
                </c:pt>
                <c:pt idx="12">
                  <c:v>34.804724258500585</c:v>
                </c:pt>
                <c:pt idx="13">
                  <c:v>0.49496094804428259</c:v>
                </c:pt>
                <c:pt idx="14">
                  <c:v>4.9163106342928886</c:v>
                </c:pt>
                <c:pt idx="15">
                  <c:v>8.3208392517961087</c:v>
                </c:pt>
                <c:pt idx="16">
                  <c:v>6.6989651815018858</c:v>
                </c:pt>
                <c:pt idx="17">
                  <c:v>2.5988826894647477</c:v>
                </c:pt>
                <c:pt idx="18">
                  <c:v>0.74433876535425125</c:v>
                </c:pt>
                <c:pt idx="19">
                  <c:v>3.1553112039092999</c:v>
                </c:pt>
                <c:pt idx="20">
                  <c:v>1.0833424797616593</c:v>
                </c:pt>
                <c:pt idx="21">
                  <c:v>28.036984632816221</c:v>
                </c:pt>
                <c:pt idx="22">
                  <c:v>5.0164972971391144</c:v>
                </c:pt>
                <c:pt idx="23">
                  <c:v>0.45200362510314518</c:v>
                </c:pt>
                <c:pt idx="24">
                  <c:v>664.06751950460716</c:v>
                </c:pt>
                <c:pt idx="25">
                  <c:v>21.581708612768395</c:v>
                </c:pt>
                <c:pt idx="26">
                  <c:v>32.708254496901013</c:v>
                </c:pt>
                <c:pt idx="27">
                  <c:v>10.606754354120193</c:v>
                </c:pt>
                <c:pt idx="28">
                  <c:v>42.157381750718081</c:v>
                </c:pt>
                <c:pt idx="29">
                  <c:v>10.527020777840065</c:v>
                </c:pt>
                <c:pt idx="30">
                  <c:v>128.43485256383158</c:v>
                </c:pt>
                <c:pt idx="31">
                  <c:v>265.59718778048796</c:v>
                </c:pt>
                <c:pt idx="32">
                  <c:v>112.64278192181587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AB-FC4E-86B1-0F0AFE1DD8BC}"/>
            </c:ext>
          </c:extLst>
        </c:ser>
        <c:ser>
          <c:idx val="2"/>
          <c:order val="2"/>
          <c:tx>
            <c:strRef>
              <c:f>Empleo!$D$44</c:f>
              <c:strCache>
                <c:ptCount val="1"/>
                <c:pt idx="0">
                  <c:v>Hombres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  <a:prstDash val="solid"/>
            </a:ln>
          </c:spPr>
          <c:invertIfNegative val="0"/>
          <c:cat>
            <c:strRef>
              <c:f>Empleo!$A$45:$A$77</c:f>
              <c:strCache>
                <c:ptCount val="33"/>
                <c:pt idx="0">
                  <c:v>Agricultura</c:v>
                </c:pt>
                <c:pt idx="1">
                  <c:v>Ganadería</c:v>
                </c:pt>
                <c:pt idx="2">
                  <c:v>Forestal</c:v>
                </c:pt>
                <c:pt idx="3">
                  <c:v>Pesca</c:v>
                </c:pt>
                <c:pt idx="4">
                  <c:v>Minería</c:v>
                </c:pt>
                <c:pt idx="5">
                  <c:v>Producción de carne</c:v>
                </c:pt>
                <c:pt idx="6">
                  <c:v>Elaboración de aceites</c:v>
                </c:pt>
                <c:pt idx="7">
                  <c:v>Producción de lácteos</c:v>
                </c:pt>
                <c:pt idx="8">
                  <c:v>Molinería y panadería</c:v>
                </c:pt>
                <c:pt idx="9">
                  <c:v>Azúcar</c:v>
                </c:pt>
                <c:pt idx="10">
                  <c:v>Otros alimentos</c:v>
                </c:pt>
                <c:pt idx="11">
                  <c:v>Bebidas y tabaco</c:v>
                </c:pt>
                <c:pt idx="12">
                  <c:v>Textiles y prendas de vestir</c:v>
                </c:pt>
                <c:pt idx="13">
                  <c:v>Cuero y calzado</c:v>
                </c:pt>
                <c:pt idx="14">
                  <c:v>Industria de la madera</c:v>
                </c:pt>
                <c:pt idx="15">
                  <c:v>Papel y productos del papel</c:v>
                </c:pt>
                <c:pt idx="16">
                  <c:v>Química, farmacia y caucho</c:v>
                </c:pt>
                <c:pt idx="17">
                  <c:v>Minerales no metálicos</c:v>
                </c:pt>
                <c:pt idx="18">
                  <c:v>Hierro y acero</c:v>
                </c:pt>
                <c:pt idx="19">
                  <c:v>Productos de metal</c:v>
                </c:pt>
                <c:pt idx="20">
                  <c:v>Maquinaria, equipo y vehículos</c:v>
                </c:pt>
                <c:pt idx="21">
                  <c:v>Otras manufacturas y reparación</c:v>
                </c:pt>
                <c:pt idx="22">
                  <c:v>Electricidad, gas, y agua</c:v>
                </c:pt>
                <c:pt idx="23">
                  <c:v>Construcción</c:v>
                </c:pt>
                <c:pt idx="24">
                  <c:v>Comercio al por mayor y menor</c:v>
                </c:pt>
                <c:pt idx="25">
                  <c:v>Transporte</c:v>
                </c:pt>
                <c:pt idx="26">
                  <c:v>Turismo (aloj., alimentación y recreación)</c:v>
                </c:pt>
                <c:pt idx="27">
                  <c:v>Telecomunicaciones, edición y servicios de info.</c:v>
                </c:pt>
                <c:pt idx="28">
                  <c:v>Finanzas y seguros</c:v>
                </c:pt>
                <c:pt idx="29">
                  <c:v>Servicios inmobiliarios</c:v>
                </c:pt>
                <c:pt idx="30">
                  <c:v>Servicios a las empresas</c:v>
                </c:pt>
                <c:pt idx="31">
                  <c:v>Servicios a los hogares</c:v>
                </c:pt>
                <c:pt idx="32">
                  <c:v>Servicios gubernamentales</c:v>
                </c:pt>
              </c:strCache>
            </c:strRef>
          </c:cat>
          <c:val>
            <c:numRef>
              <c:f>Empleo!$D$45:$D$77</c:f>
              <c:numCache>
                <c:formatCode>#,##0</c:formatCode>
                <c:ptCount val="33"/>
                <c:pt idx="0">
                  <c:v>-387.74901142988477</c:v>
                </c:pt>
                <c:pt idx="1">
                  <c:v>1254.3824000781951</c:v>
                </c:pt>
                <c:pt idx="2">
                  <c:v>16.532511896913544</c:v>
                </c:pt>
                <c:pt idx="3">
                  <c:v>2.4658151819658469</c:v>
                </c:pt>
                <c:pt idx="4">
                  <c:v>0.76539529500929859</c:v>
                </c:pt>
                <c:pt idx="5">
                  <c:v>515.76188311031638</c:v>
                </c:pt>
                <c:pt idx="6">
                  <c:v>-59.209055938779692</c:v>
                </c:pt>
                <c:pt idx="7">
                  <c:v>4.1729024288846706</c:v>
                </c:pt>
                <c:pt idx="8">
                  <c:v>25.781708961111278</c:v>
                </c:pt>
                <c:pt idx="9">
                  <c:v>3.1904241390836785</c:v>
                </c:pt>
                <c:pt idx="10">
                  <c:v>7.1106755928893497</c:v>
                </c:pt>
                <c:pt idx="11">
                  <c:v>7.6926454382266449</c:v>
                </c:pt>
                <c:pt idx="12">
                  <c:v>62.973547381676305</c:v>
                </c:pt>
                <c:pt idx="13">
                  <c:v>7.6589886114830543</c:v>
                </c:pt>
                <c:pt idx="14">
                  <c:v>15.718245378509556</c:v>
                </c:pt>
                <c:pt idx="15">
                  <c:v>12.362595583526323</c:v>
                </c:pt>
                <c:pt idx="16">
                  <c:v>14.766077000021367</c:v>
                </c:pt>
                <c:pt idx="17">
                  <c:v>5.7287385244563813</c:v>
                </c:pt>
                <c:pt idx="18">
                  <c:v>1.6407204778563356</c:v>
                </c:pt>
                <c:pt idx="19">
                  <c:v>6.9554783587814839</c:v>
                </c:pt>
                <c:pt idx="20">
                  <c:v>2.3874678792712865</c:v>
                </c:pt>
                <c:pt idx="21">
                  <c:v>61.799268541694254</c:v>
                </c:pt>
                <c:pt idx="22">
                  <c:v>16.791437602569808</c:v>
                </c:pt>
                <c:pt idx="23">
                  <c:v>18.028462587704002</c:v>
                </c:pt>
                <c:pt idx="24">
                  <c:v>713.90332510782412</c:v>
                </c:pt>
                <c:pt idx="25">
                  <c:v>116.7448512495008</c:v>
                </c:pt>
                <c:pt idx="26">
                  <c:v>35.163341589854326</c:v>
                </c:pt>
                <c:pt idx="27">
                  <c:v>57.378557298286346</c:v>
                </c:pt>
                <c:pt idx="28">
                  <c:v>47.958734231511265</c:v>
                </c:pt>
                <c:pt idx="29">
                  <c:v>11.976487751419846</c:v>
                </c:pt>
                <c:pt idx="30">
                  <c:v>146.10870818920847</c:v>
                </c:pt>
                <c:pt idx="31">
                  <c:v>115.80227148435944</c:v>
                </c:pt>
                <c:pt idx="32">
                  <c:v>87.261438031159059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AB-FC4E-86B1-0F0AFE1DD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0146943"/>
        <c:axId val="470136383"/>
      </c:barChart>
      <c:lineChart>
        <c:grouping val="standard"/>
        <c:varyColors val="0"/>
        <c:ser>
          <c:idx val="3"/>
          <c:order val="3"/>
          <c:tx>
            <c:strRef>
              <c:f>Empleo!$E$44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strRef>
              <c:f>Empleo!$A$45:$A$77</c:f>
              <c:strCache>
                <c:ptCount val="33"/>
                <c:pt idx="0">
                  <c:v>Agricultura</c:v>
                </c:pt>
                <c:pt idx="1">
                  <c:v>Ganadería</c:v>
                </c:pt>
                <c:pt idx="2">
                  <c:v>Forestal</c:v>
                </c:pt>
                <c:pt idx="3">
                  <c:v>Pesca</c:v>
                </c:pt>
                <c:pt idx="4">
                  <c:v>Minería</c:v>
                </c:pt>
                <c:pt idx="5">
                  <c:v>Producción de carne</c:v>
                </c:pt>
                <c:pt idx="6">
                  <c:v>Elaboración de aceites</c:v>
                </c:pt>
                <c:pt idx="7">
                  <c:v>Producción de lácteos</c:v>
                </c:pt>
                <c:pt idx="8">
                  <c:v>Molinería y panadería</c:v>
                </c:pt>
                <c:pt idx="9">
                  <c:v>Azúcar</c:v>
                </c:pt>
                <c:pt idx="10">
                  <c:v>Otros alimentos</c:v>
                </c:pt>
                <c:pt idx="11">
                  <c:v>Bebidas y tabaco</c:v>
                </c:pt>
                <c:pt idx="12">
                  <c:v>Textiles y prendas de vestir</c:v>
                </c:pt>
                <c:pt idx="13">
                  <c:v>Cuero y calzado</c:v>
                </c:pt>
                <c:pt idx="14">
                  <c:v>Industria de la madera</c:v>
                </c:pt>
                <c:pt idx="15">
                  <c:v>Papel y productos del papel</c:v>
                </c:pt>
                <c:pt idx="16">
                  <c:v>Química, farmacia y caucho</c:v>
                </c:pt>
                <c:pt idx="17">
                  <c:v>Minerales no metálicos</c:v>
                </c:pt>
                <c:pt idx="18">
                  <c:v>Hierro y acero</c:v>
                </c:pt>
                <c:pt idx="19">
                  <c:v>Productos de metal</c:v>
                </c:pt>
                <c:pt idx="20">
                  <c:v>Maquinaria, equipo y vehículos</c:v>
                </c:pt>
                <c:pt idx="21">
                  <c:v>Otras manufacturas y reparación</c:v>
                </c:pt>
                <c:pt idx="22">
                  <c:v>Electricidad, gas, y agua</c:v>
                </c:pt>
                <c:pt idx="23">
                  <c:v>Construcción</c:v>
                </c:pt>
                <c:pt idx="24">
                  <c:v>Comercio al por mayor y menor</c:v>
                </c:pt>
                <c:pt idx="25">
                  <c:v>Transporte</c:v>
                </c:pt>
                <c:pt idx="26">
                  <c:v>Turismo (aloj., alimentación y recreación)</c:v>
                </c:pt>
                <c:pt idx="27">
                  <c:v>Telecomunicaciones, edición y servicios de info.</c:v>
                </c:pt>
                <c:pt idx="28">
                  <c:v>Finanzas y seguros</c:v>
                </c:pt>
                <c:pt idx="29">
                  <c:v>Servicios inmobiliarios</c:v>
                </c:pt>
                <c:pt idx="30">
                  <c:v>Servicios a las empresas</c:v>
                </c:pt>
                <c:pt idx="31">
                  <c:v>Servicios a los hogares</c:v>
                </c:pt>
                <c:pt idx="32">
                  <c:v>Servicios gubernamentales</c:v>
                </c:pt>
              </c:strCache>
            </c:strRef>
          </c:cat>
          <c:val>
            <c:numRef>
              <c:f>Empleo!$E$45:$E$77</c:f>
              <c:numCache>
                <c:formatCode>#,##0</c:formatCode>
                <c:ptCount val="33"/>
                <c:pt idx="0">
                  <c:v>-539.68476831581199</c:v>
                </c:pt>
                <c:pt idx="1">
                  <c:v>1745.9001957714781</c:v>
                </c:pt>
                <c:pt idx="2">
                  <c:v>23.010619214376998</c:v>
                </c:pt>
                <c:pt idx="3">
                  <c:v>3.4320213745521997</c:v>
                </c:pt>
                <c:pt idx="4">
                  <c:v>1.1125875279011905</c:v>
                </c:pt>
                <c:pt idx="5">
                  <c:v>701.30539366018024</c:v>
                </c:pt>
                <c:pt idx="6">
                  <c:v>-145.30509848608969</c:v>
                </c:pt>
                <c:pt idx="7">
                  <c:v>5.6740892966852714</c:v>
                </c:pt>
                <c:pt idx="8">
                  <c:v>38.069229770641556</c:v>
                </c:pt>
                <c:pt idx="9">
                  <c:v>3.7103259633203232</c:v>
                </c:pt>
                <c:pt idx="10">
                  <c:v>17.450327503882772</c:v>
                </c:pt>
                <c:pt idx="11">
                  <c:v>9.2061153718704674</c:v>
                </c:pt>
                <c:pt idx="12">
                  <c:v>97.778271640176882</c:v>
                </c:pt>
                <c:pt idx="13">
                  <c:v>8.1539495595273372</c:v>
                </c:pt>
                <c:pt idx="14">
                  <c:v>20.634556012802445</c:v>
                </c:pt>
                <c:pt idx="15">
                  <c:v>20.68343483532243</c:v>
                </c:pt>
                <c:pt idx="16">
                  <c:v>21.465042181523252</c:v>
                </c:pt>
                <c:pt idx="17">
                  <c:v>8.3276212139211285</c:v>
                </c:pt>
                <c:pt idx="18">
                  <c:v>2.3850592432105868</c:v>
                </c:pt>
                <c:pt idx="19">
                  <c:v>10.110789562690783</c:v>
                </c:pt>
                <c:pt idx="20">
                  <c:v>3.4708103590329458</c:v>
                </c:pt>
                <c:pt idx="21">
                  <c:v>89.836253174510475</c:v>
                </c:pt>
                <c:pt idx="22">
                  <c:v>21.807934899708922</c:v>
                </c:pt>
                <c:pt idx="23">
                  <c:v>18.480466212807148</c:v>
                </c:pt>
                <c:pt idx="24">
                  <c:v>1377.9708446124314</c:v>
                </c:pt>
                <c:pt idx="25">
                  <c:v>138.32655986226919</c:v>
                </c:pt>
                <c:pt idx="26">
                  <c:v>67.871596086755346</c:v>
                </c:pt>
                <c:pt idx="27">
                  <c:v>67.985311652406537</c:v>
                </c:pt>
                <c:pt idx="28">
                  <c:v>90.116115982229346</c:v>
                </c:pt>
                <c:pt idx="29">
                  <c:v>22.503508529259911</c:v>
                </c:pt>
                <c:pt idx="30">
                  <c:v>274.54356075304008</c:v>
                </c:pt>
                <c:pt idx="31">
                  <c:v>381.39945926484739</c:v>
                </c:pt>
                <c:pt idx="32">
                  <c:v>199.90421995297493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9AB-FC4E-86B1-0F0AFE1DD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157439"/>
        <c:axId val="407007039"/>
      </c:lineChart>
      <c:catAx>
        <c:axId val="4701469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8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70136383"/>
        <c:crosses val="autoZero"/>
        <c:auto val="1"/>
        <c:lblAlgn val="ctr"/>
        <c:lblOffset val="100"/>
        <c:noMultiLvlLbl val="0"/>
      </c:catAx>
      <c:valAx>
        <c:axId val="470136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8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70146943"/>
        <c:crosses val="autoZero"/>
        <c:crossBetween val="between"/>
      </c:valAx>
      <c:catAx>
        <c:axId val="4141574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07007039"/>
        <c:crosses val="autoZero"/>
        <c:auto val="1"/>
        <c:lblAlgn val="ctr"/>
        <c:lblOffset val="100"/>
        <c:noMultiLvlLbl val="0"/>
      </c:catAx>
      <c:valAx>
        <c:axId val="407007039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14157439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Empleo por Nivel Educativo y Sector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Empleo!$F$44</c:f>
              <c:strCache>
                <c:ptCount val="1"/>
                <c:pt idx="0">
                  <c:v>Bajo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Empleo!$A$45:$A$77</c:f>
              <c:strCache>
                <c:ptCount val="33"/>
                <c:pt idx="0">
                  <c:v>Agricultura</c:v>
                </c:pt>
                <c:pt idx="1">
                  <c:v>Ganadería</c:v>
                </c:pt>
                <c:pt idx="2">
                  <c:v>Forestal</c:v>
                </c:pt>
                <c:pt idx="3">
                  <c:v>Pesca</c:v>
                </c:pt>
                <c:pt idx="4">
                  <c:v>Minería</c:v>
                </c:pt>
                <c:pt idx="5">
                  <c:v>Producción de carne</c:v>
                </c:pt>
                <c:pt idx="6">
                  <c:v>Elaboración de aceites</c:v>
                </c:pt>
                <c:pt idx="7">
                  <c:v>Producción de lácteos</c:v>
                </c:pt>
                <c:pt idx="8">
                  <c:v>Molinería y panadería</c:v>
                </c:pt>
                <c:pt idx="9">
                  <c:v>Azúcar</c:v>
                </c:pt>
                <c:pt idx="10">
                  <c:v>Otros alimentos</c:v>
                </c:pt>
                <c:pt idx="11">
                  <c:v>Bebidas y tabaco</c:v>
                </c:pt>
                <c:pt idx="12">
                  <c:v>Textiles y prendas de vestir</c:v>
                </c:pt>
                <c:pt idx="13">
                  <c:v>Cuero y calzado</c:v>
                </c:pt>
                <c:pt idx="14">
                  <c:v>Industria de la madera</c:v>
                </c:pt>
                <c:pt idx="15">
                  <c:v>Papel y productos del papel</c:v>
                </c:pt>
                <c:pt idx="16">
                  <c:v>Química, farmacia y caucho</c:v>
                </c:pt>
                <c:pt idx="17">
                  <c:v>Minerales no metálicos</c:v>
                </c:pt>
                <c:pt idx="18">
                  <c:v>Hierro y acero</c:v>
                </c:pt>
                <c:pt idx="19">
                  <c:v>Productos de metal</c:v>
                </c:pt>
                <c:pt idx="20">
                  <c:v>Maquinaria, equipo y vehículos</c:v>
                </c:pt>
                <c:pt idx="21">
                  <c:v>Otras manufacturas y reparación</c:v>
                </c:pt>
                <c:pt idx="22">
                  <c:v>Electricidad, gas, y agua</c:v>
                </c:pt>
                <c:pt idx="23">
                  <c:v>Construcción</c:v>
                </c:pt>
                <c:pt idx="24">
                  <c:v>Comercio al por mayor y menor</c:v>
                </c:pt>
                <c:pt idx="25">
                  <c:v>Transporte</c:v>
                </c:pt>
                <c:pt idx="26">
                  <c:v>Turismo (aloj., alimentación y recreación)</c:v>
                </c:pt>
                <c:pt idx="27">
                  <c:v>Telecomunicaciones, edición y servicios de info.</c:v>
                </c:pt>
                <c:pt idx="28">
                  <c:v>Finanzas y seguros</c:v>
                </c:pt>
                <c:pt idx="29">
                  <c:v>Servicios inmobiliarios</c:v>
                </c:pt>
                <c:pt idx="30">
                  <c:v>Servicios a las empresas</c:v>
                </c:pt>
                <c:pt idx="31">
                  <c:v>Servicios a los hogares</c:v>
                </c:pt>
                <c:pt idx="32">
                  <c:v>Servicios gubernamentales</c:v>
                </c:pt>
              </c:strCache>
            </c:strRef>
          </c:cat>
          <c:val>
            <c:numRef>
              <c:f>Empleo!$F$45:$F$77</c:f>
              <c:numCache>
                <c:formatCode>#,##0</c:formatCode>
                <c:ptCount val="33"/>
                <c:pt idx="0">
                  <c:v>-381.08715411841126</c:v>
                </c:pt>
                <c:pt idx="1">
                  <c:v>1232.8310451629923</c:v>
                </c:pt>
                <c:pt idx="2">
                  <c:v>16.248469302320391</c:v>
                </c:pt>
                <c:pt idx="3">
                  <c:v>2.4234503830508354</c:v>
                </c:pt>
                <c:pt idx="4">
                  <c:v>0.33121479631615108</c:v>
                </c:pt>
                <c:pt idx="5">
                  <c:v>208.72652851337588</c:v>
                </c:pt>
                <c:pt idx="6">
                  <c:v>-43.246535755280028</c:v>
                </c:pt>
                <c:pt idx="7">
                  <c:v>1.6887549590783439</c:v>
                </c:pt>
                <c:pt idx="8">
                  <c:v>11.330382234382705</c:v>
                </c:pt>
                <c:pt idx="9">
                  <c:v>1.1042884668760398</c:v>
                </c:pt>
                <c:pt idx="10">
                  <c:v>5.1936664315344636</c:v>
                </c:pt>
                <c:pt idx="11">
                  <c:v>2.7399767919013702</c:v>
                </c:pt>
                <c:pt idx="12">
                  <c:v>29.101109886429409</c:v>
                </c:pt>
                <c:pt idx="13">
                  <c:v>2.4268068780498426</c:v>
                </c:pt>
                <c:pt idx="14">
                  <c:v>6.1412369085721616</c:v>
                </c:pt>
                <c:pt idx="15">
                  <c:v>6.1557841771792887</c:v>
                </c:pt>
                <c:pt idx="16">
                  <c:v>6.3881004025540671</c:v>
                </c:pt>
                <c:pt idx="17">
                  <c:v>2.4785480146360999</c:v>
                </c:pt>
                <c:pt idx="18">
                  <c:v>0.71014436760212818</c:v>
                </c:pt>
                <c:pt idx="19">
                  <c:v>3.0089993494891503</c:v>
                </c:pt>
                <c:pt idx="20">
                  <c:v>1.0330142601186119</c:v>
                </c:pt>
                <c:pt idx="21">
                  <c:v>26.736662424354726</c:v>
                </c:pt>
                <c:pt idx="22">
                  <c:v>2.6303635530885501</c:v>
                </c:pt>
                <c:pt idx="23">
                  <c:v>8.6219147691955857</c:v>
                </c:pt>
                <c:pt idx="24">
                  <c:v>391.01992624372576</c:v>
                </c:pt>
                <c:pt idx="25">
                  <c:v>27.999973004378681</c:v>
                </c:pt>
                <c:pt idx="26">
                  <c:v>19.259395642015495</c:v>
                </c:pt>
                <c:pt idx="27">
                  <c:v>13.761945627170292</c:v>
                </c:pt>
                <c:pt idx="28">
                  <c:v>8.2762413831499142</c:v>
                </c:pt>
                <c:pt idx="29">
                  <c:v>2.0662614304222413</c:v>
                </c:pt>
                <c:pt idx="30">
                  <c:v>25.212766684433923</c:v>
                </c:pt>
                <c:pt idx="31">
                  <c:v>129.79028777495796</c:v>
                </c:pt>
                <c:pt idx="32">
                  <c:v>10.868878415486074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E2-394C-A1B5-00BD48ADA73A}"/>
            </c:ext>
          </c:extLst>
        </c:ser>
        <c:ser>
          <c:idx val="1"/>
          <c:order val="1"/>
          <c:tx>
            <c:strRef>
              <c:f>Empleo!$G$44</c:f>
              <c:strCache>
                <c:ptCount val="1"/>
                <c:pt idx="0">
                  <c:v>Medio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strRef>
              <c:f>Empleo!$A$45:$A$77</c:f>
              <c:strCache>
                <c:ptCount val="33"/>
                <c:pt idx="0">
                  <c:v>Agricultura</c:v>
                </c:pt>
                <c:pt idx="1">
                  <c:v>Ganadería</c:v>
                </c:pt>
                <c:pt idx="2">
                  <c:v>Forestal</c:v>
                </c:pt>
                <c:pt idx="3">
                  <c:v>Pesca</c:v>
                </c:pt>
                <c:pt idx="4">
                  <c:v>Minería</c:v>
                </c:pt>
                <c:pt idx="5">
                  <c:v>Producción de carne</c:v>
                </c:pt>
                <c:pt idx="6">
                  <c:v>Elaboración de aceites</c:v>
                </c:pt>
                <c:pt idx="7">
                  <c:v>Producción de lácteos</c:v>
                </c:pt>
                <c:pt idx="8">
                  <c:v>Molinería y panadería</c:v>
                </c:pt>
                <c:pt idx="9">
                  <c:v>Azúcar</c:v>
                </c:pt>
                <c:pt idx="10">
                  <c:v>Otros alimentos</c:v>
                </c:pt>
                <c:pt idx="11">
                  <c:v>Bebidas y tabaco</c:v>
                </c:pt>
                <c:pt idx="12">
                  <c:v>Textiles y prendas de vestir</c:v>
                </c:pt>
                <c:pt idx="13">
                  <c:v>Cuero y calzado</c:v>
                </c:pt>
                <c:pt idx="14">
                  <c:v>Industria de la madera</c:v>
                </c:pt>
                <c:pt idx="15">
                  <c:v>Papel y productos del papel</c:v>
                </c:pt>
                <c:pt idx="16">
                  <c:v>Química, farmacia y caucho</c:v>
                </c:pt>
                <c:pt idx="17">
                  <c:v>Minerales no metálicos</c:v>
                </c:pt>
                <c:pt idx="18">
                  <c:v>Hierro y acero</c:v>
                </c:pt>
                <c:pt idx="19">
                  <c:v>Productos de metal</c:v>
                </c:pt>
                <c:pt idx="20">
                  <c:v>Maquinaria, equipo y vehículos</c:v>
                </c:pt>
                <c:pt idx="21">
                  <c:v>Otras manufacturas y reparación</c:v>
                </c:pt>
                <c:pt idx="22">
                  <c:v>Electricidad, gas, y agua</c:v>
                </c:pt>
                <c:pt idx="23">
                  <c:v>Construcción</c:v>
                </c:pt>
                <c:pt idx="24">
                  <c:v>Comercio al por mayor y menor</c:v>
                </c:pt>
                <c:pt idx="25">
                  <c:v>Transporte</c:v>
                </c:pt>
                <c:pt idx="26">
                  <c:v>Turismo (aloj., alimentación y recreación)</c:v>
                </c:pt>
                <c:pt idx="27">
                  <c:v>Telecomunicaciones, edición y servicios de info.</c:v>
                </c:pt>
                <c:pt idx="28">
                  <c:v>Finanzas y seguros</c:v>
                </c:pt>
                <c:pt idx="29">
                  <c:v>Servicios inmobiliarios</c:v>
                </c:pt>
                <c:pt idx="30">
                  <c:v>Servicios a las empresas</c:v>
                </c:pt>
                <c:pt idx="31">
                  <c:v>Servicios a los hogares</c:v>
                </c:pt>
                <c:pt idx="32">
                  <c:v>Servicios gubernamentales</c:v>
                </c:pt>
              </c:strCache>
            </c:strRef>
          </c:cat>
          <c:val>
            <c:numRef>
              <c:f>Empleo!$G$45:$G$77</c:f>
              <c:numCache>
                <c:formatCode>#,##0</c:formatCode>
                <c:ptCount val="33"/>
                <c:pt idx="0">
                  <c:v>-123.8618776792549</c:v>
                </c:pt>
                <c:pt idx="1">
                  <c:v>400.69775762559408</c:v>
                </c:pt>
                <c:pt idx="2">
                  <c:v>5.281117181330635</c:v>
                </c:pt>
                <c:pt idx="3">
                  <c:v>0.78767576304583675</c:v>
                </c:pt>
                <c:pt idx="4">
                  <c:v>0.52243681501628736</c:v>
                </c:pt>
                <c:pt idx="5">
                  <c:v>329.31135739604349</c:v>
                </c:pt>
                <c:pt idx="6">
                  <c:v>-68.230787402451071</c:v>
                </c:pt>
                <c:pt idx="7">
                  <c:v>2.6643771246727299</c:v>
                </c:pt>
                <c:pt idx="8">
                  <c:v>17.876134768281133</c:v>
                </c:pt>
                <c:pt idx="9">
                  <c:v>1.7422545019735713</c:v>
                </c:pt>
                <c:pt idx="10">
                  <c:v>8.1941349507054877</c:v>
                </c:pt>
                <c:pt idx="11">
                  <c:v>4.3229075048640677</c:v>
                </c:pt>
                <c:pt idx="12">
                  <c:v>45.913714114786515</c:v>
                </c:pt>
                <c:pt idx="13">
                  <c:v>3.8288476846904658</c:v>
                </c:pt>
                <c:pt idx="14">
                  <c:v>9.6895071224138558</c:v>
                </c:pt>
                <c:pt idx="15">
                  <c:v>9.7124594795495458</c:v>
                </c:pt>
                <c:pt idx="16">
                  <c:v>10.079192640500416</c:v>
                </c:pt>
                <c:pt idx="17">
                  <c:v>3.9104440733884962</c:v>
                </c:pt>
                <c:pt idx="18">
                  <c:v>1.1198665263820318</c:v>
                </c:pt>
                <c:pt idx="19">
                  <c:v>4.7479920973111369</c:v>
                </c:pt>
                <c:pt idx="20">
                  <c:v>1.6299730697533004</c:v>
                </c:pt>
                <c:pt idx="21">
                  <c:v>42.185266572643535</c:v>
                </c:pt>
                <c:pt idx="22">
                  <c:v>6.9728886942761505</c:v>
                </c:pt>
                <c:pt idx="23">
                  <c:v>7.635772500298752</c:v>
                </c:pt>
                <c:pt idx="24">
                  <c:v>618.34662844495995</c:v>
                </c:pt>
                <c:pt idx="25">
                  <c:v>63.910830026323531</c:v>
                </c:pt>
                <c:pt idx="26">
                  <c:v>30.456732992065824</c:v>
                </c:pt>
                <c:pt idx="27">
                  <c:v>31.410821318904713</c:v>
                </c:pt>
                <c:pt idx="28">
                  <c:v>23.021345605165934</c:v>
                </c:pt>
                <c:pt idx="29">
                  <c:v>5.7492360236834692</c:v>
                </c:pt>
                <c:pt idx="30">
                  <c:v>70.137535644645951</c:v>
                </c:pt>
                <c:pt idx="31">
                  <c:v>147.29393137277606</c:v>
                </c:pt>
                <c:pt idx="32">
                  <c:v>28.10528045492352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E2-394C-A1B5-00BD48ADA73A}"/>
            </c:ext>
          </c:extLst>
        </c:ser>
        <c:ser>
          <c:idx val="2"/>
          <c:order val="2"/>
          <c:tx>
            <c:strRef>
              <c:f>Empleo!$H$44</c:f>
              <c:strCache>
                <c:ptCount val="1"/>
                <c:pt idx="0">
                  <c:v>Alto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  <a:prstDash val="solid"/>
            </a:ln>
          </c:spPr>
          <c:invertIfNegative val="0"/>
          <c:cat>
            <c:strRef>
              <c:f>Empleo!$A$45:$A$77</c:f>
              <c:strCache>
                <c:ptCount val="33"/>
                <c:pt idx="0">
                  <c:v>Agricultura</c:v>
                </c:pt>
                <c:pt idx="1">
                  <c:v>Ganadería</c:v>
                </c:pt>
                <c:pt idx="2">
                  <c:v>Forestal</c:v>
                </c:pt>
                <c:pt idx="3">
                  <c:v>Pesca</c:v>
                </c:pt>
                <c:pt idx="4">
                  <c:v>Minería</c:v>
                </c:pt>
                <c:pt idx="5">
                  <c:v>Producción de carne</c:v>
                </c:pt>
                <c:pt idx="6">
                  <c:v>Elaboración de aceites</c:v>
                </c:pt>
                <c:pt idx="7">
                  <c:v>Producción de lácteos</c:v>
                </c:pt>
                <c:pt idx="8">
                  <c:v>Molinería y panadería</c:v>
                </c:pt>
                <c:pt idx="9">
                  <c:v>Azúcar</c:v>
                </c:pt>
                <c:pt idx="10">
                  <c:v>Otros alimentos</c:v>
                </c:pt>
                <c:pt idx="11">
                  <c:v>Bebidas y tabaco</c:v>
                </c:pt>
                <c:pt idx="12">
                  <c:v>Textiles y prendas de vestir</c:v>
                </c:pt>
                <c:pt idx="13">
                  <c:v>Cuero y calzado</c:v>
                </c:pt>
                <c:pt idx="14">
                  <c:v>Industria de la madera</c:v>
                </c:pt>
                <c:pt idx="15">
                  <c:v>Papel y productos del papel</c:v>
                </c:pt>
                <c:pt idx="16">
                  <c:v>Química, farmacia y caucho</c:v>
                </c:pt>
                <c:pt idx="17">
                  <c:v>Minerales no metálicos</c:v>
                </c:pt>
                <c:pt idx="18">
                  <c:v>Hierro y acero</c:v>
                </c:pt>
                <c:pt idx="19">
                  <c:v>Productos de metal</c:v>
                </c:pt>
                <c:pt idx="20">
                  <c:v>Maquinaria, equipo y vehículos</c:v>
                </c:pt>
                <c:pt idx="21">
                  <c:v>Otras manufacturas y reparación</c:v>
                </c:pt>
                <c:pt idx="22">
                  <c:v>Electricidad, gas, y agua</c:v>
                </c:pt>
                <c:pt idx="23">
                  <c:v>Construcción</c:v>
                </c:pt>
                <c:pt idx="24">
                  <c:v>Comercio al por mayor y menor</c:v>
                </c:pt>
                <c:pt idx="25">
                  <c:v>Transporte</c:v>
                </c:pt>
                <c:pt idx="26">
                  <c:v>Turismo (aloj., alimentación y recreación)</c:v>
                </c:pt>
                <c:pt idx="27">
                  <c:v>Telecomunicaciones, edición y servicios de info.</c:v>
                </c:pt>
                <c:pt idx="28">
                  <c:v>Finanzas y seguros</c:v>
                </c:pt>
                <c:pt idx="29">
                  <c:v>Servicios inmobiliarios</c:v>
                </c:pt>
                <c:pt idx="30">
                  <c:v>Servicios a las empresas</c:v>
                </c:pt>
                <c:pt idx="31">
                  <c:v>Servicios a los hogares</c:v>
                </c:pt>
                <c:pt idx="32">
                  <c:v>Servicios gubernamentales</c:v>
                </c:pt>
              </c:strCache>
            </c:strRef>
          </c:cat>
          <c:val>
            <c:numRef>
              <c:f>Empleo!$H$45:$H$77</c:f>
              <c:numCache>
                <c:formatCode>#,##0</c:formatCode>
                <c:ptCount val="33"/>
                <c:pt idx="0">
                  <c:v>-34.735736518145707</c:v>
                </c:pt>
                <c:pt idx="1">
                  <c:v>112.3713929828919</c:v>
                </c:pt>
                <c:pt idx="2">
                  <c:v>1.4810327307259716</c:v>
                </c:pt>
                <c:pt idx="3">
                  <c:v>0.220895228455527</c:v>
                </c:pt>
                <c:pt idx="4">
                  <c:v>0.25893591656875214</c:v>
                </c:pt>
                <c:pt idx="5">
                  <c:v>163.26750775076098</c:v>
                </c:pt>
                <c:pt idx="6">
                  <c:v>-33.82777532835874</c:v>
                </c:pt>
                <c:pt idx="7">
                  <c:v>1.3209572129341987</c:v>
                </c:pt>
                <c:pt idx="8">
                  <c:v>8.8627127679777225</c:v>
                </c:pt>
                <c:pt idx="9">
                  <c:v>0.86378299447070905</c:v>
                </c:pt>
                <c:pt idx="10">
                  <c:v>4.062526121642847</c:v>
                </c:pt>
                <c:pt idx="11">
                  <c:v>2.1432310751050245</c:v>
                </c:pt>
                <c:pt idx="12">
                  <c:v>22.763447638961008</c:v>
                </c:pt>
                <c:pt idx="13">
                  <c:v>1.8982949967870133</c:v>
                </c:pt>
                <c:pt idx="14">
                  <c:v>4.8038119818164464</c:v>
                </c:pt>
                <c:pt idx="15">
                  <c:v>4.8151911785935768</c:v>
                </c:pt>
                <c:pt idx="16">
                  <c:v>4.9977491384687704</c:v>
                </c:pt>
                <c:pt idx="17">
                  <c:v>1.9386291258965331</c:v>
                </c:pt>
                <c:pt idx="18">
                  <c:v>0.55504834922642687</c:v>
                </c:pt>
                <c:pt idx="19">
                  <c:v>2.3537981158904975</c:v>
                </c:pt>
                <c:pt idx="20">
                  <c:v>0.80782302916103388</c:v>
                </c:pt>
                <c:pt idx="21">
                  <c:v>20.914324177512214</c:v>
                </c:pt>
                <c:pt idx="22">
                  <c:v>12.204682652344221</c:v>
                </c:pt>
                <c:pt idx="23">
                  <c:v>2.22277894331281</c:v>
                </c:pt>
                <c:pt idx="24">
                  <c:v>368.60428992374551</c:v>
                </c:pt>
                <c:pt idx="25">
                  <c:v>46.415756831566974</c:v>
                </c:pt>
                <c:pt idx="26">
                  <c:v>18.155467452674014</c:v>
                </c:pt>
                <c:pt idx="27">
                  <c:v>22.812544706331536</c:v>
                </c:pt>
                <c:pt idx="28">
                  <c:v>58.818528993913496</c:v>
                </c:pt>
                <c:pt idx="29">
                  <c:v>14.688011075154197</c:v>
                </c:pt>
                <c:pt idx="30">
                  <c:v>179.1932584239602</c:v>
                </c:pt>
                <c:pt idx="31">
                  <c:v>104.31524011711339</c:v>
                </c:pt>
                <c:pt idx="32">
                  <c:v>160.93006108256535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E2-394C-A1B5-00BD48ADA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30716479"/>
        <c:axId val="430711999"/>
      </c:barChart>
      <c:lineChart>
        <c:grouping val="standard"/>
        <c:varyColors val="0"/>
        <c:ser>
          <c:idx val="3"/>
          <c:order val="3"/>
          <c:tx>
            <c:strRef>
              <c:f>Empleo!$I$44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strRef>
              <c:f>Empleo!$A$45:$A$77</c:f>
              <c:strCache>
                <c:ptCount val="33"/>
                <c:pt idx="0">
                  <c:v>Agricultura</c:v>
                </c:pt>
                <c:pt idx="1">
                  <c:v>Ganadería</c:v>
                </c:pt>
                <c:pt idx="2">
                  <c:v>Forestal</c:v>
                </c:pt>
                <c:pt idx="3">
                  <c:v>Pesca</c:v>
                </c:pt>
                <c:pt idx="4">
                  <c:v>Minería</c:v>
                </c:pt>
                <c:pt idx="5">
                  <c:v>Producción de carne</c:v>
                </c:pt>
                <c:pt idx="6">
                  <c:v>Elaboración de aceites</c:v>
                </c:pt>
                <c:pt idx="7">
                  <c:v>Producción de lácteos</c:v>
                </c:pt>
                <c:pt idx="8">
                  <c:v>Molinería y panadería</c:v>
                </c:pt>
                <c:pt idx="9">
                  <c:v>Azúcar</c:v>
                </c:pt>
                <c:pt idx="10">
                  <c:v>Otros alimentos</c:v>
                </c:pt>
                <c:pt idx="11">
                  <c:v>Bebidas y tabaco</c:v>
                </c:pt>
                <c:pt idx="12">
                  <c:v>Textiles y prendas de vestir</c:v>
                </c:pt>
                <c:pt idx="13">
                  <c:v>Cuero y calzado</c:v>
                </c:pt>
                <c:pt idx="14">
                  <c:v>Industria de la madera</c:v>
                </c:pt>
                <c:pt idx="15">
                  <c:v>Papel y productos del papel</c:v>
                </c:pt>
                <c:pt idx="16">
                  <c:v>Química, farmacia y caucho</c:v>
                </c:pt>
                <c:pt idx="17">
                  <c:v>Minerales no metálicos</c:v>
                </c:pt>
                <c:pt idx="18">
                  <c:v>Hierro y acero</c:v>
                </c:pt>
                <c:pt idx="19">
                  <c:v>Productos de metal</c:v>
                </c:pt>
                <c:pt idx="20">
                  <c:v>Maquinaria, equipo y vehículos</c:v>
                </c:pt>
                <c:pt idx="21">
                  <c:v>Otras manufacturas y reparación</c:v>
                </c:pt>
                <c:pt idx="22">
                  <c:v>Electricidad, gas, y agua</c:v>
                </c:pt>
                <c:pt idx="23">
                  <c:v>Construcción</c:v>
                </c:pt>
                <c:pt idx="24">
                  <c:v>Comercio al por mayor y menor</c:v>
                </c:pt>
                <c:pt idx="25">
                  <c:v>Transporte</c:v>
                </c:pt>
                <c:pt idx="26">
                  <c:v>Turismo (aloj., alimentación y recreación)</c:v>
                </c:pt>
                <c:pt idx="27">
                  <c:v>Telecomunicaciones, edición y servicios de info.</c:v>
                </c:pt>
                <c:pt idx="28">
                  <c:v>Finanzas y seguros</c:v>
                </c:pt>
                <c:pt idx="29">
                  <c:v>Servicios inmobiliarios</c:v>
                </c:pt>
                <c:pt idx="30">
                  <c:v>Servicios a las empresas</c:v>
                </c:pt>
                <c:pt idx="31">
                  <c:v>Servicios a los hogares</c:v>
                </c:pt>
                <c:pt idx="32">
                  <c:v>Servicios gubernamentales</c:v>
                </c:pt>
              </c:strCache>
            </c:strRef>
          </c:cat>
          <c:val>
            <c:numRef>
              <c:f>Empleo!$I$45:$I$77</c:f>
              <c:numCache>
                <c:formatCode>#,##0</c:formatCode>
                <c:ptCount val="33"/>
                <c:pt idx="0">
                  <c:v>-539.68476831581188</c:v>
                </c:pt>
                <c:pt idx="1">
                  <c:v>1745.9001957714781</c:v>
                </c:pt>
                <c:pt idx="2">
                  <c:v>23.010619214376998</c:v>
                </c:pt>
                <c:pt idx="3">
                  <c:v>3.4320213745521992</c:v>
                </c:pt>
                <c:pt idx="4">
                  <c:v>1.1125875279011905</c:v>
                </c:pt>
                <c:pt idx="5">
                  <c:v>701.30539366018036</c:v>
                </c:pt>
                <c:pt idx="6">
                  <c:v>-145.30509848608983</c:v>
                </c:pt>
                <c:pt idx="7">
                  <c:v>5.6740892966852723</c:v>
                </c:pt>
                <c:pt idx="8">
                  <c:v>38.069229770641563</c:v>
                </c:pt>
                <c:pt idx="9">
                  <c:v>3.7103259633203205</c:v>
                </c:pt>
                <c:pt idx="10">
                  <c:v>17.450327503882797</c:v>
                </c:pt>
                <c:pt idx="11">
                  <c:v>9.206115371870462</c:v>
                </c:pt>
                <c:pt idx="12">
                  <c:v>97.778271640176939</c:v>
                </c:pt>
                <c:pt idx="13">
                  <c:v>8.153949559527323</c:v>
                </c:pt>
                <c:pt idx="14">
                  <c:v>20.634556012802463</c:v>
                </c:pt>
                <c:pt idx="15">
                  <c:v>20.683434835322412</c:v>
                </c:pt>
                <c:pt idx="16">
                  <c:v>21.465042181523252</c:v>
                </c:pt>
                <c:pt idx="17">
                  <c:v>8.3276212139211285</c:v>
                </c:pt>
                <c:pt idx="18">
                  <c:v>2.3850592432105868</c:v>
                </c:pt>
                <c:pt idx="19">
                  <c:v>10.110789562690785</c:v>
                </c:pt>
                <c:pt idx="20">
                  <c:v>3.4708103590329458</c:v>
                </c:pt>
                <c:pt idx="21">
                  <c:v>89.836253174510475</c:v>
                </c:pt>
                <c:pt idx="22">
                  <c:v>21.807934899708922</c:v>
                </c:pt>
                <c:pt idx="23">
                  <c:v>18.480466212807148</c:v>
                </c:pt>
                <c:pt idx="24">
                  <c:v>1377.9708446124314</c:v>
                </c:pt>
                <c:pt idx="25">
                  <c:v>138.32655986226919</c:v>
                </c:pt>
                <c:pt idx="26">
                  <c:v>67.871596086755332</c:v>
                </c:pt>
                <c:pt idx="27">
                  <c:v>67.985311652406537</c:v>
                </c:pt>
                <c:pt idx="28">
                  <c:v>90.116115982229331</c:v>
                </c:pt>
                <c:pt idx="29">
                  <c:v>22.503508529259907</c:v>
                </c:pt>
                <c:pt idx="30">
                  <c:v>274.54356075304008</c:v>
                </c:pt>
                <c:pt idx="31">
                  <c:v>381.39945926484739</c:v>
                </c:pt>
                <c:pt idx="32">
                  <c:v>199.90421995297496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E2-394C-A1B5-00BD48ADA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358143"/>
        <c:axId val="396108543"/>
      </c:lineChart>
      <c:catAx>
        <c:axId val="4307164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8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30711999"/>
        <c:crosses val="autoZero"/>
        <c:auto val="1"/>
        <c:lblAlgn val="ctr"/>
        <c:lblOffset val="100"/>
        <c:noMultiLvlLbl val="0"/>
      </c:catAx>
      <c:valAx>
        <c:axId val="430711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8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30716479"/>
        <c:crosses val="autoZero"/>
        <c:crossBetween val="between"/>
      </c:valAx>
      <c:catAx>
        <c:axId val="4013581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96108543"/>
        <c:crosses val="autoZero"/>
        <c:auto val="1"/>
        <c:lblAlgn val="ctr"/>
        <c:lblOffset val="100"/>
        <c:noMultiLvlLbl val="0"/>
      </c:catAx>
      <c:valAx>
        <c:axId val="396108543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01358143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Empleo Según Tipo de Contrato por Sector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Empleo!$B$83</c:f>
              <c:strCache>
                <c:ptCount val="1"/>
                <c:pt idx="0">
                  <c:v>Cód.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Empleo!$A$84:$A$116</c:f>
              <c:strCache>
                <c:ptCount val="33"/>
                <c:pt idx="0">
                  <c:v>Agricultura</c:v>
                </c:pt>
                <c:pt idx="1">
                  <c:v>Ganadería</c:v>
                </c:pt>
                <c:pt idx="2">
                  <c:v>Forestal</c:v>
                </c:pt>
                <c:pt idx="3">
                  <c:v>Pesca</c:v>
                </c:pt>
                <c:pt idx="4">
                  <c:v>Minería</c:v>
                </c:pt>
                <c:pt idx="5">
                  <c:v>Producción de carne</c:v>
                </c:pt>
                <c:pt idx="6">
                  <c:v>Elaboración de aceites</c:v>
                </c:pt>
                <c:pt idx="7">
                  <c:v>Producción de lácteos</c:v>
                </c:pt>
                <c:pt idx="8">
                  <c:v>Molinería y panadería</c:v>
                </c:pt>
                <c:pt idx="9">
                  <c:v>Azúcar</c:v>
                </c:pt>
                <c:pt idx="10">
                  <c:v>Otros alimentos</c:v>
                </c:pt>
                <c:pt idx="11">
                  <c:v>Bebidas y tabaco</c:v>
                </c:pt>
                <c:pt idx="12">
                  <c:v>Textiles y prendas de vestir</c:v>
                </c:pt>
                <c:pt idx="13">
                  <c:v>Cuero y calzado</c:v>
                </c:pt>
                <c:pt idx="14">
                  <c:v>Industria de la madera</c:v>
                </c:pt>
                <c:pt idx="15">
                  <c:v>Papel y productos del papel</c:v>
                </c:pt>
                <c:pt idx="16">
                  <c:v>Química, farmacia y caucho</c:v>
                </c:pt>
                <c:pt idx="17">
                  <c:v>Minerales no metálicos</c:v>
                </c:pt>
                <c:pt idx="18">
                  <c:v>Hierro y acero</c:v>
                </c:pt>
                <c:pt idx="19">
                  <c:v>Productos de metal</c:v>
                </c:pt>
                <c:pt idx="20">
                  <c:v>Maquinaria, equipo y vehículos</c:v>
                </c:pt>
                <c:pt idx="21">
                  <c:v>Otras manufacturas y reparación</c:v>
                </c:pt>
                <c:pt idx="22">
                  <c:v>Electricidad, gas, y agua</c:v>
                </c:pt>
                <c:pt idx="23">
                  <c:v>Construcción</c:v>
                </c:pt>
                <c:pt idx="24">
                  <c:v>Comercio al por mayor y menor</c:v>
                </c:pt>
                <c:pt idx="25">
                  <c:v>Transporte</c:v>
                </c:pt>
                <c:pt idx="26">
                  <c:v>Turismo (aloj., alimentación y recreación)</c:v>
                </c:pt>
                <c:pt idx="27">
                  <c:v>Telecomunicaciones, edición y servicios de info.</c:v>
                </c:pt>
                <c:pt idx="28">
                  <c:v>Finanzas y seguros</c:v>
                </c:pt>
                <c:pt idx="29">
                  <c:v>Servicios inmobiliarios</c:v>
                </c:pt>
                <c:pt idx="30">
                  <c:v>Servicios a las empresas</c:v>
                </c:pt>
                <c:pt idx="31">
                  <c:v>Servicios a los hogares</c:v>
                </c:pt>
                <c:pt idx="32">
                  <c:v>Servicios gubernamentales</c:v>
                </c:pt>
              </c:strCache>
            </c:strRef>
          </c:cat>
          <c:val>
            <c:numRef>
              <c:f>Empleo!$B$84:$B$116</c:f>
            </c:numRef>
          </c:val>
          <c:extLst>
            <c:ext xmlns:c16="http://schemas.microsoft.com/office/drawing/2014/chart" uri="{C3380CC4-5D6E-409C-BE32-E72D297353CC}">
              <c16:uniqueId val="{00000000-D14B-FD42-B090-829C9A6452AC}"/>
            </c:ext>
          </c:extLst>
        </c:ser>
        <c:ser>
          <c:idx val="1"/>
          <c:order val="1"/>
          <c:tx>
            <c:strRef>
              <c:f>Empleo!$C$83</c:f>
              <c:strCache>
                <c:ptCount val="1"/>
                <c:pt idx="0">
                  <c:v>Formal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strRef>
              <c:f>Empleo!$A$84:$A$116</c:f>
              <c:strCache>
                <c:ptCount val="33"/>
                <c:pt idx="0">
                  <c:v>Agricultura</c:v>
                </c:pt>
                <c:pt idx="1">
                  <c:v>Ganadería</c:v>
                </c:pt>
                <c:pt idx="2">
                  <c:v>Forestal</c:v>
                </c:pt>
                <c:pt idx="3">
                  <c:v>Pesca</c:v>
                </c:pt>
                <c:pt idx="4">
                  <c:v>Minería</c:v>
                </c:pt>
                <c:pt idx="5">
                  <c:v>Producción de carne</c:v>
                </c:pt>
                <c:pt idx="6">
                  <c:v>Elaboración de aceites</c:v>
                </c:pt>
                <c:pt idx="7">
                  <c:v>Producción de lácteos</c:v>
                </c:pt>
                <c:pt idx="8">
                  <c:v>Molinería y panadería</c:v>
                </c:pt>
                <c:pt idx="9">
                  <c:v>Azúcar</c:v>
                </c:pt>
                <c:pt idx="10">
                  <c:v>Otros alimentos</c:v>
                </c:pt>
                <c:pt idx="11">
                  <c:v>Bebidas y tabaco</c:v>
                </c:pt>
                <c:pt idx="12">
                  <c:v>Textiles y prendas de vestir</c:v>
                </c:pt>
                <c:pt idx="13">
                  <c:v>Cuero y calzado</c:v>
                </c:pt>
                <c:pt idx="14">
                  <c:v>Industria de la madera</c:v>
                </c:pt>
                <c:pt idx="15">
                  <c:v>Papel y productos del papel</c:v>
                </c:pt>
                <c:pt idx="16">
                  <c:v>Química, farmacia y caucho</c:v>
                </c:pt>
                <c:pt idx="17">
                  <c:v>Minerales no metálicos</c:v>
                </c:pt>
                <c:pt idx="18">
                  <c:v>Hierro y acero</c:v>
                </c:pt>
                <c:pt idx="19">
                  <c:v>Productos de metal</c:v>
                </c:pt>
                <c:pt idx="20">
                  <c:v>Maquinaria, equipo y vehículos</c:v>
                </c:pt>
                <c:pt idx="21">
                  <c:v>Otras manufacturas y reparación</c:v>
                </c:pt>
                <c:pt idx="22">
                  <c:v>Electricidad, gas, y agua</c:v>
                </c:pt>
                <c:pt idx="23">
                  <c:v>Construcción</c:v>
                </c:pt>
                <c:pt idx="24">
                  <c:v>Comercio al por mayor y menor</c:v>
                </c:pt>
                <c:pt idx="25">
                  <c:v>Transporte</c:v>
                </c:pt>
                <c:pt idx="26">
                  <c:v>Turismo (aloj., alimentación y recreación)</c:v>
                </c:pt>
                <c:pt idx="27">
                  <c:v>Telecomunicaciones, edición y servicios de info.</c:v>
                </c:pt>
                <c:pt idx="28">
                  <c:v>Finanzas y seguros</c:v>
                </c:pt>
                <c:pt idx="29">
                  <c:v>Servicios inmobiliarios</c:v>
                </c:pt>
                <c:pt idx="30">
                  <c:v>Servicios a las empresas</c:v>
                </c:pt>
                <c:pt idx="31">
                  <c:v>Servicios a los hogares</c:v>
                </c:pt>
                <c:pt idx="32">
                  <c:v>Servicios gubernamentales</c:v>
                </c:pt>
              </c:strCache>
            </c:strRef>
          </c:cat>
          <c:val>
            <c:numRef>
              <c:f>Empleo!$C$84:$C$116</c:f>
              <c:numCache>
                <c:formatCode>#,##0</c:formatCode>
                <c:ptCount val="33"/>
                <c:pt idx="0">
                  <c:v>-49.904367150322244</c:v>
                </c:pt>
                <c:pt idx="1">
                  <c:v>161.44247437165751</c:v>
                </c:pt>
                <c:pt idx="2">
                  <c:v>2.1277798764158407</c:v>
                </c:pt>
                <c:pt idx="3">
                  <c:v>0.31735721443074233</c:v>
                </c:pt>
                <c:pt idx="4">
                  <c:v>0.47399728508031119</c:v>
                </c:pt>
                <c:pt idx="5">
                  <c:v>250.45281141278278</c:v>
                </c:pt>
                <c:pt idx="6">
                  <c:v>-141.68466484084411</c:v>
                </c:pt>
                <c:pt idx="7">
                  <c:v>2.0263520420756942</c:v>
                </c:pt>
                <c:pt idx="8">
                  <c:v>8.2678944544366679</c:v>
                </c:pt>
                <c:pt idx="9">
                  <c:v>1.1472737409771525</c:v>
                </c:pt>
                <c:pt idx="10">
                  <c:v>17.015533725317194</c:v>
                </c:pt>
                <c:pt idx="11">
                  <c:v>3.807449801637282</c:v>
                </c:pt>
                <c:pt idx="12">
                  <c:v>44.769060878177072</c:v>
                </c:pt>
                <c:pt idx="13">
                  <c:v>1.987698561307006</c:v>
                </c:pt>
                <c:pt idx="14">
                  <c:v>4.8027063171730164</c:v>
                </c:pt>
                <c:pt idx="15">
                  <c:v>13.699093435872431</c:v>
                </c:pt>
                <c:pt idx="16">
                  <c:v>9.1457442795389721</c:v>
                </c:pt>
                <c:pt idx="17">
                  <c:v>3.5479971870940563</c:v>
                </c:pt>
                <c:pt idx="18">
                  <c:v>1.0160621046345153</c:v>
                </c:pt>
                <c:pt idx="19">
                  <c:v>4.3075786365312911</c:v>
                </c:pt>
                <c:pt idx="20">
                  <c:v>1.47862105155669</c:v>
                </c:pt>
                <c:pt idx="21">
                  <c:v>38.274596050180975</c:v>
                </c:pt>
                <c:pt idx="22">
                  <c:v>16.338718932157931</c:v>
                </c:pt>
                <c:pt idx="23">
                  <c:v>2.6646026985146909</c:v>
                </c:pt>
                <c:pt idx="24">
                  <c:v>451.05886511211304</c:v>
                </c:pt>
                <c:pt idx="25">
                  <c:v>60.817179454210766</c:v>
                </c:pt>
                <c:pt idx="26">
                  <c:v>22.216939186607796</c:v>
                </c:pt>
                <c:pt idx="27">
                  <c:v>29.890630521411481</c:v>
                </c:pt>
                <c:pt idx="28">
                  <c:v>55.006401733025314</c:v>
                </c:pt>
                <c:pt idx="29">
                  <c:v>13.735538096607092</c:v>
                </c:pt>
                <c:pt idx="30">
                  <c:v>167.57805406410077</c:v>
                </c:pt>
                <c:pt idx="31">
                  <c:v>58.535584476106841</c:v>
                </c:pt>
                <c:pt idx="32">
                  <c:v>152.31464672976315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4B-FD42-B090-829C9A6452AC}"/>
            </c:ext>
          </c:extLst>
        </c:ser>
        <c:ser>
          <c:idx val="2"/>
          <c:order val="2"/>
          <c:tx>
            <c:strRef>
              <c:f>Empleo!$D$83</c:f>
              <c:strCache>
                <c:ptCount val="1"/>
                <c:pt idx="0">
                  <c:v>Informal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strRef>
              <c:f>Empleo!$A$84:$A$116</c:f>
              <c:strCache>
                <c:ptCount val="33"/>
                <c:pt idx="0">
                  <c:v>Agricultura</c:v>
                </c:pt>
                <c:pt idx="1">
                  <c:v>Ganadería</c:v>
                </c:pt>
                <c:pt idx="2">
                  <c:v>Forestal</c:v>
                </c:pt>
                <c:pt idx="3">
                  <c:v>Pesca</c:v>
                </c:pt>
                <c:pt idx="4">
                  <c:v>Minería</c:v>
                </c:pt>
                <c:pt idx="5">
                  <c:v>Producción de carne</c:v>
                </c:pt>
                <c:pt idx="6">
                  <c:v>Elaboración de aceites</c:v>
                </c:pt>
                <c:pt idx="7">
                  <c:v>Producción de lácteos</c:v>
                </c:pt>
                <c:pt idx="8">
                  <c:v>Molinería y panadería</c:v>
                </c:pt>
                <c:pt idx="9">
                  <c:v>Azúcar</c:v>
                </c:pt>
                <c:pt idx="10">
                  <c:v>Otros alimentos</c:v>
                </c:pt>
                <c:pt idx="11">
                  <c:v>Bebidas y tabaco</c:v>
                </c:pt>
                <c:pt idx="12">
                  <c:v>Textiles y prendas de vestir</c:v>
                </c:pt>
                <c:pt idx="13">
                  <c:v>Cuero y calzado</c:v>
                </c:pt>
                <c:pt idx="14">
                  <c:v>Industria de la madera</c:v>
                </c:pt>
                <c:pt idx="15">
                  <c:v>Papel y productos del papel</c:v>
                </c:pt>
                <c:pt idx="16">
                  <c:v>Química, farmacia y caucho</c:v>
                </c:pt>
                <c:pt idx="17">
                  <c:v>Minerales no metálicos</c:v>
                </c:pt>
                <c:pt idx="18">
                  <c:v>Hierro y acero</c:v>
                </c:pt>
                <c:pt idx="19">
                  <c:v>Productos de metal</c:v>
                </c:pt>
                <c:pt idx="20">
                  <c:v>Maquinaria, equipo y vehículos</c:v>
                </c:pt>
                <c:pt idx="21">
                  <c:v>Otras manufacturas y reparación</c:v>
                </c:pt>
                <c:pt idx="22">
                  <c:v>Electricidad, gas, y agua</c:v>
                </c:pt>
                <c:pt idx="23">
                  <c:v>Construcción</c:v>
                </c:pt>
                <c:pt idx="24">
                  <c:v>Comercio al por mayor y menor</c:v>
                </c:pt>
                <c:pt idx="25">
                  <c:v>Transporte</c:v>
                </c:pt>
                <c:pt idx="26">
                  <c:v>Turismo (aloj., alimentación y recreación)</c:v>
                </c:pt>
                <c:pt idx="27">
                  <c:v>Telecomunicaciones, edición y servicios de info.</c:v>
                </c:pt>
                <c:pt idx="28">
                  <c:v>Finanzas y seguros</c:v>
                </c:pt>
                <c:pt idx="29">
                  <c:v>Servicios inmobiliarios</c:v>
                </c:pt>
                <c:pt idx="30">
                  <c:v>Servicios a las empresas</c:v>
                </c:pt>
                <c:pt idx="31">
                  <c:v>Servicios a los hogares</c:v>
                </c:pt>
                <c:pt idx="32">
                  <c:v>Servicios gubernamentales</c:v>
                </c:pt>
              </c:strCache>
            </c:strRef>
          </c:cat>
          <c:val>
            <c:numRef>
              <c:f>Empleo!$D$84:$D$116</c:f>
              <c:numCache>
                <c:formatCode>#,##0</c:formatCode>
                <c:ptCount val="33"/>
                <c:pt idx="0">
                  <c:v>-489.78040116548971</c:v>
                </c:pt>
                <c:pt idx="1">
                  <c:v>1584.4577213998216</c:v>
                </c:pt>
                <c:pt idx="2">
                  <c:v>20.882839337961176</c:v>
                </c:pt>
                <c:pt idx="3">
                  <c:v>3.1146641601214577</c:v>
                </c:pt>
                <c:pt idx="4">
                  <c:v>0.63859024282087939</c:v>
                </c:pt>
                <c:pt idx="5">
                  <c:v>450.85258224739778</c:v>
                </c:pt>
                <c:pt idx="6">
                  <c:v>-3.6204336452453183</c:v>
                </c:pt>
                <c:pt idx="7">
                  <c:v>3.647737254609579</c:v>
                </c:pt>
                <c:pt idx="8">
                  <c:v>29.801335316204945</c:v>
                </c:pt>
                <c:pt idx="9">
                  <c:v>2.56305222234317</c:v>
                </c:pt>
                <c:pt idx="10">
                  <c:v>0.43479377856555429</c:v>
                </c:pt>
                <c:pt idx="11">
                  <c:v>5.3986655702331809</c:v>
                </c:pt>
                <c:pt idx="12">
                  <c:v>53.00921076199986</c:v>
                </c:pt>
                <c:pt idx="13">
                  <c:v>6.1662509982203133</c:v>
                </c:pt>
                <c:pt idx="14">
                  <c:v>15.831849695629408</c:v>
                </c:pt>
                <c:pt idx="15">
                  <c:v>6.9843413994500247</c:v>
                </c:pt>
                <c:pt idx="16">
                  <c:v>12.319297901984282</c:v>
                </c:pt>
                <c:pt idx="17">
                  <c:v>4.7796240268270722</c:v>
                </c:pt>
                <c:pt idx="18">
                  <c:v>1.3689971385760717</c:v>
                </c:pt>
                <c:pt idx="19">
                  <c:v>5.8032109261594931</c:v>
                </c:pt>
                <c:pt idx="20">
                  <c:v>1.9921893074762558</c:v>
                </c:pt>
                <c:pt idx="21">
                  <c:v>51.561657124329493</c:v>
                </c:pt>
                <c:pt idx="22">
                  <c:v>5.4692159675509906</c:v>
                </c:pt>
                <c:pt idx="23">
                  <c:v>15.815863514292458</c:v>
                </c:pt>
                <c:pt idx="24">
                  <c:v>926.91197950031824</c:v>
                </c:pt>
                <c:pt idx="25">
                  <c:v>77.509380408058419</c:v>
                </c:pt>
                <c:pt idx="26">
                  <c:v>45.654656900147536</c:v>
                </c:pt>
                <c:pt idx="27">
                  <c:v>38.094681130995056</c:v>
                </c:pt>
                <c:pt idx="28">
                  <c:v>35.109714249204032</c:v>
                </c:pt>
                <c:pt idx="29">
                  <c:v>8.7679704326528167</c:v>
                </c:pt>
                <c:pt idx="30">
                  <c:v>106.9655066889393</c:v>
                </c:pt>
                <c:pt idx="31">
                  <c:v>322.86387478874059</c:v>
                </c:pt>
                <c:pt idx="32">
                  <c:v>47.58957322321173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4B-FD42-B090-829C9A645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0953215"/>
        <c:axId val="480955007"/>
      </c:barChart>
      <c:lineChart>
        <c:grouping val="standard"/>
        <c:varyColors val="0"/>
        <c:ser>
          <c:idx val="3"/>
          <c:order val="3"/>
          <c:tx>
            <c:strRef>
              <c:f>Empleo!$E$83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strRef>
              <c:f>Empleo!$A$84:$A$116</c:f>
              <c:strCache>
                <c:ptCount val="33"/>
                <c:pt idx="0">
                  <c:v>Agricultura</c:v>
                </c:pt>
                <c:pt idx="1">
                  <c:v>Ganadería</c:v>
                </c:pt>
                <c:pt idx="2">
                  <c:v>Forestal</c:v>
                </c:pt>
                <c:pt idx="3">
                  <c:v>Pesca</c:v>
                </c:pt>
                <c:pt idx="4">
                  <c:v>Minería</c:v>
                </c:pt>
                <c:pt idx="5">
                  <c:v>Producción de carne</c:v>
                </c:pt>
                <c:pt idx="6">
                  <c:v>Elaboración de aceites</c:v>
                </c:pt>
                <c:pt idx="7">
                  <c:v>Producción de lácteos</c:v>
                </c:pt>
                <c:pt idx="8">
                  <c:v>Molinería y panadería</c:v>
                </c:pt>
                <c:pt idx="9">
                  <c:v>Azúcar</c:v>
                </c:pt>
                <c:pt idx="10">
                  <c:v>Otros alimentos</c:v>
                </c:pt>
                <c:pt idx="11">
                  <c:v>Bebidas y tabaco</c:v>
                </c:pt>
                <c:pt idx="12">
                  <c:v>Textiles y prendas de vestir</c:v>
                </c:pt>
                <c:pt idx="13">
                  <c:v>Cuero y calzado</c:v>
                </c:pt>
                <c:pt idx="14">
                  <c:v>Industria de la madera</c:v>
                </c:pt>
                <c:pt idx="15">
                  <c:v>Papel y productos del papel</c:v>
                </c:pt>
                <c:pt idx="16">
                  <c:v>Química, farmacia y caucho</c:v>
                </c:pt>
                <c:pt idx="17">
                  <c:v>Minerales no metálicos</c:v>
                </c:pt>
                <c:pt idx="18">
                  <c:v>Hierro y acero</c:v>
                </c:pt>
                <c:pt idx="19">
                  <c:v>Productos de metal</c:v>
                </c:pt>
                <c:pt idx="20">
                  <c:v>Maquinaria, equipo y vehículos</c:v>
                </c:pt>
                <c:pt idx="21">
                  <c:v>Otras manufacturas y reparación</c:v>
                </c:pt>
                <c:pt idx="22">
                  <c:v>Electricidad, gas, y agua</c:v>
                </c:pt>
                <c:pt idx="23">
                  <c:v>Construcción</c:v>
                </c:pt>
                <c:pt idx="24">
                  <c:v>Comercio al por mayor y menor</c:v>
                </c:pt>
                <c:pt idx="25">
                  <c:v>Transporte</c:v>
                </c:pt>
                <c:pt idx="26">
                  <c:v>Turismo (aloj., alimentación y recreación)</c:v>
                </c:pt>
                <c:pt idx="27">
                  <c:v>Telecomunicaciones, edición y servicios de info.</c:v>
                </c:pt>
                <c:pt idx="28">
                  <c:v>Finanzas y seguros</c:v>
                </c:pt>
                <c:pt idx="29">
                  <c:v>Servicios inmobiliarios</c:v>
                </c:pt>
                <c:pt idx="30">
                  <c:v>Servicios a las empresas</c:v>
                </c:pt>
                <c:pt idx="31">
                  <c:v>Servicios a los hogares</c:v>
                </c:pt>
                <c:pt idx="32">
                  <c:v>Servicios gubernamentales</c:v>
                </c:pt>
              </c:strCache>
            </c:strRef>
          </c:cat>
          <c:val>
            <c:numRef>
              <c:f>Empleo!$E$84:$E$116</c:f>
              <c:numCache>
                <c:formatCode>#,##0</c:formatCode>
                <c:ptCount val="33"/>
                <c:pt idx="0">
                  <c:v>-539.68476831581199</c:v>
                </c:pt>
                <c:pt idx="1">
                  <c:v>1745.900195771479</c:v>
                </c:pt>
                <c:pt idx="2">
                  <c:v>23.010619214377016</c:v>
                </c:pt>
                <c:pt idx="3">
                  <c:v>3.4320213745522001</c:v>
                </c:pt>
                <c:pt idx="4">
                  <c:v>1.1125875279011905</c:v>
                </c:pt>
                <c:pt idx="5">
                  <c:v>701.30539366018058</c:v>
                </c:pt>
                <c:pt idx="6">
                  <c:v>-145.30509848608943</c:v>
                </c:pt>
                <c:pt idx="7">
                  <c:v>5.6740892966852732</c:v>
                </c:pt>
                <c:pt idx="8">
                  <c:v>38.069229770641613</c:v>
                </c:pt>
                <c:pt idx="9">
                  <c:v>3.7103259633203223</c:v>
                </c:pt>
                <c:pt idx="10">
                  <c:v>17.45032750388275</c:v>
                </c:pt>
                <c:pt idx="11">
                  <c:v>9.2061153718704638</c:v>
                </c:pt>
                <c:pt idx="12">
                  <c:v>97.778271640176939</c:v>
                </c:pt>
                <c:pt idx="13">
                  <c:v>8.1539495595273195</c:v>
                </c:pt>
                <c:pt idx="14">
                  <c:v>20.634556012802424</c:v>
                </c:pt>
                <c:pt idx="15">
                  <c:v>20.683434835322455</c:v>
                </c:pt>
                <c:pt idx="16">
                  <c:v>21.465042181523252</c:v>
                </c:pt>
                <c:pt idx="17">
                  <c:v>8.3276212139211285</c:v>
                </c:pt>
                <c:pt idx="18">
                  <c:v>2.3850592432105868</c:v>
                </c:pt>
                <c:pt idx="19">
                  <c:v>10.110789562690783</c:v>
                </c:pt>
                <c:pt idx="20">
                  <c:v>3.4708103590329458</c:v>
                </c:pt>
                <c:pt idx="21">
                  <c:v>89.83625317451046</c:v>
                </c:pt>
                <c:pt idx="22">
                  <c:v>21.807934899708922</c:v>
                </c:pt>
                <c:pt idx="23">
                  <c:v>18.480466212807148</c:v>
                </c:pt>
                <c:pt idx="24">
                  <c:v>1377.9708446124314</c:v>
                </c:pt>
                <c:pt idx="25">
                  <c:v>138.32655986226919</c:v>
                </c:pt>
                <c:pt idx="26">
                  <c:v>67.871596086755332</c:v>
                </c:pt>
                <c:pt idx="27">
                  <c:v>67.985311652406537</c:v>
                </c:pt>
                <c:pt idx="28">
                  <c:v>90.116115982229346</c:v>
                </c:pt>
                <c:pt idx="29">
                  <c:v>22.503508529259911</c:v>
                </c:pt>
                <c:pt idx="30">
                  <c:v>274.54356075304008</c:v>
                </c:pt>
                <c:pt idx="31">
                  <c:v>381.39945926484745</c:v>
                </c:pt>
                <c:pt idx="32">
                  <c:v>199.90421995297487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14B-FD42-B090-829C9A645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556351"/>
        <c:axId val="415345151"/>
      </c:lineChart>
      <c:catAx>
        <c:axId val="4809532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80955007"/>
        <c:crosses val="autoZero"/>
        <c:auto val="1"/>
        <c:lblAlgn val="ctr"/>
        <c:lblOffset val="100"/>
        <c:noMultiLvlLbl val="0"/>
      </c:catAx>
      <c:valAx>
        <c:axId val="480955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80953215"/>
        <c:crosses val="autoZero"/>
        <c:crossBetween val="between"/>
      </c:valAx>
      <c:catAx>
        <c:axId val="4155563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5345151"/>
        <c:crosses val="autoZero"/>
        <c:auto val="1"/>
        <c:lblAlgn val="ctr"/>
        <c:lblOffset val="100"/>
        <c:noMultiLvlLbl val="0"/>
      </c:catAx>
      <c:valAx>
        <c:axId val="415345151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15556351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Empleo por áreas</a:t>
            </a:r>
            <a:r>
              <a:rPr lang="es-MX" baseline="0"/>
              <a:t> urbanas o rurales</a:t>
            </a:r>
            <a:endParaRPr lang="es-MX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Empleo!$F$83</c:f>
              <c:strCache>
                <c:ptCount val="1"/>
                <c:pt idx="0">
                  <c:v>Urbanos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Empleo!$A$84:$A$116</c:f>
              <c:strCache>
                <c:ptCount val="33"/>
                <c:pt idx="0">
                  <c:v>Agricultura</c:v>
                </c:pt>
                <c:pt idx="1">
                  <c:v>Ganadería</c:v>
                </c:pt>
                <c:pt idx="2">
                  <c:v>Forestal</c:v>
                </c:pt>
                <c:pt idx="3">
                  <c:v>Pesca</c:v>
                </c:pt>
                <c:pt idx="4">
                  <c:v>Minería</c:v>
                </c:pt>
                <c:pt idx="5">
                  <c:v>Producción de carne</c:v>
                </c:pt>
                <c:pt idx="6">
                  <c:v>Elaboración de aceites</c:v>
                </c:pt>
                <c:pt idx="7">
                  <c:v>Producción de lácteos</c:v>
                </c:pt>
                <c:pt idx="8">
                  <c:v>Molinería y panadería</c:v>
                </c:pt>
                <c:pt idx="9">
                  <c:v>Azúcar</c:v>
                </c:pt>
                <c:pt idx="10">
                  <c:v>Otros alimentos</c:v>
                </c:pt>
                <c:pt idx="11">
                  <c:v>Bebidas y tabaco</c:v>
                </c:pt>
                <c:pt idx="12">
                  <c:v>Textiles y prendas de vestir</c:v>
                </c:pt>
                <c:pt idx="13">
                  <c:v>Cuero y calzado</c:v>
                </c:pt>
                <c:pt idx="14">
                  <c:v>Industria de la madera</c:v>
                </c:pt>
                <c:pt idx="15">
                  <c:v>Papel y productos del papel</c:v>
                </c:pt>
                <c:pt idx="16">
                  <c:v>Química, farmacia y caucho</c:v>
                </c:pt>
                <c:pt idx="17">
                  <c:v>Minerales no metálicos</c:v>
                </c:pt>
                <c:pt idx="18">
                  <c:v>Hierro y acero</c:v>
                </c:pt>
                <c:pt idx="19">
                  <c:v>Productos de metal</c:v>
                </c:pt>
                <c:pt idx="20">
                  <c:v>Maquinaria, equipo y vehículos</c:v>
                </c:pt>
                <c:pt idx="21">
                  <c:v>Otras manufacturas y reparación</c:v>
                </c:pt>
                <c:pt idx="22">
                  <c:v>Electricidad, gas, y agua</c:v>
                </c:pt>
                <c:pt idx="23">
                  <c:v>Construcción</c:v>
                </c:pt>
                <c:pt idx="24">
                  <c:v>Comercio al por mayor y menor</c:v>
                </c:pt>
                <c:pt idx="25">
                  <c:v>Transporte</c:v>
                </c:pt>
                <c:pt idx="26">
                  <c:v>Turismo (aloj., alimentación y recreación)</c:v>
                </c:pt>
                <c:pt idx="27">
                  <c:v>Telecomunicaciones, edición y servicios de info.</c:v>
                </c:pt>
                <c:pt idx="28">
                  <c:v>Finanzas y seguros</c:v>
                </c:pt>
                <c:pt idx="29">
                  <c:v>Servicios inmobiliarios</c:v>
                </c:pt>
                <c:pt idx="30">
                  <c:v>Servicios a las empresas</c:v>
                </c:pt>
                <c:pt idx="31">
                  <c:v>Servicios a los hogares</c:v>
                </c:pt>
                <c:pt idx="32">
                  <c:v>Servicios gubernamentales</c:v>
                </c:pt>
              </c:strCache>
            </c:strRef>
          </c:cat>
          <c:val>
            <c:numRef>
              <c:f>Empleo!$F$84:$F$116</c:f>
              <c:numCache>
                <c:formatCode>#,##0</c:formatCode>
                <c:ptCount val="33"/>
                <c:pt idx="0">
                  <c:v>-56.970436192294663</c:v>
                </c:pt>
                <c:pt idx="1">
                  <c:v>184.30146919230674</c:v>
                </c:pt>
                <c:pt idx="2">
                  <c:v>2.4290569062915068</c:v>
                </c:pt>
                <c:pt idx="3">
                  <c:v>0.36229252001994849</c:v>
                </c:pt>
                <c:pt idx="4">
                  <c:v>0.76970666678370492</c:v>
                </c:pt>
                <c:pt idx="5">
                  <c:v>485.22299023039182</c:v>
                </c:pt>
                <c:pt idx="6">
                  <c:v>-100.53448186840228</c:v>
                </c:pt>
                <c:pt idx="7">
                  <c:v>3.9258197644861692</c:v>
                </c:pt>
                <c:pt idx="8">
                  <c:v>26.33954575576707</c:v>
                </c:pt>
                <c:pt idx="9">
                  <c:v>2.5671205083075455</c:v>
                </c:pt>
                <c:pt idx="10">
                  <c:v>12.073627507328881</c:v>
                </c:pt>
                <c:pt idx="11">
                  <c:v>6.3695771764012266</c:v>
                </c:pt>
                <c:pt idx="12">
                  <c:v>67.651250925541675</c:v>
                </c:pt>
                <c:pt idx="13">
                  <c:v>5.641589674603444</c:v>
                </c:pt>
                <c:pt idx="14">
                  <c:v>14.276961164361909</c:v>
                </c:pt>
                <c:pt idx="15">
                  <c:v>14.310780212876642</c:v>
                </c:pt>
                <c:pt idx="16">
                  <c:v>14.851479411820218</c:v>
                </c:pt>
                <c:pt idx="17">
                  <c:v>5.761635773690112</c:v>
                </c:pt>
                <c:pt idx="18">
                  <c:v>1.6498796915399399</c:v>
                </c:pt>
                <c:pt idx="19">
                  <c:v>6.9953815918051614</c:v>
                </c:pt>
                <c:pt idx="20">
                  <c:v>2.4014275314350515</c:v>
                </c:pt>
                <c:pt idx="21">
                  <c:v>62.155886759313354</c:v>
                </c:pt>
                <c:pt idx="22">
                  <c:v>18.604014234106074</c:v>
                </c:pt>
                <c:pt idx="23">
                  <c:v>11.880169197080587</c:v>
                </c:pt>
                <c:pt idx="24">
                  <c:v>1013.3337719656666</c:v>
                </c:pt>
                <c:pt idx="25">
                  <c:v>110.96919888632834</c:v>
                </c:pt>
                <c:pt idx="26">
                  <c:v>49.91169919910115</c:v>
                </c:pt>
                <c:pt idx="27">
                  <c:v>54.540130076761223</c:v>
                </c:pt>
                <c:pt idx="28">
                  <c:v>79.639973352540125</c:v>
                </c:pt>
                <c:pt idx="29">
                  <c:v>19.886876660424395</c:v>
                </c:pt>
                <c:pt idx="30">
                  <c:v>242.6268536719854</c:v>
                </c:pt>
                <c:pt idx="31">
                  <c:v>273.51346435281346</c:v>
                </c:pt>
                <c:pt idx="32">
                  <c:v>155.38894125008372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E-5441-AFAA-3DA32039FD16}"/>
            </c:ext>
          </c:extLst>
        </c:ser>
        <c:ser>
          <c:idx val="1"/>
          <c:order val="1"/>
          <c:tx>
            <c:strRef>
              <c:f>Empleo!$G$83</c:f>
              <c:strCache>
                <c:ptCount val="1"/>
                <c:pt idx="0">
                  <c:v>Rurales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strRef>
              <c:f>Empleo!$A$84:$A$116</c:f>
              <c:strCache>
                <c:ptCount val="33"/>
                <c:pt idx="0">
                  <c:v>Agricultura</c:v>
                </c:pt>
                <c:pt idx="1">
                  <c:v>Ganadería</c:v>
                </c:pt>
                <c:pt idx="2">
                  <c:v>Forestal</c:v>
                </c:pt>
                <c:pt idx="3">
                  <c:v>Pesca</c:v>
                </c:pt>
                <c:pt idx="4">
                  <c:v>Minería</c:v>
                </c:pt>
                <c:pt idx="5">
                  <c:v>Producción de carne</c:v>
                </c:pt>
                <c:pt idx="6">
                  <c:v>Elaboración de aceites</c:v>
                </c:pt>
                <c:pt idx="7">
                  <c:v>Producción de lácteos</c:v>
                </c:pt>
                <c:pt idx="8">
                  <c:v>Molinería y panadería</c:v>
                </c:pt>
                <c:pt idx="9">
                  <c:v>Azúcar</c:v>
                </c:pt>
                <c:pt idx="10">
                  <c:v>Otros alimentos</c:v>
                </c:pt>
                <c:pt idx="11">
                  <c:v>Bebidas y tabaco</c:v>
                </c:pt>
                <c:pt idx="12">
                  <c:v>Textiles y prendas de vestir</c:v>
                </c:pt>
                <c:pt idx="13">
                  <c:v>Cuero y calzado</c:v>
                </c:pt>
                <c:pt idx="14">
                  <c:v>Industria de la madera</c:v>
                </c:pt>
                <c:pt idx="15">
                  <c:v>Papel y productos del papel</c:v>
                </c:pt>
                <c:pt idx="16">
                  <c:v>Química, farmacia y caucho</c:v>
                </c:pt>
                <c:pt idx="17">
                  <c:v>Minerales no metálicos</c:v>
                </c:pt>
                <c:pt idx="18">
                  <c:v>Hierro y acero</c:v>
                </c:pt>
                <c:pt idx="19">
                  <c:v>Productos de metal</c:v>
                </c:pt>
                <c:pt idx="20">
                  <c:v>Maquinaria, equipo y vehículos</c:v>
                </c:pt>
                <c:pt idx="21">
                  <c:v>Otras manufacturas y reparación</c:v>
                </c:pt>
                <c:pt idx="22">
                  <c:v>Electricidad, gas, y agua</c:v>
                </c:pt>
                <c:pt idx="23">
                  <c:v>Construcción</c:v>
                </c:pt>
                <c:pt idx="24">
                  <c:v>Comercio al por mayor y menor</c:v>
                </c:pt>
                <c:pt idx="25">
                  <c:v>Transporte</c:v>
                </c:pt>
                <c:pt idx="26">
                  <c:v>Turismo (aloj., alimentación y recreación)</c:v>
                </c:pt>
                <c:pt idx="27">
                  <c:v>Telecomunicaciones, edición y servicios de info.</c:v>
                </c:pt>
                <c:pt idx="28">
                  <c:v>Finanzas y seguros</c:v>
                </c:pt>
                <c:pt idx="29">
                  <c:v>Servicios inmobiliarios</c:v>
                </c:pt>
                <c:pt idx="30">
                  <c:v>Servicios a las empresas</c:v>
                </c:pt>
                <c:pt idx="31">
                  <c:v>Servicios a los hogares</c:v>
                </c:pt>
                <c:pt idx="32">
                  <c:v>Servicios gubernamentales</c:v>
                </c:pt>
              </c:strCache>
            </c:strRef>
          </c:cat>
          <c:val>
            <c:numRef>
              <c:f>Empleo!$G$84:$G$116</c:f>
              <c:numCache>
                <c:formatCode>#,##0</c:formatCode>
                <c:ptCount val="33"/>
                <c:pt idx="0">
                  <c:v>-482.71433212351735</c:v>
                </c:pt>
                <c:pt idx="1">
                  <c:v>1561.5987265791719</c:v>
                </c:pt>
                <c:pt idx="2">
                  <c:v>20.581562308085505</c:v>
                </c:pt>
                <c:pt idx="3">
                  <c:v>3.0697288545322516</c:v>
                </c:pt>
                <c:pt idx="4">
                  <c:v>0.34288086111748567</c:v>
                </c:pt>
                <c:pt idx="5">
                  <c:v>216.08240342978829</c:v>
                </c:pt>
                <c:pt idx="6">
                  <c:v>-44.77061661768758</c:v>
                </c:pt>
                <c:pt idx="7">
                  <c:v>1.7482695321991026</c:v>
                </c:pt>
                <c:pt idx="8">
                  <c:v>11.729684014874492</c:v>
                </c:pt>
                <c:pt idx="9">
                  <c:v>1.1432054550127744</c:v>
                </c:pt>
                <c:pt idx="10">
                  <c:v>5.3766999965539162</c:v>
                </c:pt>
                <c:pt idx="11">
                  <c:v>2.8365381954692341</c:v>
                </c:pt>
                <c:pt idx="12">
                  <c:v>30.127020714635261</c:v>
                </c:pt>
                <c:pt idx="13">
                  <c:v>2.5123598849238786</c:v>
                </c:pt>
                <c:pt idx="14">
                  <c:v>6.3575948484405584</c:v>
                </c:pt>
                <c:pt idx="15">
                  <c:v>6.3726546224457667</c:v>
                </c:pt>
                <c:pt idx="16">
                  <c:v>6.6135627697030346</c:v>
                </c:pt>
                <c:pt idx="17">
                  <c:v>2.5659854402310165</c:v>
                </c:pt>
                <c:pt idx="18">
                  <c:v>0.73517955167064675</c:v>
                </c:pt>
                <c:pt idx="19">
                  <c:v>3.1154079708856228</c:v>
                </c:pt>
                <c:pt idx="20">
                  <c:v>1.0693828275978943</c:v>
                </c:pt>
                <c:pt idx="21">
                  <c:v>27.68036641519712</c:v>
                </c:pt>
                <c:pt idx="22">
                  <c:v>3.2039206656028436</c:v>
                </c:pt>
                <c:pt idx="23">
                  <c:v>6.6002970157265617</c:v>
                </c:pt>
                <c:pt idx="24">
                  <c:v>364.63707264676464</c:v>
                </c:pt>
                <c:pt idx="25">
                  <c:v>27.357360975940836</c:v>
                </c:pt>
                <c:pt idx="26">
                  <c:v>17.959896887654189</c:v>
                </c:pt>
                <c:pt idx="27">
                  <c:v>13.445181575645314</c:v>
                </c:pt>
                <c:pt idx="28">
                  <c:v>10.476142629689228</c:v>
                </c:pt>
                <c:pt idx="29">
                  <c:v>2.6166318688355132</c:v>
                </c:pt>
                <c:pt idx="30">
                  <c:v>31.916707081054678</c:v>
                </c:pt>
                <c:pt idx="31">
                  <c:v>107.88599491203406</c:v>
                </c:pt>
                <c:pt idx="32">
                  <c:v>44.515278702891202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EE-5441-AFAA-3DA32039F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1641343"/>
        <c:axId val="481640447"/>
      </c:barChart>
      <c:lineChart>
        <c:grouping val="standard"/>
        <c:varyColors val="0"/>
        <c:ser>
          <c:idx val="2"/>
          <c:order val="2"/>
          <c:tx>
            <c:strRef>
              <c:f>Empleo!$H$83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strRef>
              <c:f>Empleo!$A$84:$A$116</c:f>
              <c:strCache>
                <c:ptCount val="33"/>
                <c:pt idx="0">
                  <c:v>Agricultura</c:v>
                </c:pt>
                <c:pt idx="1">
                  <c:v>Ganadería</c:v>
                </c:pt>
                <c:pt idx="2">
                  <c:v>Forestal</c:v>
                </c:pt>
                <c:pt idx="3">
                  <c:v>Pesca</c:v>
                </c:pt>
                <c:pt idx="4">
                  <c:v>Minería</c:v>
                </c:pt>
                <c:pt idx="5">
                  <c:v>Producción de carne</c:v>
                </c:pt>
                <c:pt idx="6">
                  <c:v>Elaboración de aceites</c:v>
                </c:pt>
                <c:pt idx="7">
                  <c:v>Producción de lácteos</c:v>
                </c:pt>
                <c:pt idx="8">
                  <c:v>Molinería y panadería</c:v>
                </c:pt>
                <c:pt idx="9">
                  <c:v>Azúcar</c:v>
                </c:pt>
                <c:pt idx="10">
                  <c:v>Otros alimentos</c:v>
                </c:pt>
                <c:pt idx="11">
                  <c:v>Bebidas y tabaco</c:v>
                </c:pt>
                <c:pt idx="12">
                  <c:v>Textiles y prendas de vestir</c:v>
                </c:pt>
                <c:pt idx="13">
                  <c:v>Cuero y calzado</c:v>
                </c:pt>
                <c:pt idx="14">
                  <c:v>Industria de la madera</c:v>
                </c:pt>
                <c:pt idx="15">
                  <c:v>Papel y productos del papel</c:v>
                </c:pt>
                <c:pt idx="16">
                  <c:v>Química, farmacia y caucho</c:v>
                </c:pt>
                <c:pt idx="17">
                  <c:v>Minerales no metálicos</c:v>
                </c:pt>
                <c:pt idx="18">
                  <c:v>Hierro y acero</c:v>
                </c:pt>
                <c:pt idx="19">
                  <c:v>Productos de metal</c:v>
                </c:pt>
                <c:pt idx="20">
                  <c:v>Maquinaria, equipo y vehículos</c:v>
                </c:pt>
                <c:pt idx="21">
                  <c:v>Otras manufacturas y reparación</c:v>
                </c:pt>
                <c:pt idx="22">
                  <c:v>Electricidad, gas, y agua</c:v>
                </c:pt>
                <c:pt idx="23">
                  <c:v>Construcción</c:v>
                </c:pt>
                <c:pt idx="24">
                  <c:v>Comercio al por mayor y menor</c:v>
                </c:pt>
                <c:pt idx="25">
                  <c:v>Transporte</c:v>
                </c:pt>
                <c:pt idx="26">
                  <c:v>Turismo (aloj., alimentación y recreación)</c:v>
                </c:pt>
                <c:pt idx="27">
                  <c:v>Telecomunicaciones, edición y servicios de info.</c:v>
                </c:pt>
                <c:pt idx="28">
                  <c:v>Finanzas y seguros</c:v>
                </c:pt>
                <c:pt idx="29">
                  <c:v>Servicios inmobiliarios</c:v>
                </c:pt>
                <c:pt idx="30">
                  <c:v>Servicios a las empresas</c:v>
                </c:pt>
                <c:pt idx="31">
                  <c:v>Servicios a los hogares</c:v>
                </c:pt>
                <c:pt idx="32">
                  <c:v>Servicios gubernamentales</c:v>
                </c:pt>
              </c:strCache>
            </c:strRef>
          </c:cat>
          <c:val>
            <c:numRef>
              <c:f>Empleo!$H$84:$H$116</c:f>
              <c:numCache>
                <c:formatCode>#,##0</c:formatCode>
                <c:ptCount val="33"/>
                <c:pt idx="0">
                  <c:v>-539.68476831581199</c:v>
                </c:pt>
                <c:pt idx="1">
                  <c:v>1745.9001957714786</c:v>
                </c:pt>
                <c:pt idx="2">
                  <c:v>23.010619214377012</c:v>
                </c:pt>
                <c:pt idx="3">
                  <c:v>3.4320213745522001</c:v>
                </c:pt>
                <c:pt idx="4">
                  <c:v>1.1125875279011905</c:v>
                </c:pt>
                <c:pt idx="5">
                  <c:v>701.30539366018013</c:v>
                </c:pt>
                <c:pt idx="6">
                  <c:v>-145.30509848608986</c:v>
                </c:pt>
                <c:pt idx="7">
                  <c:v>5.6740892966852723</c:v>
                </c:pt>
                <c:pt idx="8">
                  <c:v>38.069229770641563</c:v>
                </c:pt>
                <c:pt idx="9">
                  <c:v>3.7103259633203196</c:v>
                </c:pt>
                <c:pt idx="10">
                  <c:v>17.450327503882797</c:v>
                </c:pt>
                <c:pt idx="11">
                  <c:v>9.2061153718704603</c:v>
                </c:pt>
                <c:pt idx="12">
                  <c:v>97.778271640176939</c:v>
                </c:pt>
                <c:pt idx="13">
                  <c:v>8.153949559527323</c:v>
                </c:pt>
                <c:pt idx="14">
                  <c:v>20.634556012802467</c:v>
                </c:pt>
                <c:pt idx="15">
                  <c:v>20.683434835322409</c:v>
                </c:pt>
                <c:pt idx="16">
                  <c:v>21.465042181523252</c:v>
                </c:pt>
                <c:pt idx="17">
                  <c:v>8.3276212139211285</c:v>
                </c:pt>
                <c:pt idx="18">
                  <c:v>2.3850592432105868</c:v>
                </c:pt>
                <c:pt idx="19">
                  <c:v>10.110789562690783</c:v>
                </c:pt>
                <c:pt idx="20">
                  <c:v>3.4708103590329458</c:v>
                </c:pt>
                <c:pt idx="21">
                  <c:v>89.836253174510475</c:v>
                </c:pt>
                <c:pt idx="22">
                  <c:v>21.807934899708918</c:v>
                </c:pt>
                <c:pt idx="23">
                  <c:v>18.480466212807148</c:v>
                </c:pt>
                <c:pt idx="24">
                  <c:v>1377.9708446124314</c:v>
                </c:pt>
                <c:pt idx="25">
                  <c:v>138.32655986226916</c:v>
                </c:pt>
                <c:pt idx="26">
                  <c:v>67.871596086755346</c:v>
                </c:pt>
                <c:pt idx="27">
                  <c:v>67.985311652406537</c:v>
                </c:pt>
                <c:pt idx="28">
                  <c:v>90.11611598222936</c:v>
                </c:pt>
                <c:pt idx="29">
                  <c:v>22.503508529259907</c:v>
                </c:pt>
                <c:pt idx="30">
                  <c:v>274.54356075304008</c:v>
                </c:pt>
                <c:pt idx="31">
                  <c:v>381.39945926484751</c:v>
                </c:pt>
                <c:pt idx="32">
                  <c:v>199.90421995297493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EE-5441-AFAA-3DA32039F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202303"/>
        <c:axId val="414193343"/>
      </c:lineChart>
      <c:catAx>
        <c:axId val="481641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81640447"/>
        <c:crosses val="autoZero"/>
        <c:auto val="1"/>
        <c:lblAlgn val="ctr"/>
        <c:lblOffset val="100"/>
        <c:noMultiLvlLbl val="0"/>
      </c:catAx>
      <c:valAx>
        <c:axId val="481640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81641343"/>
        <c:crosses val="autoZero"/>
        <c:crossBetween val="between"/>
      </c:valAx>
      <c:catAx>
        <c:axId val="41420230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4193343"/>
        <c:crosses val="autoZero"/>
        <c:auto val="1"/>
        <c:lblAlgn val="ctr"/>
        <c:lblOffset val="100"/>
        <c:noMultiLvlLbl val="0"/>
      </c:catAx>
      <c:valAx>
        <c:axId val="414193343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14202303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title pos="t" align="ctr" overlay="0">
      <cx:tx>
        <cx:txData>
          <cx:v>Producción por Sector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MX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Producción por Sector</a:t>
          </a:r>
        </a:p>
      </cx:txPr>
    </cx:title>
    <cx:plotArea>
      <cx:plotAreaRegion>
        <cx:series layoutId="treemap" uniqueId="{00000000-8939-3B4F-B002-AC82AECCF333}">
          <cx:dataLabels pos="inEnd"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size">
        <cx:f>_xlchart.v1.3</cx:f>
      </cx:numDim>
    </cx:data>
  </cx:chartData>
  <cx:chart>
    <cx:title pos="t" align="ctr" overlay="0">
      <cx:tx>
        <cx:txData>
          <cx:v>Empleo Total por Sectores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MX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Empleo Total por Sectores</a:t>
          </a:r>
        </a:p>
      </cx:txPr>
    </cx:title>
    <cx:plotArea>
      <cx:plotAreaRegion>
        <cx:series layoutId="treemap" uniqueId="{00000000-2071-DC4A-BF9E-FABD1EC310FA}">
          <cx:dataLabels pos="inEnd"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</cx:f>
      </cx:strDim>
      <cx:numDim type="size">
        <cx:f>_xlchart.v1.5</cx:f>
      </cx:numDim>
    </cx:data>
  </cx:chartData>
  <cx:chart>
    <cx:title pos="t" align="ctr" overlay="0">
      <cx:tx>
        <cx:txData>
          <cx:v>Ingreso Total por Sectores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MX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Ingreso Total por Sectores</a:t>
          </a:r>
        </a:p>
      </cx:txPr>
    </cx:title>
    <cx:plotArea>
      <cx:plotAreaRegion>
        <cx:series layoutId="treemap" uniqueId="{00000000-2071-DC4A-BF9E-FABD1EC310FA}">
          <cx:dataLabels pos="inEnd"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size">
        <cx:f>_xlchart.v1.7</cx:f>
      </cx:numDim>
    </cx:data>
  </cx:chartData>
  <cx:chart>
    <cx:title pos="t" align="ctr" overlay="0">
      <cx:tx>
        <cx:txData>
          <cx:v>Valor Agregado Generado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MX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Valor Agregado Generado</a:t>
          </a:r>
        </a:p>
      </cx:txPr>
    </cx:title>
    <cx:plotArea>
      <cx:plotAreaRegion>
        <cx:series layoutId="treemap" uniqueId="{00000000-F123-1E4A-941C-EA8B07A40F35}">
          <cx:dataLabels pos="inEnd"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15" fmlaLink="G7" max="200" page="10" val="100"/>
</file>

<file path=xl/ctrlProps/ctrlProp3.xml><?xml version="1.0" encoding="utf-8"?>
<formControlPr xmlns="http://schemas.microsoft.com/office/spreadsheetml/2009/9/main" objectType="Spin" dx="15" fmlaLink="C7" max="200" page="10" val="100"/>
</file>

<file path=xl/ctrlProps/ctrlProp4.xml><?xml version="1.0" encoding="utf-8"?>
<formControlPr xmlns="http://schemas.microsoft.com/office/spreadsheetml/2009/9/main" objectType="Spin" dx="15" fmlaLink="F7" max="200" page="10" val="100"/>
</file>

<file path=xl/ctrlProps/ctrlProp5.xml><?xml version="1.0" encoding="utf-8"?>
<formControlPr xmlns="http://schemas.microsoft.com/office/spreadsheetml/2009/9/main" objectType="Spin" dx="15" fmlaLink="E7" max="200" page="10" val="100"/>
</file>

<file path=xl/ctrlProps/ctrlProp6.xml><?xml version="1.0" encoding="utf-8"?>
<formControlPr xmlns="http://schemas.microsoft.com/office/spreadsheetml/2009/9/main" objectType="Spin" dx="15" fmlaLink="D7" max="200" page="10" val="100"/>
</file>

<file path=xl/ctrlProps/ctrlProp7.xml><?xml version="1.0" encoding="utf-8"?>
<formControlPr xmlns="http://schemas.microsoft.com/office/spreadsheetml/2009/9/main" objectType="Spin" dx="15" fmlaLink="K7" max="200" page="10" val="100"/>
</file>

<file path=xl/ctrlProps/ctrlProp8.xml><?xml version="1.0" encoding="utf-8"?>
<formControlPr xmlns="http://schemas.microsoft.com/office/spreadsheetml/2009/9/main" objectType="Spin" dx="15" fmlaLink="J7" max="200" page="10" val="100"/>
</file>

<file path=xl/ctrlProps/ctrlProp9.xml><?xml version="1.0" encoding="utf-8"?>
<formControlPr xmlns="http://schemas.microsoft.com/office/spreadsheetml/2009/9/main" objectType="Spin" dx="15" fmlaLink="I7" max="200" page="10" val="100"/>
</file>

<file path=xl/ctrlProps/ctrlProp10.xml><?xml version="1.0" encoding="utf-8"?>
<formControlPr xmlns="http://schemas.microsoft.com/office/spreadsheetml/2009/9/main" objectType="Spin" dx="15" fmlaLink="H7" max="200" page="10" val="100"/>
</file>

<file path=xl/ctrlProps/ctrlProp11.xml><?xml version="1.0" encoding="utf-8"?>
<formControlPr xmlns="http://schemas.microsoft.com/office/spreadsheetml/2009/9/main" objectType="Spin" dx="15" fmlaLink="L7" max="200" page="10" val="100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microsoft.com/office/2014/relationships/chartEx" Target="../charts/chartEx2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microsoft.com/office/2014/relationships/chartEx" Target="../charts/chartEx3.xml"/></Relationships>
</file>

<file path=xl/drawings/_rels/drawing6.xml.rels><?xml version="1.0" encoding="UTF-8" standalone="yes"?>
<Relationships xmlns="http://schemas.openxmlformats.org/package/2006/relationships"><Relationship Id="rId1" Type="http://schemas.microsoft.com/office/2014/relationships/chartEx" Target="../charts/chartEx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977900</xdr:colOff>
          <xdr:row>2</xdr:row>
          <xdr:rowOff>177800</xdr:rowOff>
        </xdr:from>
        <xdr:to>
          <xdr:col>9</xdr:col>
          <xdr:colOff>635000</xdr:colOff>
          <xdr:row>4</xdr:row>
          <xdr:rowOff>152400</xdr:rowOff>
        </xdr:to>
        <xdr:sp macro="" textlink="">
          <xdr:nvSpPr>
            <xdr:cNvPr id="15361" name="Button 1" descr="Reiniciar Escenarios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Reiniciar Escenarios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6</xdr:row>
          <xdr:rowOff>12700</xdr:rowOff>
        </xdr:from>
        <xdr:to>
          <xdr:col>6</xdr:col>
          <xdr:colOff>736600</xdr:colOff>
          <xdr:row>6</xdr:row>
          <xdr:rowOff>406400</xdr:rowOff>
        </xdr:to>
        <xdr:sp macro="" textlink="">
          <xdr:nvSpPr>
            <xdr:cNvPr id="11265" name="Spinner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6</xdr:row>
          <xdr:rowOff>12700</xdr:rowOff>
        </xdr:from>
        <xdr:to>
          <xdr:col>2</xdr:col>
          <xdr:colOff>762000</xdr:colOff>
          <xdr:row>6</xdr:row>
          <xdr:rowOff>406400</xdr:rowOff>
        </xdr:to>
        <xdr:sp macro="" textlink="">
          <xdr:nvSpPr>
            <xdr:cNvPr id="11267" name="Spinner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63500</xdr:colOff>
          <xdr:row>6</xdr:row>
          <xdr:rowOff>25400</xdr:rowOff>
        </xdr:from>
        <xdr:to>
          <xdr:col>5</xdr:col>
          <xdr:colOff>711200</xdr:colOff>
          <xdr:row>6</xdr:row>
          <xdr:rowOff>406400</xdr:rowOff>
        </xdr:to>
        <xdr:sp macro="" textlink="">
          <xdr:nvSpPr>
            <xdr:cNvPr id="11268" name="Spinner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3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88900</xdr:colOff>
          <xdr:row>6</xdr:row>
          <xdr:rowOff>12700</xdr:rowOff>
        </xdr:from>
        <xdr:to>
          <xdr:col>4</xdr:col>
          <xdr:colOff>736600</xdr:colOff>
          <xdr:row>6</xdr:row>
          <xdr:rowOff>406400</xdr:rowOff>
        </xdr:to>
        <xdr:sp macro="" textlink="">
          <xdr:nvSpPr>
            <xdr:cNvPr id="11269" name="Spinner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3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88900</xdr:colOff>
          <xdr:row>6</xdr:row>
          <xdr:rowOff>25400</xdr:rowOff>
        </xdr:from>
        <xdr:to>
          <xdr:col>3</xdr:col>
          <xdr:colOff>736600</xdr:colOff>
          <xdr:row>7</xdr:row>
          <xdr:rowOff>0</xdr:rowOff>
        </xdr:to>
        <xdr:sp macro="" textlink="">
          <xdr:nvSpPr>
            <xdr:cNvPr id="11270" name="Spinner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3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88900</xdr:colOff>
          <xdr:row>6</xdr:row>
          <xdr:rowOff>25400</xdr:rowOff>
        </xdr:from>
        <xdr:to>
          <xdr:col>10</xdr:col>
          <xdr:colOff>736600</xdr:colOff>
          <xdr:row>7</xdr:row>
          <xdr:rowOff>0</xdr:rowOff>
        </xdr:to>
        <xdr:sp macro="" textlink="">
          <xdr:nvSpPr>
            <xdr:cNvPr id="11271" name="Spinner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3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101600</xdr:colOff>
          <xdr:row>6</xdr:row>
          <xdr:rowOff>12700</xdr:rowOff>
        </xdr:from>
        <xdr:to>
          <xdr:col>9</xdr:col>
          <xdr:colOff>736600</xdr:colOff>
          <xdr:row>6</xdr:row>
          <xdr:rowOff>406400</xdr:rowOff>
        </xdr:to>
        <xdr:sp macro="" textlink="">
          <xdr:nvSpPr>
            <xdr:cNvPr id="11272" name="Spinner 8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3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101600</xdr:colOff>
          <xdr:row>6</xdr:row>
          <xdr:rowOff>12700</xdr:rowOff>
        </xdr:from>
        <xdr:to>
          <xdr:col>8</xdr:col>
          <xdr:colOff>749300</xdr:colOff>
          <xdr:row>6</xdr:row>
          <xdr:rowOff>419100</xdr:rowOff>
        </xdr:to>
        <xdr:sp macro="" textlink="">
          <xdr:nvSpPr>
            <xdr:cNvPr id="11273" name="Spinner 9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3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6</xdr:row>
          <xdr:rowOff>12700</xdr:rowOff>
        </xdr:from>
        <xdr:to>
          <xdr:col>7</xdr:col>
          <xdr:colOff>749300</xdr:colOff>
          <xdr:row>6</xdr:row>
          <xdr:rowOff>419100</xdr:rowOff>
        </xdr:to>
        <xdr:sp macro="" textlink="">
          <xdr:nvSpPr>
            <xdr:cNvPr id="11274" name="Spinner 10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3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88900</xdr:colOff>
          <xdr:row>6</xdr:row>
          <xdr:rowOff>12700</xdr:rowOff>
        </xdr:from>
        <xdr:to>
          <xdr:col>11</xdr:col>
          <xdr:colOff>736600</xdr:colOff>
          <xdr:row>6</xdr:row>
          <xdr:rowOff>406400</xdr:rowOff>
        </xdr:to>
        <xdr:sp macro="" textlink="">
          <xdr:nvSpPr>
            <xdr:cNvPr id="11275" name="Spinner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3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495300</xdr:colOff>
          <xdr:row>2</xdr:row>
          <xdr:rowOff>0</xdr:rowOff>
        </xdr:from>
        <xdr:to>
          <xdr:col>13</xdr:col>
          <xdr:colOff>0</xdr:colOff>
          <xdr:row>4</xdr:row>
          <xdr:rowOff>228600</xdr:rowOff>
        </xdr:to>
        <xdr:sp macro="" textlink="">
          <xdr:nvSpPr>
            <xdr:cNvPr id="11276" name="11280" descr="Reiniciar escenario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3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Reiniciar Escenarios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293076</xdr:colOff>
      <xdr:row>41</xdr:row>
      <xdr:rowOff>88898</xdr:rowOff>
    </xdr:from>
    <xdr:to>
      <xdr:col>10</xdr:col>
      <xdr:colOff>586153</xdr:colOff>
      <xdr:row>64</xdr:row>
      <xdr:rowOff>19536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Gráfico 2">
              <a:extLst>
                <a:ext uri="{FF2B5EF4-FFF2-40B4-BE49-F238E27FC236}">
                  <a16:creationId xmlns:a16="http://schemas.microsoft.com/office/drawing/2014/main" id="{79A91BFC-DC84-C007-4A94-4822CA2997E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79076" y="7823198"/>
              <a:ext cx="7608277" cy="46042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Este gráfico no está disponible en tu versión de Excel.
Si editas esta forma o guardas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634999</xdr:colOff>
      <xdr:row>40</xdr:row>
      <xdr:rowOff>69361</xdr:rowOff>
    </xdr:from>
    <xdr:to>
      <xdr:col>18</xdr:col>
      <xdr:colOff>214923</xdr:colOff>
      <xdr:row>65</xdr:row>
      <xdr:rowOff>39076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654537</xdr:colOff>
      <xdr:row>65</xdr:row>
      <xdr:rowOff>40054</xdr:rowOff>
    </xdr:from>
    <xdr:to>
      <xdr:col>18</xdr:col>
      <xdr:colOff>234460</xdr:colOff>
      <xdr:row>80</xdr:row>
      <xdr:rowOff>185615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625234</xdr:colOff>
      <xdr:row>81</xdr:row>
      <xdr:rowOff>10746</xdr:rowOff>
    </xdr:from>
    <xdr:to>
      <xdr:col>18</xdr:col>
      <xdr:colOff>185613</xdr:colOff>
      <xdr:row>105</xdr:row>
      <xdr:rowOff>67407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654538</xdr:colOff>
      <xdr:row>105</xdr:row>
      <xdr:rowOff>88899</xdr:rowOff>
    </xdr:from>
    <xdr:to>
      <xdr:col>18</xdr:col>
      <xdr:colOff>234461</xdr:colOff>
      <xdr:row>119</xdr:row>
      <xdr:rowOff>165099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312615</xdr:colOff>
      <xdr:row>5</xdr:row>
      <xdr:rowOff>976</xdr:rowOff>
    </xdr:from>
    <xdr:to>
      <xdr:col>20</xdr:col>
      <xdr:colOff>78154</xdr:colOff>
      <xdr:row>38</xdr:row>
      <xdr:rowOff>48845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Gráfico 5">
              <a:extLst>
                <a:ext uri="{FF2B5EF4-FFF2-40B4-BE49-F238E27FC236}">
                  <a16:creationId xmlns:a16="http://schemas.microsoft.com/office/drawing/2014/main" id="{6E7E459D-3054-AA30-2976-0B0289080EA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69615" y="1118576"/>
              <a:ext cx="6420339" cy="59152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Este gráfico no está disponible en tu versión de Excel.
Si editas esta forma o guardas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566615</xdr:colOff>
      <xdr:row>5</xdr:row>
      <xdr:rowOff>118206</xdr:rowOff>
    </xdr:from>
    <xdr:to>
      <xdr:col>19</xdr:col>
      <xdr:colOff>332154</xdr:colOff>
      <xdr:row>38</xdr:row>
      <xdr:rowOff>166075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Gráfico 5">
              <a:extLst>
                <a:ext uri="{FF2B5EF4-FFF2-40B4-BE49-F238E27FC236}">
                  <a16:creationId xmlns:a16="http://schemas.microsoft.com/office/drawing/2014/main" id="{4EB04C9F-EBA6-0C4E-A2C8-5034132D9B2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158415" y="1235806"/>
              <a:ext cx="6509239" cy="59152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Este gráfico no está disponible en tu versión de Excel.
Si editas esta forma o guardas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439616</xdr:colOff>
      <xdr:row>40</xdr:row>
      <xdr:rowOff>171938</xdr:rowOff>
    </xdr:from>
    <xdr:to>
      <xdr:col>11</xdr:col>
      <xdr:colOff>400538</xdr:colOff>
      <xdr:row>62</xdr:row>
      <xdr:rowOff>29307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06F6DD10-C2E7-8EAD-21FD-EA8CC1DC21F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24016" y="7804638"/>
              <a:ext cx="8266722" cy="43277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Este gráfico no está disponible en tu versión de Excel.
Si editas esta forma o guardas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812800</xdr:colOff>
          <xdr:row>1</xdr:row>
          <xdr:rowOff>63500</xdr:rowOff>
        </xdr:from>
        <xdr:to>
          <xdr:col>16</xdr:col>
          <xdr:colOff>482600</xdr:colOff>
          <xdr:row>4</xdr:row>
          <xdr:rowOff>114300</xdr:rowOff>
        </xdr:to>
        <xdr:sp macro="" textlink="">
          <xdr:nvSpPr>
            <xdr:cNvPr id="7169" name="Button 1" descr="Generar Matrices de Cálculo…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Generar Matrices de Cálculo...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812800</xdr:colOff>
          <xdr:row>3</xdr:row>
          <xdr:rowOff>393700</xdr:rowOff>
        </xdr:from>
        <xdr:to>
          <xdr:col>6</xdr:col>
          <xdr:colOff>685800</xdr:colOff>
          <xdr:row>5</xdr:row>
          <xdr:rowOff>76200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0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Recalcular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>
    <tabColor rgb="FF2C3E50"/>
  </sheetPr>
  <dimension ref="A1:N60"/>
  <sheetViews>
    <sheetView showGridLines="0" tabSelected="1" zoomScale="180" zoomScaleNormal="180" workbookViewId="0">
      <selection activeCell="C18" sqref="C18"/>
    </sheetView>
  </sheetViews>
  <sheetFormatPr baseColWidth="10" defaultColWidth="9" defaultRowHeight="16"/>
  <cols>
    <col min="1" max="1" width="3" style="2" customWidth="1"/>
    <col min="2" max="2" width="5.5" style="2" customWidth="1"/>
    <col min="3" max="3" width="78" customWidth="1"/>
    <col min="4" max="4" width="3" customWidth="1"/>
    <col min="5" max="5" width="9" style="2" customWidth="1"/>
    <col min="6" max="14" width="9" customWidth="1"/>
    <col min="15" max="16" width="9" style="2" customWidth="1"/>
    <col min="17" max="16384" width="9" style="2"/>
  </cols>
  <sheetData>
    <row r="1" spans="1:14" ht="8" customHeight="1">
      <c r="A1" s="185"/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</row>
    <row r="2" spans="1:14" ht="32" customHeight="1">
      <c r="A2" s="420" t="s">
        <v>27</v>
      </c>
      <c r="B2" s="418"/>
      <c r="C2" s="419"/>
      <c r="D2" s="419"/>
      <c r="E2" s="186"/>
      <c r="F2" s="186"/>
      <c r="G2" s="186"/>
      <c r="H2" s="186"/>
      <c r="I2" s="186"/>
      <c r="J2" s="186"/>
      <c r="K2" s="186"/>
      <c r="L2" s="186"/>
      <c r="M2" s="186"/>
      <c r="N2" s="186"/>
    </row>
    <row r="3" spans="1:14" ht="20" customHeight="1">
      <c r="A3" s="417" t="s">
        <v>28</v>
      </c>
      <c r="B3" s="418"/>
      <c r="C3" s="419"/>
      <c r="D3" s="419"/>
      <c r="E3" s="185"/>
      <c r="F3" s="185"/>
      <c r="G3" s="185"/>
      <c r="H3" s="185"/>
      <c r="I3" s="185"/>
      <c r="J3" s="185"/>
      <c r="K3" s="185"/>
      <c r="L3" s="185"/>
      <c r="M3" s="185"/>
      <c r="N3" s="185"/>
    </row>
    <row r="4" spans="1:14" ht="4" customHeight="1">
      <c r="A4" s="423"/>
      <c r="B4" s="418"/>
      <c r="C4" s="419"/>
      <c r="D4" s="419"/>
      <c r="E4" s="185"/>
      <c r="F4" s="185"/>
      <c r="G4" s="185"/>
      <c r="H4" s="185"/>
      <c r="I4" s="185"/>
      <c r="J4" s="185"/>
      <c r="K4" s="185"/>
      <c r="L4" s="185"/>
      <c r="M4" s="185"/>
      <c r="N4" s="185"/>
    </row>
    <row r="5" spans="1:14">
      <c r="A5" s="185"/>
      <c r="B5" s="186"/>
      <c r="C5" s="186"/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</row>
    <row r="6" spans="1:14" ht="24" customHeight="1">
      <c r="A6" s="185"/>
      <c r="B6" s="187" t="s">
        <v>29</v>
      </c>
      <c r="C6" s="188" t="s">
        <v>30</v>
      </c>
      <c r="D6" s="189"/>
      <c r="E6" s="185"/>
      <c r="F6" s="185"/>
      <c r="G6" s="185"/>
      <c r="H6" s="185"/>
      <c r="I6" s="185"/>
      <c r="J6" s="185"/>
      <c r="K6" s="185"/>
      <c r="L6" s="185"/>
      <c r="M6" s="185"/>
      <c r="N6" s="185"/>
    </row>
    <row r="7" spans="1:14" ht="26" customHeight="1">
      <c r="A7" s="185"/>
      <c r="B7" s="421" t="s">
        <v>31</v>
      </c>
      <c r="C7" s="419"/>
      <c r="D7" s="185"/>
      <c r="E7" s="185"/>
      <c r="F7" s="185"/>
      <c r="G7" s="185"/>
      <c r="H7" s="185"/>
      <c r="I7" s="185"/>
      <c r="J7" s="185"/>
      <c r="K7" s="185"/>
      <c r="L7" s="185"/>
      <c r="M7" s="185"/>
      <c r="N7" s="185"/>
    </row>
    <row r="8" spans="1:14" ht="19" customHeight="1">
      <c r="A8" s="185"/>
      <c r="B8" s="190" t="s">
        <v>29</v>
      </c>
      <c r="C8" s="191" t="s">
        <v>32</v>
      </c>
      <c r="D8" s="185"/>
      <c r="E8" s="185"/>
      <c r="F8" s="185"/>
      <c r="G8" s="185"/>
      <c r="H8" s="185"/>
      <c r="I8" s="185"/>
      <c r="J8" s="185"/>
      <c r="K8" s="185"/>
      <c r="L8" s="185"/>
      <c r="M8" s="185"/>
      <c r="N8" s="185"/>
    </row>
    <row r="9" spans="1:14" ht="19" customHeight="1">
      <c r="A9" s="185"/>
      <c r="B9" s="190" t="s">
        <v>33</v>
      </c>
      <c r="C9" s="223" t="s">
        <v>470</v>
      </c>
      <c r="D9" s="185"/>
      <c r="E9" s="185"/>
      <c r="F9" s="185"/>
      <c r="G9" s="185"/>
      <c r="H9" s="185"/>
      <c r="I9" s="185"/>
      <c r="J9" s="185"/>
      <c r="K9" s="185"/>
      <c r="L9" s="185"/>
      <c r="M9" s="185"/>
      <c r="N9" s="185"/>
    </row>
    <row r="10" spans="1:14" ht="19" customHeight="1">
      <c r="A10" s="185"/>
      <c r="B10" s="190" t="s">
        <v>34</v>
      </c>
      <c r="C10" s="224" t="s">
        <v>547</v>
      </c>
      <c r="D10" s="185"/>
      <c r="E10" s="185"/>
      <c r="F10" s="185"/>
      <c r="G10" s="185"/>
      <c r="H10" s="185"/>
      <c r="I10" s="185"/>
      <c r="J10" s="185"/>
      <c r="K10" s="185"/>
      <c r="L10" s="185"/>
      <c r="M10" s="185"/>
      <c r="N10" s="185"/>
    </row>
    <row r="11" spans="1:14" ht="10" customHeight="1">
      <c r="A11" s="185"/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</row>
    <row r="12" spans="1:14" ht="24" customHeight="1">
      <c r="A12" s="185"/>
      <c r="B12" s="187" t="s">
        <v>33</v>
      </c>
      <c r="C12" s="188" t="s">
        <v>35</v>
      </c>
      <c r="D12" s="189"/>
      <c r="E12" s="185"/>
      <c r="F12" s="185"/>
      <c r="G12" s="185"/>
      <c r="H12" s="185"/>
      <c r="I12" s="185"/>
      <c r="J12" s="185"/>
      <c r="K12" s="185"/>
      <c r="L12" s="185"/>
      <c r="M12" s="185"/>
      <c r="N12" s="185"/>
    </row>
    <row r="13" spans="1:14" ht="26" customHeight="1">
      <c r="A13" s="185"/>
      <c r="B13" s="421" t="s">
        <v>36</v>
      </c>
      <c r="C13" s="419"/>
      <c r="D13" s="185"/>
      <c r="E13" s="185"/>
      <c r="F13" s="185"/>
      <c r="G13" s="185"/>
      <c r="H13" s="185"/>
      <c r="I13" s="185"/>
      <c r="J13" s="185"/>
      <c r="K13" s="185"/>
      <c r="L13" s="185"/>
      <c r="M13" s="185"/>
      <c r="N13" s="185"/>
    </row>
    <row r="14" spans="1:14" ht="19" customHeight="1">
      <c r="A14" s="185"/>
      <c r="B14" s="193" t="s">
        <v>29</v>
      </c>
      <c r="C14" s="194" t="s">
        <v>32</v>
      </c>
      <c r="D14" s="186"/>
      <c r="E14" s="186"/>
      <c r="F14" s="186"/>
      <c r="G14" s="186"/>
      <c r="H14" s="186"/>
      <c r="I14" s="186"/>
      <c r="J14" s="186"/>
      <c r="K14" s="186"/>
      <c r="L14" s="186"/>
      <c r="M14" s="186"/>
      <c r="N14" s="186"/>
    </row>
    <row r="15" spans="1:14" ht="19" customHeight="1">
      <c r="A15" s="185"/>
      <c r="B15" s="190" t="s">
        <v>33</v>
      </c>
      <c r="C15" s="223" t="s">
        <v>471</v>
      </c>
      <c r="D15" s="185"/>
      <c r="E15" s="185"/>
      <c r="F15" s="185"/>
      <c r="G15" s="185"/>
      <c r="H15" s="185"/>
      <c r="I15" s="185"/>
      <c r="J15" s="185"/>
      <c r="K15" s="185"/>
      <c r="L15" s="185"/>
      <c r="M15" s="185"/>
      <c r="N15" s="185"/>
    </row>
    <row r="16" spans="1:14" ht="19" customHeight="1">
      <c r="A16" s="185"/>
      <c r="B16" s="193" t="s">
        <v>34</v>
      </c>
      <c r="C16" s="225" t="s">
        <v>37</v>
      </c>
      <c r="D16" s="186"/>
      <c r="E16" s="186"/>
      <c r="F16" s="186"/>
      <c r="G16" s="186"/>
      <c r="H16" s="186"/>
      <c r="I16" s="186"/>
      <c r="J16" s="186"/>
      <c r="K16" s="186"/>
      <c r="L16" s="186"/>
      <c r="M16" s="186"/>
      <c r="N16" s="186"/>
    </row>
    <row r="17" spans="1:14" ht="10" customHeight="1">
      <c r="A17" s="185"/>
      <c r="B17" s="185"/>
      <c r="C17" s="185"/>
      <c r="D17" s="185"/>
      <c r="E17" s="185"/>
      <c r="F17" s="185"/>
      <c r="G17" s="185"/>
      <c r="H17" s="185"/>
      <c r="I17" s="185"/>
      <c r="J17" s="185"/>
      <c r="K17" s="185"/>
      <c r="L17" s="185"/>
      <c r="M17" s="185"/>
      <c r="N17" s="185"/>
    </row>
    <row r="18" spans="1:14" ht="24" customHeight="1">
      <c r="A18" s="185"/>
      <c r="B18" s="187" t="s">
        <v>34</v>
      </c>
      <c r="C18" s="188" t="s">
        <v>38</v>
      </c>
      <c r="D18" s="189"/>
      <c r="E18" s="185"/>
      <c r="F18" s="185"/>
      <c r="G18" s="185"/>
      <c r="H18" s="185"/>
      <c r="I18" s="185"/>
      <c r="J18" s="185"/>
      <c r="K18" s="185"/>
      <c r="L18" s="185"/>
      <c r="M18" s="185"/>
      <c r="N18" s="185"/>
    </row>
    <row r="19" spans="1:14" ht="26" customHeight="1">
      <c r="A19" s="185"/>
      <c r="B19" s="421" t="s">
        <v>39</v>
      </c>
      <c r="C19" s="419"/>
      <c r="D19" s="185"/>
      <c r="E19" s="185"/>
      <c r="F19" s="185"/>
      <c r="G19" s="185"/>
      <c r="H19" s="185"/>
      <c r="I19" s="185"/>
      <c r="J19" s="185"/>
      <c r="K19" s="185"/>
      <c r="L19" s="185"/>
      <c r="M19" s="185"/>
      <c r="N19" s="185"/>
    </row>
    <row r="20" spans="1:14" ht="19" customHeight="1">
      <c r="A20" s="185"/>
      <c r="B20" s="190" t="s">
        <v>29</v>
      </c>
      <c r="C20" s="191" t="s">
        <v>40</v>
      </c>
      <c r="D20" s="185"/>
      <c r="E20" s="185"/>
      <c r="F20" s="185"/>
      <c r="G20" s="185"/>
      <c r="H20" s="185"/>
      <c r="I20" s="185"/>
      <c r="J20" s="185"/>
      <c r="K20" s="185"/>
      <c r="L20" s="185"/>
      <c r="M20" s="185"/>
      <c r="N20" s="185"/>
    </row>
    <row r="21" spans="1:14" ht="19" customHeight="1">
      <c r="A21" s="185"/>
      <c r="B21" s="190" t="s">
        <v>33</v>
      </c>
      <c r="C21" s="192" t="s">
        <v>41</v>
      </c>
      <c r="D21" s="185"/>
      <c r="E21" s="185"/>
      <c r="F21" s="185"/>
      <c r="G21" s="185"/>
      <c r="H21" s="185"/>
      <c r="I21" s="185"/>
      <c r="J21" s="185"/>
      <c r="K21" s="185"/>
      <c r="L21" s="185"/>
      <c r="M21" s="185"/>
      <c r="N21" s="185"/>
    </row>
    <row r="22" spans="1:14" ht="19" customHeight="1">
      <c r="A22" s="185"/>
      <c r="B22" s="190" t="s">
        <v>34</v>
      </c>
      <c r="C22" s="224" t="s">
        <v>547</v>
      </c>
      <c r="D22" s="185"/>
      <c r="E22" s="185"/>
      <c r="F22" s="185"/>
      <c r="G22" s="185"/>
      <c r="H22" s="185"/>
      <c r="I22" s="185"/>
      <c r="J22" s="185"/>
      <c r="K22" s="185"/>
      <c r="L22" s="185"/>
      <c r="M22" s="185"/>
      <c r="N22" s="185"/>
    </row>
    <row r="23" spans="1:14" ht="10" customHeight="1">
      <c r="A23" s="185"/>
      <c r="B23" s="186"/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</row>
    <row r="24" spans="1:14" ht="30" customHeight="1">
      <c r="A24" s="185"/>
      <c r="B24" s="422" t="s">
        <v>42</v>
      </c>
      <c r="C24" s="419"/>
      <c r="D24" s="185"/>
      <c r="E24" s="185"/>
      <c r="F24" s="185"/>
      <c r="G24" s="185"/>
      <c r="H24" s="185"/>
      <c r="I24" s="185"/>
      <c r="J24" s="185"/>
      <c r="K24" s="185"/>
      <c r="L24" s="185"/>
      <c r="M24" s="185"/>
      <c r="N24" s="185"/>
    </row>
    <row r="25" spans="1:14">
      <c r="A25" s="185"/>
      <c r="B25" s="186"/>
      <c r="C25" s="186"/>
      <c r="D25" s="186"/>
      <c r="E25" s="186"/>
      <c r="F25" s="186"/>
      <c r="G25" s="186"/>
      <c r="H25" s="186"/>
      <c r="I25" s="186"/>
      <c r="J25" s="186"/>
      <c r="K25" s="186"/>
      <c r="L25" s="186"/>
      <c r="M25" s="186"/>
      <c r="N25" s="186"/>
    </row>
    <row r="26" spans="1:14" ht="29" customHeight="1">
      <c r="A26" s="185"/>
      <c r="B26" s="422" t="s">
        <v>806</v>
      </c>
      <c r="C26" s="419"/>
      <c r="D26" s="185"/>
      <c r="E26" s="185"/>
      <c r="F26" s="185"/>
      <c r="G26" s="185"/>
      <c r="H26" s="185"/>
      <c r="I26" s="185"/>
      <c r="J26" s="185"/>
      <c r="K26" s="185"/>
      <c r="L26" s="185"/>
      <c r="M26" s="185"/>
      <c r="N26" s="185"/>
    </row>
    <row r="27" spans="1:14">
      <c r="A27" s="185"/>
      <c r="B27" s="185"/>
      <c r="C27" s="185"/>
      <c r="D27" s="185"/>
      <c r="E27" s="185"/>
      <c r="F27" s="185"/>
      <c r="G27" s="185"/>
      <c r="H27" s="185"/>
      <c r="I27" s="185"/>
      <c r="J27" s="185"/>
      <c r="K27" s="185"/>
      <c r="L27" s="185"/>
      <c r="M27" s="185"/>
      <c r="N27" s="185"/>
    </row>
    <row r="28" spans="1:14">
      <c r="A28" s="185"/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5"/>
    </row>
    <row r="29" spans="1:14">
      <c r="A29" s="185"/>
      <c r="B29" s="185"/>
      <c r="C29" s="185"/>
      <c r="D29" s="185"/>
      <c r="E29" s="185"/>
      <c r="F29" s="185"/>
      <c r="G29" s="185"/>
      <c r="H29" s="185"/>
      <c r="I29" s="185"/>
      <c r="J29" s="185"/>
      <c r="K29" s="185"/>
      <c r="L29" s="185"/>
      <c r="M29" s="185"/>
      <c r="N29" s="185"/>
    </row>
    <row r="30" spans="1:14">
      <c r="A30" s="185"/>
      <c r="B30" s="185"/>
      <c r="C30" s="185"/>
      <c r="D30" s="185"/>
      <c r="E30" s="185"/>
      <c r="F30" s="185"/>
      <c r="G30" s="185"/>
      <c r="H30" s="185"/>
      <c r="I30" s="185"/>
      <c r="J30" s="185"/>
      <c r="K30" s="185"/>
      <c r="L30" s="185"/>
      <c r="M30" s="185"/>
      <c r="N30" s="185"/>
    </row>
    <row r="31" spans="1:14">
      <c r="A31" s="185"/>
      <c r="B31" s="185"/>
      <c r="C31" s="185"/>
      <c r="D31" s="185"/>
      <c r="E31" s="185"/>
      <c r="F31" s="185"/>
      <c r="G31" s="185"/>
      <c r="H31" s="185"/>
      <c r="I31" s="185"/>
      <c r="J31" s="185"/>
      <c r="K31" s="185"/>
      <c r="L31" s="185"/>
      <c r="M31" s="185"/>
      <c r="N31" s="185"/>
    </row>
    <row r="32" spans="1:14">
      <c r="A32" s="186"/>
      <c r="B32" s="186"/>
      <c r="C32" s="186"/>
      <c r="D32" s="186"/>
      <c r="E32" s="186"/>
      <c r="F32" s="186"/>
      <c r="G32" s="186"/>
      <c r="H32" s="186"/>
      <c r="I32" s="186"/>
      <c r="J32" s="186"/>
      <c r="K32" s="186"/>
      <c r="L32" s="186"/>
      <c r="M32" s="186"/>
      <c r="N32" s="186"/>
    </row>
    <row r="33" spans="1:14">
      <c r="A33" s="186"/>
      <c r="B33" s="186"/>
      <c r="C33" s="186"/>
      <c r="D33" s="186"/>
      <c r="E33" s="186"/>
      <c r="F33" s="186"/>
      <c r="G33" s="186"/>
      <c r="H33" s="186"/>
      <c r="I33" s="186"/>
      <c r="J33" s="186"/>
      <c r="K33" s="186"/>
      <c r="L33" s="186"/>
      <c r="M33" s="186"/>
      <c r="N33" s="186"/>
    </row>
    <row r="34" spans="1:14">
      <c r="A34" s="186"/>
      <c r="B34" s="186"/>
      <c r="C34" s="186"/>
      <c r="D34" s="186"/>
      <c r="E34" s="186"/>
      <c r="F34" s="186"/>
      <c r="G34" s="186"/>
      <c r="H34" s="186"/>
      <c r="I34" s="186"/>
      <c r="J34" s="186"/>
      <c r="K34" s="186"/>
      <c r="L34" s="186"/>
      <c r="M34" s="186"/>
      <c r="N34" s="186"/>
    </row>
    <row r="35" spans="1:14">
      <c r="A35" s="186"/>
      <c r="B35" s="186"/>
      <c r="C35" s="186"/>
      <c r="D35" s="186"/>
      <c r="E35" s="186"/>
      <c r="F35" s="186"/>
      <c r="G35" s="186"/>
      <c r="H35" s="186"/>
      <c r="I35" s="186"/>
      <c r="J35" s="186"/>
      <c r="K35" s="186"/>
      <c r="L35" s="186"/>
      <c r="M35" s="186"/>
      <c r="N35" s="186"/>
    </row>
    <row r="36" spans="1:14">
      <c r="A36" s="186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</row>
    <row r="37" spans="1:14">
      <c r="A37" s="186"/>
      <c r="B37" s="186"/>
      <c r="C37" s="186"/>
      <c r="D37" s="186"/>
      <c r="E37" s="186"/>
      <c r="F37" s="186"/>
      <c r="G37" s="186"/>
      <c r="H37" s="186"/>
      <c r="I37" s="186"/>
      <c r="J37" s="186"/>
      <c r="K37" s="186"/>
      <c r="L37" s="186"/>
      <c r="M37" s="186"/>
      <c r="N37" s="186"/>
    </row>
    <row r="38" spans="1:14">
      <c r="A38" s="186"/>
      <c r="B38" s="186"/>
      <c r="C38" s="186"/>
      <c r="D38" s="186"/>
      <c r="E38" s="186"/>
      <c r="F38" s="186"/>
      <c r="G38" s="186"/>
      <c r="H38" s="186"/>
      <c r="I38" s="186"/>
      <c r="J38" s="186"/>
      <c r="K38" s="186"/>
      <c r="L38" s="186"/>
      <c r="M38" s="186"/>
      <c r="N38" s="186"/>
    </row>
    <row r="39" spans="1:14">
      <c r="A39" s="186"/>
      <c r="B39" s="186"/>
      <c r="C39" s="186"/>
      <c r="D39" s="186"/>
      <c r="E39" s="186"/>
      <c r="F39" s="186"/>
      <c r="G39" s="186"/>
      <c r="H39" s="186"/>
      <c r="I39" s="186"/>
      <c r="J39" s="186"/>
      <c r="K39" s="186"/>
      <c r="L39" s="186"/>
      <c r="M39" s="186"/>
      <c r="N39" s="186"/>
    </row>
    <row r="40" spans="1:14">
      <c r="A40" s="186"/>
      <c r="B40" s="186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</row>
    <row r="41" spans="1:14">
      <c r="A41" s="186"/>
      <c r="B41" s="186"/>
      <c r="C41" s="186"/>
      <c r="D41" s="186"/>
      <c r="E41" s="186"/>
      <c r="F41" s="186"/>
      <c r="G41" s="186"/>
      <c r="H41" s="186"/>
      <c r="I41" s="186"/>
      <c r="J41" s="186"/>
      <c r="K41" s="186"/>
      <c r="L41" s="186"/>
      <c r="M41" s="186"/>
      <c r="N41" s="186"/>
    </row>
    <row r="42" spans="1:14">
      <c r="A42" s="186"/>
      <c r="B42" s="186"/>
      <c r="C42" s="186"/>
      <c r="D42" s="186"/>
      <c r="E42" s="186"/>
      <c r="F42" s="186"/>
      <c r="G42" s="186"/>
      <c r="H42" s="186"/>
      <c r="I42" s="186"/>
      <c r="J42" s="186"/>
      <c r="K42" s="186"/>
      <c r="L42" s="186"/>
      <c r="M42" s="186"/>
      <c r="N42" s="186"/>
    </row>
    <row r="43" spans="1:14">
      <c r="A43" s="186"/>
      <c r="B43" s="186"/>
      <c r="C43" s="186"/>
      <c r="D43" s="186"/>
      <c r="E43" s="186"/>
      <c r="F43" s="186"/>
      <c r="G43" s="186"/>
      <c r="H43" s="186"/>
      <c r="I43" s="186"/>
      <c r="J43" s="186"/>
      <c r="K43" s="186"/>
      <c r="L43" s="186"/>
      <c r="M43" s="186"/>
      <c r="N43" s="186"/>
    </row>
    <row r="44" spans="1:14">
      <c r="A44" s="186"/>
      <c r="B44" s="186"/>
      <c r="C44" s="186"/>
      <c r="D44" s="186"/>
      <c r="E44" s="186"/>
      <c r="F44" s="186"/>
      <c r="G44" s="186"/>
      <c r="H44" s="186"/>
      <c r="I44" s="186"/>
      <c r="J44" s="186"/>
      <c r="K44" s="186"/>
      <c r="L44" s="186"/>
      <c r="M44" s="186"/>
      <c r="N44" s="186"/>
    </row>
    <row r="45" spans="1:14">
      <c r="A45" s="186"/>
      <c r="B45" s="186"/>
      <c r="C45" s="186"/>
      <c r="D45" s="186"/>
      <c r="E45" s="186"/>
      <c r="F45" s="186"/>
      <c r="G45" s="186"/>
      <c r="H45" s="186"/>
      <c r="I45" s="186"/>
      <c r="J45" s="186"/>
      <c r="K45" s="186"/>
      <c r="L45" s="186"/>
      <c r="M45" s="186"/>
      <c r="N45" s="186"/>
    </row>
    <row r="46" spans="1:14">
      <c r="A46" s="186"/>
      <c r="B46" s="186"/>
      <c r="C46" s="186"/>
      <c r="D46" s="186"/>
      <c r="E46" s="186"/>
      <c r="F46" s="186"/>
      <c r="G46" s="186"/>
      <c r="H46" s="186"/>
      <c r="I46" s="186"/>
      <c r="J46" s="186"/>
      <c r="K46" s="186"/>
      <c r="L46" s="186"/>
      <c r="M46" s="186"/>
      <c r="N46" s="186"/>
    </row>
    <row r="47" spans="1:14">
      <c r="A47" s="186"/>
      <c r="B47" s="186"/>
      <c r="C47" s="186"/>
      <c r="D47" s="186"/>
      <c r="E47" s="186"/>
      <c r="F47" s="186"/>
      <c r="G47" s="186"/>
      <c r="H47" s="186"/>
      <c r="I47" s="186"/>
      <c r="J47" s="186"/>
      <c r="K47" s="186"/>
      <c r="L47" s="186"/>
      <c r="M47" s="186"/>
      <c r="N47" s="186"/>
    </row>
    <row r="48" spans="1:14">
      <c r="A48" s="186"/>
      <c r="B48" s="186"/>
      <c r="C48" s="186"/>
      <c r="D48" s="186"/>
      <c r="E48" s="186"/>
      <c r="F48" s="186"/>
      <c r="G48" s="186"/>
      <c r="H48" s="186"/>
      <c r="I48" s="186"/>
      <c r="J48" s="186"/>
      <c r="K48" s="186"/>
      <c r="L48" s="186"/>
      <c r="M48" s="186"/>
      <c r="N48" s="186"/>
    </row>
    <row r="49" spans="1:14">
      <c r="A49" s="186"/>
      <c r="B49" s="186"/>
      <c r="C49" s="186"/>
      <c r="D49" s="186"/>
      <c r="E49" s="186"/>
      <c r="F49" s="186"/>
      <c r="G49" s="186"/>
      <c r="H49" s="186"/>
      <c r="I49" s="186"/>
      <c r="J49" s="186"/>
      <c r="K49" s="186"/>
      <c r="L49" s="186"/>
      <c r="M49" s="186"/>
      <c r="N49" s="186"/>
    </row>
    <row r="50" spans="1:14">
      <c r="A50" s="186"/>
      <c r="B50" s="186"/>
      <c r="C50" s="186"/>
      <c r="D50" s="186"/>
      <c r="E50" s="186"/>
      <c r="F50" s="186"/>
      <c r="G50" s="186"/>
      <c r="H50" s="186"/>
      <c r="I50" s="186"/>
      <c r="J50" s="186"/>
      <c r="K50" s="186"/>
      <c r="L50" s="186"/>
      <c r="M50" s="186"/>
      <c r="N50" s="186"/>
    </row>
    <row r="51" spans="1:14">
      <c r="A51" s="186"/>
      <c r="B51" s="186"/>
      <c r="C51" s="186"/>
      <c r="D51" s="186"/>
      <c r="E51" s="186"/>
      <c r="F51" s="186"/>
      <c r="G51" s="186"/>
      <c r="H51" s="186"/>
      <c r="I51" s="186"/>
      <c r="J51" s="186"/>
      <c r="K51" s="186"/>
      <c r="L51" s="186"/>
      <c r="M51" s="186"/>
      <c r="N51" s="186"/>
    </row>
    <row r="52" spans="1:14">
      <c r="A52" s="186"/>
      <c r="B52" s="186"/>
      <c r="C52" s="186"/>
      <c r="D52" s="186"/>
      <c r="E52" s="186"/>
      <c r="F52" s="186"/>
      <c r="G52" s="186"/>
      <c r="H52" s="186"/>
      <c r="I52" s="186"/>
      <c r="J52" s="186"/>
      <c r="K52" s="186"/>
      <c r="L52" s="186"/>
      <c r="M52" s="186"/>
      <c r="N52" s="186"/>
    </row>
    <row r="53" spans="1:14">
      <c r="A53" s="186"/>
      <c r="B53" s="186"/>
      <c r="C53" s="186"/>
      <c r="D53" s="186"/>
      <c r="E53" s="186"/>
      <c r="F53" s="186"/>
      <c r="G53" s="186"/>
      <c r="H53" s="186"/>
      <c r="I53" s="186"/>
      <c r="J53" s="186"/>
      <c r="K53" s="186"/>
      <c r="L53" s="186"/>
      <c r="M53" s="186"/>
      <c r="N53" s="186"/>
    </row>
    <row r="54" spans="1:14">
      <c r="A54" s="186"/>
      <c r="B54" s="186"/>
      <c r="C54" s="186"/>
      <c r="D54" s="186"/>
      <c r="E54" s="186"/>
      <c r="F54" s="186"/>
      <c r="G54" s="186"/>
      <c r="H54" s="186"/>
      <c r="I54" s="186"/>
      <c r="J54" s="186"/>
      <c r="K54" s="186"/>
      <c r="L54" s="186"/>
      <c r="M54" s="186"/>
      <c r="N54" s="186"/>
    </row>
    <row r="55" spans="1:14">
      <c r="A55" s="186"/>
      <c r="B55" s="186"/>
      <c r="C55" s="186"/>
      <c r="D55" s="186"/>
      <c r="E55" s="186"/>
      <c r="F55" s="186"/>
      <c r="G55" s="186"/>
      <c r="H55" s="186"/>
      <c r="I55" s="186"/>
      <c r="J55" s="186"/>
      <c r="K55" s="186"/>
      <c r="L55" s="186"/>
      <c r="M55" s="186"/>
      <c r="N55" s="186"/>
    </row>
    <row r="56" spans="1:14">
      <c r="A56" s="186"/>
      <c r="B56" s="186"/>
      <c r="C56" s="186"/>
      <c r="D56" s="186"/>
      <c r="E56" s="186"/>
      <c r="F56" s="186"/>
      <c r="G56" s="186"/>
      <c r="H56" s="186"/>
      <c r="I56" s="186"/>
      <c r="J56" s="186"/>
      <c r="K56" s="186"/>
      <c r="L56" s="186"/>
      <c r="M56" s="186"/>
      <c r="N56" s="186"/>
    </row>
    <row r="57" spans="1:14">
      <c r="A57" s="186"/>
      <c r="B57" s="186"/>
      <c r="C57" s="186"/>
      <c r="D57" s="186"/>
      <c r="E57" s="186"/>
      <c r="F57" s="186"/>
      <c r="G57" s="186"/>
      <c r="H57" s="186"/>
      <c r="I57" s="186"/>
      <c r="J57" s="186"/>
      <c r="K57" s="186"/>
      <c r="L57" s="186"/>
      <c r="M57" s="186"/>
      <c r="N57" s="186"/>
    </row>
    <row r="58" spans="1:14">
      <c r="A58" s="186"/>
      <c r="B58" s="186"/>
      <c r="C58" s="186"/>
      <c r="D58" s="186"/>
      <c r="E58" s="186"/>
      <c r="F58" s="186"/>
      <c r="G58" s="186"/>
      <c r="H58" s="186"/>
      <c r="I58" s="186"/>
      <c r="J58" s="186"/>
      <c r="K58" s="186"/>
      <c r="L58" s="186"/>
      <c r="M58" s="186"/>
      <c r="N58" s="186"/>
    </row>
    <row r="59" spans="1:14">
      <c r="A59" s="186"/>
      <c r="B59" s="186"/>
      <c r="C59" s="186"/>
      <c r="D59" s="186"/>
      <c r="E59" s="186"/>
      <c r="F59" s="186"/>
      <c r="G59" s="186"/>
      <c r="H59" s="186"/>
      <c r="I59" s="186"/>
      <c r="J59" s="186"/>
      <c r="K59" s="186"/>
      <c r="L59" s="186"/>
      <c r="M59" s="186"/>
      <c r="N59" s="186"/>
    </row>
    <row r="60" spans="1:14">
      <c r="A60" s="186"/>
      <c r="B60" s="186"/>
      <c r="C60" s="186"/>
      <c r="D60" s="186"/>
      <c r="E60" s="186"/>
      <c r="F60" s="186"/>
      <c r="G60" s="186"/>
      <c r="H60" s="186"/>
      <c r="I60" s="186"/>
      <c r="J60" s="186"/>
      <c r="K60" s="186"/>
      <c r="L60" s="186"/>
      <c r="M60" s="186"/>
      <c r="N60" s="186"/>
    </row>
  </sheetData>
  <mergeCells count="8">
    <mergeCell ref="B26:C26"/>
    <mergeCell ref="A3:D3"/>
    <mergeCell ref="A2:D2"/>
    <mergeCell ref="B13:C13"/>
    <mergeCell ref="B24:C24"/>
    <mergeCell ref="B7:C7"/>
    <mergeCell ref="B19:C19"/>
    <mergeCell ref="A4:D4"/>
  </mergeCells>
  <pageMargins left="0.511811024" right="0.511811024" top="0.78740157499999996" bottom="0.78740157499999996" header="0.31496062000000002" footer="0.31496062000000002"/>
  <ignoredErrors>
    <ignoredError sqref="B8 B9:B10 B14:B16 B20:B22 B12 B18 B6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rgb="FF717D7E"/>
  </sheetPr>
  <dimension ref="A1:K79"/>
  <sheetViews>
    <sheetView showGridLines="0" zoomScale="180" zoomScaleNormal="180" workbookViewId="0">
      <selection activeCell="B17" sqref="B17"/>
    </sheetView>
  </sheetViews>
  <sheetFormatPr baseColWidth="10" defaultColWidth="3" defaultRowHeight="16"/>
  <cols>
    <col min="1" max="1" width="3" style="1" customWidth="1"/>
    <col min="2" max="2" width="5.5" style="1" customWidth="1"/>
    <col min="3" max="3" width="88" customWidth="1"/>
    <col min="4" max="4" width="3" style="1" customWidth="1"/>
    <col min="5" max="10" width="9" customWidth="1"/>
    <col min="11" max="12" width="3" style="1" customWidth="1"/>
    <col min="13" max="16384" width="3" style="1"/>
  </cols>
  <sheetData>
    <row r="1" spans="1:11" ht="8" customHeight="1">
      <c r="A1" s="186"/>
      <c r="B1" s="186"/>
      <c r="C1" s="186"/>
      <c r="D1" s="186"/>
      <c r="E1" s="186"/>
      <c r="F1" s="186"/>
      <c r="G1" s="186"/>
      <c r="H1" s="186"/>
      <c r="I1" s="186"/>
      <c r="J1" s="186"/>
      <c r="K1" s="186"/>
    </row>
    <row r="2" spans="1:11" ht="32" customHeight="1">
      <c r="A2" s="431" t="s">
        <v>43</v>
      </c>
      <c r="B2" s="429"/>
      <c r="C2" s="419"/>
      <c r="D2" s="429"/>
      <c r="E2" s="186"/>
      <c r="F2" s="186"/>
      <c r="G2" s="186"/>
      <c r="H2" s="186"/>
      <c r="I2" s="186"/>
      <c r="J2" s="186"/>
      <c r="K2" s="186"/>
    </row>
    <row r="3" spans="1:11" ht="20" customHeight="1">
      <c r="A3" s="430"/>
      <c r="B3" s="429"/>
      <c r="C3" s="419"/>
      <c r="D3" s="429"/>
      <c r="E3" s="186"/>
      <c r="F3" s="186"/>
      <c r="G3" s="186"/>
      <c r="H3" s="186"/>
      <c r="I3" s="186"/>
      <c r="J3" s="186"/>
      <c r="K3" s="186"/>
    </row>
    <row r="4" spans="1:11" ht="4" customHeight="1">
      <c r="A4" s="428"/>
      <c r="B4" s="429"/>
      <c r="C4" s="419"/>
      <c r="D4" s="429"/>
      <c r="E4" s="186"/>
      <c r="F4" s="186"/>
      <c r="G4" s="186"/>
      <c r="H4" s="186"/>
      <c r="I4" s="186"/>
      <c r="J4" s="186"/>
      <c r="K4" s="186"/>
    </row>
    <row r="5" spans="1:11" ht="8" customHeight="1">
      <c r="A5" s="186"/>
      <c r="B5" s="186"/>
      <c r="C5" s="186"/>
      <c r="D5" s="186"/>
      <c r="E5" s="186"/>
      <c r="F5" s="186"/>
      <c r="G5" s="186"/>
      <c r="H5" s="186"/>
      <c r="I5" s="186"/>
      <c r="J5" s="186"/>
      <c r="K5" s="186"/>
    </row>
    <row r="6" spans="1:11" ht="24" customHeight="1">
      <c r="A6" s="186"/>
      <c r="B6" s="195" t="s">
        <v>29</v>
      </c>
      <c r="C6" s="196" t="s">
        <v>44</v>
      </c>
      <c r="D6" s="197"/>
      <c r="E6" s="186"/>
      <c r="F6" s="186"/>
      <c r="G6" s="186"/>
      <c r="H6" s="186"/>
      <c r="I6" s="186"/>
      <c r="J6" s="186"/>
      <c r="K6" s="186"/>
    </row>
    <row r="7" spans="1:11" ht="20" customHeight="1">
      <c r="A7" s="186"/>
      <c r="B7" s="426" t="s">
        <v>45</v>
      </c>
      <c r="C7" s="419"/>
      <c r="D7" s="186"/>
      <c r="E7" s="186"/>
      <c r="F7" s="186"/>
      <c r="G7" s="186"/>
      <c r="H7" s="186"/>
      <c r="I7" s="186"/>
      <c r="J7" s="186"/>
      <c r="K7" s="186"/>
    </row>
    <row r="8" spans="1:11" ht="28" customHeight="1">
      <c r="A8" s="186"/>
      <c r="B8" s="427" t="s">
        <v>46</v>
      </c>
      <c r="C8" s="419"/>
      <c r="D8" s="186"/>
      <c r="E8" s="186"/>
      <c r="F8" s="186"/>
      <c r="G8" s="186"/>
      <c r="H8" s="186"/>
      <c r="I8" s="186"/>
      <c r="J8" s="186"/>
      <c r="K8" s="186"/>
    </row>
    <row r="9" spans="1:11" ht="18" customHeight="1">
      <c r="A9" s="186"/>
      <c r="B9" s="432" t="s">
        <v>807</v>
      </c>
      <c r="C9" s="419"/>
      <c r="D9" s="186"/>
      <c r="E9" s="186"/>
      <c r="F9" s="186"/>
      <c r="G9" s="186"/>
      <c r="H9" s="186"/>
      <c r="I9" s="186"/>
      <c r="J9" s="186"/>
      <c r="K9" s="186"/>
    </row>
    <row r="10" spans="1:11" ht="10" customHeight="1">
      <c r="A10" s="186"/>
      <c r="B10" s="186"/>
      <c r="C10" s="186"/>
      <c r="D10" s="186"/>
      <c r="E10" s="186"/>
      <c r="F10" s="186"/>
      <c r="G10" s="186"/>
      <c r="H10" s="186"/>
      <c r="I10" s="186"/>
      <c r="J10" s="186"/>
      <c r="K10" s="186"/>
    </row>
    <row r="11" spans="1:11" ht="24" customHeight="1">
      <c r="A11" s="186"/>
      <c r="B11" s="195" t="s">
        <v>33</v>
      </c>
      <c r="C11" s="196" t="s">
        <v>47</v>
      </c>
      <c r="D11" s="197"/>
      <c r="E11" s="186"/>
      <c r="F11" s="186"/>
      <c r="G11" s="186"/>
      <c r="H11" s="186"/>
      <c r="I11" s="186"/>
      <c r="J11" s="186"/>
      <c r="K11" s="186"/>
    </row>
    <row r="12" spans="1:11" ht="22" customHeight="1">
      <c r="A12" s="186"/>
      <c r="B12" s="424" t="s">
        <v>48</v>
      </c>
      <c r="C12" s="419"/>
      <c r="D12" s="186"/>
      <c r="E12" s="186"/>
      <c r="F12" s="186"/>
      <c r="G12" s="186"/>
      <c r="H12" s="186"/>
      <c r="I12" s="186"/>
      <c r="J12" s="186"/>
      <c r="K12" s="186"/>
    </row>
    <row r="13" spans="1:11" ht="30" customHeight="1">
      <c r="A13" s="186"/>
      <c r="B13" s="427" t="s">
        <v>49</v>
      </c>
      <c r="C13" s="419"/>
      <c r="D13" s="186"/>
      <c r="E13" s="186"/>
      <c r="F13" s="186"/>
      <c r="G13" s="186"/>
      <c r="H13" s="186"/>
      <c r="I13" s="186"/>
      <c r="J13" s="186"/>
      <c r="K13" s="186"/>
    </row>
    <row r="14" spans="1:11" ht="30" customHeight="1">
      <c r="A14" s="186"/>
      <c r="B14" s="424" t="s">
        <v>50</v>
      </c>
      <c r="C14" s="419"/>
      <c r="D14" s="186"/>
      <c r="E14" s="186"/>
      <c r="F14" s="186"/>
      <c r="G14" s="186"/>
      <c r="H14" s="186"/>
      <c r="I14" s="186"/>
      <c r="J14" s="186"/>
      <c r="K14" s="186"/>
    </row>
    <row r="15" spans="1:11" ht="30" customHeight="1">
      <c r="A15" s="186"/>
      <c r="B15" s="427"/>
      <c r="C15" s="419"/>
      <c r="D15" s="186"/>
      <c r="E15" s="186"/>
      <c r="F15" s="186"/>
      <c r="G15" s="186"/>
      <c r="H15" s="186"/>
      <c r="I15" s="186"/>
      <c r="J15" s="186"/>
      <c r="K15" s="186"/>
    </row>
    <row r="16" spans="1:11" ht="22" customHeight="1">
      <c r="A16" s="186"/>
      <c r="B16" s="424"/>
      <c r="C16" s="419"/>
      <c r="D16" s="186"/>
      <c r="E16" s="186"/>
      <c r="F16" s="186"/>
      <c r="G16" s="186"/>
      <c r="H16" s="186"/>
      <c r="I16" s="186"/>
      <c r="J16" s="186"/>
      <c r="K16" s="186"/>
    </row>
    <row r="17" spans="1:11" ht="10" customHeight="1">
      <c r="A17" s="186"/>
      <c r="B17" s="186"/>
      <c r="C17" s="186"/>
      <c r="D17" s="186"/>
      <c r="E17" s="186"/>
      <c r="F17" s="186"/>
      <c r="G17" s="186"/>
      <c r="H17" s="186"/>
      <c r="I17" s="186"/>
      <c r="J17" s="186"/>
      <c r="K17" s="186"/>
    </row>
    <row r="18" spans="1:11" ht="24" customHeight="1">
      <c r="A18" s="186"/>
      <c r="B18" s="195" t="s">
        <v>34</v>
      </c>
      <c r="C18" s="196" t="s">
        <v>51</v>
      </c>
      <c r="D18" s="197"/>
      <c r="E18" s="186"/>
      <c r="F18" s="186"/>
      <c r="G18" s="186"/>
      <c r="H18" s="186"/>
      <c r="I18" s="186"/>
      <c r="J18" s="186"/>
      <c r="K18" s="186"/>
    </row>
    <row r="19" spans="1:11" ht="24" customHeight="1">
      <c r="A19" s="186"/>
      <c r="B19" s="198" t="s">
        <v>52</v>
      </c>
      <c r="C19" s="305" t="s">
        <v>53</v>
      </c>
      <c r="D19" s="186"/>
      <c r="E19" s="186"/>
      <c r="F19" s="186"/>
      <c r="G19" s="186"/>
      <c r="H19" s="186"/>
      <c r="I19" s="186"/>
      <c r="J19" s="186"/>
      <c r="K19" s="186"/>
    </row>
    <row r="20" spans="1:11" ht="24" customHeight="1">
      <c r="A20" s="186"/>
      <c r="B20" s="200" t="s">
        <v>52</v>
      </c>
      <c r="C20" s="201" t="s">
        <v>54</v>
      </c>
      <c r="D20" s="186"/>
      <c r="E20" s="186"/>
      <c r="F20" s="186"/>
      <c r="G20" s="186"/>
      <c r="H20" s="186"/>
      <c r="I20" s="186"/>
      <c r="J20" s="186"/>
      <c r="K20" s="186"/>
    </row>
    <row r="21" spans="1:11" ht="24" customHeight="1">
      <c r="A21" s="186"/>
      <c r="B21" s="198" t="s">
        <v>52</v>
      </c>
      <c r="C21" s="199" t="s">
        <v>55</v>
      </c>
      <c r="D21" s="186"/>
      <c r="E21" s="186"/>
      <c r="F21" s="186"/>
      <c r="G21" s="186"/>
      <c r="H21" s="186"/>
      <c r="I21" s="186"/>
      <c r="J21" s="186"/>
      <c r="K21" s="186"/>
    </row>
    <row r="22" spans="1:11" ht="10" customHeight="1">
      <c r="A22" s="186"/>
      <c r="B22" s="186"/>
      <c r="C22" s="186"/>
      <c r="D22" s="186"/>
      <c r="E22" s="186"/>
      <c r="F22" s="186"/>
      <c r="G22" s="186"/>
      <c r="H22" s="186"/>
      <c r="I22" s="186"/>
      <c r="J22" s="186"/>
      <c r="K22" s="186"/>
    </row>
    <row r="23" spans="1:11" ht="24" customHeight="1">
      <c r="A23" s="186"/>
      <c r="B23" s="195" t="s">
        <v>56</v>
      </c>
      <c r="C23" s="196" t="s">
        <v>57</v>
      </c>
      <c r="D23" s="197"/>
      <c r="E23" s="186"/>
      <c r="F23" s="186"/>
      <c r="G23" s="186"/>
      <c r="H23" s="186"/>
      <c r="I23" s="186"/>
      <c r="J23" s="186"/>
      <c r="K23" s="186"/>
    </row>
    <row r="24" spans="1:11" ht="34" customHeight="1">
      <c r="A24" s="186"/>
      <c r="B24" s="202" t="s">
        <v>58</v>
      </c>
      <c r="C24" s="203" t="s">
        <v>59</v>
      </c>
      <c r="D24" s="186"/>
      <c r="E24" s="186"/>
      <c r="F24" s="186"/>
      <c r="G24" s="186"/>
      <c r="H24" s="186"/>
      <c r="I24" s="186"/>
      <c r="J24" s="186"/>
      <c r="K24" s="186"/>
    </row>
    <row r="25" spans="1:11" ht="34" customHeight="1">
      <c r="A25" s="186"/>
      <c r="B25" s="204" t="s">
        <v>58</v>
      </c>
      <c r="C25" s="205" t="s">
        <v>60</v>
      </c>
      <c r="D25" s="186"/>
      <c r="E25" s="186"/>
      <c r="F25" s="186"/>
      <c r="G25" s="186"/>
      <c r="H25" s="186"/>
      <c r="I25" s="186"/>
      <c r="J25" s="186"/>
      <c r="K25" s="186"/>
    </row>
    <row r="26" spans="1:11" ht="34" customHeight="1">
      <c r="A26" s="186"/>
      <c r="B26" s="202" t="s">
        <v>58</v>
      </c>
      <c r="C26" s="203" t="s">
        <v>61</v>
      </c>
      <c r="D26" s="186"/>
      <c r="E26" s="186"/>
      <c r="F26" s="186"/>
      <c r="G26" s="186"/>
      <c r="H26" s="186"/>
      <c r="I26" s="186"/>
      <c r="J26" s="186"/>
      <c r="K26" s="186"/>
    </row>
    <row r="27" spans="1:11" ht="34" customHeight="1">
      <c r="A27" s="186"/>
      <c r="B27" s="204" t="s">
        <v>58</v>
      </c>
      <c r="C27" s="205" t="s">
        <v>62</v>
      </c>
      <c r="D27" s="186"/>
      <c r="E27" s="186"/>
      <c r="F27" s="186"/>
      <c r="G27" s="186"/>
      <c r="H27" s="186"/>
      <c r="I27" s="186"/>
      <c r="J27" s="186"/>
      <c r="K27" s="186"/>
    </row>
    <row r="28" spans="1:11" ht="18" customHeight="1">
      <c r="A28" s="186"/>
      <c r="B28" s="186"/>
      <c r="C28" s="186"/>
      <c r="D28" s="186"/>
      <c r="E28" s="186"/>
      <c r="F28" s="186"/>
      <c r="G28" s="186"/>
      <c r="H28" s="186"/>
      <c r="I28" s="186"/>
      <c r="J28" s="186"/>
      <c r="K28" s="186"/>
    </row>
    <row r="29" spans="1:11" ht="42" customHeight="1">
      <c r="A29" s="186"/>
      <c r="B29" s="425" t="s">
        <v>63</v>
      </c>
      <c r="C29" s="419"/>
      <c r="D29" s="186"/>
      <c r="E29" s="186"/>
      <c r="F29" s="186"/>
      <c r="G29" s="186"/>
      <c r="H29" s="186"/>
      <c r="I29" s="186"/>
      <c r="J29" s="186"/>
      <c r="K29" s="186"/>
    </row>
    <row r="30" spans="1:11">
      <c r="A30" s="186"/>
      <c r="B30" s="186"/>
      <c r="C30" s="186"/>
      <c r="D30" s="186"/>
      <c r="E30" s="186"/>
      <c r="F30" s="186"/>
      <c r="G30" s="186"/>
      <c r="H30" s="186"/>
      <c r="I30" s="186"/>
      <c r="J30" s="186"/>
      <c r="K30" s="186"/>
    </row>
    <row r="31" spans="1:11">
      <c r="A31" s="186"/>
      <c r="B31" s="186"/>
      <c r="C31" s="186"/>
      <c r="D31" s="186"/>
      <c r="E31" s="186"/>
      <c r="F31" s="186"/>
      <c r="G31" s="186"/>
      <c r="H31" s="186"/>
      <c r="I31" s="186"/>
      <c r="J31" s="186"/>
      <c r="K31" s="186"/>
    </row>
    <row r="32" spans="1:11">
      <c r="A32" s="186"/>
      <c r="B32" s="186"/>
      <c r="C32" s="186"/>
      <c r="D32" s="186"/>
      <c r="E32" s="186"/>
      <c r="F32" s="186"/>
      <c r="G32" s="186"/>
      <c r="H32" s="186"/>
      <c r="I32" s="186"/>
      <c r="J32" s="186"/>
      <c r="K32" s="186"/>
    </row>
    <row r="33" spans="1:11">
      <c r="A33" s="186"/>
      <c r="B33" s="186"/>
      <c r="C33" s="186"/>
      <c r="D33" s="186"/>
      <c r="E33" s="186"/>
      <c r="F33" s="186"/>
      <c r="G33" s="186"/>
      <c r="H33" s="186"/>
      <c r="I33" s="186"/>
      <c r="J33" s="186"/>
      <c r="K33" s="186"/>
    </row>
    <row r="34" spans="1:11">
      <c r="A34" s="186"/>
      <c r="B34" s="186"/>
      <c r="C34" s="186"/>
      <c r="D34" s="186"/>
      <c r="E34" s="186"/>
      <c r="F34" s="186"/>
      <c r="G34" s="186"/>
      <c r="H34" s="186"/>
      <c r="I34" s="186"/>
      <c r="J34" s="186"/>
      <c r="K34" s="186"/>
    </row>
    <row r="35" spans="1:11">
      <c r="A35" s="186"/>
      <c r="B35" s="186"/>
      <c r="C35" s="186"/>
      <c r="D35" s="186"/>
      <c r="E35" s="186"/>
      <c r="F35" s="186"/>
      <c r="G35" s="186"/>
      <c r="H35" s="186"/>
      <c r="I35" s="186"/>
      <c r="J35" s="186"/>
      <c r="K35" s="186"/>
    </row>
    <row r="36" spans="1:11">
      <c r="A36" s="186"/>
      <c r="B36" s="186"/>
      <c r="C36" s="186"/>
      <c r="D36" s="186"/>
      <c r="E36" s="186"/>
      <c r="F36" s="186"/>
      <c r="G36" s="186"/>
      <c r="H36" s="186"/>
      <c r="I36" s="186"/>
      <c r="J36" s="186"/>
      <c r="K36" s="186"/>
    </row>
    <row r="37" spans="1:11">
      <c r="A37" s="186"/>
      <c r="B37" s="186"/>
      <c r="C37" s="186"/>
      <c r="D37" s="186"/>
      <c r="E37" s="186"/>
      <c r="F37" s="186"/>
      <c r="G37" s="186"/>
      <c r="H37" s="186"/>
      <c r="I37" s="186"/>
      <c r="J37" s="186"/>
      <c r="K37" s="186"/>
    </row>
    <row r="38" spans="1:11">
      <c r="A38" s="186"/>
      <c r="B38" s="186"/>
      <c r="C38" s="186"/>
      <c r="D38" s="186"/>
      <c r="E38" s="186"/>
      <c r="F38" s="186"/>
      <c r="G38" s="186"/>
      <c r="H38" s="186"/>
      <c r="I38" s="186"/>
      <c r="J38" s="186"/>
      <c r="K38" s="186"/>
    </row>
    <row r="39" spans="1:11">
      <c r="A39" s="186"/>
      <c r="B39" s="186"/>
      <c r="C39" s="186"/>
      <c r="D39" s="186"/>
      <c r="E39" s="186"/>
      <c r="F39" s="186"/>
      <c r="G39" s="186"/>
      <c r="H39" s="186"/>
      <c r="I39" s="186"/>
      <c r="J39" s="186"/>
      <c r="K39" s="186"/>
    </row>
    <row r="40" spans="1:11">
      <c r="A40" s="186"/>
      <c r="B40" s="186"/>
      <c r="C40" s="186"/>
      <c r="D40" s="186"/>
      <c r="E40" s="186"/>
      <c r="F40" s="186"/>
      <c r="G40" s="186"/>
      <c r="H40" s="186"/>
      <c r="I40" s="186"/>
      <c r="J40" s="186"/>
      <c r="K40" s="186"/>
    </row>
    <row r="41" spans="1:11">
      <c r="A41" s="186"/>
      <c r="B41" s="186"/>
      <c r="C41" s="186"/>
      <c r="D41" s="186"/>
      <c r="E41" s="186"/>
      <c r="F41" s="186"/>
      <c r="G41" s="186"/>
      <c r="H41" s="186"/>
      <c r="I41" s="186"/>
      <c r="J41" s="186"/>
      <c r="K41" s="186"/>
    </row>
    <row r="42" spans="1:11">
      <c r="A42" s="186"/>
      <c r="B42" s="186"/>
      <c r="C42" s="186"/>
      <c r="D42" s="186"/>
      <c r="E42" s="186"/>
      <c r="F42" s="186"/>
      <c r="G42" s="186"/>
      <c r="H42" s="186"/>
      <c r="I42" s="186"/>
      <c r="J42" s="186"/>
      <c r="K42" s="186"/>
    </row>
    <row r="43" spans="1:11">
      <c r="A43" s="186"/>
      <c r="B43" s="186"/>
      <c r="C43" s="186"/>
      <c r="D43" s="186"/>
      <c r="E43" s="186"/>
      <c r="F43" s="186"/>
      <c r="G43" s="186"/>
      <c r="H43" s="186"/>
      <c r="I43" s="186"/>
      <c r="J43" s="186"/>
      <c r="K43" s="186"/>
    </row>
    <row r="44" spans="1:11">
      <c r="A44" s="186"/>
      <c r="B44" s="186"/>
      <c r="C44" s="186"/>
      <c r="D44" s="186"/>
      <c r="E44" s="186"/>
      <c r="F44" s="186"/>
      <c r="G44" s="186"/>
      <c r="H44" s="186"/>
      <c r="I44" s="186"/>
      <c r="J44" s="186"/>
      <c r="K44" s="186"/>
    </row>
    <row r="45" spans="1:11">
      <c r="A45" s="186"/>
      <c r="B45" s="186"/>
      <c r="C45" s="186"/>
      <c r="D45" s="186"/>
      <c r="E45" s="186"/>
      <c r="F45" s="186"/>
      <c r="G45" s="186"/>
      <c r="H45" s="186"/>
      <c r="I45" s="186"/>
      <c r="J45" s="186"/>
      <c r="K45" s="186"/>
    </row>
    <row r="46" spans="1:11">
      <c r="A46" s="186"/>
      <c r="B46" s="186"/>
      <c r="C46" s="186"/>
      <c r="D46" s="186"/>
      <c r="E46" s="186"/>
      <c r="F46" s="186"/>
      <c r="G46" s="186"/>
      <c r="H46" s="186"/>
      <c r="I46" s="186"/>
      <c r="J46" s="186"/>
      <c r="K46" s="186"/>
    </row>
    <row r="47" spans="1:11">
      <c r="A47" s="186"/>
      <c r="B47" s="186"/>
      <c r="C47" s="186"/>
      <c r="D47" s="186"/>
      <c r="E47" s="186"/>
      <c r="F47" s="186"/>
      <c r="G47" s="186"/>
      <c r="H47" s="186"/>
      <c r="I47" s="186"/>
      <c r="J47" s="186"/>
      <c r="K47" s="186"/>
    </row>
    <row r="48" spans="1:11">
      <c r="A48" s="186"/>
      <c r="B48" s="186"/>
      <c r="C48" s="186"/>
      <c r="D48" s="186"/>
      <c r="E48" s="186"/>
      <c r="F48" s="186"/>
      <c r="G48" s="186"/>
      <c r="H48" s="186"/>
      <c r="I48" s="186"/>
      <c r="J48" s="186"/>
      <c r="K48" s="186"/>
    </row>
    <row r="49" spans="1:11">
      <c r="A49" s="186"/>
      <c r="B49" s="186"/>
      <c r="C49" s="186"/>
      <c r="D49" s="186"/>
      <c r="E49" s="186"/>
      <c r="F49" s="186"/>
      <c r="G49" s="186"/>
      <c r="H49" s="186"/>
      <c r="I49" s="186"/>
      <c r="J49" s="186"/>
      <c r="K49" s="186"/>
    </row>
    <row r="50" spans="1:11">
      <c r="A50" s="186"/>
      <c r="B50" s="186"/>
      <c r="C50" s="186"/>
      <c r="D50" s="186"/>
      <c r="E50" s="186"/>
      <c r="F50" s="186"/>
      <c r="G50" s="186"/>
      <c r="H50" s="186"/>
      <c r="I50" s="186"/>
      <c r="J50" s="186"/>
      <c r="K50" s="186"/>
    </row>
    <row r="51" spans="1:11">
      <c r="A51" s="186"/>
      <c r="B51" s="186"/>
      <c r="C51" s="186"/>
      <c r="D51" s="186"/>
      <c r="E51" s="186"/>
      <c r="F51" s="186"/>
      <c r="G51" s="186"/>
      <c r="H51" s="186"/>
      <c r="I51" s="186"/>
      <c r="J51" s="186"/>
      <c r="K51" s="186"/>
    </row>
    <row r="52" spans="1:11">
      <c r="A52" s="186"/>
      <c r="B52" s="186"/>
      <c r="C52" s="186"/>
      <c r="D52" s="186"/>
      <c r="E52" s="186"/>
      <c r="F52" s="186"/>
      <c r="G52" s="186"/>
      <c r="H52" s="186"/>
      <c r="I52" s="186"/>
      <c r="J52" s="186"/>
      <c r="K52" s="186"/>
    </row>
    <row r="53" spans="1:11">
      <c r="A53" s="186"/>
      <c r="B53" s="186"/>
      <c r="C53" s="186"/>
      <c r="D53" s="186"/>
      <c r="E53" s="186"/>
      <c r="F53" s="186"/>
      <c r="G53" s="186"/>
      <c r="H53" s="186"/>
      <c r="I53" s="186"/>
      <c r="J53" s="186"/>
      <c r="K53" s="186"/>
    </row>
    <row r="54" spans="1:11">
      <c r="A54" s="186"/>
      <c r="B54" s="186"/>
      <c r="C54" s="186"/>
      <c r="D54" s="186"/>
      <c r="E54" s="186"/>
      <c r="F54" s="186"/>
      <c r="G54" s="186"/>
      <c r="H54" s="186"/>
      <c r="I54" s="186"/>
      <c r="J54" s="186"/>
      <c r="K54" s="186"/>
    </row>
    <row r="55" spans="1:11">
      <c r="A55" s="186"/>
      <c r="B55" s="186"/>
      <c r="C55" s="186"/>
      <c r="D55" s="186"/>
      <c r="E55" s="186"/>
      <c r="F55" s="186"/>
      <c r="G55" s="186"/>
      <c r="H55" s="186"/>
      <c r="I55" s="186"/>
      <c r="J55" s="186"/>
      <c r="K55" s="186"/>
    </row>
    <row r="56" spans="1:11">
      <c r="A56" s="186"/>
      <c r="B56" s="186"/>
      <c r="C56" s="186"/>
      <c r="D56" s="186"/>
      <c r="E56" s="186"/>
      <c r="F56" s="186"/>
      <c r="G56" s="186"/>
      <c r="H56" s="186"/>
      <c r="I56" s="186"/>
      <c r="J56" s="186"/>
      <c r="K56" s="186"/>
    </row>
    <row r="57" spans="1:11">
      <c r="A57" s="186"/>
      <c r="B57" s="186"/>
      <c r="C57" s="186"/>
      <c r="D57" s="186"/>
      <c r="E57" s="186"/>
      <c r="F57" s="186"/>
      <c r="G57" s="186"/>
      <c r="H57" s="186"/>
      <c r="I57" s="186"/>
      <c r="J57" s="186"/>
      <c r="K57" s="186"/>
    </row>
    <row r="58" spans="1:11">
      <c r="A58" s="186"/>
      <c r="B58" s="186"/>
      <c r="C58" s="186"/>
      <c r="D58" s="186"/>
      <c r="E58" s="186"/>
      <c r="F58" s="186"/>
      <c r="G58" s="186"/>
      <c r="H58" s="186"/>
      <c r="I58" s="186"/>
      <c r="J58" s="186"/>
      <c r="K58" s="186"/>
    </row>
    <row r="59" spans="1:11">
      <c r="A59" s="186"/>
      <c r="B59" s="186"/>
      <c r="C59" s="186"/>
      <c r="D59" s="186"/>
      <c r="E59" s="186"/>
      <c r="F59" s="186"/>
      <c r="G59" s="186"/>
      <c r="H59" s="186"/>
      <c r="I59" s="186"/>
      <c r="J59" s="186"/>
      <c r="K59" s="186"/>
    </row>
    <row r="60" spans="1:11">
      <c r="A60" s="186"/>
      <c r="B60" s="186"/>
      <c r="C60" s="186"/>
      <c r="D60" s="186"/>
      <c r="E60" s="186"/>
      <c r="F60" s="186"/>
      <c r="G60" s="186"/>
      <c r="H60" s="186"/>
      <c r="I60" s="186"/>
      <c r="J60" s="186"/>
      <c r="K60" s="186"/>
    </row>
    <row r="61" spans="1:11">
      <c r="A61" s="186"/>
      <c r="B61" s="186"/>
      <c r="C61" s="186"/>
      <c r="D61" s="186"/>
      <c r="E61" s="186"/>
      <c r="F61" s="186"/>
      <c r="G61" s="186"/>
      <c r="H61" s="186"/>
      <c r="I61" s="186"/>
      <c r="J61" s="186"/>
      <c r="K61" s="186"/>
    </row>
    <row r="62" spans="1:11">
      <c r="A62" s="186"/>
      <c r="B62" s="186"/>
      <c r="C62" s="186"/>
      <c r="D62" s="186"/>
      <c r="E62" s="186"/>
      <c r="F62" s="186"/>
      <c r="G62" s="186"/>
      <c r="H62" s="186"/>
      <c r="I62" s="186"/>
      <c r="J62" s="186"/>
      <c r="K62" s="186"/>
    </row>
    <row r="63" spans="1:11">
      <c r="A63" s="186"/>
      <c r="B63" s="186"/>
      <c r="C63" s="186"/>
      <c r="D63" s="186"/>
      <c r="E63" s="186"/>
      <c r="F63" s="186"/>
      <c r="G63" s="186"/>
      <c r="H63" s="186"/>
      <c r="I63" s="186"/>
      <c r="J63" s="186"/>
      <c r="K63" s="186"/>
    </row>
    <row r="64" spans="1:11">
      <c r="A64" s="186"/>
      <c r="B64" s="186"/>
      <c r="C64" s="186"/>
      <c r="D64" s="186"/>
      <c r="E64" s="186"/>
      <c r="F64" s="186"/>
      <c r="G64" s="186"/>
      <c r="H64" s="186"/>
      <c r="I64" s="186"/>
      <c r="J64" s="186"/>
      <c r="K64" s="186"/>
    </row>
    <row r="65" spans="1:11">
      <c r="A65" s="186"/>
      <c r="B65" s="186"/>
      <c r="C65" s="186"/>
      <c r="D65" s="186"/>
      <c r="E65" s="186"/>
      <c r="F65" s="186"/>
      <c r="G65" s="186"/>
      <c r="H65" s="186"/>
      <c r="I65" s="186"/>
      <c r="J65" s="186"/>
      <c r="K65" s="186"/>
    </row>
    <row r="66" spans="1:11">
      <c r="A66" s="186"/>
      <c r="B66" s="186"/>
      <c r="C66" s="186"/>
      <c r="D66" s="186"/>
      <c r="E66" s="186"/>
      <c r="F66" s="186"/>
      <c r="G66" s="186"/>
      <c r="H66" s="186"/>
      <c r="I66" s="186"/>
      <c r="J66" s="186"/>
      <c r="K66" s="186"/>
    </row>
    <row r="67" spans="1:11">
      <c r="A67" s="186"/>
      <c r="B67" s="186"/>
      <c r="C67" s="186"/>
      <c r="D67" s="186"/>
      <c r="E67" s="186"/>
      <c r="F67" s="186"/>
      <c r="G67" s="186"/>
      <c r="H67" s="186"/>
      <c r="I67" s="186"/>
      <c r="J67" s="186"/>
      <c r="K67" s="186"/>
    </row>
    <row r="68" spans="1:11">
      <c r="A68" s="186"/>
      <c r="B68" s="186"/>
      <c r="C68" s="186"/>
      <c r="D68" s="186"/>
      <c r="E68" s="186"/>
      <c r="F68" s="186"/>
      <c r="G68" s="186"/>
      <c r="H68" s="186"/>
      <c r="I68" s="186"/>
      <c r="J68" s="186"/>
      <c r="K68" s="186"/>
    </row>
    <row r="69" spans="1:11">
      <c r="A69" s="186"/>
      <c r="B69" s="186"/>
      <c r="C69" s="186"/>
      <c r="D69" s="186"/>
      <c r="E69" s="186"/>
      <c r="F69" s="186"/>
      <c r="G69" s="186"/>
      <c r="H69" s="186"/>
      <c r="I69" s="186"/>
      <c r="J69" s="186"/>
      <c r="K69" s="186"/>
    </row>
    <row r="70" spans="1:11">
      <c r="A70" s="186"/>
      <c r="B70" s="186"/>
      <c r="C70" s="186"/>
      <c r="D70" s="186"/>
      <c r="E70" s="186"/>
      <c r="F70" s="186"/>
      <c r="G70" s="186"/>
      <c r="H70" s="186"/>
      <c r="I70" s="186"/>
      <c r="J70" s="186"/>
      <c r="K70" s="186"/>
    </row>
    <row r="71" spans="1:11">
      <c r="A71" s="186"/>
      <c r="B71" s="186"/>
      <c r="C71" s="186"/>
      <c r="D71" s="186"/>
      <c r="E71" s="186"/>
      <c r="F71" s="186"/>
      <c r="G71" s="186"/>
      <c r="H71" s="186"/>
      <c r="I71" s="186"/>
      <c r="J71" s="186"/>
      <c r="K71" s="186"/>
    </row>
    <row r="72" spans="1:11">
      <c r="A72" s="186"/>
      <c r="B72" s="186"/>
      <c r="C72" s="186"/>
      <c r="D72" s="186"/>
      <c r="E72" s="186"/>
      <c r="F72" s="186"/>
      <c r="G72" s="186"/>
      <c r="H72" s="186"/>
      <c r="I72" s="186"/>
      <c r="J72" s="186"/>
      <c r="K72" s="186"/>
    </row>
    <row r="73" spans="1:11">
      <c r="A73" s="186"/>
      <c r="B73" s="186"/>
      <c r="C73" s="186"/>
      <c r="D73" s="186"/>
      <c r="E73" s="186"/>
      <c r="F73" s="186"/>
      <c r="G73" s="186"/>
      <c r="H73" s="186"/>
      <c r="I73" s="186"/>
      <c r="J73" s="186"/>
      <c r="K73" s="186"/>
    </row>
    <row r="74" spans="1:11">
      <c r="A74" s="186"/>
      <c r="B74" s="186"/>
      <c r="C74" s="186"/>
      <c r="D74" s="186"/>
      <c r="E74" s="186"/>
      <c r="F74" s="186"/>
      <c r="G74" s="186"/>
      <c r="H74" s="186"/>
      <c r="I74" s="186"/>
      <c r="J74" s="186"/>
      <c r="K74" s="186"/>
    </row>
    <row r="75" spans="1:11">
      <c r="A75" s="186"/>
      <c r="B75" s="186"/>
      <c r="C75" s="186"/>
      <c r="D75" s="186"/>
      <c r="E75" s="186"/>
      <c r="F75" s="186"/>
      <c r="G75" s="186"/>
      <c r="H75" s="186"/>
      <c r="I75" s="186"/>
      <c r="J75" s="186"/>
      <c r="K75" s="186"/>
    </row>
    <row r="76" spans="1:11">
      <c r="A76" s="186"/>
      <c r="B76" s="186"/>
      <c r="C76" s="186"/>
      <c r="D76" s="186"/>
      <c r="E76" s="186"/>
      <c r="F76" s="186"/>
      <c r="G76" s="186"/>
      <c r="H76" s="186"/>
      <c r="I76" s="186"/>
      <c r="J76" s="186"/>
      <c r="K76" s="186"/>
    </row>
    <row r="77" spans="1:11">
      <c r="A77" s="186"/>
      <c r="B77" s="186"/>
      <c r="C77" s="186"/>
      <c r="D77" s="186"/>
      <c r="E77" s="186"/>
      <c r="F77" s="186"/>
      <c r="G77" s="186"/>
      <c r="H77" s="186"/>
      <c r="I77" s="186"/>
      <c r="J77" s="186"/>
      <c r="K77" s="186"/>
    </row>
    <row r="78" spans="1:11">
      <c r="A78" s="186"/>
      <c r="B78" s="186"/>
      <c r="C78" s="186"/>
      <c r="D78" s="186"/>
      <c r="E78" s="186"/>
      <c r="F78" s="186"/>
      <c r="G78" s="186"/>
      <c r="H78" s="186"/>
      <c r="I78" s="186"/>
      <c r="J78" s="186"/>
      <c r="K78" s="186"/>
    </row>
    <row r="79" spans="1:11">
      <c r="A79" s="186"/>
      <c r="B79" s="186"/>
      <c r="C79" s="186"/>
      <c r="D79" s="186"/>
      <c r="E79" s="186"/>
      <c r="F79" s="186"/>
      <c r="G79" s="186"/>
      <c r="H79" s="186"/>
      <c r="I79" s="186"/>
      <c r="J79" s="186"/>
      <c r="K79" s="186"/>
    </row>
  </sheetData>
  <mergeCells count="12">
    <mergeCell ref="A3:D3"/>
    <mergeCell ref="B14:C14"/>
    <mergeCell ref="A2:D2"/>
    <mergeCell ref="B9:C9"/>
    <mergeCell ref="B8:C8"/>
    <mergeCell ref="B12:C12"/>
    <mergeCell ref="B13:C13"/>
    <mergeCell ref="B16:C16"/>
    <mergeCell ref="B29:C29"/>
    <mergeCell ref="B7:C7"/>
    <mergeCell ref="B15:C15"/>
    <mergeCell ref="A4:D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2980B9"/>
  </sheetPr>
  <dimension ref="A1:J42"/>
  <sheetViews>
    <sheetView showGridLines="0" zoomScale="150" workbookViewId="0">
      <selection activeCell="H15" sqref="H15"/>
    </sheetView>
  </sheetViews>
  <sheetFormatPr baseColWidth="10" defaultRowHeight="16"/>
  <cols>
    <col min="1" max="1" width="3.6640625" style="3" customWidth="1"/>
    <col min="2" max="2" width="23.83203125" style="3" customWidth="1"/>
    <col min="3" max="3" width="11.83203125" style="3" customWidth="1"/>
    <col min="4" max="4" width="10.33203125" style="3" customWidth="1"/>
    <col min="5" max="5" width="12.83203125" style="3" customWidth="1"/>
    <col min="6" max="6" width="8.33203125" style="181" customWidth="1"/>
    <col min="7" max="7" width="3" style="3" customWidth="1"/>
    <col min="8" max="8" width="10.6640625" style="3" customWidth="1"/>
    <col min="9" max="9" width="12.83203125" style="181" customWidth="1"/>
    <col min="10" max="10" width="8.5" style="3" customWidth="1"/>
    <col min="11" max="16" width="10.83203125" style="3" customWidth="1"/>
    <col min="17" max="16384" width="10.83203125" style="3"/>
  </cols>
  <sheetData>
    <row r="1" spans="1:10" ht="24" customHeight="1">
      <c r="A1" s="18"/>
      <c r="B1" s="306" t="s">
        <v>0</v>
      </c>
      <c r="C1" s="306"/>
      <c r="D1" s="306"/>
      <c r="E1" s="306"/>
      <c r="F1" s="306"/>
      <c r="G1" s="306"/>
      <c r="H1" s="306"/>
      <c r="I1" s="306"/>
      <c r="J1" s="306"/>
    </row>
    <row r="2" spans="1:10" ht="14" customHeight="1">
      <c r="A2" s="18"/>
      <c r="B2" s="23" t="s">
        <v>1</v>
      </c>
      <c r="C2" s="23"/>
      <c r="D2" s="18"/>
      <c r="E2" s="18"/>
      <c r="F2" s="18"/>
      <c r="G2" s="18"/>
      <c r="H2" s="18"/>
      <c r="I2" s="18"/>
      <c r="J2" s="18"/>
    </row>
    <row r="3" spans="1:10">
      <c r="A3" s="18"/>
      <c r="B3" s="18" t="s">
        <v>2</v>
      </c>
      <c r="C3" s="18"/>
      <c r="D3" s="18"/>
      <c r="E3" s="18"/>
      <c r="F3" s="18"/>
      <c r="G3" s="18"/>
      <c r="H3" s="18"/>
      <c r="I3" s="18"/>
      <c r="J3" s="18"/>
    </row>
    <row r="4" spans="1:10">
      <c r="A4" s="18"/>
      <c r="B4" s="18"/>
      <c r="C4" s="18"/>
      <c r="D4" s="18"/>
      <c r="E4" s="18"/>
      <c r="F4" s="18"/>
      <c r="G4" s="18"/>
      <c r="H4" s="18"/>
      <c r="I4" s="18"/>
      <c r="J4" s="18"/>
    </row>
    <row r="5" spans="1:10">
      <c r="A5" s="18"/>
      <c r="B5" s="18"/>
      <c r="C5" s="18"/>
      <c r="D5" s="18"/>
      <c r="E5" s="18"/>
      <c r="F5" s="18"/>
      <c r="G5" s="18"/>
      <c r="H5" s="18"/>
      <c r="I5" s="18"/>
      <c r="J5" s="18"/>
    </row>
    <row r="6" spans="1:10" ht="25" customHeight="1">
      <c r="A6" s="18"/>
      <c r="B6" s="18"/>
      <c r="C6" s="18"/>
      <c r="D6" s="307" t="s">
        <v>3</v>
      </c>
      <c r="G6" s="18"/>
      <c r="H6" s="313" t="s">
        <v>4</v>
      </c>
    </row>
    <row r="7" spans="1:10" ht="22" customHeight="1">
      <c r="A7" s="18"/>
      <c r="B7" s="24" t="s">
        <v>5</v>
      </c>
      <c r="C7" s="24" t="s">
        <v>6</v>
      </c>
      <c r="D7" s="24" t="s">
        <v>7</v>
      </c>
      <c r="E7" s="24" t="s">
        <v>8</v>
      </c>
      <c r="F7" s="24" t="s">
        <v>9</v>
      </c>
      <c r="G7" s="18"/>
      <c r="H7" s="24" t="s">
        <v>7</v>
      </c>
      <c r="I7" s="24" t="s">
        <v>8</v>
      </c>
      <c r="J7" s="24" t="s">
        <v>9</v>
      </c>
    </row>
    <row r="8" spans="1:10" ht="14" customHeight="1">
      <c r="B8" s="18" t="s">
        <v>582</v>
      </c>
      <c r="C8" s="261" cm="1">
        <f t="array" ref="C8:C40">TRANSPOSE(ValorAgregado21)</f>
        <v>3577.4</v>
      </c>
      <c r="D8" s="226">
        <v>0</v>
      </c>
      <c r="E8" s="235">
        <f>D8*TC</f>
        <v>0</v>
      </c>
      <c r="F8" s="182">
        <f t="shared" ref="F8:F40" si="0">D8/C8</f>
        <v>0</v>
      </c>
      <c r="G8" s="25"/>
      <c r="H8" s="227">
        <v>0</v>
      </c>
      <c r="I8" s="235">
        <f>H8*TC</f>
        <v>0</v>
      </c>
      <c r="J8" s="182">
        <f t="shared" ref="J8:J40" si="1">H8/C8</f>
        <v>0</v>
      </c>
    </row>
    <row r="9" spans="1:10" ht="14" customHeight="1">
      <c r="B9" s="18" t="s">
        <v>583</v>
      </c>
      <c r="C9" s="261">
        <v>1238</v>
      </c>
      <c r="D9" s="226">
        <v>0</v>
      </c>
      <c r="E9" s="235">
        <f>D9*TC</f>
        <v>0</v>
      </c>
      <c r="F9" s="182">
        <f>D9/C9</f>
        <v>0</v>
      </c>
      <c r="G9" s="25"/>
      <c r="H9" s="227">
        <v>0</v>
      </c>
      <c r="I9" s="235">
        <f>H9*TC</f>
        <v>0</v>
      </c>
      <c r="J9" s="182">
        <f>H9/C9</f>
        <v>0</v>
      </c>
    </row>
    <row r="10" spans="1:10" ht="14" customHeight="1">
      <c r="B10" s="18" t="s">
        <v>584</v>
      </c>
      <c r="C10" s="261">
        <v>233.3</v>
      </c>
      <c r="D10" s="226">
        <v>0</v>
      </c>
      <c r="E10" s="235">
        <f>D10*TC</f>
        <v>0</v>
      </c>
      <c r="F10" s="182">
        <f>D10/C10</f>
        <v>0</v>
      </c>
      <c r="G10" s="25"/>
      <c r="H10" s="227">
        <v>0</v>
      </c>
      <c r="I10" s="235">
        <f>H10*TC</f>
        <v>0</v>
      </c>
      <c r="J10" s="182">
        <f>H10/C10</f>
        <v>0</v>
      </c>
    </row>
    <row r="11" spans="1:10" ht="14" customHeight="1">
      <c r="B11" s="18" t="s">
        <v>585</v>
      </c>
      <c r="C11" s="261">
        <v>37.099999999999994</v>
      </c>
      <c r="D11" s="226">
        <v>0</v>
      </c>
      <c r="E11" s="235">
        <f>D11*TC</f>
        <v>0</v>
      </c>
      <c r="F11" s="182">
        <f>D11/C11</f>
        <v>0</v>
      </c>
      <c r="G11" s="25"/>
      <c r="H11" s="227">
        <v>0</v>
      </c>
      <c r="I11" s="235">
        <f>H11*TC</f>
        <v>0</v>
      </c>
      <c r="J11" s="182">
        <f>H11/C11</f>
        <v>0</v>
      </c>
    </row>
    <row r="12" spans="1:10" ht="14" customHeight="1">
      <c r="B12" s="18" t="s">
        <v>10</v>
      </c>
      <c r="C12" s="262">
        <v>138.6</v>
      </c>
      <c r="D12" s="226">
        <v>0</v>
      </c>
      <c r="E12" s="236">
        <f>D12*TC</f>
        <v>0</v>
      </c>
      <c r="F12" s="183">
        <f t="shared" si="0"/>
        <v>0</v>
      </c>
      <c r="G12" s="26"/>
      <c r="H12" s="227">
        <v>0</v>
      </c>
      <c r="I12" s="236">
        <f>H12*TC</f>
        <v>0</v>
      </c>
      <c r="J12" s="183">
        <f t="shared" si="1"/>
        <v>0</v>
      </c>
    </row>
    <row r="13" spans="1:10" ht="14" customHeight="1">
      <c r="B13" s="18" t="s">
        <v>586</v>
      </c>
      <c r="C13" s="261">
        <v>1417.1000000000001</v>
      </c>
      <c r="D13" s="226">
        <v>100</v>
      </c>
      <c r="E13" s="235">
        <f>D13*TC</f>
        <v>610700</v>
      </c>
      <c r="F13" s="182">
        <f t="shared" si="0"/>
        <v>7.0566650201114953E-2</v>
      </c>
      <c r="G13" s="25"/>
      <c r="H13" s="227">
        <v>0</v>
      </c>
      <c r="I13" s="235">
        <f>H13*TC</f>
        <v>0</v>
      </c>
      <c r="J13" s="182">
        <f t="shared" si="1"/>
        <v>0</v>
      </c>
    </row>
    <row r="14" spans="1:10" ht="14" customHeight="1">
      <c r="B14" s="18" t="s">
        <v>587</v>
      </c>
      <c r="C14" s="261">
        <v>670.1</v>
      </c>
      <c r="D14" s="226">
        <v>0</v>
      </c>
      <c r="E14" s="235">
        <f>D14*TC</f>
        <v>0</v>
      </c>
      <c r="F14" s="182">
        <f t="shared" ref="F14:F19" si="2">D14/C14</f>
        <v>0</v>
      </c>
      <c r="G14" s="25"/>
      <c r="H14" s="227">
        <v>30</v>
      </c>
      <c r="I14" s="235">
        <f>H14*TC</f>
        <v>183210</v>
      </c>
      <c r="J14" s="182">
        <f t="shared" ref="J14:J19" si="3">H14/C14</f>
        <v>4.4769437397403369E-2</v>
      </c>
    </row>
    <row r="15" spans="1:10" ht="14" customHeight="1">
      <c r="B15" s="18" t="s">
        <v>588</v>
      </c>
      <c r="C15" s="261">
        <v>393.4</v>
      </c>
      <c r="D15" s="226">
        <v>0</v>
      </c>
      <c r="E15" s="235">
        <f>D15*TC</f>
        <v>0</v>
      </c>
      <c r="F15" s="182">
        <f t="shared" si="2"/>
        <v>0</v>
      </c>
      <c r="G15" s="25"/>
      <c r="H15" s="227">
        <v>0</v>
      </c>
      <c r="I15" s="235">
        <f>H15*TC</f>
        <v>0</v>
      </c>
      <c r="J15" s="182">
        <f t="shared" si="3"/>
        <v>0</v>
      </c>
    </row>
    <row r="16" spans="1:10" ht="14" customHeight="1">
      <c r="B16" s="18" t="s">
        <v>589</v>
      </c>
      <c r="C16" s="261">
        <v>495.6</v>
      </c>
      <c r="D16" s="226">
        <v>0</v>
      </c>
      <c r="E16" s="235">
        <f>D16*TC</f>
        <v>0</v>
      </c>
      <c r="F16" s="182">
        <f t="shared" si="2"/>
        <v>0</v>
      </c>
      <c r="G16" s="25"/>
      <c r="H16" s="227">
        <v>0</v>
      </c>
      <c r="I16" s="235">
        <f>H16*TC</f>
        <v>0</v>
      </c>
      <c r="J16" s="182">
        <f t="shared" si="3"/>
        <v>0</v>
      </c>
    </row>
    <row r="17" spans="2:10" ht="14" customHeight="1">
      <c r="B17" s="18" t="s">
        <v>590</v>
      </c>
      <c r="C17" s="261">
        <v>270.90000000000003</v>
      </c>
      <c r="D17" s="226">
        <v>0</v>
      </c>
      <c r="E17" s="235">
        <f>D17*TC</f>
        <v>0</v>
      </c>
      <c r="F17" s="182">
        <f t="shared" si="2"/>
        <v>0</v>
      </c>
      <c r="G17" s="25"/>
      <c r="H17" s="227">
        <v>0</v>
      </c>
      <c r="I17" s="235">
        <f>H17*TC</f>
        <v>0</v>
      </c>
      <c r="J17" s="182">
        <f t="shared" si="3"/>
        <v>0</v>
      </c>
    </row>
    <row r="18" spans="2:10" ht="14" customHeight="1">
      <c r="B18" s="18" t="s">
        <v>591</v>
      </c>
      <c r="C18" s="261">
        <v>627.40000000000009</v>
      </c>
      <c r="D18" s="226">
        <v>0</v>
      </c>
      <c r="E18" s="235">
        <f>D18*TC</f>
        <v>0</v>
      </c>
      <c r="F18" s="182">
        <f t="shared" si="2"/>
        <v>0</v>
      </c>
      <c r="G18" s="25"/>
      <c r="H18" s="227">
        <v>0</v>
      </c>
      <c r="I18" s="235">
        <f>H18*TC</f>
        <v>0</v>
      </c>
      <c r="J18" s="182">
        <f t="shared" si="3"/>
        <v>0</v>
      </c>
    </row>
    <row r="19" spans="2:10" ht="14" customHeight="1">
      <c r="B19" s="18" t="s">
        <v>592</v>
      </c>
      <c r="C19" s="261">
        <v>637.59999999999991</v>
      </c>
      <c r="D19" s="226">
        <v>0</v>
      </c>
      <c r="E19" s="235">
        <f>D19*TC</f>
        <v>0</v>
      </c>
      <c r="F19" s="182">
        <f t="shared" si="2"/>
        <v>0</v>
      </c>
      <c r="G19" s="25"/>
      <c r="H19" s="227">
        <v>0</v>
      </c>
      <c r="I19" s="235">
        <f>H19*TC</f>
        <v>0</v>
      </c>
      <c r="J19" s="182">
        <f t="shared" si="3"/>
        <v>0</v>
      </c>
    </row>
    <row r="20" spans="2:10" ht="14" customHeight="1">
      <c r="B20" s="18" t="s">
        <v>593</v>
      </c>
      <c r="C20" s="262">
        <v>499.09999999999997</v>
      </c>
      <c r="D20" s="226">
        <v>0</v>
      </c>
      <c r="E20" s="236">
        <f>D20*TC</f>
        <v>0</v>
      </c>
      <c r="F20" s="183">
        <f t="shared" si="0"/>
        <v>0</v>
      </c>
      <c r="G20" s="26"/>
      <c r="H20" s="227">
        <v>0</v>
      </c>
      <c r="I20" s="236">
        <f>H20*TC</f>
        <v>0</v>
      </c>
      <c r="J20" s="183">
        <f t="shared" si="1"/>
        <v>0</v>
      </c>
    </row>
    <row r="21" spans="2:10" ht="14" customHeight="1">
      <c r="B21" s="18" t="s">
        <v>594</v>
      </c>
      <c r="C21" s="262">
        <v>94.199999999999989</v>
      </c>
      <c r="D21" s="226">
        <v>0</v>
      </c>
      <c r="E21" s="236">
        <f>D21*TC</f>
        <v>0</v>
      </c>
      <c r="F21" s="183">
        <f>D21/C21</f>
        <v>0</v>
      </c>
      <c r="G21" s="26"/>
      <c r="H21" s="227">
        <v>0</v>
      </c>
      <c r="I21" s="236">
        <f>H21*TC</f>
        <v>0</v>
      </c>
      <c r="J21" s="183">
        <f>H21/C21</f>
        <v>0</v>
      </c>
    </row>
    <row r="22" spans="2:10" ht="14" customHeight="1">
      <c r="B22" s="18" t="s">
        <v>595</v>
      </c>
      <c r="C22" s="261">
        <v>203.10000000000002</v>
      </c>
      <c r="D22" s="226">
        <v>0</v>
      </c>
      <c r="E22" s="235">
        <f>D22*TC</f>
        <v>0</v>
      </c>
      <c r="F22" s="182">
        <f t="shared" si="0"/>
        <v>0</v>
      </c>
      <c r="G22" s="25"/>
      <c r="H22" s="227">
        <v>0</v>
      </c>
      <c r="I22" s="235">
        <f>H22*TC</f>
        <v>0</v>
      </c>
      <c r="J22" s="182">
        <f t="shared" si="1"/>
        <v>0</v>
      </c>
    </row>
    <row r="23" spans="2:10" ht="14" customHeight="1">
      <c r="B23" s="18" t="s">
        <v>596</v>
      </c>
      <c r="C23" s="261">
        <v>491.9</v>
      </c>
      <c r="D23" s="226">
        <v>0</v>
      </c>
      <c r="E23" s="235">
        <f>D23*TC</f>
        <v>0</v>
      </c>
      <c r="F23" s="182">
        <f>D23/C23</f>
        <v>0</v>
      </c>
      <c r="G23" s="25"/>
      <c r="H23" s="227">
        <v>0</v>
      </c>
      <c r="I23" s="235">
        <f>H23*TC</f>
        <v>0</v>
      </c>
      <c r="J23" s="182">
        <f>H23/C23</f>
        <v>0</v>
      </c>
    </row>
    <row r="24" spans="2:10" ht="14" customHeight="1">
      <c r="B24" s="18" t="s">
        <v>11</v>
      </c>
      <c r="C24" s="262">
        <v>1252.8999999999999</v>
      </c>
      <c r="D24" s="226">
        <v>0</v>
      </c>
      <c r="E24" s="236">
        <f>D24*TC</f>
        <v>0</v>
      </c>
      <c r="F24" s="183">
        <f t="shared" si="0"/>
        <v>0</v>
      </c>
      <c r="G24" s="26"/>
      <c r="H24" s="227">
        <v>0</v>
      </c>
      <c r="I24" s="236">
        <f>H24*TC</f>
        <v>0</v>
      </c>
      <c r="J24" s="183">
        <f t="shared" si="1"/>
        <v>0</v>
      </c>
    </row>
    <row r="25" spans="2:10" ht="14" customHeight="1">
      <c r="B25" s="18" t="s">
        <v>12</v>
      </c>
      <c r="C25" s="261">
        <v>314.5</v>
      </c>
      <c r="D25" s="226">
        <v>0</v>
      </c>
      <c r="E25" s="235">
        <f>D25*TC</f>
        <v>0</v>
      </c>
      <c r="F25" s="182">
        <f t="shared" si="0"/>
        <v>0</v>
      </c>
      <c r="G25" s="25"/>
      <c r="H25" s="227">
        <v>0</v>
      </c>
      <c r="I25" s="235">
        <f>H25*TC</f>
        <v>0</v>
      </c>
      <c r="J25" s="182">
        <f t="shared" si="1"/>
        <v>0</v>
      </c>
    </row>
    <row r="26" spans="2:10" ht="14" customHeight="1">
      <c r="B26" s="18" t="s">
        <v>13</v>
      </c>
      <c r="C26" s="262">
        <v>111.29999999999998</v>
      </c>
      <c r="D26" s="226">
        <v>0</v>
      </c>
      <c r="E26" s="236">
        <f>D26*TC</f>
        <v>0</v>
      </c>
      <c r="F26" s="183">
        <f t="shared" si="0"/>
        <v>0</v>
      </c>
      <c r="G26" s="26"/>
      <c r="H26" s="227">
        <v>0</v>
      </c>
      <c r="I26" s="236">
        <f>H26*TC</f>
        <v>0</v>
      </c>
      <c r="J26" s="183">
        <f t="shared" si="1"/>
        <v>0</v>
      </c>
    </row>
    <row r="27" spans="2:10" ht="14" customHeight="1">
      <c r="B27" s="18" t="s">
        <v>14</v>
      </c>
      <c r="C27" s="261">
        <v>437.5</v>
      </c>
      <c r="D27" s="226">
        <v>0</v>
      </c>
      <c r="E27" s="235">
        <f>D27*TC</f>
        <v>0</v>
      </c>
      <c r="F27" s="182">
        <f t="shared" si="0"/>
        <v>0</v>
      </c>
      <c r="G27" s="25"/>
      <c r="H27" s="227">
        <v>0</v>
      </c>
      <c r="I27" s="235">
        <f>H27*TC</f>
        <v>0</v>
      </c>
      <c r="J27" s="182">
        <f t="shared" si="1"/>
        <v>0</v>
      </c>
    </row>
    <row r="28" spans="2:10" ht="14" customHeight="1">
      <c r="B28" s="18" t="s">
        <v>15</v>
      </c>
      <c r="C28" s="262">
        <v>131.1</v>
      </c>
      <c r="D28" s="226">
        <v>0</v>
      </c>
      <c r="E28" s="236">
        <f>D28*TC</f>
        <v>0</v>
      </c>
      <c r="F28" s="183">
        <f t="shared" si="0"/>
        <v>0</v>
      </c>
      <c r="G28" s="26"/>
      <c r="H28" s="227">
        <v>0</v>
      </c>
      <c r="I28" s="236">
        <f>H28*TC</f>
        <v>0</v>
      </c>
      <c r="J28" s="183">
        <f t="shared" si="1"/>
        <v>0</v>
      </c>
    </row>
    <row r="29" spans="2:10" ht="14" customHeight="1">
      <c r="B29" s="18" t="s">
        <v>16</v>
      </c>
      <c r="C29" s="261">
        <v>619.79999999999995</v>
      </c>
      <c r="D29" s="226">
        <v>0</v>
      </c>
      <c r="E29" s="235">
        <f>D29*TC</f>
        <v>0</v>
      </c>
      <c r="F29" s="182">
        <f t="shared" si="0"/>
        <v>0</v>
      </c>
      <c r="G29" s="25"/>
      <c r="H29" s="227">
        <v>0</v>
      </c>
      <c r="I29" s="235">
        <f>H29*TC</f>
        <v>0</v>
      </c>
      <c r="J29" s="182">
        <f t="shared" si="1"/>
        <v>0</v>
      </c>
    </row>
    <row r="30" spans="2:10" ht="14" customHeight="1">
      <c r="B30" s="18" t="s">
        <v>17</v>
      </c>
      <c r="C30" s="262">
        <v>2816.2</v>
      </c>
      <c r="D30" s="226">
        <v>0</v>
      </c>
      <c r="E30" s="236">
        <f>D30*TC</f>
        <v>0</v>
      </c>
      <c r="F30" s="183">
        <f t="shared" si="0"/>
        <v>0</v>
      </c>
      <c r="G30" s="26"/>
      <c r="H30" s="227">
        <v>0</v>
      </c>
      <c r="I30" s="236">
        <f>H30*TC</f>
        <v>0</v>
      </c>
      <c r="J30" s="183">
        <f t="shared" si="1"/>
        <v>0</v>
      </c>
    </row>
    <row r="31" spans="2:10" ht="14" customHeight="1">
      <c r="B31" s="18" t="s">
        <v>18</v>
      </c>
      <c r="C31" s="261">
        <v>2991.8999999999996</v>
      </c>
      <c r="D31" s="226">
        <v>0</v>
      </c>
      <c r="E31" s="235">
        <f>D31*TC</f>
        <v>0</v>
      </c>
      <c r="F31" s="182">
        <f t="shared" si="0"/>
        <v>0</v>
      </c>
      <c r="G31" s="25"/>
      <c r="H31" s="227">
        <v>0</v>
      </c>
      <c r="I31" s="235">
        <f>H31*TC</f>
        <v>0</v>
      </c>
      <c r="J31" s="182">
        <f t="shared" si="1"/>
        <v>0</v>
      </c>
    </row>
    <row r="32" spans="2:10" ht="14" customHeight="1">
      <c r="B32" s="18" t="s">
        <v>19</v>
      </c>
      <c r="C32" s="262">
        <v>5231.3999999999996</v>
      </c>
      <c r="D32" s="226">
        <v>0</v>
      </c>
      <c r="E32" s="236">
        <f>D32*TC</f>
        <v>0</v>
      </c>
      <c r="F32" s="183">
        <f t="shared" si="0"/>
        <v>0</v>
      </c>
      <c r="G32" s="26"/>
      <c r="H32" s="227">
        <v>0</v>
      </c>
      <c r="I32" s="236">
        <f>H32*TC</f>
        <v>0</v>
      </c>
      <c r="J32" s="183">
        <f t="shared" si="1"/>
        <v>0</v>
      </c>
    </row>
    <row r="33" spans="1:10" ht="14" customHeight="1">
      <c r="B33" s="18" t="s">
        <v>20</v>
      </c>
      <c r="C33" s="261">
        <v>1830.2</v>
      </c>
      <c r="D33" s="226">
        <v>0</v>
      </c>
      <c r="E33" s="235">
        <f>D33*TC</f>
        <v>0</v>
      </c>
      <c r="F33" s="182">
        <f t="shared" si="0"/>
        <v>0</v>
      </c>
      <c r="G33" s="25"/>
      <c r="H33" s="227">
        <v>0</v>
      </c>
      <c r="I33" s="235">
        <f>H33*TC</f>
        <v>0</v>
      </c>
      <c r="J33" s="182">
        <f t="shared" si="1"/>
        <v>0</v>
      </c>
    </row>
    <row r="34" spans="1:10" ht="14" customHeight="1">
      <c r="B34" s="18" t="s">
        <v>21</v>
      </c>
      <c r="C34" s="262">
        <v>1159</v>
      </c>
      <c r="D34" s="226">
        <v>0</v>
      </c>
      <c r="E34" s="236">
        <f>D34*TC</f>
        <v>0</v>
      </c>
      <c r="F34" s="183">
        <f t="shared" si="0"/>
        <v>0</v>
      </c>
      <c r="G34" s="26"/>
      <c r="H34" s="227">
        <v>0</v>
      </c>
      <c r="I34" s="236">
        <f>H34*TC</f>
        <v>0</v>
      </c>
      <c r="J34" s="183">
        <f t="shared" si="1"/>
        <v>0</v>
      </c>
    </row>
    <row r="35" spans="1:10" ht="14" customHeight="1">
      <c r="B35" s="18" t="s">
        <v>22</v>
      </c>
      <c r="C35" s="261">
        <v>1104.4000000000001</v>
      </c>
      <c r="D35" s="226">
        <v>0</v>
      </c>
      <c r="E35" s="235">
        <f>D35*TC</f>
        <v>0</v>
      </c>
      <c r="F35" s="182">
        <f t="shared" si="0"/>
        <v>0</v>
      </c>
      <c r="G35" s="25"/>
      <c r="H35" s="227">
        <v>0</v>
      </c>
      <c r="I35" s="235">
        <f>H35*TC</f>
        <v>0</v>
      </c>
      <c r="J35" s="182">
        <f t="shared" si="1"/>
        <v>0</v>
      </c>
    </row>
    <row r="36" spans="1:10" ht="14" customHeight="1">
      <c r="B36" s="18" t="s">
        <v>23</v>
      </c>
      <c r="C36" s="262">
        <v>2534.6999999999998</v>
      </c>
      <c r="D36" s="226">
        <v>0</v>
      </c>
      <c r="E36" s="236">
        <f>D36*TC</f>
        <v>0</v>
      </c>
      <c r="F36" s="183">
        <f t="shared" si="0"/>
        <v>0</v>
      </c>
      <c r="G36" s="26"/>
      <c r="H36" s="227">
        <v>0</v>
      </c>
      <c r="I36" s="236">
        <f>H36*TC</f>
        <v>0</v>
      </c>
      <c r="J36" s="183">
        <f t="shared" si="1"/>
        <v>0</v>
      </c>
    </row>
    <row r="37" spans="1:10" ht="14" customHeight="1">
      <c r="B37" s="18" t="s">
        <v>24</v>
      </c>
      <c r="C37" s="261">
        <v>2590.9</v>
      </c>
      <c r="D37" s="226">
        <v>0</v>
      </c>
      <c r="E37" s="235">
        <f>D37*TC</f>
        <v>0</v>
      </c>
      <c r="F37" s="182">
        <f t="shared" si="0"/>
        <v>0</v>
      </c>
      <c r="G37" s="25"/>
      <c r="H37" s="227">
        <v>0</v>
      </c>
      <c r="I37" s="235">
        <f>H37*TC</f>
        <v>0</v>
      </c>
      <c r="J37" s="182">
        <f t="shared" si="1"/>
        <v>0</v>
      </c>
    </row>
    <row r="38" spans="1:10" ht="14" customHeight="1">
      <c r="B38" s="18" t="s">
        <v>25</v>
      </c>
      <c r="C38" s="262">
        <v>1105.8000000000002</v>
      </c>
      <c r="D38" s="226">
        <v>0</v>
      </c>
      <c r="E38" s="236">
        <f>D38*TC</f>
        <v>0</v>
      </c>
      <c r="F38" s="183">
        <f t="shared" si="0"/>
        <v>0</v>
      </c>
      <c r="G38" s="26"/>
      <c r="H38" s="227">
        <v>0</v>
      </c>
      <c r="I38" s="236">
        <f>H38*TC</f>
        <v>0</v>
      </c>
      <c r="J38" s="183">
        <f t="shared" si="1"/>
        <v>0</v>
      </c>
    </row>
    <row r="39" spans="1:10" ht="14" customHeight="1">
      <c r="B39" s="18" t="s">
        <v>597</v>
      </c>
      <c r="C39" s="261">
        <v>2351.8999999999996</v>
      </c>
      <c r="D39" s="226">
        <v>0</v>
      </c>
      <c r="E39" s="235">
        <f>D39*TC</f>
        <v>0</v>
      </c>
      <c r="F39" s="182">
        <f>D39/C39</f>
        <v>0</v>
      </c>
      <c r="G39" s="25"/>
      <c r="H39" s="227">
        <v>0</v>
      </c>
      <c r="I39" s="235">
        <f>H39*TC</f>
        <v>0</v>
      </c>
      <c r="J39" s="182">
        <f>H39/C39</f>
        <v>0</v>
      </c>
    </row>
    <row r="40" spans="1:10" ht="14" customHeight="1">
      <c r="B40" s="18" t="s">
        <v>598</v>
      </c>
      <c r="C40" s="261">
        <v>3986.7999999999997</v>
      </c>
      <c r="D40" s="226">
        <v>0</v>
      </c>
      <c r="E40" s="235">
        <f>D40*TC</f>
        <v>0</v>
      </c>
      <c r="F40" s="182">
        <f t="shared" si="0"/>
        <v>0</v>
      </c>
      <c r="G40" s="25"/>
      <c r="H40" s="227">
        <v>0</v>
      </c>
      <c r="I40" s="235">
        <f>H40*TC</f>
        <v>0</v>
      </c>
      <c r="J40" s="182">
        <f t="shared" si="1"/>
        <v>0</v>
      </c>
    </row>
    <row r="41" spans="1:10" ht="14" customHeight="1">
      <c r="A41" s="18"/>
      <c r="B41" s="19"/>
      <c r="C41" s="142"/>
      <c r="D41" s="144"/>
      <c r="E41" s="145"/>
      <c r="F41" s="145"/>
      <c r="G41" s="25"/>
      <c r="H41" s="146"/>
      <c r="I41" s="146"/>
      <c r="J41" s="145"/>
    </row>
    <row r="42" spans="1:10">
      <c r="A42" s="18"/>
      <c r="B42" s="136" t="s">
        <v>26</v>
      </c>
      <c r="C42" s="143">
        <f>SUM(_xlfn.ANCHORARRAY(C8))</f>
        <v>41595.100000000013</v>
      </c>
      <c r="D42" s="312">
        <f>SUM(DeltaF21)</f>
        <v>100</v>
      </c>
      <c r="E42" s="312">
        <f>D42*TC</f>
        <v>610700</v>
      </c>
      <c r="F42" s="184">
        <f>D42/C42</f>
        <v>2.4041293325415725E-3</v>
      </c>
      <c r="G42" s="18"/>
      <c r="H42" s="312">
        <f>SUM(DeltaF21c)</f>
        <v>30</v>
      </c>
      <c r="I42" s="312">
        <f>SUM(I8:I40)</f>
        <v>183210</v>
      </c>
      <c r="J42" s="184">
        <f>H42/C42</f>
        <v>7.2123879976247177E-4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ReiniciarEscenarioNacional" altText="Reiniciar Escenarios">
                <anchor moveWithCells="1" sizeWithCells="1">
                  <from>
                    <xdr:col>7</xdr:col>
                    <xdr:colOff>977900</xdr:colOff>
                    <xdr:row>2</xdr:row>
                    <xdr:rowOff>177800</xdr:rowOff>
                  </from>
                  <to>
                    <xdr:col>9</xdr:col>
                    <xdr:colOff>635000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0">
    <tabColor rgb="FF2980B9"/>
  </sheetPr>
  <dimension ref="A1:R463"/>
  <sheetViews>
    <sheetView showGridLines="0" zoomScale="132" zoomScaleNormal="89" workbookViewId="0">
      <selection activeCell="D50" sqref="D50"/>
    </sheetView>
  </sheetViews>
  <sheetFormatPr baseColWidth="10" defaultColWidth="8.83203125" defaultRowHeight="16"/>
  <cols>
    <col min="1" max="1" width="9" style="16" customWidth="1"/>
    <col min="2" max="2" width="21.83203125" style="16" customWidth="1"/>
    <col min="3" max="3" width="8.6640625" customWidth="1"/>
    <col min="4" max="4" width="9" customWidth="1"/>
    <col min="5" max="6" width="8.6640625" customWidth="1"/>
    <col min="7" max="7" width="8.6640625" style="16" customWidth="1"/>
    <col min="8" max="12" width="8.6640625" customWidth="1"/>
    <col min="13" max="13" width="8.6640625" style="16" customWidth="1"/>
    <col min="14" max="14" width="8.83203125" style="16" customWidth="1"/>
    <col min="17" max="18" width="8.83203125" style="16" customWidth="1"/>
    <col min="19" max="19" width="11.1640625" style="16" bestFit="1" customWidth="1"/>
    <col min="20" max="23" width="8.83203125" style="16" customWidth="1"/>
    <col min="24" max="16384" width="8.83203125" style="16"/>
  </cols>
  <sheetData>
    <row r="1" spans="1:13" ht="28" customHeight="1">
      <c r="A1" s="435" t="s">
        <v>64</v>
      </c>
      <c r="B1" s="435"/>
      <c r="C1" s="435"/>
      <c r="D1" s="435"/>
      <c r="E1" s="435"/>
      <c r="F1" s="435"/>
      <c r="G1" s="435"/>
      <c r="H1" s="435"/>
      <c r="I1" s="435"/>
      <c r="J1" s="435"/>
      <c r="K1" s="435"/>
      <c r="L1" s="435"/>
      <c r="M1" s="435"/>
    </row>
    <row r="2" spans="1:13" ht="16" customHeight="1">
      <c r="A2" s="303" t="s">
        <v>65</v>
      </c>
    </row>
    <row r="3" spans="1:13" ht="8" customHeight="1">
      <c r="A3" s="86"/>
      <c r="B3" s="86"/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</row>
    <row r="4" spans="1:13" ht="18" customHeight="1">
      <c r="A4" s="436" t="s">
        <v>66</v>
      </c>
      <c r="B4" s="436"/>
      <c r="C4" s="436"/>
      <c r="D4" s="436"/>
      <c r="E4" s="436"/>
      <c r="F4" s="436"/>
      <c r="G4" s="436"/>
      <c r="H4" s="436"/>
      <c r="I4" s="436"/>
      <c r="J4" s="436"/>
      <c r="K4" s="436"/>
      <c r="L4" s="436"/>
    </row>
    <row r="5" spans="1:13" ht="18" customHeight="1">
      <c r="A5" s="437" t="s">
        <v>67</v>
      </c>
      <c r="B5" s="437"/>
      <c r="C5" s="437"/>
      <c r="D5" s="437"/>
      <c r="E5" s="437"/>
      <c r="F5" s="437"/>
      <c r="G5" s="437"/>
      <c r="H5" s="437"/>
      <c r="I5" s="437"/>
      <c r="J5" s="437"/>
      <c r="K5" s="437"/>
    </row>
    <row r="6" spans="1:13" ht="32" customHeight="1">
      <c r="A6" s="87"/>
      <c r="B6" s="87"/>
      <c r="C6" s="88" t="s">
        <v>68</v>
      </c>
      <c r="D6" s="88" t="s">
        <v>69</v>
      </c>
      <c r="E6" s="88" t="s">
        <v>70</v>
      </c>
      <c r="F6" s="88" t="s">
        <v>71</v>
      </c>
      <c r="G6" s="88" t="s">
        <v>72</v>
      </c>
      <c r="H6" s="88" t="s">
        <v>73</v>
      </c>
      <c r="I6" s="88" t="s">
        <v>74</v>
      </c>
      <c r="J6" s="88" t="s">
        <v>75</v>
      </c>
      <c r="K6" s="88" t="s">
        <v>76</v>
      </c>
      <c r="L6" s="88" t="s">
        <v>77</v>
      </c>
      <c r="M6" s="89"/>
    </row>
    <row r="7" spans="1:13" ht="33" customHeight="1">
      <c r="A7" s="100"/>
      <c r="B7" s="101"/>
      <c r="C7" s="296">
        <v>100</v>
      </c>
      <c r="D7" s="296">
        <v>100</v>
      </c>
      <c r="E7" s="296">
        <v>100</v>
      </c>
      <c r="F7" s="296">
        <v>100</v>
      </c>
      <c r="G7" s="296">
        <v>100</v>
      </c>
      <c r="H7" s="296">
        <v>100</v>
      </c>
      <c r="I7" s="296">
        <v>100</v>
      </c>
      <c r="J7" s="296">
        <v>100</v>
      </c>
      <c r="K7" s="296">
        <v>100</v>
      </c>
      <c r="L7" s="296">
        <v>100</v>
      </c>
      <c r="M7" s="90"/>
    </row>
    <row r="8" spans="1:13" ht="28" customHeight="1">
      <c r="A8" s="102" t="s">
        <v>78</v>
      </c>
      <c r="B8" s="295" t="s">
        <v>79</v>
      </c>
      <c r="C8" s="139">
        <f t="shared" ref="C8:L8" si="0">C7/100-1</f>
        <v>0</v>
      </c>
      <c r="D8" s="139">
        <f t="shared" si="0"/>
        <v>0</v>
      </c>
      <c r="E8" s="139">
        <f t="shared" si="0"/>
        <v>0</v>
      </c>
      <c r="F8" s="139">
        <f t="shared" si="0"/>
        <v>0</v>
      </c>
      <c r="G8" s="139">
        <f t="shared" si="0"/>
        <v>0</v>
      </c>
      <c r="H8" s="139">
        <f t="shared" si="0"/>
        <v>0</v>
      </c>
      <c r="I8" s="139">
        <f t="shared" si="0"/>
        <v>0</v>
      </c>
      <c r="J8" s="139">
        <f t="shared" si="0"/>
        <v>0</v>
      </c>
      <c r="K8" s="139">
        <f t="shared" si="0"/>
        <v>0</v>
      </c>
      <c r="L8" s="139">
        <f t="shared" si="0"/>
        <v>0</v>
      </c>
      <c r="M8" s="91" t="s">
        <v>26</v>
      </c>
    </row>
    <row r="9" spans="1:13" ht="26" customHeight="1">
      <c r="A9" s="93" t="s">
        <v>80</v>
      </c>
      <c r="B9" s="259" t="s">
        <v>581</v>
      </c>
      <c r="C9" s="93">
        <f>SUMPRODUCT(C14:C46,$C86:$C118)</f>
        <v>0</v>
      </c>
      <c r="D9" s="93">
        <f>SUMPRODUCT(D14:D46,$C119:$C151)</f>
        <v>0</v>
      </c>
      <c r="E9" s="93">
        <f>SUMPRODUCT(E14:E46,$C152:$C184)</f>
        <v>0</v>
      </c>
      <c r="F9" s="93">
        <f>SUMPRODUCT(F14:F46,$C185:$C217)</f>
        <v>0</v>
      </c>
      <c r="G9" s="93">
        <f>SUMPRODUCT(G14:G46,C218:C250)</f>
        <v>0</v>
      </c>
      <c r="H9" s="93">
        <f>SUMPRODUCT(H14:H46,$C251:$C283)</f>
        <v>0</v>
      </c>
      <c r="I9" s="93">
        <f>SUMPRODUCT(I14:I46,$C284:$C316)</f>
        <v>0</v>
      </c>
      <c r="J9" s="93">
        <f>SUMPRODUCT(J14:J46,$C317:$C349)</f>
        <v>0</v>
      </c>
      <c r="K9" s="93">
        <f>SUMPRODUCT(K14:K46,$C350:$C382)</f>
        <v>0</v>
      </c>
      <c r="L9" s="93">
        <f>SUMPRODUCT(L14:L46,$C383:$C415)</f>
        <v>0</v>
      </c>
      <c r="M9" s="93">
        <f>SUM(C9:L9)</f>
        <v>0</v>
      </c>
    </row>
    <row r="10" spans="1:13" ht="16" customHeight="1">
      <c r="A10" s="103"/>
      <c r="B10" s="103"/>
      <c r="C10" s="104"/>
      <c r="D10" s="104"/>
      <c r="E10" s="104"/>
      <c r="F10" s="104"/>
      <c r="G10" s="104"/>
      <c r="H10" s="104"/>
      <c r="I10" s="104"/>
      <c r="J10" s="104"/>
      <c r="K10" s="104"/>
      <c r="L10" s="104"/>
      <c r="M10" s="90"/>
    </row>
    <row r="11" spans="1:13" ht="18" customHeight="1">
      <c r="A11" s="438" t="s">
        <v>81</v>
      </c>
      <c r="B11" s="438"/>
      <c r="C11" s="438"/>
      <c r="D11" s="438"/>
      <c r="E11" s="438"/>
      <c r="F11" s="438"/>
      <c r="G11" s="438"/>
      <c r="H11" s="438"/>
      <c r="I11" s="438"/>
      <c r="J11" s="438"/>
      <c r="K11" s="438"/>
      <c r="L11" s="438"/>
      <c r="M11" s="438"/>
    </row>
    <row r="12" spans="1:13" ht="16" customHeight="1">
      <c r="A12" s="439" t="s">
        <v>82</v>
      </c>
      <c r="B12" s="439"/>
      <c r="C12" s="439"/>
      <c r="D12" s="439"/>
      <c r="E12" s="439"/>
      <c r="F12" s="439"/>
      <c r="G12" s="439"/>
      <c r="H12" s="439"/>
      <c r="I12" s="439"/>
      <c r="J12" s="439"/>
      <c r="K12" s="439"/>
      <c r="L12" s="439"/>
      <c r="M12" s="439"/>
    </row>
    <row r="13" spans="1:13" ht="16" customHeight="1">
      <c r="A13" s="105" t="s">
        <v>83</v>
      </c>
      <c r="B13" s="105" t="s">
        <v>5</v>
      </c>
      <c r="C13" s="106" t="s">
        <v>68</v>
      </c>
      <c r="D13" s="106" t="s">
        <v>84</v>
      </c>
      <c r="E13" s="106" t="s">
        <v>70</v>
      </c>
      <c r="F13" s="106" t="s">
        <v>85</v>
      </c>
      <c r="G13" s="106" t="s">
        <v>72</v>
      </c>
      <c r="H13" s="106" t="s">
        <v>86</v>
      </c>
      <c r="I13" s="106" t="s">
        <v>87</v>
      </c>
      <c r="J13" s="106" t="s">
        <v>88</v>
      </c>
      <c r="K13" s="106" t="s">
        <v>89</v>
      </c>
      <c r="L13" s="106" t="s">
        <v>90</v>
      </c>
      <c r="M13" s="255"/>
    </row>
    <row r="14" spans="1:13" ht="14" customHeight="1">
      <c r="A14" s="94" t="s">
        <v>599</v>
      </c>
      <c r="B14" s="107" t="s">
        <v>582</v>
      </c>
      <c r="C14" s="260">
        <f>C8</f>
        <v>0</v>
      </c>
      <c r="D14" s="260">
        <f>D8</f>
        <v>0</v>
      </c>
      <c r="E14" s="260">
        <f>E8</f>
        <v>0</v>
      </c>
      <c r="F14" s="260">
        <f>F8</f>
        <v>0</v>
      </c>
      <c r="G14" s="260">
        <f>G8</f>
        <v>0</v>
      </c>
      <c r="H14" s="260">
        <f>H8</f>
        <v>0</v>
      </c>
      <c r="I14" s="260">
        <f>I8</f>
        <v>0</v>
      </c>
      <c r="J14" s="260">
        <f>J8</f>
        <v>0</v>
      </c>
      <c r="K14" s="260">
        <f>K8</f>
        <v>0</v>
      </c>
      <c r="L14" s="260">
        <f>L8</f>
        <v>0</v>
      </c>
      <c r="M14" s="256"/>
    </row>
    <row r="15" spans="1:13" ht="14" customHeight="1">
      <c r="A15" s="96" t="s">
        <v>600</v>
      </c>
      <c r="B15" s="108" t="s">
        <v>583</v>
      </c>
      <c r="C15" s="165">
        <f>C8</f>
        <v>0</v>
      </c>
      <c r="D15" s="141">
        <f>D8</f>
        <v>0</v>
      </c>
      <c r="E15" s="165">
        <f>E8</f>
        <v>0</v>
      </c>
      <c r="F15" s="141">
        <f>F8</f>
        <v>0</v>
      </c>
      <c r="G15" s="141">
        <f>G8</f>
        <v>0</v>
      </c>
      <c r="H15" s="141">
        <f>H8</f>
        <v>0</v>
      </c>
      <c r="I15" s="165">
        <f>I8</f>
        <v>0</v>
      </c>
      <c r="J15" s="141">
        <f>J8</f>
        <v>0</v>
      </c>
      <c r="K15" s="140">
        <f>K8</f>
        <v>0</v>
      </c>
      <c r="L15" s="165">
        <f>L8</f>
        <v>0</v>
      </c>
      <c r="M15" s="256"/>
    </row>
    <row r="16" spans="1:13" ht="14" customHeight="1">
      <c r="A16" s="94" t="s">
        <v>601</v>
      </c>
      <c r="B16" s="107" t="s">
        <v>584</v>
      </c>
      <c r="C16" s="260">
        <f>C8</f>
        <v>0</v>
      </c>
      <c r="D16" s="260">
        <f>D8</f>
        <v>0</v>
      </c>
      <c r="E16" s="260">
        <f>E8</f>
        <v>0</v>
      </c>
      <c r="F16" s="260">
        <f>F8</f>
        <v>0</v>
      </c>
      <c r="G16" s="260">
        <f>G8</f>
        <v>0</v>
      </c>
      <c r="H16" s="260">
        <f>H8</f>
        <v>0</v>
      </c>
      <c r="I16" s="260">
        <f>I8</f>
        <v>0</v>
      </c>
      <c r="J16" s="260">
        <f>J8</f>
        <v>0</v>
      </c>
      <c r="K16" s="260">
        <f>K8</f>
        <v>0</v>
      </c>
      <c r="L16" s="260">
        <f>L8</f>
        <v>0</v>
      </c>
      <c r="M16" s="256"/>
    </row>
    <row r="17" spans="1:13" ht="14" customHeight="1">
      <c r="A17" s="96" t="s">
        <v>602</v>
      </c>
      <c r="B17" s="108" t="s">
        <v>585</v>
      </c>
      <c r="C17" s="165">
        <f>C8</f>
        <v>0</v>
      </c>
      <c r="D17" s="141">
        <f>D8</f>
        <v>0</v>
      </c>
      <c r="E17" s="165">
        <f>E8</f>
        <v>0</v>
      </c>
      <c r="F17" s="141">
        <f>F8</f>
        <v>0</v>
      </c>
      <c r="G17" s="141">
        <f>G8</f>
        <v>0</v>
      </c>
      <c r="H17" s="141">
        <f>H8</f>
        <v>0</v>
      </c>
      <c r="I17" s="165">
        <f>I8</f>
        <v>0</v>
      </c>
      <c r="J17" s="141">
        <f>J8</f>
        <v>0</v>
      </c>
      <c r="K17" s="140">
        <f>K8</f>
        <v>0</v>
      </c>
      <c r="L17" s="165">
        <f>L8</f>
        <v>0</v>
      </c>
      <c r="M17" s="256"/>
    </row>
    <row r="18" spans="1:13" ht="14" customHeight="1">
      <c r="A18" s="94" t="s">
        <v>91</v>
      </c>
      <c r="B18" s="107" t="s">
        <v>10</v>
      </c>
      <c r="C18" s="260">
        <f>C8</f>
        <v>0</v>
      </c>
      <c r="D18" s="260">
        <f>D8</f>
        <v>0</v>
      </c>
      <c r="E18" s="260">
        <f>E8</f>
        <v>0</v>
      </c>
      <c r="F18" s="260">
        <f>F8</f>
        <v>0</v>
      </c>
      <c r="G18" s="260">
        <f>G8</f>
        <v>0</v>
      </c>
      <c r="H18" s="260">
        <f>H8</f>
        <v>0</v>
      </c>
      <c r="I18" s="260">
        <f>I8</f>
        <v>0</v>
      </c>
      <c r="J18" s="260">
        <f>J8</f>
        <v>0</v>
      </c>
      <c r="K18" s="260">
        <f>K8</f>
        <v>0</v>
      </c>
      <c r="L18" s="260">
        <f>L8</f>
        <v>0</v>
      </c>
      <c r="M18" s="256"/>
    </row>
    <row r="19" spans="1:13" ht="14" customHeight="1">
      <c r="A19" s="96" t="s">
        <v>603</v>
      </c>
      <c r="B19" s="108" t="s">
        <v>586</v>
      </c>
      <c r="C19" s="165">
        <f>C8</f>
        <v>0</v>
      </c>
      <c r="D19" s="141">
        <f>D8</f>
        <v>0</v>
      </c>
      <c r="E19" s="165">
        <f>E8</f>
        <v>0</v>
      </c>
      <c r="F19" s="141">
        <f>F8</f>
        <v>0</v>
      </c>
      <c r="G19" s="141">
        <f>G8</f>
        <v>0</v>
      </c>
      <c r="H19" s="141">
        <f>H8</f>
        <v>0</v>
      </c>
      <c r="I19" s="165">
        <f>I8</f>
        <v>0</v>
      </c>
      <c r="J19" s="141">
        <f>J8</f>
        <v>0</v>
      </c>
      <c r="K19" s="140">
        <f>K8</f>
        <v>0</v>
      </c>
      <c r="L19" s="165">
        <f>L8</f>
        <v>0</v>
      </c>
      <c r="M19" s="256"/>
    </row>
    <row r="20" spans="1:13" ht="14" customHeight="1">
      <c r="A20" s="94" t="s">
        <v>604</v>
      </c>
      <c r="B20" s="107" t="s">
        <v>587</v>
      </c>
      <c r="C20" s="260">
        <f>C8</f>
        <v>0</v>
      </c>
      <c r="D20" s="260">
        <f>D8</f>
        <v>0</v>
      </c>
      <c r="E20" s="260">
        <f>E8</f>
        <v>0</v>
      </c>
      <c r="F20" s="260">
        <f>F8</f>
        <v>0</v>
      </c>
      <c r="G20" s="260">
        <f>G8</f>
        <v>0</v>
      </c>
      <c r="H20" s="260">
        <f>H8</f>
        <v>0</v>
      </c>
      <c r="I20" s="260">
        <f>I8</f>
        <v>0</v>
      </c>
      <c r="J20" s="260">
        <f>J8</f>
        <v>0</v>
      </c>
      <c r="K20" s="260">
        <f>K8</f>
        <v>0</v>
      </c>
      <c r="L20" s="260">
        <f>L8</f>
        <v>0</v>
      </c>
      <c r="M20" s="256"/>
    </row>
    <row r="21" spans="1:13" ht="14" customHeight="1">
      <c r="A21" s="96" t="s">
        <v>87</v>
      </c>
      <c r="B21" s="108" t="s">
        <v>588</v>
      </c>
      <c r="C21" s="165">
        <f>C8</f>
        <v>0</v>
      </c>
      <c r="D21" s="141">
        <f>D8</f>
        <v>0</v>
      </c>
      <c r="E21" s="165">
        <f>E8</f>
        <v>0</v>
      </c>
      <c r="F21" s="141">
        <f>F8</f>
        <v>0</v>
      </c>
      <c r="G21" s="141">
        <f>G8</f>
        <v>0</v>
      </c>
      <c r="H21" s="141">
        <f>H8</f>
        <v>0</v>
      </c>
      <c r="I21" s="165">
        <f>I8</f>
        <v>0</v>
      </c>
      <c r="J21" s="141">
        <f>J8</f>
        <v>0</v>
      </c>
      <c r="K21" s="140">
        <f>K8</f>
        <v>0</v>
      </c>
      <c r="L21" s="165">
        <f>L8</f>
        <v>0</v>
      </c>
      <c r="M21" s="256"/>
    </row>
    <row r="22" spans="1:13" ht="14" customHeight="1">
      <c r="A22" s="94" t="s">
        <v>605</v>
      </c>
      <c r="B22" s="107" t="s">
        <v>589</v>
      </c>
      <c r="C22" s="260">
        <f>C8</f>
        <v>0</v>
      </c>
      <c r="D22" s="260">
        <f>D8</f>
        <v>0</v>
      </c>
      <c r="E22" s="260">
        <f>E8</f>
        <v>0</v>
      </c>
      <c r="F22" s="260">
        <f>F8</f>
        <v>0</v>
      </c>
      <c r="G22" s="260">
        <f>G8</f>
        <v>0</v>
      </c>
      <c r="H22" s="260">
        <f>H8</f>
        <v>0</v>
      </c>
      <c r="I22" s="260">
        <f>I8</f>
        <v>0</v>
      </c>
      <c r="J22" s="260">
        <f>J8</f>
        <v>0</v>
      </c>
      <c r="K22" s="260">
        <f>K8</f>
        <v>0</v>
      </c>
      <c r="L22" s="260">
        <f>L8</f>
        <v>0</v>
      </c>
      <c r="M22" s="256"/>
    </row>
    <row r="23" spans="1:13" ht="14" customHeight="1">
      <c r="A23" s="96" t="s">
        <v>606</v>
      </c>
      <c r="B23" s="108" t="s">
        <v>590</v>
      </c>
      <c r="C23" s="165">
        <f>C8</f>
        <v>0</v>
      </c>
      <c r="D23" s="141">
        <f>D8</f>
        <v>0</v>
      </c>
      <c r="E23" s="165">
        <f>E8</f>
        <v>0</v>
      </c>
      <c r="F23" s="141">
        <f>F8</f>
        <v>0</v>
      </c>
      <c r="G23" s="141">
        <f>G8</f>
        <v>0</v>
      </c>
      <c r="H23" s="141">
        <f>H8</f>
        <v>0</v>
      </c>
      <c r="I23" s="165">
        <f>I8</f>
        <v>0</v>
      </c>
      <c r="J23" s="141">
        <f>J8</f>
        <v>0</v>
      </c>
      <c r="K23" s="140">
        <f>K8</f>
        <v>0</v>
      </c>
      <c r="L23" s="165">
        <f>L8</f>
        <v>0</v>
      </c>
      <c r="M23" s="256"/>
    </row>
    <row r="24" spans="1:13" ht="14" customHeight="1">
      <c r="A24" s="94" t="s">
        <v>607</v>
      </c>
      <c r="B24" s="107" t="s">
        <v>591</v>
      </c>
      <c r="C24" s="260">
        <f>C8</f>
        <v>0</v>
      </c>
      <c r="D24" s="260">
        <f>D8</f>
        <v>0</v>
      </c>
      <c r="E24" s="260">
        <f>E8</f>
        <v>0</v>
      </c>
      <c r="F24" s="260">
        <f>F8</f>
        <v>0</v>
      </c>
      <c r="G24" s="260">
        <f>G8</f>
        <v>0</v>
      </c>
      <c r="H24" s="260">
        <f>H8</f>
        <v>0</v>
      </c>
      <c r="I24" s="260">
        <f>I8</f>
        <v>0</v>
      </c>
      <c r="J24" s="260">
        <f>J8</f>
        <v>0</v>
      </c>
      <c r="K24" s="260">
        <f>K8</f>
        <v>0</v>
      </c>
      <c r="L24" s="260">
        <f>L8</f>
        <v>0</v>
      </c>
      <c r="M24" s="256"/>
    </row>
    <row r="25" spans="1:13" ht="14" customHeight="1">
      <c r="A25" s="96" t="s">
        <v>608</v>
      </c>
      <c r="B25" s="108" t="s">
        <v>592</v>
      </c>
      <c r="C25" s="165">
        <f>C8</f>
        <v>0</v>
      </c>
      <c r="D25" s="141">
        <f>D8</f>
        <v>0</v>
      </c>
      <c r="E25" s="165">
        <f>E8</f>
        <v>0</v>
      </c>
      <c r="F25" s="141">
        <f>F8</f>
        <v>0</v>
      </c>
      <c r="G25" s="141">
        <f>G8</f>
        <v>0</v>
      </c>
      <c r="H25" s="141">
        <f>H8</f>
        <v>0</v>
      </c>
      <c r="I25" s="165">
        <f>I8</f>
        <v>0</v>
      </c>
      <c r="J25" s="141">
        <f>J8</f>
        <v>0</v>
      </c>
      <c r="K25" s="140">
        <f>K8</f>
        <v>0</v>
      </c>
      <c r="L25" s="165">
        <f>L8</f>
        <v>0</v>
      </c>
      <c r="M25" s="256"/>
    </row>
    <row r="26" spans="1:13" ht="14" customHeight="1">
      <c r="A26" s="94" t="s">
        <v>609</v>
      </c>
      <c r="B26" s="107" t="s">
        <v>593</v>
      </c>
      <c r="C26" s="260">
        <f>C8</f>
        <v>0</v>
      </c>
      <c r="D26" s="260">
        <f>D8</f>
        <v>0</v>
      </c>
      <c r="E26" s="260">
        <f>E8</f>
        <v>0</v>
      </c>
      <c r="F26" s="260">
        <f>F8</f>
        <v>0</v>
      </c>
      <c r="G26" s="260">
        <f>G8</f>
        <v>0</v>
      </c>
      <c r="H26" s="260">
        <f>H8</f>
        <v>0</v>
      </c>
      <c r="I26" s="260">
        <f>I8</f>
        <v>0</v>
      </c>
      <c r="J26" s="260">
        <f>J8</f>
        <v>0</v>
      </c>
      <c r="K26" s="260">
        <f>K8</f>
        <v>0</v>
      </c>
      <c r="L26" s="260">
        <f>L8</f>
        <v>0</v>
      </c>
      <c r="M26" s="256"/>
    </row>
    <row r="27" spans="1:13" ht="14" customHeight="1">
      <c r="A27" s="96" t="s">
        <v>610</v>
      </c>
      <c r="B27" s="108" t="s">
        <v>594</v>
      </c>
      <c r="C27" s="165">
        <f>C8</f>
        <v>0</v>
      </c>
      <c r="D27" s="141">
        <f>D8</f>
        <v>0</v>
      </c>
      <c r="E27" s="165">
        <f>E8</f>
        <v>0</v>
      </c>
      <c r="F27" s="141">
        <f>F8</f>
        <v>0</v>
      </c>
      <c r="G27" s="141">
        <f>G8</f>
        <v>0</v>
      </c>
      <c r="H27" s="141">
        <f>H8</f>
        <v>0</v>
      </c>
      <c r="I27" s="165">
        <f>I8</f>
        <v>0</v>
      </c>
      <c r="J27" s="141">
        <f>J8</f>
        <v>0</v>
      </c>
      <c r="K27" s="140">
        <f>K8</f>
        <v>0</v>
      </c>
      <c r="L27" s="165">
        <f>L8</f>
        <v>0</v>
      </c>
      <c r="M27" s="256"/>
    </row>
    <row r="28" spans="1:13" ht="14" customHeight="1">
      <c r="A28" s="94" t="s">
        <v>92</v>
      </c>
      <c r="B28" s="107" t="s">
        <v>595</v>
      </c>
      <c r="C28" s="260">
        <f>C8</f>
        <v>0</v>
      </c>
      <c r="D28" s="260">
        <f>D8</f>
        <v>0</v>
      </c>
      <c r="E28" s="260">
        <f>E8</f>
        <v>0</v>
      </c>
      <c r="F28" s="260">
        <f>F8</f>
        <v>0</v>
      </c>
      <c r="G28" s="260">
        <f>G8</f>
        <v>0</v>
      </c>
      <c r="H28" s="260">
        <f>H8</f>
        <v>0</v>
      </c>
      <c r="I28" s="260">
        <f>I8</f>
        <v>0</v>
      </c>
      <c r="J28" s="260">
        <f>J8</f>
        <v>0</v>
      </c>
      <c r="K28" s="260">
        <f>K8</f>
        <v>0</v>
      </c>
      <c r="L28" s="260">
        <f>L8</f>
        <v>0</v>
      </c>
      <c r="M28" s="256"/>
    </row>
    <row r="29" spans="1:13" ht="14" customHeight="1">
      <c r="A29" s="96" t="s">
        <v>611</v>
      </c>
      <c r="B29" s="108" t="s">
        <v>596</v>
      </c>
      <c r="C29" s="165">
        <f>C8</f>
        <v>0</v>
      </c>
      <c r="D29" s="141">
        <f>D8</f>
        <v>0</v>
      </c>
      <c r="E29" s="165">
        <f>E8</f>
        <v>0</v>
      </c>
      <c r="F29" s="141">
        <f>F8</f>
        <v>0</v>
      </c>
      <c r="G29" s="141">
        <f>G8</f>
        <v>0</v>
      </c>
      <c r="H29" s="141">
        <f>H8</f>
        <v>0</v>
      </c>
      <c r="I29" s="165">
        <f>I8</f>
        <v>0</v>
      </c>
      <c r="J29" s="141">
        <f>J8</f>
        <v>0</v>
      </c>
      <c r="K29" s="140">
        <f>K8</f>
        <v>0</v>
      </c>
      <c r="L29" s="165">
        <f>L8</f>
        <v>0</v>
      </c>
      <c r="M29" s="256"/>
    </row>
    <row r="30" spans="1:13" ht="14" customHeight="1">
      <c r="A30" s="94" t="s">
        <v>93</v>
      </c>
      <c r="B30" s="107" t="s">
        <v>11</v>
      </c>
      <c r="C30" s="260">
        <f>C8</f>
        <v>0</v>
      </c>
      <c r="D30" s="260">
        <f>D8</f>
        <v>0</v>
      </c>
      <c r="E30" s="260">
        <f>E8</f>
        <v>0</v>
      </c>
      <c r="F30" s="260">
        <f>F8</f>
        <v>0</v>
      </c>
      <c r="G30" s="260">
        <f>G8</f>
        <v>0</v>
      </c>
      <c r="H30" s="260">
        <f>H8</f>
        <v>0</v>
      </c>
      <c r="I30" s="260">
        <f>I8</f>
        <v>0</v>
      </c>
      <c r="J30" s="260">
        <f>J8</f>
        <v>0</v>
      </c>
      <c r="K30" s="260">
        <f>K8</f>
        <v>0</v>
      </c>
      <c r="L30" s="260">
        <f>L8</f>
        <v>0</v>
      </c>
      <c r="M30" s="256"/>
    </row>
    <row r="31" spans="1:13" ht="14" customHeight="1">
      <c r="A31" s="96" t="s">
        <v>94</v>
      </c>
      <c r="B31" s="108" t="s">
        <v>12</v>
      </c>
      <c r="C31" s="165">
        <f>C8</f>
        <v>0</v>
      </c>
      <c r="D31" s="141">
        <f>D8</f>
        <v>0</v>
      </c>
      <c r="E31" s="165">
        <f>E8</f>
        <v>0</v>
      </c>
      <c r="F31" s="141">
        <f>F8</f>
        <v>0</v>
      </c>
      <c r="G31" s="141">
        <f>G8</f>
        <v>0</v>
      </c>
      <c r="H31" s="141">
        <f>H8</f>
        <v>0</v>
      </c>
      <c r="I31" s="165">
        <f>I8</f>
        <v>0</v>
      </c>
      <c r="J31" s="141">
        <f>J8</f>
        <v>0</v>
      </c>
      <c r="K31" s="140">
        <f>K8</f>
        <v>0</v>
      </c>
      <c r="L31" s="165">
        <f>L8</f>
        <v>0</v>
      </c>
      <c r="M31" s="256"/>
    </row>
    <row r="32" spans="1:13" ht="14" customHeight="1">
      <c r="A32" s="94" t="s">
        <v>95</v>
      </c>
      <c r="B32" s="107" t="s">
        <v>13</v>
      </c>
      <c r="C32" s="260">
        <f>C8</f>
        <v>0</v>
      </c>
      <c r="D32" s="260">
        <f>D8</f>
        <v>0</v>
      </c>
      <c r="E32" s="260">
        <f>E8</f>
        <v>0</v>
      </c>
      <c r="F32" s="260">
        <f>F8</f>
        <v>0</v>
      </c>
      <c r="G32" s="260">
        <f>G8</f>
        <v>0</v>
      </c>
      <c r="H32" s="260">
        <f>H8</f>
        <v>0</v>
      </c>
      <c r="I32" s="260">
        <f>I8</f>
        <v>0</v>
      </c>
      <c r="J32" s="260">
        <f>J8</f>
        <v>0</v>
      </c>
      <c r="K32" s="260">
        <f>K8</f>
        <v>0</v>
      </c>
      <c r="L32" s="260">
        <f>L8</f>
        <v>0</v>
      </c>
      <c r="M32" s="256"/>
    </row>
    <row r="33" spans="1:13" ht="14" customHeight="1">
      <c r="A33" s="96" t="s">
        <v>96</v>
      </c>
      <c r="B33" s="108" t="s">
        <v>14</v>
      </c>
      <c r="C33" s="165">
        <f>C8</f>
        <v>0</v>
      </c>
      <c r="D33" s="141">
        <f>D8</f>
        <v>0</v>
      </c>
      <c r="E33" s="165">
        <f>E8</f>
        <v>0</v>
      </c>
      <c r="F33" s="141">
        <f>F8</f>
        <v>0</v>
      </c>
      <c r="G33" s="141">
        <f>G8</f>
        <v>0</v>
      </c>
      <c r="H33" s="141">
        <f>H8</f>
        <v>0</v>
      </c>
      <c r="I33" s="165">
        <f>I8</f>
        <v>0</v>
      </c>
      <c r="J33" s="141">
        <f>J8</f>
        <v>0</v>
      </c>
      <c r="K33" s="140">
        <f>K8</f>
        <v>0</v>
      </c>
      <c r="L33" s="165">
        <f>L8</f>
        <v>0</v>
      </c>
      <c r="M33" s="256"/>
    </row>
    <row r="34" spans="1:13" ht="14" customHeight="1">
      <c r="A34" s="94" t="s">
        <v>97</v>
      </c>
      <c r="B34" s="107" t="s">
        <v>15</v>
      </c>
      <c r="C34" s="260">
        <f>C8</f>
        <v>0</v>
      </c>
      <c r="D34" s="260">
        <f>D8</f>
        <v>0</v>
      </c>
      <c r="E34" s="260">
        <f>E8</f>
        <v>0</v>
      </c>
      <c r="F34" s="260">
        <f>F8</f>
        <v>0</v>
      </c>
      <c r="G34" s="260">
        <f>G8</f>
        <v>0</v>
      </c>
      <c r="H34" s="260">
        <f>H8</f>
        <v>0</v>
      </c>
      <c r="I34" s="260">
        <f>I8</f>
        <v>0</v>
      </c>
      <c r="J34" s="260">
        <f>J8</f>
        <v>0</v>
      </c>
      <c r="K34" s="260">
        <f>K8</f>
        <v>0</v>
      </c>
      <c r="L34" s="260">
        <f>L8</f>
        <v>0</v>
      </c>
      <c r="M34" s="256"/>
    </row>
    <row r="35" spans="1:13" ht="14" customHeight="1">
      <c r="A35" s="96" t="s">
        <v>98</v>
      </c>
      <c r="B35" s="108" t="s">
        <v>16</v>
      </c>
      <c r="C35" s="165">
        <f>C8</f>
        <v>0</v>
      </c>
      <c r="D35" s="141">
        <f>D8</f>
        <v>0</v>
      </c>
      <c r="E35" s="165">
        <f>E8</f>
        <v>0</v>
      </c>
      <c r="F35" s="141">
        <f>F8</f>
        <v>0</v>
      </c>
      <c r="G35" s="141">
        <f>G8</f>
        <v>0</v>
      </c>
      <c r="H35" s="141">
        <f>H8</f>
        <v>0</v>
      </c>
      <c r="I35" s="165">
        <f>I8</f>
        <v>0</v>
      </c>
      <c r="J35" s="141">
        <f>J8</f>
        <v>0</v>
      </c>
      <c r="K35" s="140">
        <f>K8</f>
        <v>0</v>
      </c>
      <c r="L35" s="165">
        <f>L8</f>
        <v>0</v>
      </c>
      <c r="M35" s="256"/>
    </row>
    <row r="36" spans="1:13" ht="14" customHeight="1">
      <c r="A36" s="94" t="s">
        <v>99</v>
      </c>
      <c r="B36" s="107" t="s">
        <v>17</v>
      </c>
      <c r="C36" s="260">
        <f>C8</f>
        <v>0</v>
      </c>
      <c r="D36" s="260">
        <f>D8</f>
        <v>0</v>
      </c>
      <c r="E36" s="260">
        <f>E8</f>
        <v>0</v>
      </c>
      <c r="F36" s="260">
        <f>F8</f>
        <v>0</v>
      </c>
      <c r="G36" s="260">
        <f>G8</f>
        <v>0</v>
      </c>
      <c r="H36" s="260">
        <f>H8</f>
        <v>0</v>
      </c>
      <c r="I36" s="260">
        <f>I8</f>
        <v>0</v>
      </c>
      <c r="J36" s="260">
        <f>J8</f>
        <v>0</v>
      </c>
      <c r="K36" s="260">
        <f>K8</f>
        <v>0</v>
      </c>
      <c r="L36" s="260">
        <f>L8</f>
        <v>0</v>
      </c>
      <c r="M36" s="256"/>
    </row>
    <row r="37" spans="1:13" ht="14" customHeight="1">
      <c r="A37" s="96" t="s">
        <v>100</v>
      </c>
      <c r="B37" s="108" t="s">
        <v>18</v>
      </c>
      <c r="C37" s="165">
        <f>C8</f>
        <v>0</v>
      </c>
      <c r="D37" s="141">
        <f>D8</f>
        <v>0</v>
      </c>
      <c r="E37" s="165">
        <f>E8</f>
        <v>0</v>
      </c>
      <c r="F37" s="141">
        <f>F8</f>
        <v>0</v>
      </c>
      <c r="G37" s="141">
        <f>G8</f>
        <v>0</v>
      </c>
      <c r="H37" s="141">
        <f>H8</f>
        <v>0</v>
      </c>
      <c r="I37" s="165">
        <f>I8</f>
        <v>0</v>
      </c>
      <c r="J37" s="141">
        <f>J8</f>
        <v>0</v>
      </c>
      <c r="K37" s="140">
        <f>K8</f>
        <v>0</v>
      </c>
      <c r="L37" s="165">
        <f>L8</f>
        <v>0</v>
      </c>
      <c r="M37" s="256"/>
    </row>
    <row r="38" spans="1:13" ht="14" customHeight="1">
      <c r="A38" s="94" t="s">
        <v>101</v>
      </c>
      <c r="B38" s="107" t="s">
        <v>19</v>
      </c>
      <c r="C38" s="260">
        <f>C8</f>
        <v>0</v>
      </c>
      <c r="D38" s="260">
        <f>D8</f>
        <v>0</v>
      </c>
      <c r="E38" s="260">
        <f>E8</f>
        <v>0</v>
      </c>
      <c r="F38" s="260">
        <f>F8</f>
        <v>0</v>
      </c>
      <c r="G38" s="260">
        <f>G8</f>
        <v>0</v>
      </c>
      <c r="H38" s="260">
        <f>H8</f>
        <v>0</v>
      </c>
      <c r="I38" s="260">
        <f>I8</f>
        <v>0</v>
      </c>
      <c r="J38" s="260">
        <f>J8</f>
        <v>0</v>
      </c>
      <c r="K38" s="260">
        <f>K8</f>
        <v>0</v>
      </c>
      <c r="L38" s="260">
        <f>L8</f>
        <v>0</v>
      </c>
      <c r="M38" s="256"/>
    </row>
    <row r="39" spans="1:13" ht="14" customHeight="1">
      <c r="A39" s="96" t="s">
        <v>102</v>
      </c>
      <c r="B39" s="108" t="s">
        <v>20</v>
      </c>
      <c r="C39" s="165">
        <f>C8</f>
        <v>0</v>
      </c>
      <c r="D39" s="141">
        <f>D8</f>
        <v>0</v>
      </c>
      <c r="E39" s="165">
        <f>E8</f>
        <v>0</v>
      </c>
      <c r="F39" s="141">
        <f>F8</f>
        <v>0</v>
      </c>
      <c r="G39" s="141">
        <f>G8</f>
        <v>0</v>
      </c>
      <c r="H39" s="141">
        <f>H8</f>
        <v>0</v>
      </c>
      <c r="I39" s="165">
        <f>I8</f>
        <v>0</v>
      </c>
      <c r="J39" s="141">
        <f>J8</f>
        <v>0</v>
      </c>
      <c r="K39" s="140">
        <f>K8</f>
        <v>0</v>
      </c>
      <c r="L39" s="165">
        <f>L8</f>
        <v>0</v>
      </c>
      <c r="M39" s="256"/>
    </row>
    <row r="40" spans="1:13" ht="14" customHeight="1">
      <c r="A40" s="94" t="s">
        <v>103</v>
      </c>
      <c r="B40" s="107" t="s">
        <v>21</v>
      </c>
      <c r="C40" s="260">
        <f>C8</f>
        <v>0</v>
      </c>
      <c r="D40" s="260">
        <f>D8</f>
        <v>0</v>
      </c>
      <c r="E40" s="260">
        <f>E8</f>
        <v>0</v>
      </c>
      <c r="F40" s="260">
        <f>F8</f>
        <v>0</v>
      </c>
      <c r="G40" s="260">
        <f>G8</f>
        <v>0</v>
      </c>
      <c r="H40" s="260">
        <f>H8</f>
        <v>0</v>
      </c>
      <c r="I40" s="260">
        <f>I8</f>
        <v>0</v>
      </c>
      <c r="J40" s="260">
        <f>J8</f>
        <v>0</v>
      </c>
      <c r="K40" s="260">
        <f>K8</f>
        <v>0</v>
      </c>
      <c r="L40" s="260">
        <f>L8</f>
        <v>0</v>
      </c>
      <c r="M40" s="256"/>
    </row>
    <row r="41" spans="1:13" ht="14" customHeight="1">
      <c r="A41" s="96" t="s">
        <v>104</v>
      </c>
      <c r="B41" s="108" t="s">
        <v>22</v>
      </c>
      <c r="C41" s="165">
        <f>C8</f>
        <v>0</v>
      </c>
      <c r="D41" s="141">
        <f>D8</f>
        <v>0</v>
      </c>
      <c r="E41" s="165">
        <f>E8</f>
        <v>0</v>
      </c>
      <c r="F41" s="141">
        <f>F8</f>
        <v>0</v>
      </c>
      <c r="G41" s="141">
        <f>G8</f>
        <v>0</v>
      </c>
      <c r="H41" s="141">
        <f>H8</f>
        <v>0</v>
      </c>
      <c r="I41" s="165">
        <f>I8</f>
        <v>0</v>
      </c>
      <c r="J41" s="141">
        <f>J8</f>
        <v>0</v>
      </c>
      <c r="K41" s="140">
        <f>K8</f>
        <v>0</v>
      </c>
      <c r="L41" s="165">
        <f>L8</f>
        <v>0</v>
      </c>
      <c r="M41" s="256"/>
    </row>
    <row r="42" spans="1:13" ht="14" customHeight="1">
      <c r="A42" s="94" t="s">
        <v>105</v>
      </c>
      <c r="B42" s="107" t="s">
        <v>23</v>
      </c>
      <c r="C42" s="260">
        <f>C8</f>
        <v>0</v>
      </c>
      <c r="D42" s="260">
        <f>D8</f>
        <v>0</v>
      </c>
      <c r="E42" s="260">
        <f>E8</f>
        <v>0</v>
      </c>
      <c r="F42" s="260">
        <f>F8</f>
        <v>0</v>
      </c>
      <c r="G42" s="260">
        <f>G8</f>
        <v>0</v>
      </c>
      <c r="H42" s="260">
        <f>H8</f>
        <v>0</v>
      </c>
      <c r="I42" s="260">
        <f>I8</f>
        <v>0</v>
      </c>
      <c r="J42" s="260">
        <f>J8</f>
        <v>0</v>
      </c>
      <c r="K42" s="260">
        <f>K8</f>
        <v>0</v>
      </c>
      <c r="L42" s="260">
        <f>L8</f>
        <v>0</v>
      </c>
      <c r="M42" s="256"/>
    </row>
    <row r="43" spans="1:13" ht="14" customHeight="1">
      <c r="A43" s="96" t="s">
        <v>106</v>
      </c>
      <c r="B43" s="108" t="s">
        <v>24</v>
      </c>
      <c r="C43" s="165">
        <f>C8</f>
        <v>0</v>
      </c>
      <c r="D43" s="141">
        <f>D8</f>
        <v>0</v>
      </c>
      <c r="E43" s="165">
        <f>E8</f>
        <v>0</v>
      </c>
      <c r="F43" s="141">
        <f>F8</f>
        <v>0</v>
      </c>
      <c r="G43" s="141">
        <f>G8</f>
        <v>0</v>
      </c>
      <c r="H43" s="141">
        <f>H8</f>
        <v>0</v>
      </c>
      <c r="I43" s="165">
        <f>I8</f>
        <v>0</v>
      </c>
      <c r="J43" s="141">
        <f>J8</f>
        <v>0</v>
      </c>
      <c r="K43" s="140">
        <f>K8</f>
        <v>0</v>
      </c>
      <c r="L43" s="165">
        <f>L8</f>
        <v>0</v>
      </c>
      <c r="M43" s="256"/>
    </row>
    <row r="44" spans="1:13" ht="14" customHeight="1">
      <c r="A44" s="94" t="s">
        <v>107</v>
      </c>
      <c r="B44" s="107" t="s">
        <v>25</v>
      </c>
      <c r="C44" s="260">
        <f>C8</f>
        <v>0</v>
      </c>
      <c r="D44" s="260">
        <f>D8</f>
        <v>0</v>
      </c>
      <c r="E44" s="260">
        <f>E8</f>
        <v>0</v>
      </c>
      <c r="F44" s="260">
        <f>F8</f>
        <v>0</v>
      </c>
      <c r="G44" s="260">
        <f>G8</f>
        <v>0</v>
      </c>
      <c r="H44" s="260">
        <f>H8</f>
        <v>0</v>
      </c>
      <c r="I44" s="260">
        <f>I8</f>
        <v>0</v>
      </c>
      <c r="J44" s="260">
        <f>J8</f>
        <v>0</v>
      </c>
      <c r="K44" s="260">
        <f>K8</f>
        <v>0</v>
      </c>
      <c r="L44" s="260">
        <f>L8</f>
        <v>0</v>
      </c>
      <c r="M44" s="256"/>
    </row>
    <row r="45" spans="1:13" ht="14" customHeight="1">
      <c r="A45" s="96" t="s">
        <v>612</v>
      </c>
      <c r="B45" s="108" t="s">
        <v>597</v>
      </c>
      <c r="C45" s="165">
        <f>C8</f>
        <v>0</v>
      </c>
      <c r="D45" s="141">
        <f>D8</f>
        <v>0</v>
      </c>
      <c r="E45" s="165">
        <f>E8</f>
        <v>0</v>
      </c>
      <c r="F45" s="141">
        <f>F8</f>
        <v>0</v>
      </c>
      <c r="G45" s="141">
        <f>G8</f>
        <v>0</v>
      </c>
      <c r="H45" s="141">
        <f>H8</f>
        <v>0</v>
      </c>
      <c r="I45" s="165">
        <f>I8</f>
        <v>0</v>
      </c>
      <c r="J45" s="141">
        <f>J8</f>
        <v>0</v>
      </c>
      <c r="K45" s="140">
        <f>K8</f>
        <v>0</v>
      </c>
      <c r="L45" s="165">
        <f>L8</f>
        <v>0</v>
      </c>
      <c r="M45" s="256"/>
    </row>
    <row r="46" spans="1:13" ht="14" customHeight="1">
      <c r="A46" s="94" t="s">
        <v>613</v>
      </c>
      <c r="B46" s="107" t="s">
        <v>598</v>
      </c>
      <c r="C46" s="260">
        <f>C8</f>
        <v>0</v>
      </c>
      <c r="D46" s="260">
        <f>D8</f>
        <v>0</v>
      </c>
      <c r="E46" s="260">
        <f>E8</f>
        <v>0</v>
      </c>
      <c r="F46" s="260">
        <f>F8</f>
        <v>0</v>
      </c>
      <c r="G46" s="260">
        <f>G8</f>
        <v>0</v>
      </c>
      <c r="H46" s="260">
        <f>H8</f>
        <v>0</v>
      </c>
      <c r="I46" s="260">
        <f>I8</f>
        <v>0</v>
      </c>
      <c r="J46" s="260">
        <f>J8</f>
        <v>0</v>
      </c>
      <c r="K46" s="260">
        <f>K8</f>
        <v>0</v>
      </c>
      <c r="L46" s="260">
        <f>L8</f>
        <v>0</v>
      </c>
      <c r="M46" s="256"/>
    </row>
    <row r="47" spans="1:13" ht="14" customHeight="1">
      <c r="A47" s="94"/>
      <c r="B47" s="95"/>
      <c r="C47" s="260"/>
      <c r="D47" s="260"/>
      <c r="E47" s="260"/>
      <c r="F47" s="260"/>
      <c r="G47" s="260"/>
      <c r="H47" s="260"/>
      <c r="I47" s="260"/>
      <c r="J47" s="260"/>
      <c r="K47" s="260"/>
      <c r="L47" s="260"/>
      <c r="M47" s="257"/>
    </row>
    <row r="48" spans="1:13" ht="28" customHeight="1">
      <c r="A48" s="92" t="s">
        <v>108</v>
      </c>
      <c r="B48" s="258" t="s">
        <v>109</v>
      </c>
      <c r="C48" s="92">
        <f>C9</f>
        <v>0</v>
      </c>
      <c r="D48" s="92">
        <f t="shared" ref="D48:L48" si="1">D9</f>
        <v>0</v>
      </c>
      <c r="E48" s="92">
        <f t="shared" si="1"/>
        <v>0</v>
      </c>
      <c r="F48" s="92">
        <f t="shared" si="1"/>
        <v>0</v>
      </c>
      <c r="G48" s="92">
        <f t="shared" si="1"/>
        <v>0</v>
      </c>
      <c r="H48" s="92">
        <f t="shared" si="1"/>
        <v>0</v>
      </c>
      <c r="I48" s="92">
        <f t="shared" si="1"/>
        <v>0</v>
      </c>
      <c r="J48" s="92">
        <f t="shared" si="1"/>
        <v>0</v>
      </c>
      <c r="K48" s="92">
        <f t="shared" si="1"/>
        <v>0</v>
      </c>
      <c r="L48" s="92">
        <f t="shared" si="1"/>
        <v>0</v>
      </c>
      <c r="M48" s="92">
        <f>SUM(C48:L48)</f>
        <v>0</v>
      </c>
    </row>
    <row r="49" spans="1:18" ht="17" customHeight="1">
      <c r="A49" s="97"/>
      <c r="B49" s="9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109"/>
    </row>
    <row r="50" spans="1:18" ht="19" customHeight="1">
      <c r="A50" s="137"/>
      <c r="C50" s="318"/>
      <c r="D50" s="318"/>
      <c r="E50" s="318"/>
      <c r="F50" s="318"/>
      <c r="G50" s="318"/>
      <c r="H50" s="318"/>
      <c r="I50" s="318"/>
      <c r="J50" s="318"/>
      <c r="K50" s="318"/>
      <c r="L50" s="318"/>
    </row>
    <row r="51" spans="1:18" ht="19" customHeight="1">
      <c r="A51" s="138"/>
      <c r="C51" s="17"/>
      <c r="D51" s="16"/>
      <c r="E51" s="16"/>
      <c r="F51" s="16"/>
      <c r="H51" s="16"/>
      <c r="I51" s="16"/>
      <c r="J51" s="16"/>
      <c r="K51" s="16"/>
      <c r="L51" s="16"/>
    </row>
    <row r="52" spans="1:18" ht="18" hidden="1" customHeight="1">
      <c r="A52" s="16" t="s">
        <v>110</v>
      </c>
      <c r="B52" s="16" t="s">
        <v>111</v>
      </c>
      <c r="C52" s="16" t="s">
        <v>112</v>
      </c>
      <c r="D52" s="110" t="s">
        <v>113</v>
      </c>
      <c r="E52" s="16" t="s">
        <v>114</v>
      </c>
      <c r="F52" s="16" t="s">
        <v>115</v>
      </c>
      <c r="G52" s="16" t="s">
        <v>5</v>
      </c>
      <c r="H52" s="110"/>
      <c r="I52" s="401" t="s">
        <v>562</v>
      </c>
      <c r="J52" s="401" t="s">
        <v>563</v>
      </c>
      <c r="K52" s="401" t="s">
        <v>564</v>
      </c>
      <c r="L52" s="110"/>
      <c r="M52" s="110"/>
    </row>
    <row r="53" spans="1:18" ht="21" hidden="1" customHeight="1">
      <c r="A53" s="314">
        <v>1</v>
      </c>
      <c r="B53" s="314" t="s">
        <v>116</v>
      </c>
      <c r="C53" s="315">
        <f>K53*J53</f>
        <v>4016.2418103889927</v>
      </c>
      <c r="D53" s="315">
        <f>I53*J53</f>
        <v>5010.0402165021706</v>
      </c>
      <c r="E53" s="315">
        <v>0</v>
      </c>
      <c r="F53" s="316">
        <v>0</v>
      </c>
      <c r="G53" s="314" t="s">
        <v>599</v>
      </c>
      <c r="H53" s="86"/>
      <c r="I53" s="398">
        <v>4418.0248822770463</v>
      </c>
      <c r="J53" s="399">
        <f t="shared" ref="J53:J85" si="2">IF(Aplicar_Escala=1,INDEX(Factor_Escala,1),1)</f>
        <v>1.1339999999999999</v>
      </c>
      <c r="K53" s="400">
        <v>3541.6594447874718</v>
      </c>
      <c r="L53" s="86"/>
      <c r="M53" s="86"/>
    </row>
    <row r="54" spans="1:18" ht="19" hidden="1" customHeight="1">
      <c r="A54" s="314">
        <v>2</v>
      </c>
      <c r="B54" s="314" t="s">
        <v>116</v>
      </c>
      <c r="C54" s="315">
        <f>K54*J54</f>
        <v>1509.8456068828568</v>
      </c>
      <c r="D54" s="315">
        <f>I54*J54</f>
        <v>2121.1313790986433</v>
      </c>
      <c r="E54" s="315">
        <v>0</v>
      </c>
      <c r="F54" s="316">
        <v>0</v>
      </c>
      <c r="G54" s="314" t="s">
        <v>600</v>
      </c>
      <c r="H54" s="86"/>
      <c r="I54" s="398">
        <v>1870.486224954712</v>
      </c>
      <c r="J54" s="399">
        <f>IF(Aplicar_Escala=1,INDEX(Factor_Escala,1),1)</f>
        <v>1.1339999999999999</v>
      </c>
      <c r="K54" s="400">
        <v>1331.4335157697151</v>
      </c>
      <c r="L54" s="86"/>
      <c r="M54" s="86"/>
    </row>
    <row r="55" spans="1:18" ht="15" hidden="1" customHeight="1">
      <c r="A55" s="314">
        <v>3</v>
      </c>
      <c r="B55" s="314" t="s">
        <v>116</v>
      </c>
      <c r="C55" s="315">
        <f>K55*J55</f>
        <v>342.39110343451307</v>
      </c>
      <c r="D55" s="315">
        <f>I55*J55</f>
        <v>308.37762126078115</v>
      </c>
      <c r="E55" s="315">
        <v>0</v>
      </c>
      <c r="F55" s="316">
        <v>0</v>
      </c>
      <c r="G55" s="314" t="s">
        <v>601</v>
      </c>
      <c r="H55" s="86"/>
      <c r="I55" s="398">
        <v>271.93793761973649</v>
      </c>
      <c r="J55" s="399">
        <f>IF(Aplicar_Escala=1,INDEX(Factor_Escala,1),1)</f>
        <v>1.1339999999999999</v>
      </c>
      <c r="K55" s="400">
        <v>301.93218997752479</v>
      </c>
      <c r="L55" s="86"/>
      <c r="M55" s="86"/>
    </row>
    <row r="56" spans="1:18" ht="15" hidden="1" customHeight="1">
      <c r="A56" s="314">
        <v>4</v>
      </c>
      <c r="B56" s="314" t="s">
        <v>116</v>
      </c>
      <c r="C56" s="315">
        <f>K56*J56</f>
        <v>35.726499293635307</v>
      </c>
      <c r="D56" s="315">
        <f>I56*J56</f>
        <v>36.635066538405596</v>
      </c>
      <c r="E56" s="315">
        <v>0</v>
      </c>
      <c r="F56" s="316">
        <v>0</v>
      </c>
      <c r="G56" s="314" t="s">
        <v>602</v>
      </c>
      <c r="H56" s="86"/>
      <c r="I56" s="398">
        <v>32.30605514850582</v>
      </c>
      <c r="J56" s="399">
        <f>IF(Aplicar_Escala=1,INDEX(Factor_Escala,1),1)</f>
        <v>1.1339999999999999</v>
      </c>
      <c r="K56" s="400">
        <v>31.50484946528687</v>
      </c>
      <c r="L56" s="86"/>
      <c r="M56" s="86"/>
      <c r="N56" s="16" t="s">
        <v>576</v>
      </c>
      <c r="O56" s="410">
        <v>1</v>
      </c>
    </row>
    <row r="57" spans="1:18" ht="15" hidden="1" customHeight="1">
      <c r="A57" s="314">
        <v>5</v>
      </c>
      <c r="B57" s="314" t="s">
        <v>116</v>
      </c>
      <c r="C57" s="315">
        <f t="shared" ref="C57:C156" si="3">K57*J57</f>
        <v>273.07853999999998</v>
      </c>
      <c r="D57" s="315">
        <f t="shared" ref="D57:D156" si="4">I57*J57</f>
        <v>483.76598759999996</v>
      </c>
      <c r="E57" s="315">
        <v>0</v>
      </c>
      <c r="F57" s="316">
        <v>0</v>
      </c>
      <c r="G57" s="314" t="s">
        <v>91</v>
      </c>
      <c r="H57" s="86"/>
      <c r="I57" s="398">
        <v>426.60140000000001</v>
      </c>
      <c r="J57" s="399">
        <f t="shared" si="2"/>
        <v>1.1339999999999999</v>
      </c>
      <c r="K57" s="400">
        <v>240.81</v>
      </c>
      <c r="L57" s="86"/>
      <c r="M57" s="86"/>
      <c r="N57" s="408" t="s">
        <v>111</v>
      </c>
      <c r="O57" s="408" t="s">
        <v>565</v>
      </c>
      <c r="P57" s="408" t="s">
        <v>566</v>
      </c>
      <c r="Q57" s="222"/>
      <c r="R57" s="222"/>
    </row>
    <row r="58" spans="1:18" ht="15" hidden="1" customHeight="1">
      <c r="A58" s="314">
        <v>6</v>
      </c>
      <c r="B58" s="314" t="s">
        <v>116</v>
      </c>
      <c r="C58" s="315">
        <f t="shared" si="3"/>
        <v>1738.7794985176981</v>
      </c>
      <c r="D58" s="315">
        <f t="shared" si="4"/>
        <v>5484.4802598899223</v>
      </c>
      <c r="E58" s="315">
        <v>0</v>
      </c>
      <c r="F58" s="316">
        <v>0</v>
      </c>
      <c r="G58" s="314" t="s">
        <v>603</v>
      </c>
      <c r="H58" s="86"/>
      <c r="I58" s="398">
        <v>4836.4023455819424</v>
      </c>
      <c r="J58" s="399">
        <f t="shared" si="2"/>
        <v>1.1339999999999999</v>
      </c>
      <c r="K58" s="400">
        <v>1533.315254424778</v>
      </c>
      <c r="L58" s="86"/>
      <c r="M58" s="86"/>
      <c r="N58" s="402" t="s">
        <v>116</v>
      </c>
      <c r="O58" s="403">
        <v>1.1339999999999999</v>
      </c>
      <c r="P58" s="404" t="s">
        <v>567</v>
      </c>
      <c r="Q58" s="222"/>
      <c r="R58" s="222"/>
    </row>
    <row r="59" spans="1:18" ht="15" hidden="1" customHeight="1">
      <c r="A59" s="314">
        <v>7</v>
      </c>
      <c r="B59" s="314" t="s">
        <v>116</v>
      </c>
      <c r="C59" s="315">
        <f t="shared" ref="C59:C64" si="5">K59*J59</f>
        <v>859.32955732300854</v>
      </c>
      <c r="D59" s="315">
        <f t="shared" ref="D59:D64" si="6">I59*J59</f>
        <v>2695.5591796960689</v>
      </c>
      <c r="E59" s="315">
        <v>0</v>
      </c>
      <c r="F59" s="316">
        <v>0</v>
      </c>
      <c r="G59" s="314" t="s">
        <v>604</v>
      </c>
      <c r="H59" s="86"/>
      <c r="I59" s="398">
        <v>2377.0363136649639</v>
      </c>
      <c r="J59" s="399">
        <f t="shared" ref="J59:J64" si="7">IF(Aplicar_Escala=1,INDEX(Factor_Escala,1),1)</f>
        <v>1.1339999999999999</v>
      </c>
      <c r="K59" s="400">
        <v>757.78620575221214</v>
      </c>
      <c r="L59" s="86"/>
      <c r="M59" s="86"/>
      <c r="N59" s="405" t="s">
        <v>118</v>
      </c>
      <c r="O59" s="406">
        <v>1.1419999999999999</v>
      </c>
      <c r="P59" s="407" t="s">
        <v>568</v>
      </c>
      <c r="Q59" s="222"/>
      <c r="R59" s="222"/>
    </row>
    <row r="60" spans="1:18" ht="15" hidden="1" customHeight="1">
      <c r="A60" s="314">
        <v>8</v>
      </c>
      <c r="B60" s="314" t="s">
        <v>116</v>
      </c>
      <c r="C60" s="315">
        <f t="shared" si="5"/>
        <v>553.74047920353962</v>
      </c>
      <c r="D60" s="315">
        <f t="shared" si="6"/>
        <v>1270.6047789286765</v>
      </c>
      <c r="E60" s="315">
        <v>0</v>
      </c>
      <c r="F60" s="316">
        <v>0</v>
      </c>
      <c r="G60" s="314" t="s">
        <v>87</v>
      </c>
      <c r="H60" s="86"/>
      <c r="I60" s="398">
        <v>1120.4627680147059</v>
      </c>
      <c r="J60" s="399">
        <f t="shared" si="7"/>
        <v>1.1339999999999999</v>
      </c>
      <c r="K60" s="400">
        <v>488.30730088495562</v>
      </c>
      <c r="L60" s="86"/>
      <c r="M60" s="86"/>
      <c r="N60" s="402" t="s">
        <v>84</v>
      </c>
      <c r="O60" s="403">
        <v>1.22</v>
      </c>
      <c r="P60" s="404" t="s">
        <v>568</v>
      </c>
      <c r="Q60" s="222"/>
      <c r="R60" s="222"/>
    </row>
    <row r="61" spans="1:18" ht="15" hidden="1" customHeight="1">
      <c r="A61" s="314">
        <v>9</v>
      </c>
      <c r="B61" s="314" t="s">
        <v>116</v>
      </c>
      <c r="C61" s="315">
        <f t="shared" si="5"/>
        <v>720.72246842920333</v>
      </c>
      <c r="D61" s="315">
        <f t="shared" si="6"/>
        <v>2601.5432553769351</v>
      </c>
      <c r="E61" s="315">
        <v>0</v>
      </c>
      <c r="F61" s="316">
        <v>0</v>
      </c>
      <c r="G61" s="314" t="s">
        <v>605</v>
      </c>
      <c r="H61" s="86"/>
      <c r="I61" s="398">
        <v>2294.1298548297491</v>
      </c>
      <c r="J61" s="399">
        <f t="shared" si="7"/>
        <v>1.1339999999999999</v>
      </c>
      <c r="K61" s="400">
        <v>635.55773230088482</v>
      </c>
      <c r="L61" s="86"/>
      <c r="M61" s="86"/>
      <c r="N61" s="405" t="s">
        <v>119</v>
      </c>
      <c r="O61" s="406">
        <v>1.3149999999999999</v>
      </c>
      <c r="P61" s="407" t="s">
        <v>568</v>
      </c>
      <c r="Q61" s="222"/>
      <c r="R61" s="222"/>
    </row>
    <row r="62" spans="1:18" ht="15" hidden="1" customHeight="1">
      <c r="A62" s="314">
        <v>10</v>
      </c>
      <c r="B62" s="314" t="s">
        <v>116</v>
      </c>
      <c r="C62" s="315">
        <f t="shared" si="5"/>
        <v>314.53147095132732</v>
      </c>
      <c r="D62" s="315">
        <f t="shared" si="6"/>
        <v>426.75054343119876</v>
      </c>
      <c r="E62" s="315">
        <v>0</v>
      </c>
      <c r="F62" s="316">
        <v>0</v>
      </c>
      <c r="G62" s="314" t="s">
        <v>606</v>
      </c>
      <c r="H62" s="86"/>
      <c r="I62" s="398">
        <v>376.32323053897602</v>
      </c>
      <c r="J62" s="399">
        <f t="shared" si="7"/>
        <v>1.1339999999999999</v>
      </c>
      <c r="K62" s="400">
        <v>277.36461283185832</v>
      </c>
      <c r="L62" s="86"/>
      <c r="M62" s="86"/>
      <c r="N62" s="402" t="s">
        <v>85</v>
      </c>
      <c r="O62" s="403">
        <v>1.421</v>
      </c>
      <c r="P62" s="404" t="s">
        <v>568</v>
      </c>
      <c r="Q62" s="222"/>
      <c r="R62" s="222"/>
    </row>
    <row r="63" spans="1:18" ht="15" hidden="1" customHeight="1">
      <c r="A63" s="314">
        <v>11</v>
      </c>
      <c r="B63" s="314" t="s">
        <v>116</v>
      </c>
      <c r="C63" s="315">
        <f t="shared" si="5"/>
        <v>709.88841557522107</v>
      </c>
      <c r="D63" s="315">
        <f t="shared" si="6"/>
        <v>1537.9370159056914</v>
      </c>
      <c r="E63" s="315">
        <v>0</v>
      </c>
      <c r="F63" s="316">
        <v>0</v>
      </c>
      <c r="G63" s="314" t="s">
        <v>607</v>
      </c>
      <c r="H63" s="86"/>
      <c r="I63" s="398">
        <v>1356.205481398317</v>
      </c>
      <c r="J63" s="399">
        <f t="shared" si="7"/>
        <v>1.1339999999999999</v>
      </c>
      <c r="K63" s="400">
        <v>626.00389380530964</v>
      </c>
      <c r="L63" s="86"/>
      <c r="M63" s="86"/>
      <c r="N63" s="405" t="s">
        <v>117</v>
      </c>
      <c r="O63" s="406">
        <v>1.208</v>
      </c>
      <c r="P63" s="407" t="s">
        <v>569</v>
      </c>
      <c r="Q63" s="222"/>
      <c r="R63" s="222"/>
    </row>
    <row r="64" spans="1:18" ht="15" hidden="1" customHeight="1">
      <c r="A64" s="314">
        <v>12</v>
      </c>
      <c r="B64" s="314" t="s">
        <v>116</v>
      </c>
      <c r="C64" s="315">
        <f t="shared" si="5"/>
        <v>1476.8705699999998</v>
      </c>
      <c r="D64" s="315">
        <f t="shared" si="6"/>
        <v>4172.8354861715025</v>
      </c>
      <c r="E64" s="315">
        <v>0</v>
      </c>
      <c r="F64" s="316">
        <v>0</v>
      </c>
      <c r="G64" s="314" t="s">
        <v>608</v>
      </c>
      <c r="H64" s="86"/>
      <c r="I64" s="398">
        <v>3679.7491059713429</v>
      </c>
      <c r="J64" s="399">
        <f t="shared" si="7"/>
        <v>1.1339999999999999</v>
      </c>
      <c r="K64" s="400">
        <v>1302.355</v>
      </c>
      <c r="L64" s="86"/>
      <c r="M64" s="86"/>
      <c r="N64" s="402" t="s">
        <v>121</v>
      </c>
      <c r="O64" s="403">
        <v>1.1080000000000001</v>
      </c>
      <c r="P64" s="404" t="s">
        <v>570</v>
      </c>
      <c r="Q64" s="222"/>
      <c r="R64" s="222"/>
    </row>
    <row r="65" spans="1:18" ht="15" hidden="1" customHeight="1">
      <c r="A65" s="314">
        <v>13</v>
      </c>
      <c r="B65" s="314" t="s">
        <v>116</v>
      </c>
      <c r="C65" s="315">
        <f t="shared" si="3"/>
        <v>707.55765177290539</v>
      </c>
      <c r="D65" s="315">
        <f t="shared" si="4"/>
        <v>850.49230182561507</v>
      </c>
      <c r="E65" s="315">
        <v>0</v>
      </c>
      <c r="F65" s="316">
        <v>0</v>
      </c>
      <c r="G65" s="314" t="s">
        <v>609</v>
      </c>
      <c r="H65" s="86"/>
      <c r="I65" s="398">
        <v>749.9932114864331</v>
      </c>
      <c r="J65" s="399">
        <f t="shared" si="2"/>
        <v>1.1339999999999999</v>
      </c>
      <c r="K65" s="400">
        <v>623.9485465369537</v>
      </c>
      <c r="L65" s="86"/>
      <c r="M65" s="86"/>
      <c r="N65" s="405" t="s">
        <v>87</v>
      </c>
      <c r="O65" s="406">
        <v>1.25</v>
      </c>
      <c r="P65" s="407" t="s">
        <v>571</v>
      </c>
      <c r="Q65" s="222"/>
      <c r="R65" s="222"/>
    </row>
    <row r="66" spans="1:18" ht="15" hidden="1" customHeight="1">
      <c r="A66" s="314">
        <v>14</v>
      </c>
      <c r="B66" s="314" t="s">
        <v>116</v>
      </c>
      <c r="C66" s="315">
        <f>K66*J66</f>
        <v>141.5361882270945</v>
      </c>
      <c r="D66" s="315">
        <f>I66*J66</f>
        <v>254.33486777438495</v>
      </c>
      <c r="E66" s="315">
        <v>0</v>
      </c>
      <c r="F66" s="316">
        <v>0</v>
      </c>
      <c r="G66" s="314" t="s">
        <v>610</v>
      </c>
      <c r="H66" s="86"/>
      <c r="I66" s="398">
        <v>224.281188513567</v>
      </c>
      <c r="J66" s="399">
        <f>IF(Aplicar_Escala=1,INDEX(Factor_Escala,1),1)</f>
        <v>1.1339999999999999</v>
      </c>
      <c r="K66" s="400">
        <v>124.81145346304631</v>
      </c>
      <c r="L66" s="86"/>
      <c r="M66" s="86"/>
      <c r="N66" s="402" t="s">
        <v>88</v>
      </c>
      <c r="O66" s="403">
        <v>1.23</v>
      </c>
      <c r="P66" s="404" t="s">
        <v>572</v>
      </c>
      <c r="Q66" s="222"/>
      <c r="R66" s="222"/>
    </row>
    <row r="67" spans="1:18" ht="15" hidden="1" customHeight="1">
      <c r="A67" s="314">
        <v>15</v>
      </c>
      <c r="B67" s="314" t="s">
        <v>116</v>
      </c>
      <c r="C67" s="315">
        <f t="shared" si="3"/>
        <v>374.67997175784762</v>
      </c>
      <c r="D67" s="315">
        <f t="shared" si="4"/>
        <v>637.23351162002132</v>
      </c>
      <c r="E67" s="315">
        <v>0</v>
      </c>
      <c r="F67" s="316">
        <v>0</v>
      </c>
      <c r="G67" s="314" t="s">
        <v>92</v>
      </c>
      <c r="H67" s="86"/>
      <c r="I67" s="398">
        <v>561.93431359790247</v>
      </c>
      <c r="J67" s="399">
        <f t="shared" si="2"/>
        <v>1.1339999999999999</v>
      </c>
      <c r="K67" s="400">
        <v>330.40561883408083</v>
      </c>
      <c r="L67" s="86"/>
      <c r="M67" s="86"/>
      <c r="N67" s="405" t="s">
        <v>120</v>
      </c>
      <c r="O67" s="406">
        <v>1.2470000000000001</v>
      </c>
      <c r="P67" s="407" t="s">
        <v>568</v>
      </c>
      <c r="Q67" s="222"/>
      <c r="R67" s="222"/>
    </row>
    <row r="68" spans="1:18" ht="15" hidden="1" customHeight="1">
      <c r="A68" s="314">
        <v>16</v>
      </c>
      <c r="B68" s="314" t="s">
        <v>116</v>
      </c>
      <c r="C68" s="315">
        <f>K68*J68</f>
        <v>831.00016824215254</v>
      </c>
      <c r="D68" s="315">
        <f>I68*J68</f>
        <v>1014.8679547799786</v>
      </c>
      <c r="E68" s="315">
        <v>0</v>
      </c>
      <c r="F68" s="316">
        <v>0</v>
      </c>
      <c r="G68" s="314" t="s">
        <v>611</v>
      </c>
      <c r="H68" s="86"/>
      <c r="I68" s="398">
        <v>894.94528640209762</v>
      </c>
      <c r="J68" s="399">
        <f>IF(Aplicar_Escala=1,INDEX(Factor_Escala,1),1)</f>
        <v>1.1339999999999999</v>
      </c>
      <c r="K68" s="400">
        <v>732.80438116591938</v>
      </c>
      <c r="L68" s="86"/>
      <c r="M68" s="86"/>
      <c r="N68" s="402" t="s">
        <v>90</v>
      </c>
      <c r="O68" s="403">
        <v>1.1499999999999999</v>
      </c>
      <c r="P68" s="404" t="s">
        <v>573</v>
      </c>
      <c r="Q68" s="222"/>
      <c r="R68" s="222"/>
    </row>
    <row r="69" spans="1:18" ht="15" hidden="1" customHeight="1">
      <c r="A69" s="314">
        <v>17</v>
      </c>
      <c r="B69" s="314" t="s">
        <v>116</v>
      </c>
      <c r="C69" s="315">
        <f t="shared" si="3"/>
        <v>1522.4176799999998</v>
      </c>
      <c r="D69" s="315">
        <f t="shared" si="4"/>
        <v>2155.0600637999996</v>
      </c>
      <c r="E69" s="315">
        <v>0</v>
      </c>
      <c r="F69" s="316">
        <v>0</v>
      </c>
      <c r="G69" s="314" t="s">
        <v>93</v>
      </c>
      <c r="H69" s="86"/>
      <c r="I69" s="398">
        <v>1900.4057</v>
      </c>
      <c r="J69" s="399">
        <f t="shared" si="2"/>
        <v>1.1339999999999999</v>
      </c>
      <c r="K69" s="400">
        <v>1342.52</v>
      </c>
      <c r="L69" s="86"/>
      <c r="M69" s="86"/>
      <c r="N69" s="222"/>
      <c r="O69" s="222"/>
      <c r="P69" s="222"/>
      <c r="Q69" s="222"/>
      <c r="R69" s="222"/>
    </row>
    <row r="70" spans="1:18" ht="15" hidden="1" customHeight="1">
      <c r="A70" s="314">
        <v>18</v>
      </c>
      <c r="B70" s="314" t="s">
        <v>116</v>
      </c>
      <c r="C70" s="315">
        <f t="shared" si="3"/>
        <v>411.69869999999997</v>
      </c>
      <c r="D70" s="315">
        <f t="shared" si="4"/>
        <v>651.87944640000001</v>
      </c>
      <c r="E70" s="315">
        <v>0</v>
      </c>
      <c r="F70" s="316">
        <v>0</v>
      </c>
      <c r="G70" s="314" t="s">
        <v>94</v>
      </c>
      <c r="H70" s="86"/>
      <c r="I70" s="398">
        <v>574.84960000000001</v>
      </c>
      <c r="J70" s="399">
        <f t="shared" si="2"/>
        <v>1.1339999999999999</v>
      </c>
      <c r="K70" s="400">
        <v>363.05</v>
      </c>
      <c r="L70" s="86"/>
      <c r="M70" s="86"/>
      <c r="N70" s="433" t="s">
        <v>574</v>
      </c>
      <c r="O70" s="434"/>
      <c r="P70" s="434"/>
      <c r="Q70" s="434"/>
      <c r="R70" s="434"/>
    </row>
    <row r="71" spans="1:18" ht="15" hidden="1" customHeight="1">
      <c r="A71" s="314">
        <v>19</v>
      </c>
      <c r="B71" s="314" t="s">
        <v>116</v>
      </c>
      <c r="C71" s="315">
        <f t="shared" si="3"/>
        <v>83.190239999999989</v>
      </c>
      <c r="D71" s="315">
        <f t="shared" si="4"/>
        <v>110.48822819999999</v>
      </c>
      <c r="E71" s="315">
        <v>0</v>
      </c>
      <c r="F71" s="316">
        <v>0</v>
      </c>
      <c r="G71" s="314" t="s">
        <v>95</v>
      </c>
      <c r="H71" s="86"/>
      <c r="I71" s="398">
        <v>97.432299999999998</v>
      </c>
      <c r="J71" s="399">
        <f t="shared" si="2"/>
        <v>1.1339999999999999</v>
      </c>
      <c r="K71" s="400">
        <v>73.36</v>
      </c>
      <c r="L71" s="86"/>
      <c r="M71" s="86"/>
      <c r="N71" s="434"/>
      <c r="O71" s="434"/>
      <c r="P71" s="434"/>
      <c r="Q71" s="434"/>
      <c r="R71" s="434"/>
    </row>
    <row r="72" spans="1:18" ht="15" hidden="1" customHeight="1">
      <c r="A72" s="314">
        <v>20</v>
      </c>
      <c r="B72" s="314" t="s">
        <v>116</v>
      </c>
      <c r="C72" s="315">
        <f t="shared" si="3"/>
        <v>641.60585999999989</v>
      </c>
      <c r="D72" s="315">
        <f t="shared" si="4"/>
        <v>841.37152679999997</v>
      </c>
      <c r="E72" s="315">
        <v>0</v>
      </c>
      <c r="F72" s="316">
        <v>0</v>
      </c>
      <c r="G72" s="314" t="s">
        <v>96</v>
      </c>
      <c r="H72" s="86"/>
      <c r="I72" s="398">
        <v>741.9502</v>
      </c>
      <c r="J72" s="399">
        <f t="shared" si="2"/>
        <v>1.1339999999999999</v>
      </c>
      <c r="K72" s="400">
        <v>565.79</v>
      </c>
      <c r="L72" s="86"/>
      <c r="M72" s="86"/>
    </row>
    <row r="73" spans="1:18" ht="15" hidden="1" customHeight="1">
      <c r="A73" s="314">
        <v>21</v>
      </c>
      <c r="B73" s="314" t="s">
        <v>116</v>
      </c>
      <c r="C73" s="315">
        <f t="shared" si="3"/>
        <v>137.82635999999999</v>
      </c>
      <c r="D73" s="315">
        <f t="shared" si="4"/>
        <v>351.71112059999996</v>
      </c>
      <c r="E73" s="315">
        <v>0</v>
      </c>
      <c r="F73" s="316">
        <v>0</v>
      </c>
      <c r="G73" s="314" t="s">
        <v>97</v>
      </c>
      <c r="H73" s="86"/>
      <c r="I73" s="398">
        <v>310.15089999999998</v>
      </c>
      <c r="J73" s="399">
        <f t="shared" si="2"/>
        <v>1.1339999999999999</v>
      </c>
      <c r="K73" s="400">
        <v>121.54</v>
      </c>
      <c r="L73" s="86"/>
      <c r="M73" s="86"/>
    </row>
    <row r="74" spans="1:18" ht="15" hidden="1" customHeight="1">
      <c r="A74" s="314">
        <v>22</v>
      </c>
      <c r="B74" s="314" t="s">
        <v>116</v>
      </c>
      <c r="C74" s="315">
        <f t="shared" si="3"/>
        <v>689.59673999999995</v>
      </c>
      <c r="D74" s="315">
        <f t="shared" si="4"/>
        <v>1502.0237106</v>
      </c>
      <c r="E74" s="315">
        <v>0</v>
      </c>
      <c r="F74" s="316">
        <v>0</v>
      </c>
      <c r="G74" s="314" t="s">
        <v>98</v>
      </c>
      <c r="H74" s="86"/>
      <c r="I74" s="398">
        <v>1324.5359000000001</v>
      </c>
      <c r="J74" s="399">
        <f t="shared" si="2"/>
        <v>1.1339999999999999</v>
      </c>
      <c r="K74" s="398">
        <v>608.11</v>
      </c>
      <c r="L74" s="86"/>
      <c r="M74" s="86"/>
    </row>
    <row r="75" spans="1:18" ht="15" hidden="1" customHeight="1">
      <c r="A75" s="314">
        <v>23</v>
      </c>
      <c r="B75" s="314" t="s">
        <v>116</v>
      </c>
      <c r="C75" s="315">
        <f t="shared" si="3"/>
        <v>3892.8859199999997</v>
      </c>
      <c r="D75" s="315">
        <f t="shared" si="4"/>
        <v>4506.6121631999995</v>
      </c>
      <c r="E75" s="315">
        <v>0</v>
      </c>
      <c r="F75" s="316">
        <v>0</v>
      </c>
      <c r="G75" s="314" t="s">
        <v>99</v>
      </c>
      <c r="H75" s="86"/>
      <c r="I75" s="398">
        <v>3974.0848000000001</v>
      </c>
      <c r="J75" s="399">
        <f t="shared" si="2"/>
        <v>1.1339999999999999</v>
      </c>
      <c r="K75" s="398">
        <v>3432.88</v>
      </c>
      <c r="L75" s="86"/>
      <c r="M75" s="86"/>
    </row>
    <row r="76" spans="1:18" ht="15" hidden="1" customHeight="1">
      <c r="A76" s="314">
        <v>24</v>
      </c>
      <c r="B76" s="314" t="s">
        <v>116</v>
      </c>
      <c r="C76" s="315">
        <f t="shared" si="3"/>
        <v>3628.3690799999995</v>
      </c>
      <c r="D76" s="315">
        <f t="shared" si="4"/>
        <v>5164.7428979999995</v>
      </c>
      <c r="E76" s="315">
        <v>0</v>
      </c>
      <c r="F76" s="316">
        <v>0</v>
      </c>
      <c r="G76" s="314" t="s">
        <v>100</v>
      </c>
      <c r="H76" s="86"/>
      <c r="I76" s="398">
        <v>4554.4470000000001</v>
      </c>
      <c r="J76" s="399">
        <f t="shared" si="2"/>
        <v>1.1339999999999999</v>
      </c>
      <c r="K76" s="398">
        <v>3199.62</v>
      </c>
      <c r="L76" s="86"/>
      <c r="M76" s="86"/>
    </row>
    <row r="77" spans="1:18" ht="15" hidden="1" customHeight="1">
      <c r="A77" s="314">
        <v>25</v>
      </c>
      <c r="B77" s="314" t="s">
        <v>116</v>
      </c>
      <c r="C77" s="315">
        <f t="shared" si="3"/>
        <v>3333.5404199999998</v>
      </c>
      <c r="D77" s="315">
        <f t="shared" si="4"/>
        <v>8947.2448043999993</v>
      </c>
      <c r="E77" s="315">
        <v>0</v>
      </c>
      <c r="F77" s="316">
        <v>0</v>
      </c>
      <c r="G77" s="314" t="s">
        <v>101</v>
      </c>
      <c r="H77" s="86"/>
      <c r="I77" s="398">
        <v>7889.9866000000002</v>
      </c>
      <c r="J77" s="399">
        <f t="shared" si="2"/>
        <v>1.1339999999999999</v>
      </c>
      <c r="K77" s="398">
        <v>2939.63</v>
      </c>
      <c r="L77" s="86"/>
      <c r="M77" s="86"/>
    </row>
    <row r="78" spans="1:18" ht="15" hidden="1" customHeight="1">
      <c r="A78" s="314">
        <v>26</v>
      </c>
      <c r="B78" s="314" t="s">
        <v>116</v>
      </c>
      <c r="C78" s="315">
        <f t="shared" si="3"/>
        <v>58.004099999999994</v>
      </c>
      <c r="D78" s="315">
        <f t="shared" si="4"/>
        <v>3036.8898755999994</v>
      </c>
      <c r="E78" s="315">
        <v>0</v>
      </c>
      <c r="F78" s="316">
        <v>0</v>
      </c>
      <c r="G78" s="314" t="s">
        <v>102</v>
      </c>
      <c r="H78" s="86"/>
      <c r="I78" s="398">
        <v>2678.0333999999998</v>
      </c>
      <c r="J78" s="399">
        <f t="shared" si="2"/>
        <v>1.1339999999999999</v>
      </c>
      <c r="K78" s="398">
        <v>51.15</v>
      </c>
      <c r="L78" s="86"/>
      <c r="M78" s="86"/>
    </row>
    <row r="79" spans="1:18" ht="15" hidden="1" customHeight="1">
      <c r="A79" s="314">
        <v>27</v>
      </c>
      <c r="B79" s="314" t="s">
        <v>116</v>
      </c>
      <c r="C79" s="315">
        <f t="shared" si="3"/>
        <v>273.49811999999997</v>
      </c>
      <c r="D79" s="315">
        <f t="shared" si="4"/>
        <v>400.44102839999994</v>
      </c>
      <c r="E79" s="315">
        <v>0</v>
      </c>
      <c r="F79" s="316">
        <v>0</v>
      </c>
      <c r="G79" s="314" t="s">
        <v>103</v>
      </c>
      <c r="H79" s="86"/>
      <c r="I79" s="398">
        <v>353.12259999999998</v>
      </c>
      <c r="J79" s="399">
        <f t="shared" si="2"/>
        <v>1.1339999999999999</v>
      </c>
      <c r="K79" s="398">
        <v>241.18</v>
      </c>
      <c r="L79" s="86"/>
      <c r="M79" s="86"/>
    </row>
    <row r="80" spans="1:18" ht="15" hidden="1" customHeight="1">
      <c r="A80" s="314">
        <v>28</v>
      </c>
      <c r="B80" s="314" t="s">
        <v>116</v>
      </c>
      <c r="C80" s="315">
        <f t="shared" si="3"/>
        <v>1728.0572399999996</v>
      </c>
      <c r="D80" s="315">
        <f t="shared" si="4"/>
        <v>2451.1811435999998</v>
      </c>
      <c r="E80" s="315">
        <v>0</v>
      </c>
      <c r="F80" s="316">
        <v>0</v>
      </c>
      <c r="G80" s="314" t="s">
        <v>104</v>
      </c>
      <c r="H80" s="86"/>
      <c r="I80" s="398">
        <v>2161.5354000000002</v>
      </c>
      <c r="J80" s="399">
        <f t="shared" si="2"/>
        <v>1.1339999999999999</v>
      </c>
      <c r="K80" s="398">
        <v>1523.86</v>
      </c>
      <c r="L80" s="86"/>
      <c r="M80" s="86"/>
    </row>
    <row r="81" spans="1:13" ht="15" hidden="1" customHeight="1">
      <c r="A81" s="314">
        <v>29</v>
      </c>
      <c r="B81" s="314" t="s">
        <v>116</v>
      </c>
      <c r="C81" s="315">
        <f t="shared" si="3"/>
        <v>2664.6505200000001</v>
      </c>
      <c r="D81" s="315">
        <f t="shared" si="4"/>
        <v>3300.6436469999999</v>
      </c>
      <c r="E81" s="315">
        <v>0</v>
      </c>
      <c r="F81" s="316">
        <v>0</v>
      </c>
      <c r="G81" s="314" t="s">
        <v>105</v>
      </c>
      <c r="H81" s="86"/>
      <c r="I81" s="398">
        <v>2910.6205</v>
      </c>
      <c r="J81" s="399">
        <f t="shared" si="2"/>
        <v>1.1339999999999999</v>
      </c>
      <c r="K81" s="398">
        <v>2349.7800000000002</v>
      </c>
      <c r="L81" s="86"/>
      <c r="M81" s="86"/>
    </row>
    <row r="82" spans="1:13" ht="15" hidden="1" customHeight="1">
      <c r="A82" s="314">
        <v>30</v>
      </c>
      <c r="B82" s="314" t="s">
        <v>116</v>
      </c>
      <c r="C82" s="315">
        <f t="shared" si="3"/>
        <v>3096.3643199999997</v>
      </c>
      <c r="D82" s="315">
        <f t="shared" si="4"/>
        <v>3615.9821711999998</v>
      </c>
      <c r="E82" s="315">
        <v>0</v>
      </c>
      <c r="F82" s="316">
        <v>0</v>
      </c>
      <c r="G82" s="314" t="s">
        <v>106</v>
      </c>
      <c r="H82" s="86"/>
      <c r="I82" s="398">
        <v>3188.6968000000002</v>
      </c>
      <c r="J82" s="399">
        <f t="shared" si="2"/>
        <v>1.1339999999999999</v>
      </c>
      <c r="K82" s="398">
        <v>2730.48</v>
      </c>
      <c r="L82" s="86"/>
      <c r="M82" s="86"/>
    </row>
    <row r="83" spans="1:13" ht="15" hidden="1" customHeight="1">
      <c r="A83" s="314">
        <v>31</v>
      </c>
      <c r="B83" s="314" t="s">
        <v>116</v>
      </c>
      <c r="C83" s="315">
        <f t="shared" si="3"/>
        <v>952.46927999999991</v>
      </c>
      <c r="D83" s="315">
        <f t="shared" si="4"/>
        <v>2110.1038811999997</v>
      </c>
      <c r="E83" s="315">
        <v>0</v>
      </c>
      <c r="F83" s="316">
        <v>0</v>
      </c>
      <c r="G83" s="314" t="s">
        <v>107</v>
      </c>
      <c r="H83" s="86"/>
      <c r="I83" s="398">
        <v>1860.7618</v>
      </c>
      <c r="J83" s="399">
        <f t="shared" si="2"/>
        <v>1.1339999999999999</v>
      </c>
      <c r="K83" s="398">
        <v>839.92</v>
      </c>
      <c r="L83" s="86"/>
      <c r="M83" s="86"/>
    </row>
    <row r="84" spans="1:13" ht="15" hidden="1" customHeight="1">
      <c r="A84" s="314">
        <v>32</v>
      </c>
      <c r="B84" s="314" t="s">
        <v>116</v>
      </c>
      <c r="C84" s="315">
        <f>K84*J84</f>
        <v>2464.4625749458787</v>
      </c>
      <c r="D84" s="315">
        <f>I84*J84</f>
        <v>3997.0187984477379</v>
      </c>
      <c r="E84" s="315">
        <v>0</v>
      </c>
      <c r="F84" s="316">
        <v>0</v>
      </c>
      <c r="G84" s="314" t="s">
        <v>612</v>
      </c>
      <c r="H84" s="86"/>
      <c r="I84" s="398">
        <v>3524.7079351390989</v>
      </c>
      <c r="J84" s="399">
        <f>IF(Aplicar_Escala=1,INDEX(Factor_Escala,1),1)</f>
        <v>1.1339999999999999</v>
      </c>
      <c r="K84" s="398">
        <v>2173.2474205871949</v>
      </c>
      <c r="L84" s="86"/>
      <c r="M84" s="86"/>
    </row>
    <row r="85" spans="1:13" ht="15" hidden="1" customHeight="1">
      <c r="A85" s="314">
        <v>33</v>
      </c>
      <c r="B85" s="314" t="s">
        <v>116</v>
      </c>
      <c r="C85" s="315">
        <f t="shared" si="3"/>
        <v>4542.1605450541201</v>
      </c>
      <c r="D85" s="315">
        <f t="shared" si="4"/>
        <v>5963.06774495226</v>
      </c>
      <c r="E85" s="315">
        <v>0</v>
      </c>
      <c r="F85" s="316">
        <v>0</v>
      </c>
      <c r="G85" s="314" t="s">
        <v>613</v>
      </c>
      <c r="H85" s="86"/>
      <c r="I85" s="398">
        <v>5258.4371648609003</v>
      </c>
      <c r="J85" s="399">
        <f t="shared" si="2"/>
        <v>1.1339999999999999</v>
      </c>
      <c r="K85" s="398">
        <v>4005.4325794128049</v>
      </c>
      <c r="L85" s="86"/>
      <c r="M85" s="86"/>
    </row>
    <row r="86" spans="1:13" ht="15" hidden="1" customHeight="1">
      <c r="A86" s="314">
        <v>34</v>
      </c>
      <c r="B86" s="314" t="s">
        <v>118</v>
      </c>
      <c r="C86" s="315">
        <f t="shared" si="3"/>
        <v>62790.251401865469</v>
      </c>
      <c r="D86" s="315">
        <f t="shared" si="4"/>
        <v>117936.00979586398</v>
      </c>
      <c r="E86" s="315">
        <f>D86*F86</f>
        <v>0</v>
      </c>
      <c r="F86" s="316">
        <f t="shared" ref="F86:F118" si="8">C14</f>
        <v>0</v>
      </c>
      <c r="G86" s="314" t="s">
        <v>599</v>
      </c>
      <c r="H86" s="86"/>
      <c r="I86" s="398">
        <v>103271.462168007</v>
      </c>
      <c r="J86" s="399">
        <f t="shared" ref="J86:J118" si="9">IF(Aplicar_Escala=1,INDEX(Factor_Escala,2),1)</f>
        <v>1.1419999999999999</v>
      </c>
      <c r="K86" s="398">
        <v>54982.707006887453</v>
      </c>
      <c r="L86" s="86"/>
      <c r="M86" s="86"/>
    </row>
    <row r="87" spans="1:13" ht="15" hidden="1" customHeight="1">
      <c r="A87" s="314">
        <v>35</v>
      </c>
      <c r="B87" s="314" t="s">
        <v>118</v>
      </c>
      <c r="C87" s="315">
        <f>K87*J87</f>
        <v>25440.508390778195</v>
      </c>
      <c r="D87" s="315">
        <f>I87*J87</f>
        <v>47783.724062258458</v>
      </c>
      <c r="E87" s="315">
        <f>D87*F87</f>
        <v>0</v>
      </c>
      <c r="F87" s="316">
        <f t="shared" si="8"/>
        <v>0</v>
      </c>
      <c r="G87" s="314" t="s">
        <v>600</v>
      </c>
      <c r="H87" s="86"/>
      <c r="I87" s="398">
        <v>41842.140159595852</v>
      </c>
      <c r="J87" s="399">
        <f>IF(Aplicar_Escala=1,INDEX(Factor_Escala,2),1)</f>
        <v>1.1419999999999999</v>
      </c>
      <c r="K87" s="398">
        <v>22277.152706460769</v>
      </c>
      <c r="L87" s="86"/>
      <c r="M87" s="86"/>
    </row>
    <row r="88" spans="1:13" ht="15" hidden="1" customHeight="1">
      <c r="A88" s="314">
        <v>36</v>
      </c>
      <c r="B88" s="314" t="s">
        <v>118</v>
      </c>
      <c r="C88" s="315">
        <f>K88*J88</f>
        <v>3221.1625138006548</v>
      </c>
      <c r="D88" s="315">
        <f>I88*J88</f>
        <v>6050.1597827712703</v>
      </c>
      <c r="E88" s="315">
        <f>D88*F88</f>
        <v>0</v>
      </c>
      <c r="F88" s="316">
        <f t="shared" si="8"/>
        <v>0</v>
      </c>
      <c r="G88" s="314" t="s">
        <v>601</v>
      </c>
      <c r="H88" s="86"/>
      <c r="I88" s="398">
        <v>5297.8632073303597</v>
      </c>
      <c r="J88" s="399">
        <f>IF(Aplicar_Escala=1,INDEX(Factor_Escala,2),1)</f>
        <v>1.1419999999999999</v>
      </c>
      <c r="K88" s="398">
        <v>2820.6326740811342</v>
      </c>
      <c r="L88" s="86"/>
      <c r="M88" s="86"/>
    </row>
    <row r="89" spans="1:13" ht="15" hidden="1" customHeight="1">
      <c r="A89" s="314">
        <v>37</v>
      </c>
      <c r="B89" s="314" t="s">
        <v>118</v>
      </c>
      <c r="C89" s="315">
        <f>K89*J89</f>
        <v>551.9715535556951</v>
      </c>
      <c r="D89" s="315">
        <f>I89*J89</f>
        <v>1036.7425053063048</v>
      </c>
      <c r="E89" s="315">
        <f>D89*F89</f>
        <v>0</v>
      </c>
      <c r="F89" s="316">
        <f t="shared" si="8"/>
        <v>0</v>
      </c>
      <c r="G89" s="314" t="s">
        <v>602</v>
      </c>
      <c r="H89" s="86"/>
      <c r="I89" s="398">
        <v>907.83056506681692</v>
      </c>
      <c r="J89" s="399">
        <f>IF(Aplicar_Escala=1,INDEX(Factor_Escala,2),1)</f>
        <v>1.1419999999999999</v>
      </c>
      <c r="K89" s="398">
        <v>483.33761257066129</v>
      </c>
      <c r="L89" s="86"/>
      <c r="M89" s="86"/>
    </row>
    <row r="90" spans="1:13" ht="15" hidden="1" customHeight="1">
      <c r="A90" s="314">
        <v>38</v>
      </c>
      <c r="B90" s="314" t="s">
        <v>118</v>
      </c>
      <c r="C90" s="315">
        <f t="shared" si="3"/>
        <v>64089.885079999993</v>
      </c>
      <c r="D90" s="315">
        <f t="shared" si="4"/>
        <v>225441.98372019999</v>
      </c>
      <c r="E90" s="315">
        <f t="shared" ref="E90:E189" si="10">D90*F90</f>
        <v>0</v>
      </c>
      <c r="F90" s="316">
        <f t="shared" si="8"/>
        <v>0</v>
      </c>
      <c r="G90" s="314" t="s">
        <v>91</v>
      </c>
      <c r="H90" s="86"/>
      <c r="I90" s="398">
        <v>197409.79310000001</v>
      </c>
      <c r="J90" s="399">
        <f t="shared" si="9"/>
        <v>1.1419999999999999</v>
      </c>
      <c r="K90" s="398">
        <v>56120.74</v>
      </c>
      <c r="L90" s="86"/>
      <c r="M90" s="86"/>
    </row>
    <row r="91" spans="1:13" ht="15" hidden="1" customHeight="1">
      <c r="A91" s="314">
        <v>39</v>
      </c>
      <c r="B91" s="314" t="s">
        <v>118</v>
      </c>
      <c r="C91" s="315">
        <f t="shared" si="3"/>
        <v>16238.336358610144</v>
      </c>
      <c r="D91" s="315">
        <f t="shared" si="4"/>
        <v>74851.36584521929</v>
      </c>
      <c r="E91" s="315">
        <f t="shared" si="10"/>
        <v>0</v>
      </c>
      <c r="F91" s="316">
        <f t="shared" si="8"/>
        <v>0</v>
      </c>
      <c r="G91" s="314" t="s">
        <v>603</v>
      </c>
      <c r="H91" s="86"/>
      <c r="I91" s="398">
        <v>65544.10319196085</v>
      </c>
      <c r="J91" s="399">
        <f t="shared" si="9"/>
        <v>1.1419999999999999</v>
      </c>
      <c r="K91" s="398">
        <v>14219.208720324121</v>
      </c>
      <c r="L91" s="86"/>
      <c r="M91" s="86"/>
    </row>
    <row r="92" spans="1:13" ht="15" hidden="1" customHeight="1">
      <c r="A92" s="314">
        <v>40</v>
      </c>
      <c r="B92" s="314" t="s">
        <v>118</v>
      </c>
      <c r="C92" s="315">
        <f t="shared" ref="C92:C97" si="11">K92*J92</f>
        <v>5520.6695514263356</v>
      </c>
      <c r="D92" s="315">
        <f t="shared" ref="D92:D97" si="12">I92*J92</f>
        <v>25447.782776421322</v>
      </c>
      <c r="E92" s="315">
        <f t="shared" ref="E92:E97" si="13">D92*F92</f>
        <v>0</v>
      </c>
      <c r="F92" s="316">
        <f t="shared" si="8"/>
        <v>0</v>
      </c>
      <c r="G92" s="314" t="s">
        <v>604</v>
      </c>
      <c r="H92" s="86"/>
      <c r="I92" s="398">
        <v>22283.52257129713</v>
      </c>
      <c r="J92" s="399">
        <f t="shared" ref="J92:J97" si="14">IF(Aplicar_Escala=1,INDEX(Factor_Escala,2),1)</f>
        <v>1.1419999999999999</v>
      </c>
      <c r="K92" s="398">
        <v>4834.2115161351458</v>
      </c>
      <c r="L92" s="86"/>
      <c r="M92" s="86"/>
    </row>
    <row r="93" spans="1:13" ht="15" hidden="1" customHeight="1">
      <c r="A93" s="314">
        <v>41</v>
      </c>
      <c r="B93" s="314" t="s">
        <v>118</v>
      </c>
      <c r="C93" s="315">
        <f t="shared" si="11"/>
        <v>3646.5526260247339</v>
      </c>
      <c r="D93" s="315">
        <f t="shared" si="12"/>
        <v>16808.953741107533</v>
      </c>
      <c r="E93" s="315">
        <f t="shared" si="13"/>
        <v>0</v>
      </c>
      <c r="F93" s="316">
        <f t="shared" si="8"/>
        <v>0</v>
      </c>
      <c r="G93" s="314" t="s">
        <v>87</v>
      </c>
      <c r="H93" s="86"/>
      <c r="I93" s="398">
        <v>14718.87367872814</v>
      </c>
      <c r="J93" s="399">
        <f t="shared" si="14"/>
        <v>1.1419999999999999</v>
      </c>
      <c r="K93" s="398">
        <v>3193.1283940671929</v>
      </c>
      <c r="L93" s="86"/>
      <c r="M93" s="86"/>
    </row>
    <row r="94" spans="1:13" ht="15" hidden="1" customHeight="1">
      <c r="A94" s="314">
        <v>42</v>
      </c>
      <c r="B94" s="314" t="s">
        <v>118</v>
      </c>
      <c r="C94" s="315">
        <f t="shared" si="11"/>
        <v>8096.4645470549176</v>
      </c>
      <c r="D94" s="315">
        <f t="shared" si="12"/>
        <v>37321.029474987801</v>
      </c>
      <c r="E94" s="315">
        <f t="shared" si="13"/>
        <v>0</v>
      </c>
      <c r="F94" s="316">
        <f t="shared" si="8"/>
        <v>0</v>
      </c>
      <c r="G94" s="314" t="s">
        <v>605</v>
      </c>
      <c r="H94" s="86"/>
      <c r="I94" s="398">
        <v>32680.41109893853</v>
      </c>
      <c r="J94" s="399">
        <f t="shared" si="14"/>
        <v>1.1419999999999999</v>
      </c>
      <c r="K94" s="398">
        <v>7089.7237715016799</v>
      </c>
      <c r="L94" s="86"/>
      <c r="M94" s="86"/>
    </row>
    <row r="95" spans="1:13" ht="15" hidden="1" customHeight="1">
      <c r="A95" s="314">
        <v>43</v>
      </c>
      <c r="B95" s="314" t="s">
        <v>118</v>
      </c>
      <c r="C95" s="315">
        <f t="shared" si="11"/>
        <v>1472.8253741766571</v>
      </c>
      <c r="D95" s="315">
        <f t="shared" si="12"/>
        <v>6789.0569867500089</v>
      </c>
      <c r="E95" s="315">
        <f t="shared" si="13"/>
        <v>0</v>
      </c>
      <c r="F95" s="316">
        <f t="shared" si="8"/>
        <v>0</v>
      </c>
      <c r="G95" s="314" t="s">
        <v>606</v>
      </c>
      <c r="H95" s="86"/>
      <c r="I95" s="398">
        <v>5944.8835260507967</v>
      </c>
      <c r="J95" s="399">
        <f t="shared" si="14"/>
        <v>1.1419999999999999</v>
      </c>
      <c r="K95" s="398">
        <v>1289.6894695067051</v>
      </c>
      <c r="L95" s="86"/>
      <c r="M95" s="86"/>
    </row>
    <row r="96" spans="1:13" ht="15" hidden="1" customHeight="1">
      <c r="A96" s="314">
        <v>44</v>
      </c>
      <c r="B96" s="314" t="s">
        <v>118</v>
      </c>
      <c r="C96" s="315">
        <f t="shared" si="11"/>
        <v>5297.9022879803797</v>
      </c>
      <c r="D96" s="315">
        <f t="shared" si="12"/>
        <v>24420.926726251488</v>
      </c>
      <c r="E96" s="315">
        <f t="shared" si="13"/>
        <v>0</v>
      </c>
      <c r="F96" s="316">
        <f t="shared" si="8"/>
        <v>0</v>
      </c>
      <c r="G96" s="314" t="s">
        <v>607</v>
      </c>
      <c r="H96" s="86"/>
      <c r="I96" s="398">
        <v>21384.349147330551</v>
      </c>
      <c r="J96" s="399">
        <f t="shared" si="14"/>
        <v>1.1419999999999999</v>
      </c>
      <c r="K96" s="398">
        <v>4639.1438598777413</v>
      </c>
      <c r="L96" s="86"/>
      <c r="M96" s="86"/>
    </row>
    <row r="97" spans="1:13" ht="15" hidden="1" customHeight="1">
      <c r="A97" s="314">
        <v>45</v>
      </c>
      <c r="B97" s="314" t="s">
        <v>118</v>
      </c>
      <c r="C97" s="315">
        <f t="shared" si="11"/>
        <v>8867.223754726816</v>
      </c>
      <c r="D97" s="315">
        <f t="shared" si="12"/>
        <v>40873.87985066251</v>
      </c>
      <c r="E97" s="315">
        <f t="shared" si="13"/>
        <v>0</v>
      </c>
      <c r="F97" s="316">
        <f t="shared" si="8"/>
        <v>0</v>
      </c>
      <c r="G97" s="314" t="s">
        <v>608</v>
      </c>
      <c r="H97" s="86"/>
      <c r="I97" s="398">
        <v>35791.488485693968</v>
      </c>
      <c r="J97" s="399">
        <f t="shared" si="14"/>
        <v>1.1419999999999999</v>
      </c>
      <c r="K97" s="398">
        <v>7764.6442685874044</v>
      </c>
      <c r="L97" s="86"/>
      <c r="M97" s="86"/>
    </row>
    <row r="98" spans="1:13" ht="15" hidden="1" customHeight="1">
      <c r="A98" s="314">
        <v>46</v>
      </c>
      <c r="B98" s="314" t="s">
        <v>118</v>
      </c>
      <c r="C98" s="315">
        <f t="shared" si="3"/>
        <v>13991.667745451072</v>
      </c>
      <c r="D98" s="315">
        <f t="shared" si="4"/>
        <v>36167.29818379732</v>
      </c>
      <c r="E98" s="315">
        <f t="shared" si="10"/>
        <v>0</v>
      </c>
      <c r="F98" s="316">
        <f t="shared" si="8"/>
        <v>0</v>
      </c>
      <c r="G98" s="314" t="s">
        <v>609</v>
      </c>
      <c r="H98" s="86"/>
      <c r="I98" s="398">
        <v>31670.138514708691</v>
      </c>
      <c r="J98" s="399">
        <f t="shared" si="9"/>
        <v>1.1419999999999999</v>
      </c>
      <c r="K98" s="398">
        <v>12251.898200920379</v>
      </c>
      <c r="L98" s="86"/>
      <c r="M98" s="86"/>
    </row>
    <row r="99" spans="1:13" ht="15" hidden="1" customHeight="1">
      <c r="A99" s="314">
        <v>47</v>
      </c>
      <c r="B99" s="314" t="s">
        <v>118</v>
      </c>
      <c r="C99" s="315">
        <f>K99*J99</f>
        <v>4326.1721345489268</v>
      </c>
      <c r="D99" s="315">
        <f>I99*J99</f>
        <v>11182.795391602673</v>
      </c>
      <c r="E99" s="315">
        <f>D99*F99</f>
        <v>0</v>
      </c>
      <c r="F99" s="316">
        <f t="shared" si="8"/>
        <v>0</v>
      </c>
      <c r="G99" s="314" t="s">
        <v>610</v>
      </c>
      <c r="H99" s="86"/>
      <c r="I99" s="398">
        <v>9792.2901852913074</v>
      </c>
      <c r="J99" s="399">
        <f>IF(Aplicar_Escala=1,INDEX(Factor_Escala,2),1)</f>
        <v>1.1419999999999999</v>
      </c>
      <c r="K99" s="398">
        <v>3788.2417990796212</v>
      </c>
      <c r="L99" s="86"/>
      <c r="M99" s="86"/>
    </row>
    <row r="100" spans="1:13" ht="15" hidden="1" customHeight="1">
      <c r="A100" s="314">
        <v>48</v>
      </c>
      <c r="B100" s="314" t="s">
        <v>118</v>
      </c>
      <c r="C100" s="315">
        <f t="shared" si="3"/>
        <v>5970.7475307538207</v>
      </c>
      <c r="D100" s="315">
        <f t="shared" si="4"/>
        <v>17198.849578807625</v>
      </c>
      <c r="E100" s="315">
        <f t="shared" si="10"/>
        <v>0</v>
      </c>
      <c r="F100" s="316">
        <f t="shared" si="8"/>
        <v>0</v>
      </c>
      <c r="G100" s="314" t="s">
        <v>92</v>
      </c>
      <c r="H100" s="86"/>
      <c r="I100" s="398">
        <v>15060.288597905101</v>
      </c>
      <c r="J100" s="399">
        <f t="shared" si="9"/>
        <v>1.1419999999999999</v>
      </c>
      <c r="K100" s="398">
        <v>5228.3253334096507</v>
      </c>
      <c r="L100" s="86"/>
      <c r="M100" s="86"/>
    </row>
    <row r="101" spans="1:13" ht="15" hidden="1" customHeight="1">
      <c r="A101" s="314">
        <v>49</v>
      </c>
      <c r="B101" s="314" t="s">
        <v>118</v>
      </c>
      <c r="C101" s="315">
        <f>K101*J101</f>
        <v>10613.50208924618</v>
      </c>
      <c r="D101" s="315">
        <f>I101*J101</f>
        <v>30572.390642392373</v>
      </c>
      <c r="E101" s="315">
        <f>D101*F101</f>
        <v>0</v>
      </c>
      <c r="F101" s="316">
        <f t="shared" si="8"/>
        <v>0</v>
      </c>
      <c r="G101" s="314" t="s">
        <v>611</v>
      </c>
      <c r="H101" s="86"/>
      <c r="I101" s="398">
        <v>26770.920002094899</v>
      </c>
      <c r="J101" s="399">
        <f>IF(Aplicar_Escala=1,INDEX(Factor_Escala,2),1)</f>
        <v>1.1419999999999999</v>
      </c>
      <c r="K101" s="398">
        <v>9293.7846665903508</v>
      </c>
      <c r="L101" s="86"/>
      <c r="M101" s="86"/>
    </row>
    <row r="102" spans="1:13" ht="15" hidden="1" customHeight="1">
      <c r="A102" s="314">
        <v>50</v>
      </c>
      <c r="B102" s="314" t="s">
        <v>118</v>
      </c>
      <c r="C102" s="315">
        <f t="shared" si="3"/>
        <v>40549.199559999994</v>
      </c>
      <c r="D102" s="315">
        <f t="shared" si="4"/>
        <v>162551.44302819998</v>
      </c>
      <c r="E102" s="315">
        <f t="shared" si="10"/>
        <v>0</v>
      </c>
      <c r="F102" s="316">
        <f t="shared" si="8"/>
        <v>0</v>
      </c>
      <c r="G102" s="314" t="s">
        <v>93</v>
      </c>
      <c r="H102" s="86"/>
      <c r="I102" s="398">
        <v>142339.2671</v>
      </c>
      <c r="J102" s="399">
        <f t="shared" si="9"/>
        <v>1.1419999999999999</v>
      </c>
      <c r="K102" s="398">
        <v>35507.18</v>
      </c>
      <c r="L102" s="86"/>
      <c r="M102" s="86"/>
    </row>
    <row r="103" spans="1:13" ht="15" hidden="1" customHeight="1">
      <c r="A103" s="314">
        <v>51</v>
      </c>
      <c r="B103" s="314" t="s">
        <v>118</v>
      </c>
      <c r="C103" s="315">
        <f t="shared" si="3"/>
        <v>7389.6193400000002</v>
      </c>
      <c r="D103" s="315">
        <f t="shared" si="4"/>
        <v>23920.813124600001</v>
      </c>
      <c r="E103" s="315">
        <f t="shared" si="10"/>
        <v>0</v>
      </c>
      <c r="F103" s="316">
        <f t="shared" si="8"/>
        <v>0</v>
      </c>
      <c r="G103" s="314" t="s">
        <v>94</v>
      </c>
      <c r="H103" s="86"/>
      <c r="I103" s="398">
        <v>20946.421300000002</v>
      </c>
      <c r="J103" s="399">
        <f t="shared" si="9"/>
        <v>1.1419999999999999</v>
      </c>
      <c r="K103" s="398">
        <v>6470.77</v>
      </c>
      <c r="L103" s="86"/>
      <c r="M103" s="86"/>
    </row>
    <row r="104" spans="1:13" ht="15" hidden="1" customHeight="1">
      <c r="A104" s="314">
        <v>52</v>
      </c>
      <c r="B104" s="314" t="s">
        <v>118</v>
      </c>
      <c r="C104" s="315">
        <f t="shared" si="3"/>
        <v>14977.455619999999</v>
      </c>
      <c r="D104" s="315">
        <f t="shared" si="4"/>
        <v>64576.675027799996</v>
      </c>
      <c r="E104" s="315">
        <f t="shared" si="10"/>
        <v>0</v>
      </c>
      <c r="F104" s="316">
        <f t="shared" si="8"/>
        <v>0</v>
      </c>
      <c r="G104" s="314" t="s">
        <v>95</v>
      </c>
      <c r="H104" s="86"/>
      <c r="I104" s="398">
        <v>56547.000899999999</v>
      </c>
      <c r="J104" s="399">
        <f t="shared" si="9"/>
        <v>1.1419999999999999</v>
      </c>
      <c r="K104" s="398">
        <v>13115.11</v>
      </c>
      <c r="L104" s="86"/>
      <c r="M104" s="86"/>
    </row>
    <row r="105" spans="1:13" ht="15" hidden="1" customHeight="1">
      <c r="A105" s="314">
        <v>53</v>
      </c>
      <c r="B105" s="314" t="s">
        <v>118</v>
      </c>
      <c r="C105" s="315">
        <f t="shared" si="3"/>
        <v>10287.672739999998</v>
      </c>
      <c r="D105" s="315">
        <f t="shared" si="4"/>
        <v>30159.199965600001</v>
      </c>
      <c r="E105" s="315">
        <f t="shared" si="10"/>
        <v>0</v>
      </c>
      <c r="F105" s="316">
        <f t="shared" si="8"/>
        <v>0</v>
      </c>
      <c r="G105" s="314" t="s">
        <v>96</v>
      </c>
      <c r="H105" s="86"/>
      <c r="I105" s="398">
        <v>26409.106800000001</v>
      </c>
      <c r="J105" s="399">
        <f t="shared" si="9"/>
        <v>1.1419999999999999</v>
      </c>
      <c r="K105" s="398">
        <v>9008.4699999999993</v>
      </c>
      <c r="L105" s="86"/>
      <c r="M105" s="86"/>
    </row>
    <row r="106" spans="1:13" ht="15" hidden="1" customHeight="1">
      <c r="A106" s="314">
        <v>54</v>
      </c>
      <c r="B106" s="314" t="s">
        <v>118</v>
      </c>
      <c r="C106" s="315">
        <f t="shared" si="3"/>
        <v>44151.615720000002</v>
      </c>
      <c r="D106" s="315">
        <f t="shared" si="4"/>
        <v>184003.15222779996</v>
      </c>
      <c r="E106" s="315">
        <f t="shared" si="10"/>
        <v>0</v>
      </c>
      <c r="F106" s="316">
        <f t="shared" si="8"/>
        <v>0</v>
      </c>
      <c r="G106" s="314" t="s">
        <v>97</v>
      </c>
      <c r="H106" s="86"/>
      <c r="I106" s="398">
        <v>161123.60089999999</v>
      </c>
      <c r="J106" s="399">
        <f t="shared" si="9"/>
        <v>1.1419999999999999</v>
      </c>
      <c r="K106" s="398">
        <v>38661.660000000003</v>
      </c>
      <c r="L106" s="86"/>
      <c r="M106" s="86"/>
    </row>
    <row r="107" spans="1:13" ht="15" hidden="1" customHeight="1">
      <c r="A107" s="314">
        <v>55</v>
      </c>
      <c r="B107" s="314" t="s">
        <v>118</v>
      </c>
      <c r="C107" s="315">
        <f t="shared" si="3"/>
        <v>18757.064499999997</v>
      </c>
      <c r="D107" s="315">
        <f t="shared" si="4"/>
        <v>45784.303656399992</v>
      </c>
      <c r="E107" s="315">
        <f t="shared" si="10"/>
        <v>0</v>
      </c>
      <c r="F107" s="316">
        <f t="shared" si="8"/>
        <v>0</v>
      </c>
      <c r="G107" s="314" t="s">
        <v>98</v>
      </c>
      <c r="H107" s="86"/>
      <c r="I107" s="398">
        <v>40091.334199999998</v>
      </c>
      <c r="J107" s="399">
        <f t="shared" si="9"/>
        <v>1.1419999999999999</v>
      </c>
      <c r="K107" s="398">
        <v>16424.75</v>
      </c>
      <c r="L107" s="86"/>
      <c r="M107" s="86"/>
    </row>
    <row r="108" spans="1:13" ht="15" hidden="1" customHeight="1">
      <c r="A108" s="314">
        <v>56</v>
      </c>
      <c r="B108" s="314" t="s">
        <v>118</v>
      </c>
      <c r="C108" s="315">
        <f t="shared" si="3"/>
        <v>55164.184379999992</v>
      </c>
      <c r="D108" s="315">
        <f t="shared" si="4"/>
        <v>116932.5881064</v>
      </c>
      <c r="E108" s="315">
        <f t="shared" si="10"/>
        <v>0</v>
      </c>
      <c r="F108" s="316">
        <f t="shared" si="8"/>
        <v>0</v>
      </c>
      <c r="G108" s="314" t="s">
        <v>99</v>
      </c>
      <c r="H108" s="86"/>
      <c r="I108" s="398">
        <v>102392.8092</v>
      </c>
      <c r="J108" s="399">
        <f t="shared" si="9"/>
        <v>1.1419999999999999</v>
      </c>
      <c r="K108" s="398">
        <v>48304.89</v>
      </c>
      <c r="L108" s="86"/>
      <c r="M108" s="86"/>
    </row>
    <row r="109" spans="1:13" ht="15" hidden="1" customHeight="1">
      <c r="A109" s="314">
        <v>57</v>
      </c>
      <c r="B109" s="314" t="s">
        <v>118</v>
      </c>
      <c r="C109" s="315">
        <f t="shared" si="3"/>
        <v>71207.068899999984</v>
      </c>
      <c r="D109" s="315">
        <f t="shared" si="4"/>
        <v>161973.20526059996</v>
      </c>
      <c r="E109" s="315">
        <f t="shared" si="10"/>
        <v>0</v>
      </c>
      <c r="F109" s="316">
        <f t="shared" si="8"/>
        <v>0</v>
      </c>
      <c r="G109" s="314" t="s">
        <v>100</v>
      </c>
      <c r="H109" s="86"/>
      <c r="I109" s="398">
        <v>141832.92929999999</v>
      </c>
      <c r="J109" s="399">
        <f t="shared" si="9"/>
        <v>1.1419999999999999</v>
      </c>
      <c r="K109" s="398">
        <v>62352.95</v>
      </c>
      <c r="L109" s="86"/>
      <c r="M109" s="86"/>
    </row>
    <row r="110" spans="1:13" ht="15" hidden="1" customHeight="1">
      <c r="A110" s="314">
        <v>58</v>
      </c>
      <c r="B110" s="314" t="s">
        <v>118</v>
      </c>
      <c r="C110" s="315">
        <f t="shared" si="3"/>
        <v>239561.21137999999</v>
      </c>
      <c r="D110" s="315">
        <f t="shared" si="4"/>
        <v>394448.46229519998</v>
      </c>
      <c r="E110" s="315">
        <f t="shared" si="10"/>
        <v>0</v>
      </c>
      <c r="F110" s="316">
        <f t="shared" si="8"/>
        <v>0</v>
      </c>
      <c r="G110" s="314" t="s">
        <v>101</v>
      </c>
      <c r="H110" s="86"/>
      <c r="I110" s="398">
        <v>345401.45559999999</v>
      </c>
      <c r="J110" s="399">
        <f t="shared" si="9"/>
        <v>1.1419999999999999</v>
      </c>
      <c r="K110" s="398">
        <v>209773.39</v>
      </c>
      <c r="L110" s="86"/>
      <c r="M110" s="86"/>
    </row>
    <row r="111" spans="1:13" ht="15" hidden="1" customHeight="1">
      <c r="A111" s="314">
        <v>59</v>
      </c>
      <c r="B111" s="314" t="s">
        <v>118</v>
      </c>
      <c r="C111" s="315">
        <f t="shared" si="3"/>
        <v>69017.135439999998</v>
      </c>
      <c r="D111" s="315">
        <f t="shared" si="4"/>
        <v>163895.87451919998</v>
      </c>
      <c r="E111" s="315">
        <f t="shared" si="10"/>
        <v>0</v>
      </c>
      <c r="F111" s="316">
        <f t="shared" si="8"/>
        <v>0</v>
      </c>
      <c r="G111" s="314" t="s">
        <v>102</v>
      </c>
      <c r="H111" s="86"/>
      <c r="I111" s="398">
        <v>143516.5276</v>
      </c>
      <c r="J111" s="399">
        <f t="shared" si="9"/>
        <v>1.1419999999999999</v>
      </c>
      <c r="K111" s="398">
        <v>60435.32</v>
      </c>
      <c r="L111" s="86"/>
      <c r="M111" s="86"/>
    </row>
    <row r="112" spans="1:13" ht="15" hidden="1" customHeight="1">
      <c r="A112" s="314">
        <v>60</v>
      </c>
      <c r="B112" s="314" t="s">
        <v>118</v>
      </c>
      <c r="C112" s="315">
        <f t="shared" si="3"/>
        <v>51528.341879999993</v>
      </c>
      <c r="D112" s="315">
        <f t="shared" si="4"/>
        <v>101983.21483739998</v>
      </c>
      <c r="E112" s="315">
        <f t="shared" si="10"/>
        <v>0</v>
      </c>
      <c r="F112" s="316">
        <f t="shared" si="8"/>
        <v>0</v>
      </c>
      <c r="G112" s="314" t="s">
        <v>103</v>
      </c>
      <c r="H112" s="86"/>
      <c r="I112" s="398">
        <v>89302.289699999994</v>
      </c>
      <c r="J112" s="399">
        <f t="shared" si="9"/>
        <v>1.1419999999999999</v>
      </c>
      <c r="K112" s="398">
        <v>45121.14</v>
      </c>
      <c r="L112" s="86"/>
      <c r="M112" s="86"/>
    </row>
    <row r="113" spans="1:13" ht="15" hidden="1" customHeight="1">
      <c r="A113" s="314">
        <v>61</v>
      </c>
      <c r="B113" s="314" t="s">
        <v>118</v>
      </c>
      <c r="C113" s="315">
        <f t="shared" si="3"/>
        <v>72251.89611999999</v>
      </c>
      <c r="D113" s="315">
        <f t="shared" si="4"/>
        <v>126105.0412032</v>
      </c>
      <c r="E113" s="315">
        <f t="shared" si="10"/>
        <v>0</v>
      </c>
      <c r="F113" s="316">
        <f t="shared" si="8"/>
        <v>0</v>
      </c>
      <c r="G113" s="314" t="s">
        <v>104</v>
      </c>
      <c r="H113" s="86"/>
      <c r="I113" s="398">
        <v>110424.72960000001</v>
      </c>
      <c r="J113" s="399">
        <f t="shared" si="9"/>
        <v>1.1419999999999999</v>
      </c>
      <c r="K113" s="398">
        <v>63267.86</v>
      </c>
      <c r="L113" s="86"/>
      <c r="M113" s="86"/>
    </row>
    <row r="114" spans="1:13" ht="15" hidden="1" customHeight="1">
      <c r="A114" s="314">
        <v>62</v>
      </c>
      <c r="B114" s="314" t="s">
        <v>118</v>
      </c>
      <c r="C114" s="315">
        <f t="shared" si="3"/>
        <v>129761.36021999999</v>
      </c>
      <c r="D114" s="315">
        <f t="shared" si="4"/>
        <v>197253.56718619997</v>
      </c>
      <c r="E114" s="315">
        <f t="shared" si="10"/>
        <v>0</v>
      </c>
      <c r="F114" s="316">
        <f t="shared" si="8"/>
        <v>0</v>
      </c>
      <c r="G114" s="314" t="s">
        <v>105</v>
      </c>
      <c r="H114" s="86"/>
      <c r="I114" s="398">
        <v>172726.4161</v>
      </c>
      <c r="J114" s="399">
        <f t="shared" si="9"/>
        <v>1.1419999999999999</v>
      </c>
      <c r="K114" s="398">
        <v>113626.41</v>
      </c>
      <c r="L114" s="86"/>
      <c r="M114" s="86"/>
    </row>
    <row r="115" spans="1:13" ht="15" hidden="1" customHeight="1">
      <c r="A115" s="314">
        <v>63</v>
      </c>
      <c r="B115" s="314" t="s">
        <v>118</v>
      </c>
      <c r="C115" s="315">
        <f t="shared" si="3"/>
        <v>182056.79491999999</v>
      </c>
      <c r="D115" s="315">
        <f t="shared" si="4"/>
        <v>198106.24936599997</v>
      </c>
      <c r="E115" s="315">
        <f t="shared" si="10"/>
        <v>0</v>
      </c>
      <c r="F115" s="316">
        <f t="shared" si="8"/>
        <v>0</v>
      </c>
      <c r="G115" s="314" t="s">
        <v>106</v>
      </c>
      <c r="H115" s="86"/>
      <c r="I115" s="398">
        <v>173473.073</v>
      </c>
      <c r="J115" s="399">
        <f t="shared" si="9"/>
        <v>1.1419999999999999</v>
      </c>
      <c r="K115" s="398">
        <v>159419.26</v>
      </c>
      <c r="L115" s="86"/>
      <c r="M115" s="86"/>
    </row>
    <row r="116" spans="1:13" ht="15" hidden="1" customHeight="1">
      <c r="A116" s="314">
        <v>64</v>
      </c>
      <c r="B116" s="314" t="s">
        <v>118</v>
      </c>
      <c r="C116" s="315">
        <f t="shared" si="3"/>
        <v>171991.93779999999</v>
      </c>
      <c r="D116" s="315">
        <f t="shared" si="4"/>
        <v>248755.84063219998</v>
      </c>
      <c r="E116" s="315">
        <f t="shared" si="10"/>
        <v>0</v>
      </c>
      <c r="F116" s="316">
        <f t="shared" si="8"/>
        <v>0</v>
      </c>
      <c r="G116" s="314" t="s">
        <v>107</v>
      </c>
      <c r="H116" s="86"/>
      <c r="I116" s="398">
        <v>217824.7291</v>
      </c>
      <c r="J116" s="399">
        <f t="shared" si="9"/>
        <v>1.1419999999999999</v>
      </c>
      <c r="K116" s="398">
        <v>150605.9</v>
      </c>
      <c r="L116" s="86"/>
      <c r="M116" s="86"/>
    </row>
    <row r="117" spans="1:13" ht="15" hidden="1" customHeight="1">
      <c r="A117" s="314">
        <v>65</v>
      </c>
      <c r="B117" s="314" t="s">
        <v>118</v>
      </c>
      <c r="C117" s="315">
        <f>K117*J117</f>
        <v>186602.76461164607</v>
      </c>
      <c r="D117" s="315">
        <f>I117*J117</f>
        <v>256240.77166512157</v>
      </c>
      <c r="E117" s="315">
        <f>D117*F117</f>
        <v>0</v>
      </c>
      <c r="F117" s="316">
        <f t="shared" si="8"/>
        <v>0</v>
      </c>
      <c r="G117" s="314" t="s">
        <v>612</v>
      </c>
      <c r="H117" s="86"/>
      <c r="I117" s="398">
        <v>224378.9594265513</v>
      </c>
      <c r="J117" s="399">
        <f>IF(Aplicar_Escala=1,INDEX(Factor_Escala,2),1)</f>
        <v>1.1419999999999999</v>
      </c>
      <c r="K117" s="398">
        <v>163399.96901194929</v>
      </c>
      <c r="L117" s="86"/>
      <c r="M117" s="86"/>
    </row>
    <row r="118" spans="1:13" ht="15" hidden="1" customHeight="1">
      <c r="A118" s="314">
        <v>66</v>
      </c>
      <c r="B118" s="314" t="s">
        <v>118</v>
      </c>
      <c r="C118" s="315">
        <f t="shared" si="3"/>
        <v>273472.32008835388</v>
      </c>
      <c r="D118" s="315">
        <f t="shared" si="4"/>
        <v>375529.04681947851</v>
      </c>
      <c r="E118" s="315">
        <f t="shared" si="10"/>
        <v>0</v>
      </c>
      <c r="F118" s="316">
        <f t="shared" si="8"/>
        <v>0</v>
      </c>
      <c r="G118" s="314" t="s">
        <v>613</v>
      </c>
      <c r="H118" s="86"/>
      <c r="I118" s="398">
        <v>328834.54187344882</v>
      </c>
      <c r="J118" s="399">
        <f t="shared" si="9"/>
        <v>1.1419999999999999</v>
      </c>
      <c r="K118" s="398">
        <v>239467.88098805069</v>
      </c>
      <c r="L118" s="86"/>
      <c r="M118" s="86"/>
    </row>
    <row r="119" spans="1:13" ht="15" hidden="1" customHeight="1">
      <c r="A119" s="314">
        <v>67</v>
      </c>
      <c r="B119" s="314" t="s">
        <v>84</v>
      </c>
      <c r="C119" s="315">
        <f t="shared" si="3"/>
        <v>211907.52448053326</v>
      </c>
      <c r="D119" s="315">
        <f t="shared" si="4"/>
        <v>464977.23769685603</v>
      </c>
      <c r="E119" s="315">
        <f t="shared" si="10"/>
        <v>0</v>
      </c>
      <c r="F119" s="316">
        <f t="shared" ref="F119:F151" si="15">D14</f>
        <v>0</v>
      </c>
      <c r="G119" s="314" t="s">
        <v>599</v>
      </c>
      <c r="H119" s="86"/>
      <c r="I119" s="398">
        <v>381128.88335807872</v>
      </c>
      <c r="J119" s="399">
        <f t="shared" ref="J119:J151" si="16">IF(Aplicar_Escala=1,INDEX(Factor_Escala,3),1)</f>
        <v>1.22</v>
      </c>
      <c r="K119" s="398">
        <v>173694.69219715841</v>
      </c>
      <c r="L119" s="86"/>
      <c r="M119" s="86"/>
    </row>
    <row r="120" spans="1:13" ht="15" hidden="1" customHeight="1">
      <c r="A120" s="314">
        <v>68</v>
      </c>
      <c r="B120" s="314" t="s">
        <v>84</v>
      </c>
      <c r="C120" s="315">
        <f>K120*J120</f>
        <v>85857.836754192031</v>
      </c>
      <c r="D120" s="315">
        <f>I120*J120</f>
        <v>188393.21475939004</v>
      </c>
      <c r="E120" s="315">
        <f>D120*F120</f>
        <v>0</v>
      </c>
      <c r="F120" s="316">
        <f t="shared" si="15"/>
        <v>0</v>
      </c>
      <c r="G120" s="314" t="s">
        <v>600</v>
      </c>
      <c r="H120" s="86"/>
      <c r="I120" s="398">
        <v>154420.6678355656</v>
      </c>
      <c r="J120" s="399">
        <f>IF(Aplicar_Escala=1,INDEX(Factor_Escala,3),1)</f>
        <v>1.22</v>
      </c>
      <c r="K120" s="398">
        <v>70375.276028026259</v>
      </c>
      <c r="L120" s="86"/>
      <c r="M120" s="86"/>
    </row>
    <row r="121" spans="1:13" ht="15" hidden="1" customHeight="1">
      <c r="A121" s="314">
        <v>69</v>
      </c>
      <c r="B121" s="314" t="s">
        <v>84</v>
      </c>
      <c r="C121" s="315">
        <f>K121*J121</f>
        <v>10870.932334389554</v>
      </c>
      <c r="D121" s="315">
        <f>I121*J121</f>
        <v>23853.499777438246</v>
      </c>
      <c r="E121" s="315">
        <f>D121*F121</f>
        <v>0</v>
      </c>
      <c r="F121" s="316">
        <f t="shared" si="15"/>
        <v>0</v>
      </c>
      <c r="G121" s="314" t="s">
        <v>601</v>
      </c>
      <c r="H121" s="86"/>
      <c r="I121" s="398">
        <v>19552.048997900201</v>
      </c>
      <c r="J121" s="399">
        <f>IF(Aplicar_Escala=1,INDEX(Factor_Escala,3),1)</f>
        <v>1.22</v>
      </c>
      <c r="K121" s="398">
        <v>8910.6002740897984</v>
      </c>
      <c r="L121" s="86"/>
      <c r="M121" s="86"/>
    </row>
    <row r="122" spans="1:13" ht="15" hidden="1" customHeight="1">
      <c r="A122" s="314">
        <v>70</v>
      </c>
      <c r="B122" s="314" t="s">
        <v>84</v>
      </c>
      <c r="C122" s="315">
        <f>K122*J122</f>
        <v>1862.8198308851879</v>
      </c>
      <c r="D122" s="315">
        <f>I122*J122</f>
        <v>4087.4849603157395</v>
      </c>
      <c r="E122" s="315">
        <f>D122*F122</f>
        <v>0</v>
      </c>
      <c r="F122" s="316">
        <f t="shared" si="15"/>
        <v>0</v>
      </c>
      <c r="G122" s="314" t="s">
        <v>602</v>
      </c>
      <c r="H122" s="86"/>
      <c r="I122" s="398">
        <v>3350.3975084555241</v>
      </c>
      <c r="J122" s="399">
        <f>IF(Aplicar_Escala=1,INDEX(Factor_Escala,3),1)</f>
        <v>1.22</v>
      </c>
      <c r="K122" s="398">
        <v>1526.9015007255639</v>
      </c>
      <c r="L122" s="86"/>
      <c r="M122" s="86"/>
    </row>
    <row r="123" spans="1:13" ht="15" hidden="1" customHeight="1">
      <c r="A123" s="314">
        <v>71</v>
      </c>
      <c r="B123" s="314" t="s">
        <v>84</v>
      </c>
      <c r="C123" s="315">
        <f t="shared" si="3"/>
        <v>106551.7622</v>
      </c>
      <c r="D123" s="315">
        <f t="shared" si="4"/>
        <v>482043.09355600004</v>
      </c>
      <c r="E123" s="315">
        <f t="shared" si="10"/>
        <v>0</v>
      </c>
      <c r="F123" s="316">
        <f t="shared" si="15"/>
        <v>0</v>
      </c>
      <c r="G123" s="314" t="s">
        <v>91</v>
      </c>
      <c r="H123" s="86"/>
      <c r="I123" s="398">
        <v>395117.28980000003</v>
      </c>
      <c r="J123" s="399">
        <f t="shared" si="16"/>
        <v>1.22</v>
      </c>
      <c r="K123" s="398">
        <v>87337.51</v>
      </c>
      <c r="L123" s="86"/>
      <c r="M123" s="86"/>
    </row>
    <row r="124" spans="1:13" ht="15" hidden="1" customHeight="1">
      <c r="A124" s="314">
        <v>72</v>
      </c>
      <c r="B124" s="314" t="s">
        <v>84</v>
      </c>
      <c r="C124" s="315">
        <f t="shared" si="3"/>
        <v>112394.71427860967</v>
      </c>
      <c r="D124" s="315">
        <f t="shared" si="4"/>
        <v>463221.07866880827</v>
      </c>
      <c r="E124" s="315">
        <f t="shared" si="10"/>
        <v>0</v>
      </c>
      <c r="F124" s="316">
        <f t="shared" si="15"/>
        <v>0</v>
      </c>
      <c r="G124" s="314" t="s">
        <v>603</v>
      </c>
      <c r="H124" s="86"/>
      <c r="I124" s="398">
        <v>379689.40874492482</v>
      </c>
      <c r="J124" s="399">
        <f t="shared" si="16"/>
        <v>1.22</v>
      </c>
      <c r="K124" s="398">
        <v>92126.814982466938</v>
      </c>
      <c r="L124" s="86"/>
      <c r="M124" s="86"/>
    </row>
    <row r="125" spans="1:13" ht="15" hidden="1" customHeight="1">
      <c r="A125" s="314">
        <v>73</v>
      </c>
      <c r="B125" s="314" t="s">
        <v>84</v>
      </c>
      <c r="C125" s="315">
        <f t="shared" ref="C125:C130" si="17">K125*J125</f>
        <v>38211.677794823794</v>
      </c>
      <c r="D125" s="315">
        <f t="shared" ref="D125:D130" si="18">I125*J125</f>
        <v>157484.7600216007</v>
      </c>
      <c r="E125" s="315">
        <f t="shared" ref="E125:E130" si="19">D125*F125</f>
        <v>0</v>
      </c>
      <c r="F125" s="316">
        <f t="shared" si="15"/>
        <v>0</v>
      </c>
      <c r="G125" s="314" t="s">
        <v>604</v>
      </c>
      <c r="H125" s="86"/>
      <c r="I125" s="398">
        <v>129085.8688701645</v>
      </c>
      <c r="J125" s="399">
        <f t="shared" ref="J125:J130" si="20">IF(Aplicar_Escala=1,INDEX(Factor_Escala,3),1)</f>
        <v>1.22</v>
      </c>
      <c r="K125" s="398">
        <v>31321.047372806392</v>
      </c>
      <c r="L125" s="86"/>
      <c r="M125" s="86"/>
    </row>
    <row r="126" spans="1:13" ht="15" hidden="1" customHeight="1">
      <c r="A126" s="314">
        <v>74</v>
      </c>
      <c r="B126" s="314" t="s">
        <v>84</v>
      </c>
      <c r="C126" s="315">
        <f t="shared" si="17"/>
        <v>25239.854099132823</v>
      </c>
      <c r="D126" s="315">
        <f t="shared" si="18"/>
        <v>104022.97400091111</v>
      </c>
      <c r="E126" s="315">
        <f t="shared" si="19"/>
        <v>0</v>
      </c>
      <c r="F126" s="316">
        <f t="shared" si="15"/>
        <v>0</v>
      </c>
      <c r="G126" s="314" t="s">
        <v>87</v>
      </c>
      <c r="H126" s="86"/>
      <c r="I126" s="398">
        <v>85264.732787632063</v>
      </c>
      <c r="J126" s="399">
        <f t="shared" si="20"/>
        <v>1.22</v>
      </c>
      <c r="K126" s="398">
        <v>20688.4049992892</v>
      </c>
      <c r="L126" s="86"/>
      <c r="M126" s="86"/>
    </row>
    <row r="127" spans="1:13" ht="15" hidden="1" customHeight="1">
      <c r="A127" s="314">
        <v>75</v>
      </c>
      <c r="B127" s="314" t="s">
        <v>84</v>
      </c>
      <c r="C127" s="315">
        <f t="shared" si="17"/>
        <v>56040.21245382171</v>
      </c>
      <c r="D127" s="315">
        <f t="shared" si="18"/>
        <v>230962.88671849805</v>
      </c>
      <c r="E127" s="315">
        <f t="shared" si="19"/>
        <v>0</v>
      </c>
      <c r="F127" s="316">
        <f t="shared" si="15"/>
        <v>0</v>
      </c>
      <c r="G127" s="314" t="s">
        <v>605</v>
      </c>
      <c r="H127" s="86"/>
      <c r="I127" s="398">
        <v>189313.84157253939</v>
      </c>
      <c r="J127" s="399">
        <f t="shared" si="20"/>
        <v>1.22</v>
      </c>
      <c r="K127" s="398">
        <v>45934.600371985012</v>
      </c>
      <c r="L127" s="86"/>
      <c r="M127" s="86"/>
    </row>
    <row r="128" spans="1:13" ht="15" hidden="1" customHeight="1">
      <c r="A128" s="314">
        <v>76</v>
      </c>
      <c r="B128" s="314" t="s">
        <v>84</v>
      </c>
      <c r="C128" s="315">
        <f t="shared" si="17"/>
        <v>10194.257801852815</v>
      </c>
      <c r="D128" s="315">
        <f t="shared" si="18"/>
        <v>42014.387647238997</v>
      </c>
      <c r="E128" s="315">
        <f t="shared" si="19"/>
        <v>0</v>
      </c>
      <c r="F128" s="316">
        <f t="shared" si="15"/>
        <v>0</v>
      </c>
      <c r="G128" s="314" t="s">
        <v>606</v>
      </c>
      <c r="H128" s="86"/>
      <c r="I128" s="398">
        <v>34438.022661671312</v>
      </c>
      <c r="J128" s="399">
        <f t="shared" si="20"/>
        <v>1.22</v>
      </c>
      <c r="K128" s="398">
        <v>8355.949017912144</v>
      </c>
      <c r="L128" s="86"/>
      <c r="M128" s="86"/>
    </row>
    <row r="129" spans="1:13" ht="15" hidden="1" customHeight="1">
      <c r="A129" s="314">
        <v>77</v>
      </c>
      <c r="B129" s="314" t="s">
        <v>84</v>
      </c>
      <c r="C129" s="315">
        <f t="shared" si="17"/>
        <v>36669.779513331428</v>
      </c>
      <c r="D129" s="315">
        <f t="shared" si="18"/>
        <v>151130.01469630035</v>
      </c>
      <c r="E129" s="315">
        <f t="shared" si="19"/>
        <v>0</v>
      </c>
      <c r="F129" s="316">
        <f t="shared" si="15"/>
        <v>0</v>
      </c>
      <c r="G129" s="314" t="s">
        <v>607</v>
      </c>
      <c r="H129" s="86"/>
      <c r="I129" s="398">
        <v>123877.06122647569</v>
      </c>
      <c r="J129" s="399">
        <f t="shared" si="20"/>
        <v>1.22</v>
      </c>
      <c r="K129" s="398">
        <v>30057.196322402811</v>
      </c>
      <c r="L129" s="86"/>
      <c r="M129" s="86"/>
    </row>
    <row r="130" spans="1:13" ht="15" hidden="1" customHeight="1">
      <c r="A130" s="314">
        <v>78</v>
      </c>
      <c r="B130" s="314" t="s">
        <v>84</v>
      </c>
      <c r="C130" s="315">
        <f t="shared" si="17"/>
        <v>61375.073058427704</v>
      </c>
      <c r="D130" s="315">
        <f t="shared" si="18"/>
        <v>252949.86270464212</v>
      </c>
      <c r="E130" s="315">
        <f t="shared" si="19"/>
        <v>0</v>
      </c>
      <c r="F130" s="316">
        <f t="shared" si="15"/>
        <v>0</v>
      </c>
      <c r="G130" s="314" t="s">
        <v>608</v>
      </c>
      <c r="H130" s="86"/>
      <c r="I130" s="398">
        <v>207335.95303659191</v>
      </c>
      <c r="J130" s="399">
        <f t="shared" si="20"/>
        <v>1.22</v>
      </c>
      <c r="K130" s="398">
        <v>50307.436933137462</v>
      </c>
      <c r="L130" s="86"/>
      <c r="M130" s="86"/>
    </row>
    <row r="131" spans="1:13" ht="15" hidden="1" customHeight="1">
      <c r="A131" s="314">
        <v>79</v>
      </c>
      <c r="B131" s="314" t="s">
        <v>84</v>
      </c>
      <c r="C131" s="315">
        <f t="shared" si="3"/>
        <v>76048.576605956405</v>
      </c>
      <c r="D131" s="315">
        <f t="shared" si="4"/>
        <v>213989.38896173742</v>
      </c>
      <c r="E131" s="315">
        <f t="shared" si="10"/>
        <v>0</v>
      </c>
      <c r="F131" s="316">
        <f t="shared" si="15"/>
        <v>0</v>
      </c>
      <c r="G131" s="314" t="s">
        <v>609</v>
      </c>
      <c r="H131" s="86"/>
      <c r="I131" s="398">
        <v>175401.13849322739</v>
      </c>
      <c r="J131" s="399">
        <f t="shared" si="16"/>
        <v>1.22</v>
      </c>
      <c r="K131" s="398">
        <v>62334.898857341323</v>
      </c>
      <c r="L131" s="86"/>
      <c r="M131" s="86"/>
    </row>
    <row r="132" spans="1:13" ht="15" hidden="1" customHeight="1">
      <c r="A132" s="314">
        <v>80</v>
      </c>
      <c r="B132" s="314" t="s">
        <v>84</v>
      </c>
      <c r="C132" s="315">
        <f>K132*J132</f>
        <v>23513.939794043588</v>
      </c>
      <c r="D132" s="315">
        <f>I132*J132</f>
        <v>66164.730928262565</v>
      </c>
      <c r="E132" s="315">
        <f>D132*F132</f>
        <v>0</v>
      </c>
      <c r="F132" s="316">
        <f t="shared" si="15"/>
        <v>0</v>
      </c>
      <c r="G132" s="314" t="s">
        <v>610</v>
      </c>
      <c r="H132" s="86"/>
      <c r="I132" s="398">
        <v>54233.386006772598</v>
      </c>
      <c r="J132" s="399">
        <f>IF(Aplicar_Escala=1,INDEX(Factor_Escala,3),1)</f>
        <v>1.22</v>
      </c>
      <c r="K132" s="398">
        <v>19273.72114265868</v>
      </c>
      <c r="L132" s="86"/>
      <c r="M132" s="86"/>
    </row>
    <row r="133" spans="1:13" ht="15" hidden="1" customHeight="1">
      <c r="A133" s="314">
        <v>81</v>
      </c>
      <c r="B133" s="314" t="s">
        <v>84</v>
      </c>
      <c r="C133" s="315">
        <f t="shared" si="3"/>
        <v>57497.247721023421</v>
      </c>
      <c r="D133" s="315">
        <f t="shared" si="4"/>
        <v>185270.27092390473</v>
      </c>
      <c r="E133" s="315">
        <f t="shared" si="10"/>
        <v>0</v>
      </c>
      <c r="F133" s="316">
        <f t="shared" si="15"/>
        <v>0</v>
      </c>
      <c r="G133" s="314" t="s">
        <v>92</v>
      </c>
      <c r="H133" s="86"/>
      <c r="I133" s="398">
        <v>151860.87780647929</v>
      </c>
      <c r="J133" s="399">
        <f t="shared" si="16"/>
        <v>1.22</v>
      </c>
      <c r="K133" s="398">
        <v>47128.891574609363</v>
      </c>
      <c r="L133" s="86"/>
      <c r="M133" s="86"/>
    </row>
    <row r="134" spans="1:13" ht="15" hidden="1" customHeight="1">
      <c r="A134" s="314">
        <v>82</v>
      </c>
      <c r="B134" s="314" t="s">
        <v>84</v>
      </c>
      <c r="C134" s="315">
        <f>K134*J134</f>
        <v>102206.15687897659</v>
      </c>
      <c r="D134" s="315">
        <f>I134*J134</f>
        <v>329333.37030209525</v>
      </c>
      <c r="E134" s="315">
        <f>D134*F134</f>
        <v>0</v>
      </c>
      <c r="F134" s="316">
        <f t="shared" si="15"/>
        <v>0</v>
      </c>
      <c r="G134" s="314" t="s">
        <v>611</v>
      </c>
      <c r="H134" s="86"/>
      <c r="I134" s="398">
        <v>269945.38549352071</v>
      </c>
      <c r="J134" s="399">
        <f>IF(Aplicar_Escala=1,INDEX(Factor_Escala,3),1)</f>
        <v>1.22</v>
      </c>
      <c r="K134" s="398">
        <v>83775.538425390652</v>
      </c>
      <c r="L134" s="86"/>
      <c r="M134" s="86"/>
    </row>
    <row r="135" spans="1:13" ht="15" hidden="1" customHeight="1">
      <c r="A135" s="314">
        <v>83</v>
      </c>
      <c r="B135" s="314" t="s">
        <v>84</v>
      </c>
      <c r="C135" s="315">
        <f t="shared" si="3"/>
        <v>509720.92879999994</v>
      </c>
      <c r="D135" s="315">
        <f t="shared" si="4"/>
        <v>1438431.8425579998</v>
      </c>
      <c r="E135" s="315">
        <f t="shared" si="10"/>
        <v>0</v>
      </c>
      <c r="F135" s="316">
        <f t="shared" si="15"/>
        <v>0</v>
      </c>
      <c r="G135" s="314" t="s">
        <v>93</v>
      </c>
      <c r="H135" s="86"/>
      <c r="I135" s="398">
        <v>1179042.4938999999</v>
      </c>
      <c r="J135" s="399">
        <f t="shared" si="16"/>
        <v>1.22</v>
      </c>
      <c r="K135" s="398">
        <v>417804.04</v>
      </c>
      <c r="L135" s="86"/>
      <c r="M135" s="86"/>
    </row>
    <row r="136" spans="1:13" ht="15" hidden="1" customHeight="1">
      <c r="A136" s="314">
        <v>84</v>
      </c>
      <c r="B136" s="314" t="s">
        <v>84</v>
      </c>
      <c r="C136" s="315">
        <f t="shared" si="3"/>
        <v>99650.271000000008</v>
      </c>
      <c r="D136" s="315">
        <f t="shared" si="4"/>
        <v>283271.03969599999</v>
      </c>
      <c r="E136" s="315">
        <f t="shared" si="10"/>
        <v>0</v>
      </c>
      <c r="F136" s="316">
        <f t="shared" si="15"/>
        <v>0</v>
      </c>
      <c r="G136" s="314" t="s">
        <v>94</v>
      </c>
      <c r="H136" s="86"/>
      <c r="I136" s="398">
        <v>232189.3768</v>
      </c>
      <c r="J136" s="399">
        <f t="shared" si="16"/>
        <v>1.22</v>
      </c>
      <c r="K136" s="398">
        <v>81680.55</v>
      </c>
      <c r="L136" s="86"/>
      <c r="M136" s="86"/>
    </row>
    <row r="137" spans="1:13" ht="15" hidden="1" customHeight="1">
      <c r="A137" s="314">
        <v>85</v>
      </c>
      <c r="B137" s="314" t="s">
        <v>84</v>
      </c>
      <c r="C137" s="315">
        <f t="shared" si="3"/>
        <v>102339.94399999999</v>
      </c>
      <c r="D137" s="315">
        <f t="shared" si="4"/>
        <v>499553.06974599999</v>
      </c>
      <c r="E137" s="315">
        <f t="shared" si="10"/>
        <v>0</v>
      </c>
      <c r="F137" s="316">
        <f t="shared" si="15"/>
        <v>0</v>
      </c>
      <c r="G137" s="314" t="s">
        <v>95</v>
      </c>
      <c r="H137" s="86"/>
      <c r="I137" s="398">
        <v>409469.72930000001</v>
      </c>
      <c r="J137" s="399">
        <f t="shared" si="16"/>
        <v>1.22</v>
      </c>
      <c r="K137" s="398">
        <v>83885.2</v>
      </c>
      <c r="L137" s="86"/>
      <c r="M137" s="86"/>
    </row>
    <row r="138" spans="1:13" ht="15" hidden="1" customHeight="1">
      <c r="A138" s="314">
        <v>86</v>
      </c>
      <c r="B138" s="314" t="s">
        <v>84</v>
      </c>
      <c r="C138" s="315">
        <f t="shared" si="3"/>
        <v>267891.72360000003</v>
      </c>
      <c r="D138" s="315">
        <f t="shared" si="4"/>
        <v>699016.33119799988</v>
      </c>
      <c r="E138" s="315">
        <f t="shared" si="10"/>
        <v>0</v>
      </c>
      <c r="F138" s="316">
        <f t="shared" si="15"/>
        <v>0</v>
      </c>
      <c r="G138" s="314" t="s">
        <v>96</v>
      </c>
      <c r="H138" s="86"/>
      <c r="I138" s="398">
        <v>572964.20589999994</v>
      </c>
      <c r="J138" s="399">
        <f t="shared" si="16"/>
        <v>1.22</v>
      </c>
      <c r="K138" s="398">
        <v>219583.38</v>
      </c>
      <c r="L138" s="86"/>
      <c r="M138" s="86"/>
    </row>
    <row r="139" spans="1:13" ht="15" hidden="1" customHeight="1">
      <c r="A139" s="314">
        <v>87</v>
      </c>
      <c r="B139" s="314" t="s">
        <v>84</v>
      </c>
      <c r="C139" s="315">
        <f t="shared" si="3"/>
        <v>1106309.0052</v>
      </c>
      <c r="D139" s="315">
        <f t="shared" si="4"/>
        <v>3374951.8493779995</v>
      </c>
      <c r="E139" s="315">
        <f t="shared" si="10"/>
        <v>0</v>
      </c>
      <c r="F139" s="316">
        <f t="shared" si="15"/>
        <v>0</v>
      </c>
      <c r="G139" s="314" t="s">
        <v>97</v>
      </c>
      <c r="H139" s="86"/>
      <c r="I139" s="398">
        <v>2766353.9748999998</v>
      </c>
      <c r="J139" s="399">
        <f t="shared" si="16"/>
        <v>1.22</v>
      </c>
      <c r="K139" s="398">
        <v>906810.66</v>
      </c>
      <c r="L139" s="86"/>
      <c r="M139" s="86"/>
    </row>
    <row r="140" spans="1:13" ht="15" hidden="1" customHeight="1">
      <c r="A140" s="314">
        <v>88</v>
      </c>
      <c r="B140" s="314" t="s">
        <v>84</v>
      </c>
      <c r="C140" s="315">
        <f t="shared" si="3"/>
        <v>235522.40299999999</v>
      </c>
      <c r="D140" s="315">
        <f t="shared" si="4"/>
        <v>579928.01711400005</v>
      </c>
      <c r="E140" s="315">
        <f t="shared" si="10"/>
        <v>0</v>
      </c>
      <c r="F140" s="316">
        <f t="shared" si="15"/>
        <v>0</v>
      </c>
      <c r="G140" s="314" t="s">
        <v>98</v>
      </c>
      <c r="H140" s="86"/>
      <c r="I140" s="398">
        <v>475350.83370000002</v>
      </c>
      <c r="J140" s="399">
        <f t="shared" si="16"/>
        <v>1.22</v>
      </c>
      <c r="K140" s="398">
        <v>193051.15</v>
      </c>
      <c r="L140" s="86"/>
      <c r="M140" s="86"/>
    </row>
    <row r="141" spans="1:13" ht="15" hidden="1" customHeight="1">
      <c r="A141" s="314">
        <v>89</v>
      </c>
      <c r="B141" s="314" t="s">
        <v>84</v>
      </c>
      <c r="C141" s="315">
        <f t="shared" si="3"/>
        <v>431569.32699999999</v>
      </c>
      <c r="D141" s="315">
        <f t="shared" si="4"/>
        <v>1213010.877542</v>
      </c>
      <c r="E141" s="315">
        <f t="shared" si="10"/>
        <v>0</v>
      </c>
      <c r="F141" s="316">
        <f t="shared" si="15"/>
        <v>0</v>
      </c>
      <c r="G141" s="314" t="s">
        <v>99</v>
      </c>
      <c r="H141" s="86"/>
      <c r="I141" s="398">
        <v>994271.21109999996</v>
      </c>
      <c r="J141" s="399">
        <f t="shared" si="16"/>
        <v>1.22</v>
      </c>
      <c r="K141" s="398">
        <v>353745.35</v>
      </c>
      <c r="L141" s="86"/>
      <c r="M141" s="86"/>
    </row>
    <row r="142" spans="1:13" ht="15" hidden="1" customHeight="1">
      <c r="A142" s="314">
        <v>90</v>
      </c>
      <c r="B142" s="314" t="s">
        <v>84</v>
      </c>
      <c r="C142" s="315">
        <f t="shared" si="3"/>
        <v>904670.9432000001</v>
      </c>
      <c r="D142" s="315">
        <f t="shared" si="4"/>
        <v>2372339.7747800001</v>
      </c>
      <c r="E142" s="315">
        <f t="shared" si="10"/>
        <v>0</v>
      </c>
      <c r="F142" s="316">
        <f t="shared" si="15"/>
        <v>0</v>
      </c>
      <c r="G142" s="314" t="s">
        <v>100</v>
      </c>
      <c r="H142" s="86"/>
      <c r="I142" s="398">
        <v>1944540.7990000001</v>
      </c>
      <c r="J142" s="399">
        <f t="shared" si="16"/>
        <v>1.22</v>
      </c>
      <c r="K142" s="398">
        <v>741533.56</v>
      </c>
      <c r="L142" s="86"/>
      <c r="M142" s="86"/>
    </row>
    <row r="143" spans="1:13" ht="15" hidden="1" customHeight="1">
      <c r="A143" s="314">
        <v>91</v>
      </c>
      <c r="B143" s="314" t="s">
        <v>84</v>
      </c>
      <c r="C143" s="315">
        <f t="shared" si="3"/>
        <v>1986547.8501999998</v>
      </c>
      <c r="D143" s="315">
        <f t="shared" si="4"/>
        <v>3612848.013698</v>
      </c>
      <c r="E143" s="315">
        <f t="shared" si="10"/>
        <v>0</v>
      </c>
      <c r="F143" s="316">
        <f t="shared" si="15"/>
        <v>0</v>
      </c>
      <c r="G143" s="314" t="s">
        <v>101</v>
      </c>
      <c r="H143" s="86"/>
      <c r="I143" s="398">
        <v>2961350.8308999999</v>
      </c>
      <c r="J143" s="399">
        <f t="shared" si="16"/>
        <v>1.22</v>
      </c>
      <c r="K143" s="398">
        <v>1628317.91</v>
      </c>
      <c r="L143" s="86"/>
      <c r="M143" s="86"/>
    </row>
    <row r="144" spans="1:13" ht="15" hidden="1" customHeight="1">
      <c r="A144" s="314">
        <v>92</v>
      </c>
      <c r="B144" s="314" t="s">
        <v>84</v>
      </c>
      <c r="C144" s="315">
        <f t="shared" si="3"/>
        <v>790158.66879999998</v>
      </c>
      <c r="D144" s="315">
        <f t="shared" si="4"/>
        <v>1936132.3900059999</v>
      </c>
      <c r="E144" s="315">
        <f t="shared" si="10"/>
        <v>0</v>
      </c>
      <c r="F144" s="316">
        <f t="shared" si="15"/>
        <v>0</v>
      </c>
      <c r="G144" s="314" t="s">
        <v>102</v>
      </c>
      <c r="H144" s="86"/>
      <c r="I144" s="398">
        <v>1586993.7623000001</v>
      </c>
      <c r="J144" s="399">
        <f t="shared" si="16"/>
        <v>1.22</v>
      </c>
      <c r="K144" s="398">
        <v>647671.04000000004</v>
      </c>
      <c r="L144" s="86"/>
      <c r="M144" s="86"/>
    </row>
    <row r="145" spans="1:13" ht="15" hidden="1" customHeight="1">
      <c r="A145" s="314">
        <v>93</v>
      </c>
      <c r="B145" s="314" t="s">
        <v>84</v>
      </c>
      <c r="C145" s="315">
        <f t="shared" si="3"/>
        <v>723414.03039999993</v>
      </c>
      <c r="D145" s="315">
        <f t="shared" si="4"/>
        <v>1388848.8886479998</v>
      </c>
      <c r="E145" s="315">
        <f t="shared" si="10"/>
        <v>0</v>
      </c>
      <c r="F145" s="316">
        <f t="shared" si="15"/>
        <v>0</v>
      </c>
      <c r="G145" s="314" t="s">
        <v>103</v>
      </c>
      <c r="H145" s="86"/>
      <c r="I145" s="398">
        <v>1138400.7283999999</v>
      </c>
      <c r="J145" s="399">
        <f t="shared" si="16"/>
        <v>1.22</v>
      </c>
      <c r="K145" s="398">
        <v>592962.31999999995</v>
      </c>
      <c r="L145" s="86"/>
      <c r="M145" s="86"/>
    </row>
    <row r="146" spans="1:13" ht="15" hidden="1" customHeight="1">
      <c r="A146" s="314">
        <v>94</v>
      </c>
      <c r="B146" s="314" t="s">
        <v>84</v>
      </c>
      <c r="C146" s="315">
        <f t="shared" si="3"/>
        <v>912716.78220000002</v>
      </c>
      <c r="D146" s="315">
        <f t="shared" si="4"/>
        <v>1921411.963458</v>
      </c>
      <c r="E146" s="315">
        <f t="shared" si="10"/>
        <v>0</v>
      </c>
      <c r="F146" s="316">
        <f t="shared" si="15"/>
        <v>0</v>
      </c>
      <c r="G146" s="314" t="s">
        <v>104</v>
      </c>
      <c r="H146" s="86"/>
      <c r="I146" s="398">
        <v>1574927.8389000001</v>
      </c>
      <c r="J146" s="399">
        <f t="shared" si="16"/>
        <v>1.22</v>
      </c>
      <c r="K146" s="398">
        <v>748128.51</v>
      </c>
      <c r="L146" s="86"/>
      <c r="M146" s="86"/>
    </row>
    <row r="147" spans="1:13" ht="15" hidden="1" customHeight="1">
      <c r="A147" s="314">
        <v>95</v>
      </c>
      <c r="B147" s="314" t="s">
        <v>84</v>
      </c>
      <c r="C147" s="315">
        <f t="shared" si="3"/>
        <v>796998.69640000002</v>
      </c>
      <c r="D147" s="315">
        <f t="shared" si="4"/>
        <v>1637427.3690639997</v>
      </c>
      <c r="E147" s="315">
        <f t="shared" si="10"/>
        <v>0</v>
      </c>
      <c r="F147" s="316">
        <f t="shared" si="15"/>
        <v>0</v>
      </c>
      <c r="G147" s="314" t="s">
        <v>105</v>
      </c>
      <c r="H147" s="86"/>
      <c r="I147" s="398">
        <v>1342153.5811999999</v>
      </c>
      <c r="J147" s="399">
        <f t="shared" si="16"/>
        <v>1.22</v>
      </c>
      <c r="K147" s="398">
        <v>653277.62</v>
      </c>
      <c r="L147" s="86"/>
      <c r="M147" s="86"/>
    </row>
    <row r="148" spans="1:13" ht="15" hidden="1" customHeight="1">
      <c r="A148" s="314">
        <v>96</v>
      </c>
      <c r="B148" s="314" t="s">
        <v>84</v>
      </c>
      <c r="C148" s="315">
        <f t="shared" si="3"/>
        <v>1931935.8921999999</v>
      </c>
      <c r="D148" s="315">
        <f t="shared" si="4"/>
        <v>2483044.1107600001</v>
      </c>
      <c r="E148" s="315">
        <f t="shared" si="10"/>
        <v>0</v>
      </c>
      <c r="F148" s="316">
        <f t="shared" si="15"/>
        <v>0</v>
      </c>
      <c r="G148" s="314" t="s">
        <v>106</v>
      </c>
      <c r="H148" s="86"/>
      <c r="I148" s="398">
        <v>2035282.058</v>
      </c>
      <c r="J148" s="399">
        <f t="shared" si="16"/>
        <v>1.22</v>
      </c>
      <c r="K148" s="398">
        <v>1583554.01</v>
      </c>
      <c r="L148" s="86"/>
      <c r="M148" s="86"/>
    </row>
    <row r="149" spans="1:13" ht="15" hidden="1" customHeight="1">
      <c r="A149" s="314">
        <v>97</v>
      </c>
      <c r="B149" s="314" t="s">
        <v>84</v>
      </c>
      <c r="C149" s="315">
        <f t="shared" si="3"/>
        <v>2025551.909</v>
      </c>
      <c r="D149" s="315">
        <f t="shared" si="4"/>
        <v>3680029.2223879998</v>
      </c>
      <c r="E149" s="315">
        <f t="shared" si="10"/>
        <v>0</v>
      </c>
      <c r="F149" s="316">
        <f t="shared" si="15"/>
        <v>0</v>
      </c>
      <c r="G149" s="314" t="s">
        <v>107</v>
      </c>
      <c r="H149" s="86"/>
      <c r="I149" s="398">
        <v>3016417.3953999998</v>
      </c>
      <c r="J149" s="399">
        <f t="shared" si="16"/>
        <v>1.22</v>
      </c>
      <c r="K149" s="398">
        <v>1660288.45</v>
      </c>
      <c r="L149" s="86"/>
      <c r="M149" s="86"/>
    </row>
    <row r="150" spans="1:13" ht="15" hidden="1" customHeight="1">
      <c r="A150" s="314">
        <v>98</v>
      </c>
      <c r="B150" s="314" t="s">
        <v>84</v>
      </c>
      <c r="C150" s="315">
        <f>K150*J150</f>
        <v>1473660.0170781135</v>
      </c>
      <c r="D150" s="315">
        <f>I150*J150</f>
        <v>2035465.8869742483</v>
      </c>
      <c r="E150" s="315">
        <f>D150*F150</f>
        <v>0</v>
      </c>
      <c r="F150" s="316">
        <f t="shared" si="15"/>
        <v>0</v>
      </c>
      <c r="G150" s="314" t="s">
        <v>612</v>
      </c>
      <c r="H150" s="86"/>
      <c r="I150" s="398">
        <v>1668414.661454302</v>
      </c>
      <c r="J150" s="399">
        <f>IF(Aplicar_Escala=1,INDEX(Factor_Escala,3),1)</f>
        <v>1.22</v>
      </c>
      <c r="K150" s="398">
        <v>1207918.046785339</v>
      </c>
      <c r="L150" s="86"/>
      <c r="M150" s="86"/>
    </row>
    <row r="151" spans="1:13" ht="15" hidden="1" customHeight="1">
      <c r="A151" s="314">
        <v>99</v>
      </c>
      <c r="B151" s="314" t="s">
        <v>84</v>
      </c>
      <c r="C151" s="315">
        <f t="shared" si="3"/>
        <v>2159695.8905218877</v>
      </c>
      <c r="D151" s="315">
        <f t="shared" si="4"/>
        <v>2983040.3623977513</v>
      </c>
      <c r="E151" s="315">
        <f t="shared" si="10"/>
        <v>0</v>
      </c>
      <c r="F151" s="316">
        <f t="shared" si="15"/>
        <v>0</v>
      </c>
      <c r="G151" s="314" t="s">
        <v>613</v>
      </c>
      <c r="H151" s="86"/>
      <c r="I151" s="398">
        <v>2445115.0511456979</v>
      </c>
      <c r="J151" s="399">
        <f t="shared" si="16"/>
        <v>1.22</v>
      </c>
      <c r="K151" s="398">
        <v>1770242.533214662</v>
      </c>
      <c r="L151" s="86"/>
      <c r="M151" s="86"/>
    </row>
    <row r="152" spans="1:13" ht="15" hidden="1" customHeight="1">
      <c r="A152" s="314">
        <v>100</v>
      </c>
      <c r="B152" s="314" t="s">
        <v>119</v>
      </c>
      <c r="C152" s="315">
        <f t="shared" si="3"/>
        <v>1052784.2932165214</v>
      </c>
      <c r="D152" s="315">
        <f t="shared" si="4"/>
        <v>1912314.0423629559</v>
      </c>
      <c r="E152" s="315">
        <f t="shared" si="10"/>
        <v>0</v>
      </c>
      <c r="F152" s="316">
        <f t="shared" ref="F152:F184" si="21">E14</f>
        <v>0</v>
      </c>
      <c r="G152" s="314" t="s">
        <v>599</v>
      </c>
      <c r="H152" s="86"/>
      <c r="I152" s="398">
        <v>1454231.2109224</v>
      </c>
      <c r="J152" s="399">
        <f t="shared" ref="J152:J184" si="22">IF(Aplicar_Escala=1,INDEX(Factor_Escala,4),1)</f>
        <v>1.3149999999999999</v>
      </c>
      <c r="K152" s="398">
        <v>800596.42069697438</v>
      </c>
      <c r="L152" s="86"/>
      <c r="M152" s="86"/>
    </row>
    <row r="153" spans="1:13" ht="15" hidden="1" customHeight="1">
      <c r="A153" s="314">
        <v>101</v>
      </c>
      <c r="B153" s="314" t="s">
        <v>119</v>
      </c>
      <c r="C153" s="315">
        <f>K153*J153</f>
        <v>426552.96080656687</v>
      </c>
      <c r="D153" s="315">
        <f>I153*J153</f>
        <v>774805.64823940757</v>
      </c>
      <c r="E153" s="315">
        <f>D153*F153</f>
        <v>0</v>
      </c>
      <c r="F153" s="316">
        <f t="shared" si="21"/>
        <v>0</v>
      </c>
      <c r="G153" s="314" t="s">
        <v>600</v>
      </c>
      <c r="H153" s="86"/>
      <c r="I153" s="398">
        <v>589205.81615164073</v>
      </c>
      <c r="J153" s="399">
        <f>IF(Aplicar_Escala=1,INDEX(Factor_Escala,4),1)</f>
        <v>1.3149999999999999</v>
      </c>
      <c r="K153" s="398">
        <v>324374.87513807369</v>
      </c>
      <c r="L153" s="86"/>
      <c r="M153" s="86"/>
    </row>
    <row r="154" spans="1:13" ht="15" hidden="1" customHeight="1">
      <c r="A154" s="314">
        <v>102</v>
      </c>
      <c r="B154" s="314" t="s">
        <v>119</v>
      </c>
      <c r="C154" s="315">
        <f>K154*J154</f>
        <v>54008.213452166943</v>
      </c>
      <c r="D154" s="315">
        <f>I154*J154</f>
        <v>98102.399183755173</v>
      </c>
      <c r="E154" s="315">
        <f>D154*F154</f>
        <v>0</v>
      </c>
      <c r="F154" s="316">
        <f t="shared" si="21"/>
        <v>0</v>
      </c>
      <c r="G154" s="314" t="s">
        <v>601</v>
      </c>
      <c r="H154" s="86"/>
      <c r="I154" s="398">
        <v>74602.584930612298</v>
      </c>
      <c r="J154" s="399">
        <f>IF(Aplicar_Escala=1,INDEX(Factor_Escala,4),1)</f>
        <v>1.3149999999999999</v>
      </c>
      <c r="K154" s="398">
        <v>41070.884754499581</v>
      </c>
      <c r="L154" s="86"/>
      <c r="M154" s="86"/>
    </row>
    <row r="155" spans="1:13" ht="15" hidden="1" customHeight="1">
      <c r="A155" s="314">
        <v>103</v>
      </c>
      <c r="B155" s="314" t="s">
        <v>119</v>
      </c>
      <c r="C155" s="315">
        <f>K155*J155</f>
        <v>9254.7325247449699</v>
      </c>
      <c r="D155" s="315">
        <f>I155*J155</f>
        <v>16810.618356882263</v>
      </c>
      <c r="E155" s="315">
        <f>D155*F155</f>
        <v>0</v>
      </c>
      <c r="F155" s="316">
        <f t="shared" si="21"/>
        <v>0</v>
      </c>
      <c r="G155" s="314" t="s">
        <v>602</v>
      </c>
      <c r="H155" s="86"/>
      <c r="I155" s="398">
        <v>12783.740195347729</v>
      </c>
      <c r="J155" s="399">
        <f>IF(Aplicar_Escala=1,INDEX(Factor_Escala,4),1)</f>
        <v>1.3149999999999999</v>
      </c>
      <c r="K155" s="398">
        <v>7037.8194104524491</v>
      </c>
      <c r="L155" s="86"/>
      <c r="M155" s="86"/>
    </row>
    <row r="156" spans="1:13" ht="15" hidden="1" customHeight="1">
      <c r="A156" s="314">
        <v>104</v>
      </c>
      <c r="B156" s="314" t="s">
        <v>119</v>
      </c>
      <c r="C156" s="315">
        <f t="shared" si="3"/>
        <v>785358.6335</v>
      </c>
      <c r="D156" s="315">
        <f t="shared" si="4"/>
        <v>2224306.9097544998</v>
      </c>
      <c r="E156" s="315">
        <f t="shared" si="10"/>
        <v>0</v>
      </c>
      <c r="F156" s="316">
        <f t="shared" si="21"/>
        <v>0</v>
      </c>
      <c r="G156" s="314" t="s">
        <v>91</v>
      </c>
      <c r="H156" s="86"/>
      <c r="I156" s="398">
        <v>1691488.1443</v>
      </c>
      <c r="J156" s="399">
        <f t="shared" si="22"/>
        <v>1.3149999999999999</v>
      </c>
      <c r="K156" s="398">
        <v>597230.9</v>
      </c>
      <c r="L156" s="86"/>
      <c r="M156" s="86"/>
    </row>
    <row r="157" spans="1:13" ht="15" hidden="1" customHeight="1">
      <c r="A157" s="314">
        <v>105</v>
      </c>
      <c r="B157" s="314" t="s">
        <v>119</v>
      </c>
      <c r="C157" s="315">
        <f t="shared" ref="C157:C256" si="23">K157*J157</f>
        <v>203264.82769825609</v>
      </c>
      <c r="D157" s="315">
        <f t="shared" ref="D157:D256" si="24">I157*J157</f>
        <v>781832.22872452333</v>
      </c>
      <c r="E157" s="315">
        <f t="shared" si="10"/>
        <v>0</v>
      </c>
      <c r="F157" s="316">
        <f t="shared" si="21"/>
        <v>0</v>
      </c>
      <c r="G157" s="314" t="s">
        <v>603</v>
      </c>
      <c r="H157" s="86"/>
      <c r="I157" s="398">
        <v>594549.22336465656</v>
      </c>
      <c r="J157" s="399">
        <f t="shared" si="22"/>
        <v>1.3149999999999999</v>
      </c>
      <c r="K157" s="398">
        <v>154574.01345874989</v>
      </c>
      <c r="L157" s="86"/>
      <c r="M157" s="86"/>
    </row>
    <row r="158" spans="1:13" ht="15" hidden="1" customHeight="1">
      <c r="A158" s="314">
        <v>106</v>
      </c>
      <c r="B158" s="314" t="s">
        <v>119</v>
      </c>
      <c r="C158" s="315">
        <f t="shared" ref="C158:C163" si="25">K158*J158</f>
        <v>69105.47486933136</v>
      </c>
      <c r="D158" s="315">
        <f t="shared" ref="D158:D163" si="26">I158*J158</f>
        <v>265805.39312173094</v>
      </c>
      <c r="E158" s="315">
        <f t="shared" ref="E158:E163" si="27">D158*F158</f>
        <v>0</v>
      </c>
      <c r="F158" s="316">
        <f t="shared" si="21"/>
        <v>0</v>
      </c>
      <c r="G158" s="314" t="s">
        <v>604</v>
      </c>
      <c r="H158" s="86"/>
      <c r="I158" s="398">
        <v>202133.37879979541</v>
      </c>
      <c r="J158" s="399">
        <f t="shared" ref="J158:J163" si="28">IF(Aplicar_Escala=1,INDEX(Factor_Escala,4),1)</f>
        <v>1.3149999999999999</v>
      </c>
      <c r="K158" s="398">
        <v>52551.691915841337</v>
      </c>
      <c r="L158" s="86"/>
      <c r="M158" s="86"/>
    </row>
    <row r="159" spans="1:13" ht="15" hidden="1" customHeight="1">
      <c r="A159" s="314">
        <v>107</v>
      </c>
      <c r="B159" s="314" t="s">
        <v>119</v>
      </c>
      <c r="C159" s="315">
        <f t="shared" si="25"/>
        <v>45646.048637767119</v>
      </c>
      <c r="D159" s="315">
        <f t="shared" si="26"/>
        <v>175571.70290135566</v>
      </c>
      <c r="E159" s="315">
        <f t="shared" si="27"/>
        <v>0</v>
      </c>
      <c r="F159" s="316">
        <f t="shared" si="21"/>
        <v>0</v>
      </c>
      <c r="G159" s="314" t="s">
        <v>87</v>
      </c>
      <c r="H159" s="86"/>
      <c r="I159" s="398">
        <v>133514.6029668104</v>
      </c>
      <c r="J159" s="399">
        <f t="shared" si="28"/>
        <v>1.3149999999999999</v>
      </c>
      <c r="K159" s="398">
        <v>34711.824059138497</v>
      </c>
      <c r="L159" s="86"/>
      <c r="M159" s="86"/>
    </row>
    <row r="160" spans="1:13" ht="15" hidden="1" customHeight="1">
      <c r="A160" s="314">
        <v>108</v>
      </c>
      <c r="B160" s="314" t="s">
        <v>119</v>
      </c>
      <c r="C160" s="315">
        <f t="shared" si="25"/>
        <v>101348.21910186225</v>
      </c>
      <c r="D160" s="315">
        <f t="shared" si="26"/>
        <v>389822.99552235869</v>
      </c>
      <c r="E160" s="315">
        <f t="shared" si="27"/>
        <v>0</v>
      </c>
      <c r="F160" s="316">
        <f t="shared" si="21"/>
        <v>0</v>
      </c>
      <c r="G160" s="314" t="s">
        <v>605</v>
      </c>
      <c r="H160" s="86"/>
      <c r="I160" s="398">
        <v>296443.34260255413</v>
      </c>
      <c r="J160" s="399">
        <f t="shared" si="28"/>
        <v>1.3149999999999999</v>
      </c>
      <c r="K160" s="398">
        <v>77070.889050845828</v>
      </c>
      <c r="L160" s="86"/>
      <c r="M160" s="86"/>
    </row>
    <row r="161" spans="1:13" ht="15" hidden="1" customHeight="1">
      <c r="A161" s="314">
        <v>109</v>
      </c>
      <c r="B161" s="314" t="s">
        <v>119</v>
      </c>
      <c r="C161" s="315">
        <f t="shared" si="25"/>
        <v>18436.223348268017</v>
      </c>
      <c r="D161" s="315">
        <f t="shared" si="26"/>
        <v>70912.581152686733</v>
      </c>
      <c r="E161" s="315">
        <f t="shared" si="27"/>
        <v>0</v>
      </c>
      <c r="F161" s="316">
        <f t="shared" si="21"/>
        <v>0</v>
      </c>
      <c r="G161" s="314" t="s">
        <v>606</v>
      </c>
      <c r="H161" s="86"/>
      <c r="I161" s="398">
        <v>53925.917226377751</v>
      </c>
      <c r="J161" s="399">
        <f t="shared" si="28"/>
        <v>1.3149999999999999</v>
      </c>
      <c r="K161" s="398">
        <v>14019.941709709519</v>
      </c>
      <c r="L161" s="86"/>
      <c r="M161" s="86"/>
    </row>
    <row r="162" spans="1:13" ht="15" hidden="1" customHeight="1">
      <c r="A162" s="314">
        <v>110</v>
      </c>
      <c r="B162" s="314" t="s">
        <v>119</v>
      </c>
      <c r="C162" s="315">
        <f t="shared" si="25"/>
        <v>66316.965725219139</v>
      </c>
      <c r="D162" s="315">
        <f t="shared" si="26"/>
        <v>255079.74843618617</v>
      </c>
      <c r="E162" s="315">
        <f t="shared" si="27"/>
        <v>0</v>
      </c>
      <c r="F162" s="316">
        <f t="shared" si="21"/>
        <v>0</v>
      </c>
      <c r="G162" s="314" t="s">
        <v>607</v>
      </c>
      <c r="H162" s="86"/>
      <c r="I162" s="398">
        <v>193976.99500850661</v>
      </c>
      <c r="J162" s="399">
        <f t="shared" si="28"/>
        <v>1.3149999999999999</v>
      </c>
      <c r="K162" s="398">
        <v>50431.152642752197</v>
      </c>
      <c r="L162" s="86"/>
      <c r="M162" s="86"/>
    </row>
    <row r="163" spans="1:13" ht="15" hidden="1" customHeight="1">
      <c r="A163" s="314">
        <v>111</v>
      </c>
      <c r="B163" s="314" t="s">
        <v>119</v>
      </c>
      <c r="C163" s="315">
        <f t="shared" si="25"/>
        <v>110996.26641929582</v>
      </c>
      <c r="D163" s="315">
        <f t="shared" si="26"/>
        <v>426932.97870265791</v>
      </c>
      <c r="E163" s="315">
        <f t="shared" si="27"/>
        <v>0</v>
      </c>
      <c r="F163" s="316">
        <f t="shared" si="21"/>
        <v>0</v>
      </c>
      <c r="G163" s="314" t="s">
        <v>608</v>
      </c>
      <c r="H163" s="86"/>
      <c r="I163" s="398">
        <v>324663.86213129881</v>
      </c>
      <c r="J163" s="399">
        <f t="shared" si="28"/>
        <v>1.3149999999999999</v>
      </c>
      <c r="K163" s="398">
        <v>84407.807162962607</v>
      </c>
      <c r="L163" s="86"/>
      <c r="M163" s="86"/>
    </row>
    <row r="164" spans="1:13" ht="15" hidden="1" customHeight="1">
      <c r="A164" s="314">
        <v>112</v>
      </c>
      <c r="B164" s="314" t="s">
        <v>119</v>
      </c>
      <c r="C164" s="315">
        <f t="shared" si="23"/>
        <v>324957.02065435448</v>
      </c>
      <c r="D164" s="315">
        <f t="shared" si="24"/>
        <v>1466462.0795654044</v>
      </c>
      <c r="E164" s="315">
        <f t="shared" si="10"/>
        <v>0</v>
      </c>
      <c r="F164" s="316">
        <f t="shared" si="21"/>
        <v>0</v>
      </c>
      <c r="G164" s="314" t="s">
        <v>609</v>
      </c>
      <c r="H164" s="86"/>
      <c r="I164" s="398">
        <v>1115180.2886428931</v>
      </c>
      <c r="J164" s="399">
        <f t="shared" si="22"/>
        <v>1.3149999999999999</v>
      </c>
      <c r="K164" s="398">
        <v>247115.60506034561</v>
      </c>
      <c r="L164" s="86"/>
      <c r="M164" s="86"/>
    </row>
    <row r="165" spans="1:13" ht="15" hidden="1" customHeight="1">
      <c r="A165" s="314">
        <v>113</v>
      </c>
      <c r="B165" s="314" t="s">
        <v>119</v>
      </c>
      <c r="C165" s="315">
        <f>K165*J165</f>
        <v>100475.51394564557</v>
      </c>
      <c r="D165" s="315">
        <f>I165*J165</f>
        <v>453424.67391359562</v>
      </c>
      <c r="E165" s="315">
        <f>D165*F165</f>
        <v>0</v>
      </c>
      <c r="F165" s="316">
        <f t="shared" si="21"/>
        <v>0</v>
      </c>
      <c r="G165" s="314" t="s">
        <v>610</v>
      </c>
      <c r="H165" s="86"/>
      <c r="I165" s="398">
        <v>344809.63795710693</v>
      </c>
      <c r="J165" s="399">
        <f>IF(Aplicar_Escala=1,INDEX(Factor_Escala,4),1)</f>
        <v>1.3149999999999999</v>
      </c>
      <c r="K165" s="398">
        <v>76407.23493965443</v>
      </c>
      <c r="L165" s="86"/>
      <c r="M165" s="86"/>
    </row>
    <row r="166" spans="1:13" ht="15" hidden="1" customHeight="1">
      <c r="A166" s="314">
        <v>114</v>
      </c>
      <c r="B166" s="314" t="s">
        <v>119</v>
      </c>
      <c r="C166" s="315">
        <f t="shared" si="23"/>
        <v>90704.908997481558</v>
      </c>
      <c r="D166" s="315">
        <f t="shared" si="24"/>
        <v>329137.5163433713</v>
      </c>
      <c r="E166" s="315">
        <f t="shared" si="10"/>
        <v>0</v>
      </c>
      <c r="F166" s="316">
        <f t="shared" si="21"/>
        <v>0</v>
      </c>
      <c r="G166" s="314" t="s">
        <v>92</v>
      </c>
      <c r="H166" s="86"/>
      <c r="I166" s="398">
        <v>250294.6892345029</v>
      </c>
      <c r="J166" s="399">
        <f t="shared" si="22"/>
        <v>1.3149999999999999</v>
      </c>
      <c r="K166" s="398">
        <v>68977.117108350998</v>
      </c>
      <c r="L166" s="86"/>
      <c r="M166" s="86"/>
    </row>
    <row r="167" spans="1:13" ht="15" hidden="1" customHeight="1">
      <c r="A167" s="314">
        <v>115</v>
      </c>
      <c r="B167" s="314" t="s">
        <v>119</v>
      </c>
      <c r="C167" s="315">
        <f>K167*J167</f>
        <v>161235.54650251844</v>
      </c>
      <c r="D167" s="315">
        <f>I167*J167</f>
        <v>585069.40703262866</v>
      </c>
      <c r="E167" s="315">
        <f>D167*F167</f>
        <v>0</v>
      </c>
      <c r="F167" s="316">
        <f t="shared" si="21"/>
        <v>0</v>
      </c>
      <c r="G167" s="314" t="s">
        <v>611</v>
      </c>
      <c r="H167" s="86"/>
      <c r="I167" s="398">
        <v>444919.70116549713</v>
      </c>
      <c r="J167" s="399">
        <f>IF(Aplicar_Escala=1,INDEX(Factor_Escala,4),1)</f>
        <v>1.3149999999999999</v>
      </c>
      <c r="K167" s="398">
        <v>122612.582891649</v>
      </c>
      <c r="L167" s="86"/>
      <c r="M167" s="86"/>
    </row>
    <row r="168" spans="1:13" ht="15" hidden="1" customHeight="1">
      <c r="A168" s="314">
        <v>116</v>
      </c>
      <c r="B168" s="314" t="s">
        <v>119</v>
      </c>
      <c r="C168" s="315">
        <f t="shared" si="23"/>
        <v>786636.07709999988</v>
      </c>
      <c r="D168" s="315">
        <f t="shared" si="24"/>
        <v>3323462.9780744999</v>
      </c>
      <c r="E168" s="315">
        <f t="shared" si="10"/>
        <v>0</v>
      </c>
      <c r="F168" s="316">
        <f t="shared" si="21"/>
        <v>0</v>
      </c>
      <c r="G168" s="314" t="s">
        <v>93</v>
      </c>
      <c r="H168" s="86"/>
      <c r="I168" s="398">
        <v>2527348.2722999998</v>
      </c>
      <c r="J168" s="399">
        <f t="shared" si="22"/>
        <v>1.3149999999999999</v>
      </c>
      <c r="K168" s="398">
        <v>598202.34</v>
      </c>
      <c r="L168" s="86"/>
      <c r="M168" s="86"/>
    </row>
    <row r="169" spans="1:13" ht="15" hidden="1" customHeight="1">
      <c r="A169" s="314">
        <v>117</v>
      </c>
      <c r="B169" s="314" t="s">
        <v>119</v>
      </c>
      <c r="C169" s="315">
        <f t="shared" si="23"/>
        <v>316365.47464999999</v>
      </c>
      <c r="D169" s="315">
        <f t="shared" si="24"/>
        <v>1046548.353215</v>
      </c>
      <c r="E169" s="315">
        <f t="shared" si="10"/>
        <v>0</v>
      </c>
      <c r="F169" s="316">
        <f t="shared" si="21"/>
        <v>0</v>
      </c>
      <c r="G169" s="314" t="s">
        <v>94</v>
      </c>
      <c r="H169" s="86"/>
      <c r="I169" s="398">
        <v>795854.26100000006</v>
      </c>
      <c r="J169" s="399">
        <f t="shared" si="22"/>
        <v>1.3149999999999999</v>
      </c>
      <c r="K169" s="398">
        <v>240582.11</v>
      </c>
      <c r="L169" s="86"/>
      <c r="M169" s="86"/>
    </row>
    <row r="170" spans="1:13" ht="15" hidden="1" customHeight="1">
      <c r="A170" s="314">
        <v>118</v>
      </c>
      <c r="B170" s="314" t="s">
        <v>119</v>
      </c>
      <c r="C170" s="315">
        <f t="shared" si="23"/>
        <v>549433.11589999998</v>
      </c>
      <c r="D170" s="315">
        <f t="shared" si="24"/>
        <v>2727651.0309164999</v>
      </c>
      <c r="E170" s="315">
        <f t="shared" si="10"/>
        <v>0</v>
      </c>
      <c r="F170" s="316">
        <f t="shared" si="21"/>
        <v>0</v>
      </c>
      <c r="G170" s="314" t="s">
        <v>95</v>
      </c>
      <c r="H170" s="86"/>
      <c r="I170" s="398">
        <v>2074259.3391</v>
      </c>
      <c r="J170" s="399">
        <f t="shared" si="22"/>
        <v>1.3149999999999999</v>
      </c>
      <c r="K170" s="398">
        <v>417819.86</v>
      </c>
      <c r="L170" s="86"/>
      <c r="M170" s="86"/>
    </row>
    <row r="171" spans="1:13" ht="15" hidden="1" customHeight="1">
      <c r="A171" s="314">
        <v>119</v>
      </c>
      <c r="B171" s="314" t="s">
        <v>119</v>
      </c>
      <c r="C171" s="315">
        <f t="shared" si="23"/>
        <v>197567.9933</v>
      </c>
      <c r="D171" s="315">
        <f t="shared" si="24"/>
        <v>890274.883852</v>
      </c>
      <c r="E171" s="315">
        <f t="shared" si="10"/>
        <v>0</v>
      </c>
      <c r="F171" s="316">
        <f t="shared" si="21"/>
        <v>0</v>
      </c>
      <c r="G171" s="314" t="s">
        <v>96</v>
      </c>
      <c r="H171" s="86"/>
      <c r="I171" s="398">
        <v>677015.12080000003</v>
      </c>
      <c r="J171" s="399">
        <f t="shared" si="22"/>
        <v>1.3149999999999999</v>
      </c>
      <c r="K171" s="398">
        <v>150241.82</v>
      </c>
      <c r="L171" s="86"/>
      <c r="M171" s="86"/>
    </row>
    <row r="172" spans="1:13" ht="15" hidden="1" customHeight="1">
      <c r="A172" s="314">
        <v>120</v>
      </c>
      <c r="B172" s="314" t="s">
        <v>119</v>
      </c>
      <c r="C172" s="315">
        <f t="shared" si="23"/>
        <v>1579684.9095000001</v>
      </c>
      <c r="D172" s="315">
        <f t="shared" si="24"/>
        <v>7117918.404968</v>
      </c>
      <c r="E172" s="315">
        <f t="shared" si="10"/>
        <v>0</v>
      </c>
      <c r="F172" s="316">
        <f t="shared" si="21"/>
        <v>0</v>
      </c>
      <c r="G172" s="314" t="s">
        <v>97</v>
      </c>
      <c r="H172" s="86"/>
      <c r="I172" s="398">
        <v>5412865.7072000001</v>
      </c>
      <c r="J172" s="399">
        <f t="shared" si="22"/>
        <v>1.3149999999999999</v>
      </c>
      <c r="K172" s="398">
        <v>1201281.3</v>
      </c>
      <c r="L172" s="86"/>
      <c r="M172" s="86"/>
    </row>
    <row r="173" spans="1:13" ht="15" hidden="1" customHeight="1">
      <c r="A173" s="314">
        <v>121</v>
      </c>
      <c r="B173" s="314" t="s">
        <v>119</v>
      </c>
      <c r="C173" s="315">
        <f t="shared" si="23"/>
        <v>244734.9393</v>
      </c>
      <c r="D173" s="315">
        <f t="shared" si="24"/>
        <v>707258.10405599989</v>
      </c>
      <c r="E173" s="315">
        <f t="shared" si="10"/>
        <v>0</v>
      </c>
      <c r="F173" s="316">
        <f t="shared" si="21"/>
        <v>0</v>
      </c>
      <c r="G173" s="314" t="s">
        <v>98</v>
      </c>
      <c r="H173" s="86"/>
      <c r="I173" s="398">
        <v>537838.86239999998</v>
      </c>
      <c r="J173" s="399">
        <f t="shared" si="22"/>
        <v>1.3149999999999999</v>
      </c>
      <c r="K173" s="398">
        <v>186110.22</v>
      </c>
      <c r="L173" s="86"/>
      <c r="M173" s="86"/>
    </row>
    <row r="174" spans="1:13" ht="15" hidden="1" customHeight="1">
      <c r="A174" s="314">
        <v>122</v>
      </c>
      <c r="B174" s="314" t="s">
        <v>119</v>
      </c>
      <c r="C174" s="315">
        <f t="shared" si="23"/>
        <v>547401.98005000001</v>
      </c>
      <c r="D174" s="315">
        <f t="shared" si="24"/>
        <v>1487547.8950294999</v>
      </c>
      <c r="E174" s="315">
        <f t="shared" si="10"/>
        <v>0</v>
      </c>
      <c r="F174" s="316">
        <f t="shared" si="21"/>
        <v>0</v>
      </c>
      <c r="G174" s="314" t="s">
        <v>99</v>
      </c>
      <c r="H174" s="86"/>
      <c r="I174" s="398">
        <v>1131215.1292999999</v>
      </c>
      <c r="J174" s="399">
        <f t="shared" si="22"/>
        <v>1.3149999999999999</v>
      </c>
      <c r="K174" s="398">
        <v>416275.27</v>
      </c>
      <c r="L174" s="86"/>
      <c r="M174" s="86"/>
    </row>
    <row r="175" spans="1:13" ht="15" hidden="1" customHeight="1">
      <c r="A175" s="314">
        <v>123</v>
      </c>
      <c r="B175" s="314" t="s">
        <v>119</v>
      </c>
      <c r="C175" s="315">
        <f t="shared" si="23"/>
        <v>1123513.2242000001</v>
      </c>
      <c r="D175" s="315">
        <f t="shared" si="24"/>
        <v>3819769.6022959999</v>
      </c>
      <c r="E175" s="315">
        <f t="shared" si="10"/>
        <v>0</v>
      </c>
      <c r="F175" s="316">
        <f t="shared" si="21"/>
        <v>0</v>
      </c>
      <c r="G175" s="314" t="s">
        <v>100</v>
      </c>
      <c r="H175" s="86"/>
      <c r="I175" s="398">
        <v>2904767.7584000002</v>
      </c>
      <c r="J175" s="399">
        <f t="shared" si="22"/>
        <v>1.3149999999999999</v>
      </c>
      <c r="K175" s="398">
        <v>854382.68</v>
      </c>
      <c r="L175" s="86"/>
      <c r="M175" s="86"/>
    </row>
    <row r="176" spans="1:13" ht="15" hidden="1" customHeight="1">
      <c r="A176" s="314">
        <v>124</v>
      </c>
      <c r="B176" s="314" t="s">
        <v>119</v>
      </c>
      <c r="C176" s="315">
        <f t="shared" si="23"/>
        <v>1514308.09335</v>
      </c>
      <c r="D176" s="315">
        <f t="shared" si="24"/>
        <v>2524586.5864145001</v>
      </c>
      <c r="E176" s="315">
        <f t="shared" si="10"/>
        <v>0</v>
      </c>
      <c r="F176" s="316">
        <f t="shared" si="21"/>
        <v>0</v>
      </c>
      <c r="G176" s="314" t="s">
        <v>101</v>
      </c>
      <c r="H176" s="86"/>
      <c r="I176" s="398">
        <v>1919837.7083000001</v>
      </c>
      <c r="J176" s="399">
        <f t="shared" si="22"/>
        <v>1.3149999999999999</v>
      </c>
      <c r="K176" s="398">
        <v>1151565.0900000001</v>
      </c>
      <c r="L176" s="86"/>
      <c r="M176" s="86"/>
    </row>
    <row r="177" spans="1:13" ht="15" hidden="1" customHeight="1">
      <c r="A177" s="314">
        <v>125</v>
      </c>
      <c r="B177" s="314" t="s">
        <v>119</v>
      </c>
      <c r="C177" s="315">
        <f t="shared" si="23"/>
        <v>745226.41149999993</v>
      </c>
      <c r="D177" s="315">
        <f t="shared" si="24"/>
        <v>1628069.4830374999</v>
      </c>
      <c r="E177" s="315">
        <f t="shared" si="10"/>
        <v>0</v>
      </c>
      <c r="F177" s="316">
        <f t="shared" si="21"/>
        <v>0</v>
      </c>
      <c r="G177" s="314" t="s">
        <v>102</v>
      </c>
      <c r="H177" s="86"/>
      <c r="I177" s="398">
        <v>1238075.6525000001</v>
      </c>
      <c r="J177" s="399">
        <f t="shared" si="22"/>
        <v>1.3149999999999999</v>
      </c>
      <c r="K177" s="398">
        <v>566712.1</v>
      </c>
      <c r="L177" s="86"/>
      <c r="M177" s="86"/>
    </row>
    <row r="178" spans="1:13" ht="15" hidden="1" customHeight="1">
      <c r="A178" s="314">
        <v>126</v>
      </c>
      <c r="B178" s="314" t="s">
        <v>119</v>
      </c>
      <c r="C178" s="315">
        <f t="shared" si="23"/>
        <v>411229.60094999999</v>
      </c>
      <c r="D178" s="315">
        <f t="shared" si="24"/>
        <v>912569.81136449997</v>
      </c>
      <c r="E178" s="315">
        <f t="shared" si="10"/>
        <v>0</v>
      </c>
      <c r="F178" s="316">
        <f t="shared" si="21"/>
        <v>0</v>
      </c>
      <c r="G178" s="314" t="s">
        <v>103</v>
      </c>
      <c r="H178" s="86"/>
      <c r="I178" s="398">
        <v>693969.43830000004</v>
      </c>
      <c r="J178" s="399">
        <f t="shared" si="22"/>
        <v>1.3149999999999999</v>
      </c>
      <c r="K178" s="398">
        <v>312722.13</v>
      </c>
      <c r="L178" s="86"/>
      <c r="M178" s="86"/>
    </row>
    <row r="179" spans="1:13" ht="15" hidden="1" customHeight="1">
      <c r="A179" s="314">
        <v>127</v>
      </c>
      <c r="B179" s="314" t="s">
        <v>119</v>
      </c>
      <c r="C179" s="315">
        <f t="shared" si="23"/>
        <v>450962.41800000001</v>
      </c>
      <c r="D179" s="315">
        <f t="shared" si="24"/>
        <v>748970.59522000002</v>
      </c>
      <c r="E179" s="315">
        <f t="shared" si="10"/>
        <v>0</v>
      </c>
      <c r="F179" s="316">
        <f t="shared" si="21"/>
        <v>0</v>
      </c>
      <c r="G179" s="314" t="s">
        <v>104</v>
      </c>
      <c r="H179" s="86"/>
      <c r="I179" s="398">
        <v>569559.38800000004</v>
      </c>
      <c r="J179" s="399">
        <f t="shared" si="22"/>
        <v>1.3149999999999999</v>
      </c>
      <c r="K179" s="398">
        <v>342937.2</v>
      </c>
      <c r="L179" s="86"/>
      <c r="M179" s="86"/>
    </row>
    <row r="180" spans="1:13" ht="15" hidden="1" customHeight="1">
      <c r="A180" s="314">
        <v>128</v>
      </c>
      <c r="B180" s="314" t="s">
        <v>119</v>
      </c>
      <c r="C180" s="315">
        <f t="shared" si="23"/>
        <v>1290638.5729999999</v>
      </c>
      <c r="D180" s="315">
        <f t="shared" si="24"/>
        <v>1521169.7245574999</v>
      </c>
      <c r="E180" s="315">
        <f t="shared" si="10"/>
        <v>0</v>
      </c>
      <c r="F180" s="316">
        <f t="shared" si="21"/>
        <v>0</v>
      </c>
      <c r="G180" s="314" t="s">
        <v>105</v>
      </c>
      <c r="H180" s="86"/>
      <c r="I180" s="398">
        <v>1156783.0604999999</v>
      </c>
      <c r="J180" s="399">
        <f t="shared" si="22"/>
        <v>1.3149999999999999</v>
      </c>
      <c r="K180" s="398">
        <v>981474.2</v>
      </c>
      <c r="L180" s="86"/>
      <c r="M180" s="86"/>
    </row>
    <row r="181" spans="1:13" ht="15" hidden="1" customHeight="1">
      <c r="A181" s="314">
        <v>129</v>
      </c>
      <c r="B181" s="314" t="s">
        <v>119</v>
      </c>
      <c r="C181" s="315">
        <f t="shared" si="23"/>
        <v>1032321.7482500001</v>
      </c>
      <c r="D181" s="315">
        <f t="shared" si="24"/>
        <v>1231450.4749425</v>
      </c>
      <c r="E181" s="315">
        <f t="shared" si="10"/>
        <v>0</v>
      </c>
      <c r="F181" s="316">
        <f t="shared" si="21"/>
        <v>0</v>
      </c>
      <c r="G181" s="314" t="s">
        <v>106</v>
      </c>
      <c r="H181" s="86"/>
      <c r="I181" s="398">
        <v>936464.23950000003</v>
      </c>
      <c r="J181" s="399">
        <f t="shared" si="22"/>
        <v>1.3149999999999999</v>
      </c>
      <c r="K181" s="398">
        <v>785035.55</v>
      </c>
      <c r="L181" s="86"/>
      <c r="M181" s="86"/>
    </row>
    <row r="182" spans="1:13" ht="15" hidden="1" customHeight="1">
      <c r="A182" s="314">
        <v>130</v>
      </c>
      <c r="B182" s="314" t="s">
        <v>119</v>
      </c>
      <c r="C182" s="315">
        <f t="shared" si="23"/>
        <v>675722.38895000005</v>
      </c>
      <c r="D182" s="315">
        <f t="shared" si="24"/>
        <v>1507009.5760104998</v>
      </c>
      <c r="E182" s="315">
        <f t="shared" si="10"/>
        <v>0</v>
      </c>
      <c r="F182" s="316">
        <f t="shared" si="21"/>
        <v>0</v>
      </c>
      <c r="G182" s="314" t="s">
        <v>107</v>
      </c>
      <c r="H182" s="86"/>
      <c r="I182" s="398">
        <v>1146014.8866999999</v>
      </c>
      <c r="J182" s="399">
        <f t="shared" si="22"/>
        <v>1.3149999999999999</v>
      </c>
      <c r="K182" s="398">
        <v>513857.33</v>
      </c>
      <c r="L182" s="86"/>
      <c r="M182" s="86"/>
    </row>
    <row r="183" spans="1:13" ht="15" hidden="1" customHeight="1">
      <c r="A183" s="314">
        <v>131</v>
      </c>
      <c r="B183" s="314" t="s">
        <v>119</v>
      </c>
      <c r="C183" s="315">
        <f>K183*J183</f>
        <v>703094.64128562727</v>
      </c>
      <c r="D183" s="315">
        <f>I183*J183</f>
        <v>1080346.587518061</v>
      </c>
      <c r="E183" s="315">
        <f>D183*F183</f>
        <v>0</v>
      </c>
      <c r="F183" s="316">
        <f t="shared" si="21"/>
        <v>0</v>
      </c>
      <c r="G183" s="314" t="s">
        <v>612</v>
      </c>
      <c r="H183" s="86"/>
      <c r="I183" s="398">
        <v>821556.34031791717</v>
      </c>
      <c r="J183" s="399">
        <f>IF(Aplicar_Escala=1,INDEX(Factor_Escala,4),1)</f>
        <v>1.3149999999999999</v>
      </c>
      <c r="K183" s="398">
        <v>534672.73101568618</v>
      </c>
      <c r="L183" s="86"/>
      <c r="M183" s="86"/>
    </row>
    <row r="184" spans="1:13" ht="15" hidden="1" customHeight="1">
      <c r="A184" s="314">
        <v>132</v>
      </c>
      <c r="B184" s="314" t="s">
        <v>119</v>
      </c>
      <c r="C184" s="315">
        <f t="shared" si="23"/>
        <v>1030407.6855143725</v>
      </c>
      <c r="D184" s="315">
        <f t="shared" si="24"/>
        <v>1583282.4792439393</v>
      </c>
      <c r="E184" s="315">
        <f t="shared" si="10"/>
        <v>0</v>
      </c>
      <c r="F184" s="316">
        <f t="shared" si="21"/>
        <v>0</v>
      </c>
      <c r="G184" s="314" t="s">
        <v>613</v>
      </c>
      <c r="H184" s="86"/>
      <c r="I184" s="398">
        <v>1204017.0944820831</v>
      </c>
      <c r="J184" s="399">
        <f t="shared" si="22"/>
        <v>1.3149999999999999</v>
      </c>
      <c r="K184" s="398">
        <v>783579.98898431379</v>
      </c>
      <c r="L184" s="86"/>
      <c r="M184" s="86"/>
    </row>
    <row r="185" spans="1:13" ht="15" hidden="1" customHeight="1">
      <c r="A185" s="314">
        <v>133</v>
      </c>
      <c r="B185" s="314" t="s">
        <v>85</v>
      </c>
      <c r="C185" s="315">
        <f t="shared" si="23"/>
        <v>181125.29048704723</v>
      </c>
      <c r="D185" s="315">
        <f t="shared" si="24"/>
        <v>450394.13759882492</v>
      </c>
      <c r="E185" s="315">
        <f t="shared" si="10"/>
        <v>0</v>
      </c>
      <c r="F185" s="316">
        <f t="shared" ref="F185:F217" si="29">F14</f>
        <v>0</v>
      </c>
      <c r="G185" s="314" t="s">
        <v>599</v>
      </c>
      <c r="H185" s="86"/>
      <c r="I185" s="398">
        <v>316955.76185701962</v>
      </c>
      <c r="J185" s="399">
        <f t="shared" ref="J185:J217" si="30">IF(Aplicar_Escala=1,INDEX(Factor_Escala,5),1)</f>
        <v>1.421</v>
      </c>
      <c r="K185" s="398">
        <v>127463.25861157441</v>
      </c>
      <c r="L185" s="86"/>
      <c r="M185" s="86"/>
    </row>
    <row r="186" spans="1:13" ht="15" hidden="1" customHeight="1">
      <c r="A186" s="314">
        <v>134</v>
      </c>
      <c r="B186" s="314" t="s">
        <v>85</v>
      </c>
      <c r="C186" s="315">
        <f>K186*J186</f>
        <v>73385.905766272568</v>
      </c>
      <c r="D186" s="315">
        <f>I186*J186</f>
        <v>182484.63066990997</v>
      </c>
      <c r="E186" s="315">
        <f>D186*F186</f>
        <v>0</v>
      </c>
      <c r="F186" s="316">
        <f t="shared" si="29"/>
        <v>0</v>
      </c>
      <c r="G186" s="314" t="s">
        <v>600</v>
      </c>
      <c r="H186" s="86"/>
      <c r="I186" s="398">
        <v>128419.8667627797</v>
      </c>
      <c r="J186" s="399">
        <f>IF(Aplicar_Escala=1,INDEX(Factor_Escala,5),1)</f>
        <v>1.421</v>
      </c>
      <c r="K186" s="398">
        <v>51643.846422429669</v>
      </c>
      <c r="L186" s="86"/>
      <c r="M186" s="86"/>
    </row>
    <row r="187" spans="1:13" ht="15" hidden="1" customHeight="1">
      <c r="A187" s="314">
        <v>135</v>
      </c>
      <c r="B187" s="314" t="s">
        <v>85</v>
      </c>
      <c r="C187" s="315">
        <f>K187*J187</f>
        <v>9291.7926428432365</v>
      </c>
      <c r="D187" s="315">
        <f>I187*J187</f>
        <v>23105.381489614578</v>
      </c>
      <c r="E187" s="315">
        <f>D187*F187</f>
        <v>0</v>
      </c>
      <c r="F187" s="316">
        <f t="shared" si="29"/>
        <v>0</v>
      </c>
      <c r="G187" s="314" t="s">
        <v>601</v>
      </c>
      <c r="H187" s="86"/>
      <c r="I187" s="398">
        <v>16259.9447499047</v>
      </c>
      <c r="J187" s="399">
        <f>IF(Aplicar_Escala=1,INDEX(Factor_Escala,5),1)</f>
        <v>1.421</v>
      </c>
      <c r="K187" s="398">
        <v>6538.9110787074151</v>
      </c>
      <c r="L187" s="86"/>
      <c r="M187" s="86"/>
    </row>
    <row r="188" spans="1:13" ht="15" hidden="1" customHeight="1">
      <c r="A188" s="314">
        <v>136</v>
      </c>
      <c r="B188" s="314" t="s">
        <v>85</v>
      </c>
      <c r="C188" s="315">
        <f>K188*J188</f>
        <v>1592.2218138370408</v>
      </c>
      <c r="D188" s="315">
        <f>I188*J188</f>
        <v>3959.2890025507195</v>
      </c>
      <c r="E188" s="315">
        <f>D188*F188</f>
        <v>0</v>
      </c>
      <c r="F188" s="316">
        <f t="shared" si="29"/>
        <v>0</v>
      </c>
      <c r="G188" s="314" t="s">
        <v>602</v>
      </c>
      <c r="H188" s="86"/>
      <c r="I188" s="398">
        <v>2786.2695302960728</v>
      </c>
      <c r="J188" s="399">
        <f>IF(Aplicar_Escala=1,INDEX(Factor_Escala,5),1)</f>
        <v>1.421</v>
      </c>
      <c r="K188" s="398">
        <v>1120.493887288558</v>
      </c>
      <c r="L188" s="86"/>
      <c r="M188" s="86"/>
    </row>
    <row r="189" spans="1:13" ht="15" hidden="1" customHeight="1">
      <c r="A189" s="314">
        <v>137</v>
      </c>
      <c r="B189" s="314" t="s">
        <v>85</v>
      </c>
      <c r="C189" s="315">
        <f t="shared" si="23"/>
        <v>697863.78592000005</v>
      </c>
      <c r="D189" s="315">
        <f t="shared" si="24"/>
        <v>1659299.7856288</v>
      </c>
      <c r="E189" s="315">
        <f t="shared" si="10"/>
        <v>0</v>
      </c>
      <c r="F189" s="316">
        <f t="shared" si="29"/>
        <v>0</v>
      </c>
      <c r="G189" s="314" t="s">
        <v>91</v>
      </c>
      <c r="H189" s="86"/>
      <c r="I189" s="398">
        <v>1167698.6528</v>
      </c>
      <c r="J189" s="399">
        <f t="shared" si="30"/>
        <v>1.421</v>
      </c>
      <c r="K189" s="398">
        <v>491107.52</v>
      </c>
      <c r="L189" s="86"/>
      <c r="M189" s="86"/>
    </row>
    <row r="190" spans="1:13" ht="15" hidden="1" customHeight="1">
      <c r="A190" s="314">
        <v>138</v>
      </c>
      <c r="B190" s="314" t="s">
        <v>85</v>
      </c>
      <c r="C190" s="315">
        <f t="shared" si="23"/>
        <v>114765.14885055345</v>
      </c>
      <c r="D190" s="315">
        <f t="shared" si="24"/>
        <v>431946.32402350567</v>
      </c>
      <c r="E190" s="315">
        <f t="shared" ref="E190:E289" si="31">D190*F190</f>
        <v>0</v>
      </c>
      <c r="F190" s="316">
        <f t="shared" si="29"/>
        <v>0</v>
      </c>
      <c r="G190" s="314" t="s">
        <v>603</v>
      </c>
      <c r="H190" s="86"/>
      <c r="I190" s="398">
        <v>303973.48629381118</v>
      </c>
      <c r="J190" s="399">
        <f t="shared" si="30"/>
        <v>1.421</v>
      </c>
      <c r="K190" s="398">
        <v>80763.651548594964</v>
      </c>
      <c r="L190" s="86"/>
      <c r="M190" s="86"/>
    </row>
    <row r="191" spans="1:13" ht="15" hidden="1" customHeight="1">
      <c r="A191" s="314">
        <v>139</v>
      </c>
      <c r="B191" s="314" t="s">
        <v>85</v>
      </c>
      <c r="C191" s="315">
        <f t="shared" ref="C191:C196" si="32">K191*J191</f>
        <v>39017.572295096259</v>
      </c>
      <c r="D191" s="315">
        <f t="shared" ref="D191:D196" si="33">I191*J191</f>
        <v>146852.046060906</v>
      </c>
      <c r="E191" s="315">
        <f t="shared" ref="E191:E196" si="34">D191*F191</f>
        <v>0</v>
      </c>
      <c r="F191" s="316">
        <f t="shared" si="29"/>
        <v>0</v>
      </c>
      <c r="G191" s="314" t="s">
        <v>604</v>
      </c>
      <c r="H191" s="86"/>
      <c r="I191" s="398">
        <v>103344.1562708698</v>
      </c>
      <c r="J191" s="399">
        <f t="shared" ref="J191:J196" si="35">IF(Aplicar_Escala=1,INDEX(Factor_Escala,5),1)</f>
        <v>1.421</v>
      </c>
      <c r="K191" s="398">
        <v>27457.827090145151</v>
      </c>
      <c r="L191" s="86"/>
      <c r="M191" s="86"/>
    </row>
    <row r="192" spans="1:13" ht="15" hidden="1" customHeight="1">
      <c r="A192" s="314">
        <v>140</v>
      </c>
      <c r="B192" s="314" t="s">
        <v>85</v>
      </c>
      <c r="C192" s="315">
        <f t="shared" si="32"/>
        <v>25772.169369752166</v>
      </c>
      <c r="D192" s="315">
        <f t="shared" si="33"/>
        <v>96999.776786521834</v>
      </c>
      <c r="E192" s="315">
        <f t="shared" si="34"/>
        <v>0</v>
      </c>
      <c r="F192" s="316">
        <f t="shared" si="29"/>
        <v>0</v>
      </c>
      <c r="G192" s="314" t="s">
        <v>87</v>
      </c>
      <c r="H192" s="86"/>
      <c r="I192" s="398">
        <v>68261.630391640982</v>
      </c>
      <c r="J192" s="399">
        <f t="shared" si="35"/>
        <v>1.421</v>
      </c>
      <c r="K192" s="398">
        <v>18136.642765483579</v>
      </c>
      <c r="L192" s="86"/>
      <c r="M192" s="86"/>
    </row>
    <row r="193" spans="1:13" ht="15" hidden="1" customHeight="1">
      <c r="A193" s="314">
        <v>141</v>
      </c>
      <c r="B193" s="314" t="s">
        <v>85</v>
      </c>
      <c r="C193" s="315">
        <f t="shared" si="32"/>
        <v>57222.115516365426</v>
      </c>
      <c r="D193" s="315">
        <f t="shared" si="33"/>
        <v>215369.23619842689</v>
      </c>
      <c r="E193" s="315">
        <f t="shared" si="34"/>
        <v>0</v>
      </c>
      <c r="F193" s="316">
        <f t="shared" si="29"/>
        <v>0</v>
      </c>
      <c r="G193" s="314" t="s">
        <v>605</v>
      </c>
      <c r="H193" s="86"/>
      <c r="I193" s="398">
        <v>151561.7425745439</v>
      </c>
      <c r="J193" s="399">
        <f t="shared" si="35"/>
        <v>1.421</v>
      </c>
      <c r="K193" s="398">
        <v>40268.90606359284</v>
      </c>
      <c r="L193" s="86"/>
      <c r="M193" s="86"/>
    </row>
    <row r="194" spans="1:13" ht="15" hidden="1" customHeight="1">
      <c r="A194" s="314">
        <v>142</v>
      </c>
      <c r="B194" s="314" t="s">
        <v>85</v>
      </c>
      <c r="C194" s="315">
        <f t="shared" si="32"/>
        <v>10409.257424245365</v>
      </c>
      <c r="D194" s="315">
        <f t="shared" si="33"/>
        <v>39177.751479869134</v>
      </c>
      <c r="E194" s="315">
        <f t="shared" si="34"/>
        <v>0</v>
      </c>
      <c r="F194" s="316">
        <f t="shared" si="29"/>
        <v>0</v>
      </c>
      <c r="G194" s="314" t="s">
        <v>606</v>
      </c>
      <c r="H194" s="86"/>
      <c r="I194" s="398">
        <v>27570.549950646819</v>
      </c>
      <c r="J194" s="399">
        <f t="shared" si="35"/>
        <v>1.421</v>
      </c>
      <c r="K194" s="398">
        <v>7325.3043098137687</v>
      </c>
      <c r="L194" s="86"/>
      <c r="M194" s="86"/>
    </row>
    <row r="195" spans="1:13" ht="15" hidden="1" customHeight="1">
      <c r="A195" s="314">
        <v>143</v>
      </c>
      <c r="B195" s="314" t="s">
        <v>85</v>
      </c>
      <c r="C195" s="315">
        <f t="shared" si="32"/>
        <v>37443.154966633323</v>
      </c>
      <c r="D195" s="315">
        <f t="shared" si="33"/>
        <v>140926.34662758725</v>
      </c>
      <c r="E195" s="315">
        <f t="shared" si="34"/>
        <v>0</v>
      </c>
      <c r="F195" s="316">
        <f t="shared" si="29"/>
        <v>0</v>
      </c>
      <c r="G195" s="314" t="s">
        <v>607</v>
      </c>
      <c r="H195" s="86"/>
      <c r="I195" s="398">
        <v>99174.065184790452</v>
      </c>
      <c r="J195" s="399">
        <f t="shared" si="35"/>
        <v>1.421</v>
      </c>
      <c r="K195" s="398">
        <v>26349.86274921416</v>
      </c>
      <c r="L195" s="86"/>
      <c r="M195" s="86"/>
    </row>
    <row r="196" spans="1:13" ht="15" hidden="1" customHeight="1">
      <c r="A196" s="314">
        <v>144</v>
      </c>
      <c r="B196" s="314" t="s">
        <v>85</v>
      </c>
      <c r="C196" s="315">
        <f t="shared" si="32"/>
        <v>62669.48975735392</v>
      </c>
      <c r="D196" s="315">
        <f t="shared" si="33"/>
        <v>235871.74329698287</v>
      </c>
      <c r="E196" s="315">
        <f t="shared" si="34"/>
        <v>0</v>
      </c>
      <c r="F196" s="316">
        <f t="shared" si="29"/>
        <v>0</v>
      </c>
      <c r="G196" s="314" t="s">
        <v>608</v>
      </c>
      <c r="H196" s="86"/>
      <c r="I196" s="398">
        <v>165989.9671336966</v>
      </c>
      <c r="J196" s="399">
        <f t="shared" si="35"/>
        <v>1.421</v>
      </c>
      <c r="K196" s="398">
        <v>44102.385473155467</v>
      </c>
      <c r="L196" s="86"/>
      <c r="M196" s="86"/>
    </row>
    <row r="197" spans="1:13" ht="15" hidden="1" customHeight="1">
      <c r="A197" s="314">
        <v>145</v>
      </c>
      <c r="B197" s="314" t="s">
        <v>85</v>
      </c>
      <c r="C197" s="315">
        <f t="shared" si="23"/>
        <v>28430.152452145529</v>
      </c>
      <c r="D197" s="315">
        <f t="shared" si="24"/>
        <v>71480.523024396432</v>
      </c>
      <c r="E197" s="315">
        <f t="shared" si="31"/>
        <v>0</v>
      </c>
      <c r="F197" s="316">
        <f t="shared" si="29"/>
        <v>0</v>
      </c>
      <c r="G197" s="314" t="s">
        <v>609</v>
      </c>
      <c r="H197" s="86"/>
      <c r="I197" s="398">
        <v>50302.97186797778</v>
      </c>
      <c r="J197" s="399">
        <f t="shared" si="30"/>
        <v>1.421</v>
      </c>
      <c r="K197" s="398">
        <v>20007.144582790661</v>
      </c>
      <c r="L197" s="86"/>
      <c r="M197" s="86"/>
    </row>
    <row r="198" spans="1:13" ht="15" hidden="1" customHeight="1">
      <c r="A198" s="314">
        <v>146</v>
      </c>
      <c r="B198" s="314" t="s">
        <v>85</v>
      </c>
      <c r="C198" s="315">
        <f>K198*J198</f>
        <v>8790.4984278544762</v>
      </c>
      <c r="D198" s="315">
        <f>I198*J198</f>
        <v>22101.514451103591</v>
      </c>
      <c r="E198" s="315">
        <f>D198*F198</f>
        <v>0</v>
      </c>
      <c r="F198" s="316">
        <f t="shared" si="29"/>
        <v>0</v>
      </c>
      <c r="G198" s="314" t="s">
        <v>610</v>
      </c>
      <c r="H198" s="86"/>
      <c r="I198" s="398">
        <v>15553.49363202223</v>
      </c>
      <c r="J198" s="399">
        <f>IF(Aplicar_Escala=1,INDEX(Factor_Escala,5),1)</f>
        <v>1.421</v>
      </c>
      <c r="K198" s="398">
        <v>6186.1354172093424</v>
      </c>
      <c r="L198" s="86"/>
      <c r="M198" s="86"/>
    </row>
    <row r="199" spans="1:13" ht="15" hidden="1" customHeight="1">
      <c r="A199" s="314">
        <v>147</v>
      </c>
      <c r="B199" s="314" t="s">
        <v>85</v>
      </c>
      <c r="C199" s="315">
        <f t="shared" si="23"/>
        <v>71737.68537366495</v>
      </c>
      <c r="D199" s="315">
        <f t="shared" si="24"/>
        <v>197327.44976397543</v>
      </c>
      <c r="E199" s="315">
        <f t="shared" si="31"/>
        <v>0</v>
      </c>
      <c r="F199" s="316">
        <f t="shared" si="29"/>
        <v>0</v>
      </c>
      <c r="G199" s="314" t="s">
        <v>92</v>
      </c>
      <c r="H199" s="86"/>
      <c r="I199" s="398">
        <v>138865.2003968863</v>
      </c>
      <c r="J199" s="399">
        <f t="shared" si="30"/>
        <v>1.421</v>
      </c>
      <c r="K199" s="398">
        <v>50483.944668307493</v>
      </c>
      <c r="L199" s="86"/>
      <c r="M199" s="86"/>
    </row>
    <row r="200" spans="1:13" ht="15" hidden="1" customHeight="1">
      <c r="A200" s="314">
        <v>148</v>
      </c>
      <c r="B200" s="314" t="s">
        <v>85</v>
      </c>
      <c r="C200" s="315">
        <f>K200*J200</f>
        <v>127519.72339633507</v>
      </c>
      <c r="D200" s="315">
        <f>I200*J200</f>
        <v>350766.0120526246</v>
      </c>
      <c r="E200" s="315">
        <f>D200*F200</f>
        <v>0</v>
      </c>
      <c r="F200" s="316">
        <f t="shared" si="29"/>
        <v>0</v>
      </c>
      <c r="G200" s="314" t="s">
        <v>611</v>
      </c>
      <c r="H200" s="86"/>
      <c r="I200" s="398">
        <v>246844.48420311371</v>
      </c>
      <c r="J200" s="399">
        <f>IF(Aplicar_Escala=1,INDEX(Factor_Escala,5),1)</f>
        <v>1.421</v>
      </c>
      <c r="K200" s="398">
        <v>89739.425331692517</v>
      </c>
      <c r="L200" s="86"/>
      <c r="M200" s="86"/>
    </row>
    <row r="201" spans="1:13" ht="15" hidden="1" customHeight="1">
      <c r="A201" s="314">
        <v>149</v>
      </c>
      <c r="B201" s="314" t="s">
        <v>85</v>
      </c>
      <c r="C201" s="315">
        <f t="shared" si="23"/>
        <v>647680.65935999993</v>
      </c>
      <c r="D201" s="315">
        <f t="shared" si="24"/>
        <v>1496272.3095229</v>
      </c>
      <c r="E201" s="315">
        <f t="shared" si="31"/>
        <v>0</v>
      </c>
      <c r="F201" s="316">
        <f t="shared" si="29"/>
        <v>0</v>
      </c>
      <c r="G201" s="314" t="s">
        <v>93</v>
      </c>
      <c r="H201" s="86"/>
      <c r="I201" s="398">
        <v>1052971.3648999999</v>
      </c>
      <c r="J201" s="399">
        <f t="shared" si="30"/>
        <v>1.421</v>
      </c>
      <c r="K201" s="398">
        <v>455792.16</v>
      </c>
      <c r="L201" s="86"/>
      <c r="M201" s="86"/>
    </row>
    <row r="202" spans="1:13" ht="15" hidden="1" customHeight="1">
      <c r="A202" s="314">
        <v>150</v>
      </c>
      <c r="B202" s="314" t="s">
        <v>85</v>
      </c>
      <c r="C202" s="315">
        <f t="shared" si="23"/>
        <v>93211.134449999998</v>
      </c>
      <c r="D202" s="315">
        <f t="shared" si="24"/>
        <v>219585.710421</v>
      </c>
      <c r="E202" s="315">
        <f t="shared" si="31"/>
        <v>0</v>
      </c>
      <c r="F202" s="316">
        <f t="shared" si="29"/>
        <v>0</v>
      </c>
      <c r="G202" s="314" t="s">
        <v>94</v>
      </c>
      <c r="H202" s="86"/>
      <c r="I202" s="398">
        <v>154529.00099999999</v>
      </c>
      <c r="J202" s="399">
        <f t="shared" si="30"/>
        <v>1.421</v>
      </c>
      <c r="K202" s="398">
        <v>65595.45</v>
      </c>
      <c r="L202" s="86"/>
      <c r="M202" s="86"/>
    </row>
    <row r="203" spans="1:13" ht="15" hidden="1" customHeight="1">
      <c r="A203" s="314">
        <v>151</v>
      </c>
      <c r="B203" s="314" t="s">
        <v>85</v>
      </c>
      <c r="C203" s="315">
        <f t="shared" si="23"/>
        <v>114795.38553</v>
      </c>
      <c r="D203" s="315">
        <f t="shared" si="24"/>
        <v>385222.55944830005</v>
      </c>
      <c r="E203" s="315">
        <f t="shared" si="31"/>
        <v>0</v>
      </c>
      <c r="F203" s="316">
        <f t="shared" si="29"/>
        <v>0</v>
      </c>
      <c r="G203" s="314" t="s">
        <v>95</v>
      </c>
      <c r="H203" s="86"/>
      <c r="I203" s="398">
        <v>271092.58230000001</v>
      </c>
      <c r="J203" s="399">
        <f t="shared" si="30"/>
        <v>1.421</v>
      </c>
      <c r="K203" s="398">
        <v>80784.929999999993</v>
      </c>
      <c r="L203" s="86"/>
      <c r="M203" s="86"/>
    </row>
    <row r="204" spans="1:13" ht="15" hidden="1" customHeight="1">
      <c r="A204" s="314">
        <v>152</v>
      </c>
      <c r="B204" s="314" t="s">
        <v>85</v>
      </c>
      <c r="C204" s="315">
        <f t="shared" si="23"/>
        <v>217661.93078</v>
      </c>
      <c r="D204" s="315">
        <f t="shared" si="24"/>
        <v>550827.14182859997</v>
      </c>
      <c r="E204" s="315">
        <f t="shared" si="31"/>
        <v>0</v>
      </c>
      <c r="F204" s="316">
        <f t="shared" si="29"/>
        <v>0</v>
      </c>
      <c r="G204" s="314" t="s">
        <v>96</v>
      </c>
      <c r="H204" s="86"/>
      <c r="I204" s="398">
        <v>387633.45659999998</v>
      </c>
      <c r="J204" s="399">
        <f t="shared" si="30"/>
        <v>1.421</v>
      </c>
      <c r="K204" s="398">
        <v>153175.18</v>
      </c>
      <c r="L204" s="86"/>
      <c r="M204" s="86"/>
    </row>
    <row r="205" spans="1:13" ht="15" hidden="1" customHeight="1">
      <c r="A205" s="314">
        <v>153</v>
      </c>
      <c r="B205" s="314" t="s">
        <v>85</v>
      </c>
      <c r="C205" s="315">
        <f t="shared" si="23"/>
        <v>1203904.6077100001</v>
      </c>
      <c r="D205" s="315">
        <f t="shared" si="24"/>
        <v>2664377.4240839002</v>
      </c>
      <c r="E205" s="315">
        <f t="shared" si="31"/>
        <v>0</v>
      </c>
      <c r="F205" s="316">
        <f t="shared" si="29"/>
        <v>0</v>
      </c>
      <c r="G205" s="314" t="s">
        <v>97</v>
      </c>
      <c r="H205" s="86"/>
      <c r="I205" s="398">
        <v>1875001.7058999999</v>
      </c>
      <c r="J205" s="399">
        <f t="shared" si="30"/>
        <v>1.421</v>
      </c>
      <c r="K205" s="398">
        <v>847223.51</v>
      </c>
      <c r="L205" s="86"/>
      <c r="M205" s="86"/>
    </row>
    <row r="206" spans="1:13" ht="15" hidden="1" customHeight="1">
      <c r="A206" s="314">
        <v>154</v>
      </c>
      <c r="B206" s="314" t="s">
        <v>85</v>
      </c>
      <c r="C206" s="315">
        <f t="shared" si="23"/>
        <v>210046.79178</v>
      </c>
      <c r="D206" s="315">
        <f t="shared" si="24"/>
        <v>384471.56421660003</v>
      </c>
      <c r="E206" s="315">
        <f t="shared" si="31"/>
        <v>0</v>
      </c>
      <c r="F206" s="316">
        <f t="shared" si="29"/>
        <v>0</v>
      </c>
      <c r="G206" s="314" t="s">
        <v>98</v>
      </c>
      <c r="H206" s="86"/>
      <c r="I206" s="398">
        <v>270564.0846</v>
      </c>
      <c r="J206" s="399">
        <f t="shared" si="30"/>
        <v>1.421</v>
      </c>
      <c r="K206" s="398">
        <v>147816.18</v>
      </c>
      <c r="L206" s="86"/>
      <c r="M206" s="86"/>
    </row>
    <row r="207" spans="1:13" ht="15" hidden="1" customHeight="1">
      <c r="A207" s="314">
        <v>155</v>
      </c>
      <c r="B207" s="314" t="s">
        <v>85</v>
      </c>
      <c r="C207" s="315">
        <f t="shared" si="23"/>
        <v>492596.37132999999</v>
      </c>
      <c r="D207" s="315">
        <f t="shared" si="24"/>
        <v>883909.50957189989</v>
      </c>
      <c r="E207" s="315">
        <f t="shared" si="31"/>
        <v>0</v>
      </c>
      <c r="F207" s="316">
        <f t="shared" si="29"/>
        <v>0</v>
      </c>
      <c r="G207" s="314" t="s">
        <v>99</v>
      </c>
      <c r="H207" s="86"/>
      <c r="I207" s="398">
        <v>622033.43389999995</v>
      </c>
      <c r="J207" s="399">
        <f t="shared" si="30"/>
        <v>1.421</v>
      </c>
      <c r="K207" s="398">
        <v>346654.73</v>
      </c>
      <c r="L207" s="86"/>
      <c r="M207" s="86"/>
    </row>
    <row r="208" spans="1:13" ht="15" hidden="1" customHeight="1">
      <c r="A208" s="314">
        <v>156</v>
      </c>
      <c r="B208" s="314" t="s">
        <v>85</v>
      </c>
      <c r="C208" s="315">
        <f t="shared" si="23"/>
        <v>1208695.42395</v>
      </c>
      <c r="D208" s="315">
        <f t="shared" si="24"/>
        <v>2280179.8478508</v>
      </c>
      <c r="E208" s="315">
        <f t="shared" si="31"/>
        <v>0</v>
      </c>
      <c r="F208" s="316">
        <f t="shared" si="29"/>
        <v>0</v>
      </c>
      <c r="G208" s="314" t="s">
        <v>100</v>
      </c>
      <c r="H208" s="86"/>
      <c r="I208" s="398">
        <v>1604630.4347999999</v>
      </c>
      <c r="J208" s="399">
        <f t="shared" si="30"/>
        <v>1.421</v>
      </c>
      <c r="K208" s="398">
        <v>850594.95</v>
      </c>
      <c r="L208" s="86"/>
      <c r="M208" s="86"/>
    </row>
    <row r="209" spans="1:13" ht="15" hidden="1" customHeight="1">
      <c r="A209" s="314">
        <v>157</v>
      </c>
      <c r="B209" s="314" t="s">
        <v>85</v>
      </c>
      <c r="C209" s="315">
        <f t="shared" si="23"/>
        <v>2818309.4148300001</v>
      </c>
      <c r="D209" s="315">
        <f t="shared" si="24"/>
        <v>5103250.8732498996</v>
      </c>
      <c r="E209" s="315">
        <f t="shared" si="31"/>
        <v>0</v>
      </c>
      <c r="F209" s="316">
        <f t="shared" si="29"/>
        <v>0</v>
      </c>
      <c r="G209" s="314" t="s">
        <v>101</v>
      </c>
      <c r="H209" s="86"/>
      <c r="I209" s="398">
        <v>3591309.5518999998</v>
      </c>
      <c r="J209" s="399">
        <f t="shared" si="30"/>
        <v>1.421</v>
      </c>
      <c r="K209" s="398">
        <v>1983328.23</v>
      </c>
      <c r="L209" s="86"/>
      <c r="M209" s="86"/>
    </row>
    <row r="210" spans="1:13" ht="15" hidden="1" customHeight="1">
      <c r="A210" s="314">
        <v>158</v>
      </c>
      <c r="B210" s="314" t="s">
        <v>85</v>
      </c>
      <c r="C210" s="315">
        <f t="shared" si="23"/>
        <v>819094.59625000006</v>
      </c>
      <c r="D210" s="315">
        <f t="shared" si="24"/>
        <v>1648676.2448288999</v>
      </c>
      <c r="E210" s="315">
        <f t="shared" si="31"/>
        <v>0</v>
      </c>
      <c r="F210" s="316">
        <f t="shared" si="29"/>
        <v>0</v>
      </c>
      <c r="G210" s="314" t="s">
        <v>102</v>
      </c>
      <c r="H210" s="86"/>
      <c r="I210" s="398">
        <v>1160222.5508999999</v>
      </c>
      <c r="J210" s="399">
        <f t="shared" si="30"/>
        <v>1.421</v>
      </c>
      <c r="K210" s="398">
        <v>576421.25</v>
      </c>
      <c r="L210" s="86"/>
      <c r="M210" s="86"/>
    </row>
    <row r="211" spans="1:13" ht="15" hidden="1" customHeight="1">
      <c r="A211" s="314">
        <v>159</v>
      </c>
      <c r="B211" s="314" t="s">
        <v>85</v>
      </c>
      <c r="C211" s="315">
        <f t="shared" si="23"/>
        <v>1099679.1317399999</v>
      </c>
      <c r="D211" s="315">
        <f t="shared" si="24"/>
        <v>1993602.3583987001</v>
      </c>
      <c r="E211" s="315">
        <f t="shared" si="31"/>
        <v>0</v>
      </c>
      <c r="F211" s="316">
        <f t="shared" si="29"/>
        <v>0</v>
      </c>
      <c r="G211" s="314" t="s">
        <v>103</v>
      </c>
      <c r="H211" s="86"/>
      <c r="I211" s="398">
        <v>1402957.3247</v>
      </c>
      <c r="J211" s="399">
        <f t="shared" si="30"/>
        <v>1.421</v>
      </c>
      <c r="K211" s="398">
        <v>773876.94</v>
      </c>
      <c r="L211" s="86"/>
      <c r="M211" s="86"/>
    </row>
    <row r="212" spans="1:13" ht="15" hidden="1" customHeight="1">
      <c r="A212" s="314">
        <v>160</v>
      </c>
      <c r="B212" s="314" t="s">
        <v>85</v>
      </c>
      <c r="C212" s="315">
        <f t="shared" si="23"/>
        <v>2094588.99923</v>
      </c>
      <c r="D212" s="315">
        <f t="shared" si="24"/>
        <v>3423575.2367523001</v>
      </c>
      <c r="E212" s="315">
        <f t="shared" si="31"/>
        <v>0</v>
      </c>
      <c r="F212" s="316">
        <f t="shared" si="29"/>
        <v>0</v>
      </c>
      <c r="G212" s="314" t="s">
        <v>104</v>
      </c>
      <c r="H212" s="86"/>
      <c r="I212" s="398">
        <v>2409271.8062999998</v>
      </c>
      <c r="J212" s="399">
        <f t="shared" si="30"/>
        <v>1.421</v>
      </c>
      <c r="K212" s="398">
        <v>1474024.63</v>
      </c>
      <c r="L212" s="86"/>
      <c r="M212" s="86"/>
    </row>
    <row r="213" spans="1:13" ht="15" hidden="1" customHeight="1">
      <c r="A213" s="314">
        <v>161</v>
      </c>
      <c r="B213" s="314" t="s">
        <v>85</v>
      </c>
      <c r="C213" s="315">
        <f t="shared" si="23"/>
        <v>2263098.92368</v>
      </c>
      <c r="D213" s="315">
        <f t="shared" si="24"/>
        <v>4149488.4287143</v>
      </c>
      <c r="E213" s="315">
        <f t="shared" si="31"/>
        <v>0</v>
      </c>
      <c r="F213" s="316">
        <f t="shared" si="29"/>
        <v>0</v>
      </c>
      <c r="G213" s="314" t="s">
        <v>105</v>
      </c>
      <c r="H213" s="86"/>
      <c r="I213" s="398">
        <v>2920118.5282999999</v>
      </c>
      <c r="J213" s="399">
        <f t="shared" si="30"/>
        <v>1.421</v>
      </c>
      <c r="K213" s="398">
        <v>1592610.08</v>
      </c>
      <c r="L213" s="86"/>
      <c r="M213" s="86"/>
    </row>
    <row r="214" spans="1:13" ht="15" hidden="1" customHeight="1">
      <c r="A214" s="314">
        <v>162</v>
      </c>
      <c r="B214" s="314" t="s">
        <v>85</v>
      </c>
      <c r="C214" s="315">
        <f t="shared" si="23"/>
        <v>3440001.3483500001</v>
      </c>
      <c r="D214" s="315">
        <f t="shared" si="24"/>
        <v>4866011.3374985</v>
      </c>
      <c r="E214" s="315">
        <f t="shared" si="31"/>
        <v>0</v>
      </c>
      <c r="F214" s="316">
        <f t="shared" si="29"/>
        <v>0</v>
      </c>
      <c r="G214" s="314" t="s">
        <v>106</v>
      </c>
      <c r="H214" s="86"/>
      <c r="I214" s="398">
        <v>3424357.0285</v>
      </c>
      <c r="J214" s="399">
        <f t="shared" si="30"/>
        <v>1.421</v>
      </c>
      <c r="K214" s="398">
        <v>2420831.35</v>
      </c>
      <c r="L214" s="86"/>
      <c r="M214" s="86"/>
    </row>
    <row r="215" spans="1:13" ht="15" hidden="1" customHeight="1">
      <c r="A215" s="314">
        <v>163</v>
      </c>
      <c r="B215" s="314" t="s">
        <v>85</v>
      </c>
      <c r="C215" s="315">
        <f t="shared" si="23"/>
        <v>3399479.55816</v>
      </c>
      <c r="D215" s="315">
        <f t="shared" si="24"/>
        <v>5401747.8478285</v>
      </c>
      <c r="E215" s="315">
        <f t="shared" si="31"/>
        <v>0</v>
      </c>
      <c r="F215" s="316">
        <f t="shared" si="29"/>
        <v>0</v>
      </c>
      <c r="G215" s="314" t="s">
        <v>107</v>
      </c>
      <c r="H215" s="86"/>
      <c r="I215" s="398">
        <v>3801370.7585</v>
      </c>
      <c r="J215" s="399">
        <f t="shared" si="30"/>
        <v>1.421</v>
      </c>
      <c r="K215" s="398">
        <v>2392314.96</v>
      </c>
      <c r="L215" s="86"/>
      <c r="M215" s="86"/>
    </row>
    <row r="216" spans="1:13" ht="15" hidden="1" customHeight="1">
      <c r="A216" s="314">
        <v>164</v>
      </c>
      <c r="B216" s="314" t="s">
        <v>85</v>
      </c>
      <c r="C216" s="315">
        <f>K216*J216</f>
        <v>2675255.8558398765</v>
      </c>
      <c r="D216" s="315">
        <f>I216*J216</f>
        <v>4178591.2839449411</v>
      </c>
      <c r="E216" s="315">
        <f>D216*F216</f>
        <v>0</v>
      </c>
      <c r="F216" s="316">
        <f t="shared" si="29"/>
        <v>0</v>
      </c>
      <c r="G216" s="314" t="s">
        <v>612</v>
      </c>
      <c r="H216" s="86"/>
      <c r="I216" s="398">
        <v>2940599.073852879</v>
      </c>
      <c r="J216" s="399">
        <f>IF(Aplicar_Escala=1,INDEX(Factor_Escala,5),1)</f>
        <v>1.421</v>
      </c>
      <c r="K216" s="398">
        <v>1882657.182153326</v>
      </c>
      <c r="L216" s="86"/>
      <c r="M216" s="86"/>
    </row>
    <row r="217" spans="1:13" ht="15" hidden="1" customHeight="1">
      <c r="A217" s="314">
        <v>165</v>
      </c>
      <c r="B217" s="314" t="s">
        <v>85</v>
      </c>
      <c r="C217" s="315">
        <f t="shared" si="23"/>
        <v>3920673.0256601237</v>
      </c>
      <c r="D217" s="315">
        <f t="shared" si="24"/>
        <v>6123859.1802196596</v>
      </c>
      <c r="E217" s="315">
        <f t="shared" si="31"/>
        <v>0</v>
      </c>
      <c r="F217" s="316">
        <f t="shared" si="29"/>
        <v>0</v>
      </c>
      <c r="G217" s="314" t="s">
        <v>613</v>
      </c>
      <c r="H217" s="86"/>
      <c r="I217" s="398">
        <v>4309541.9987471215</v>
      </c>
      <c r="J217" s="399">
        <f t="shared" si="30"/>
        <v>1.421</v>
      </c>
      <c r="K217" s="398">
        <v>2759094.317846674</v>
      </c>
      <c r="L217" s="86"/>
      <c r="M217" s="86"/>
    </row>
    <row r="218" spans="1:13" ht="15" hidden="1" customHeight="1">
      <c r="A218" s="314">
        <v>166</v>
      </c>
      <c r="B218" s="314" t="s">
        <v>117</v>
      </c>
      <c r="C218" s="315">
        <f t="shared" si="23"/>
        <v>19587.759418093618</v>
      </c>
      <c r="D218" s="315">
        <f t="shared" si="24"/>
        <v>41920.884642150646</v>
      </c>
      <c r="E218" s="315">
        <f t="shared" si="31"/>
        <v>0</v>
      </c>
      <c r="F218" s="316">
        <f t="shared" ref="F218:F250" si="36">G14</f>
        <v>0</v>
      </c>
      <c r="G218" s="314" t="s">
        <v>599</v>
      </c>
      <c r="H218" s="86"/>
      <c r="I218" s="398">
        <v>34702.719074628018</v>
      </c>
      <c r="J218" s="399">
        <f t="shared" ref="J218:J250" si="37">IF(Aplicar_Escala=1,INDEX(Factor_Escala,6),1)</f>
        <v>1.208</v>
      </c>
      <c r="K218" s="398">
        <v>16215.0326308722</v>
      </c>
      <c r="L218" s="86"/>
      <c r="M218" s="86"/>
    </row>
    <row r="219" spans="1:13" ht="15" hidden="1" customHeight="1">
      <c r="A219" s="314">
        <v>167</v>
      </c>
      <c r="B219" s="314" t="s">
        <v>117</v>
      </c>
      <c r="C219" s="315">
        <f>K219*J219</f>
        <v>7936.3045489852939</v>
      </c>
      <c r="D219" s="315">
        <f>I219*J219</f>
        <v>16984.939440070368</v>
      </c>
      <c r="E219" s="315">
        <f>D219*F219</f>
        <v>0</v>
      </c>
      <c r="F219" s="316">
        <f t="shared" si="36"/>
        <v>0</v>
      </c>
      <c r="G219" s="314" t="s">
        <v>600</v>
      </c>
      <c r="H219" s="86"/>
      <c r="I219" s="398">
        <v>14060.38033118408</v>
      </c>
      <c r="J219" s="399">
        <f>IF(Aplicar_Escala=1,INDEX(Factor_Escala,6),1)</f>
        <v>1.208</v>
      </c>
      <c r="K219" s="398">
        <v>6569.7885339282238</v>
      </c>
      <c r="L219" s="86"/>
      <c r="M219" s="86"/>
    </row>
    <row r="220" spans="1:13" ht="15" hidden="1" customHeight="1">
      <c r="A220" s="314">
        <v>168</v>
      </c>
      <c r="B220" s="314" t="s">
        <v>117</v>
      </c>
      <c r="C220" s="315">
        <f>K220*J220</f>
        <v>1004.8591136081092</v>
      </c>
      <c r="D220" s="315">
        <f>I220*J220</f>
        <v>2150.5564819357523</v>
      </c>
      <c r="E220" s="315">
        <f>D220*F220</f>
        <v>0</v>
      </c>
      <c r="F220" s="316">
        <f t="shared" si="36"/>
        <v>0</v>
      </c>
      <c r="G220" s="314" t="s">
        <v>601</v>
      </c>
      <c r="H220" s="86"/>
      <c r="I220" s="398">
        <v>1780.2619883574109</v>
      </c>
      <c r="J220" s="399">
        <f>IF(Aplicar_Escala=1,INDEX(Factor_Escala,6),1)</f>
        <v>1.208</v>
      </c>
      <c r="K220" s="398">
        <v>831.83701457624932</v>
      </c>
      <c r="L220" s="86"/>
      <c r="M220" s="86"/>
    </row>
    <row r="221" spans="1:13" ht="15" hidden="1" customHeight="1">
      <c r="A221" s="314">
        <v>169</v>
      </c>
      <c r="B221" s="314" t="s">
        <v>117</v>
      </c>
      <c r="C221" s="315">
        <f>K221*J221</f>
        <v>172.1905193129887</v>
      </c>
      <c r="D221" s="315">
        <f>I221*J221</f>
        <v>368.51478224324364</v>
      </c>
      <c r="E221" s="315">
        <f>D221*F221</f>
        <v>0</v>
      </c>
      <c r="F221" s="316">
        <f t="shared" si="36"/>
        <v>0</v>
      </c>
      <c r="G221" s="314" t="s">
        <v>602</v>
      </c>
      <c r="H221" s="86"/>
      <c r="I221" s="398">
        <v>305.06190583049971</v>
      </c>
      <c r="J221" s="399">
        <f>IF(Aplicar_Escala=1,INDEX(Factor_Escala,6),1)</f>
        <v>1.208</v>
      </c>
      <c r="K221" s="398">
        <v>142.54182062333501</v>
      </c>
      <c r="L221" s="86"/>
      <c r="M221" s="86"/>
    </row>
    <row r="222" spans="1:13" ht="15" hidden="1" customHeight="1">
      <c r="A222" s="314">
        <v>170</v>
      </c>
      <c r="B222" s="314" t="s">
        <v>117</v>
      </c>
      <c r="C222" s="315">
        <f t="shared" si="23"/>
        <v>27506.558640000003</v>
      </c>
      <c r="D222" s="315">
        <f t="shared" si="24"/>
        <v>60019.210495199994</v>
      </c>
      <c r="E222" s="315">
        <f t="shared" si="31"/>
        <v>0</v>
      </c>
      <c r="F222" s="316">
        <f t="shared" si="36"/>
        <v>0</v>
      </c>
      <c r="G222" s="314" t="s">
        <v>91</v>
      </c>
      <c r="H222" s="86"/>
      <c r="I222" s="398">
        <v>49684.776899999997</v>
      </c>
      <c r="J222" s="399">
        <f t="shared" si="37"/>
        <v>1.208</v>
      </c>
      <c r="K222" s="398">
        <v>22770.33</v>
      </c>
      <c r="L222" s="86"/>
      <c r="M222" s="86"/>
    </row>
    <row r="223" spans="1:13" ht="15" hidden="1" customHeight="1">
      <c r="A223" s="314">
        <v>171</v>
      </c>
      <c r="B223" s="314" t="s">
        <v>117</v>
      </c>
      <c r="C223" s="315">
        <f t="shared" si="23"/>
        <v>9956.9318694839567</v>
      </c>
      <c r="D223" s="315">
        <f t="shared" si="24"/>
        <v>30957.784498851572</v>
      </c>
      <c r="E223" s="315">
        <f t="shared" si="31"/>
        <v>0</v>
      </c>
      <c r="F223" s="316">
        <f t="shared" si="36"/>
        <v>0</v>
      </c>
      <c r="G223" s="314" t="s">
        <v>603</v>
      </c>
      <c r="H223" s="86"/>
      <c r="I223" s="398">
        <v>25627.30504871819</v>
      </c>
      <c r="J223" s="399">
        <f t="shared" si="37"/>
        <v>1.208</v>
      </c>
      <c r="K223" s="398">
        <v>8242.4932694403615</v>
      </c>
      <c r="L223" s="86"/>
      <c r="M223" s="86"/>
    </row>
    <row r="224" spans="1:13" ht="15" hidden="1" customHeight="1">
      <c r="A224" s="314">
        <v>172</v>
      </c>
      <c r="B224" s="314" t="s">
        <v>117</v>
      </c>
      <c r="C224" s="315">
        <f t="shared" ref="C224:C229" si="38">K224*J224</f>
        <v>3385.1331431707958</v>
      </c>
      <c r="D224" s="315">
        <f t="shared" ref="D224:D229" si="39">I224*J224</f>
        <v>10524.951231953431</v>
      </c>
      <c r="E224" s="315">
        <f t="shared" ref="E224:E229" si="40">D224*F224</f>
        <v>0</v>
      </c>
      <c r="F224" s="316">
        <f t="shared" si="36"/>
        <v>0</v>
      </c>
      <c r="G224" s="314" t="s">
        <v>604</v>
      </c>
      <c r="H224" s="86"/>
      <c r="I224" s="398">
        <v>8712.7079734713843</v>
      </c>
      <c r="J224" s="399">
        <f t="shared" ref="J224:J229" si="41">IF(Aplicar_Escala=1,INDEX(Factor_Escala,6),1)</f>
        <v>1.208</v>
      </c>
      <c r="K224" s="398">
        <v>2802.2625357374141</v>
      </c>
      <c r="L224" s="86"/>
      <c r="M224" s="86"/>
    </row>
    <row r="225" spans="1:13" ht="15" hidden="1" customHeight="1">
      <c r="A225" s="314">
        <v>173</v>
      </c>
      <c r="B225" s="314" t="s">
        <v>117</v>
      </c>
      <c r="C225" s="315">
        <f t="shared" si="38"/>
        <v>2235.972654708808</v>
      </c>
      <c r="D225" s="315">
        <f t="shared" si="39"/>
        <v>6952.0169965156028</v>
      </c>
      <c r="E225" s="315">
        <f t="shared" si="40"/>
        <v>0</v>
      </c>
      <c r="F225" s="316">
        <f t="shared" si="36"/>
        <v>0</v>
      </c>
      <c r="G225" s="314" t="s">
        <v>87</v>
      </c>
      <c r="H225" s="86"/>
      <c r="I225" s="398">
        <v>5754.980957380466</v>
      </c>
      <c r="J225" s="399">
        <f t="shared" si="41"/>
        <v>1.208</v>
      </c>
      <c r="K225" s="398">
        <v>1850.9707406529869</v>
      </c>
      <c r="L225" s="86"/>
      <c r="M225" s="86"/>
    </row>
    <row r="226" spans="1:13" ht="15" hidden="1" customHeight="1">
      <c r="A226" s="314">
        <v>174</v>
      </c>
      <c r="B226" s="314" t="s">
        <v>117</v>
      </c>
      <c r="C226" s="315">
        <f t="shared" si="38"/>
        <v>4964.54464905653</v>
      </c>
      <c r="D226" s="315">
        <f t="shared" si="39"/>
        <v>15435.608618700346</v>
      </c>
      <c r="E226" s="315">
        <f t="shared" si="40"/>
        <v>0</v>
      </c>
      <c r="F226" s="316">
        <f t="shared" si="36"/>
        <v>0</v>
      </c>
      <c r="G226" s="314" t="s">
        <v>605</v>
      </c>
      <c r="H226" s="86"/>
      <c r="I226" s="398">
        <v>12777.82170422214</v>
      </c>
      <c r="J226" s="399">
        <f t="shared" si="41"/>
        <v>1.208</v>
      </c>
      <c r="K226" s="398">
        <v>4109.722391603088</v>
      </c>
      <c r="L226" s="86"/>
      <c r="M226" s="86"/>
    </row>
    <row r="227" spans="1:13" ht="15" hidden="1" customHeight="1">
      <c r="A227" s="314">
        <v>175</v>
      </c>
      <c r="B227" s="314" t="s">
        <v>117</v>
      </c>
      <c r="C227" s="315">
        <f t="shared" si="38"/>
        <v>903.09878933800849</v>
      </c>
      <c r="D227" s="315">
        <f t="shared" si="39"/>
        <v>2807.8868137267677</v>
      </c>
      <c r="E227" s="315">
        <f t="shared" si="40"/>
        <v>0</v>
      </c>
      <c r="F227" s="316">
        <f t="shared" si="36"/>
        <v>0</v>
      </c>
      <c r="G227" s="314" t="s">
        <v>606</v>
      </c>
      <c r="H227" s="86"/>
      <c r="I227" s="398">
        <v>2324.4096140122251</v>
      </c>
      <c r="J227" s="399">
        <f t="shared" si="41"/>
        <v>1.208</v>
      </c>
      <c r="K227" s="398">
        <v>747.59833554470902</v>
      </c>
      <c r="L227" s="86"/>
      <c r="M227" s="86"/>
    </row>
    <row r="228" spans="1:13" ht="15" hidden="1" customHeight="1">
      <c r="A228" s="314">
        <v>176</v>
      </c>
      <c r="B228" s="314" t="s">
        <v>117</v>
      </c>
      <c r="C228" s="315">
        <f t="shared" si="38"/>
        <v>3248.5379639665748</v>
      </c>
      <c r="D228" s="315">
        <f t="shared" si="39"/>
        <v>10100.253727057736</v>
      </c>
      <c r="E228" s="315">
        <f t="shared" si="40"/>
        <v>0</v>
      </c>
      <c r="F228" s="316">
        <f t="shared" si="36"/>
        <v>0</v>
      </c>
      <c r="G228" s="314" t="s">
        <v>607</v>
      </c>
      <c r="H228" s="86"/>
      <c r="I228" s="398">
        <v>8361.137191272961</v>
      </c>
      <c r="J228" s="399">
        <f t="shared" si="41"/>
        <v>1.208</v>
      </c>
      <c r="K228" s="398">
        <v>2689.1870562637209</v>
      </c>
      <c r="L228" s="86"/>
      <c r="M228" s="86"/>
    </row>
    <row r="229" spans="1:13" ht="15" hidden="1" customHeight="1">
      <c r="A229" s="314">
        <v>177</v>
      </c>
      <c r="B229" s="314" t="s">
        <v>117</v>
      </c>
      <c r="C229" s="315">
        <f t="shared" si="38"/>
        <v>5437.154450275315</v>
      </c>
      <c r="D229" s="315">
        <f t="shared" si="39"/>
        <v>16905.032389994514</v>
      </c>
      <c r="E229" s="315">
        <f t="shared" si="40"/>
        <v>0</v>
      </c>
      <c r="F229" s="316">
        <f t="shared" si="36"/>
        <v>0</v>
      </c>
      <c r="G229" s="314" t="s">
        <v>608</v>
      </c>
      <c r="H229" s="86"/>
      <c r="I229" s="398">
        <v>13994.23211092261</v>
      </c>
      <c r="J229" s="399">
        <f t="shared" si="41"/>
        <v>1.208</v>
      </c>
      <c r="K229" s="398">
        <v>4500.9556707577112</v>
      </c>
      <c r="L229" s="86"/>
      <c r="M229" s="86"/>
    </row>
    <row r="230" spans="1:13" ht="15" hidden="1" customHeight="1">
      <c r="A230" s="314">
        <v>178</v>
      </c>
      <c r="B230" s="314" t="s">
        <v>117</v>
      </c>
      <c r="C230" s="315">
        <f t="shared" si="23"/>
        <v>3549.1973968498742</v>
      </c>
      <c r="D230" s="315">
        <f t="shared" si="24"/>
        <v>8232.5938164148993</v>
      </c>
      <c r="E230" s="315">
        <f t="shared" si="31"/>
        <v>0</v>
      </c>
      <c r="F230" s="316">
        <f t="shared" si="36"/>
        <v>0</v>
      </c>
      <c r="G230" s="314" t="s">
        <v>609</v>
      </c>
      <c r="H230" s="86"/>
      <c r="I230" s="398">
        <v>6815.061106303725</v>
      </c>
      <c r="J230" s="399">
        <f t="shared" si="37"/>
        <v>1.208</v>
      </c>
      <c r="K230" s="398">
        <v>2938.0773152730749</v>
      </c>
      <c r="L230" s="86"/>
      <c r="M230" s="86"/>
    </row>
    <row r="231" spans="1:13" ht="15" hidden="1" customHeight="1">
      <c r="A231" s="314">
        <v>179</v>
      </c>
      <c r="B231" s="314" t="s">
        <v>117</v>
      </c>
      <c r="C231" s="315">
        <f>K231*J231</f>
        <v>1097.3987631501257</v>
      </c>
      <c r="D231" s="315">
        <f>I231*J231</f>
        <v>2545.4876867851003</v>
      </c>
      <c r="E231" s="315">
        <f>D231*F231</f>
        <v>0</v>
      </c>
      <c r="F231" s="316">
        <f t="shared" si="36"/>
        <v>0</v>
      </c>
      <c r="G231" s="314" t="s">
        <v>610</v>
      </c>
      <c r="H231" s="86"/>
      <c r="I231" s="398">
        <v>2107.191793696275</v>
      </c>
      <c r="J231" s="399">
        <f>IF(Aplicar_Escala=1,INDEX(Factor_Escala,6),1)</f>
        <v>1.208</v>
      </c>
      <c r="K231" s="398">
        <v>908.44268472692534</v>
      </c>
      <c r="L231" s="86"/>
      <c r="M231" s="86"/>
    </row>
    <row r="232" spans="1:13" ht="15" hidden="1" customHeight="1">
      <c r="A232" s="314">
        <v>180</v>
      </c>
      <c r="B232" s="314" t="s">
        <v>117</v>
      </c>
      <c r="C232" s="315">
        <f t="shared" si="23"/>
        <v>1966.4387793257397</v>
      </c>
      <c r="D232" s="315">
        <f t="shared" si="24"/>
        <v>4378.8466664186371</v>
      </c>
      <c r="E232" s="315">
        <f t="shared" si="31"/>
        <v>0</v>
      </c>
      <c r="F232" s="316">
        <f t="shared" si="36"/>
        <v>0</v>
      </c>
      <c r="G232" s="314" t="s">
        <v>92</v>
      </c>
      <c r="H232" s="86"/>
      <c r="I232" s="398">
        <v>3624.873068227349</v>
      </c>
      <c r="J232" s="399">
        <f t="shared" si="37"/>
        <v>1.208</v>
      </c>
      <c r="K232" s="398">
        <v>1627.8466716272681</v>
      </c>
      <c r="L232" s="86"/>
      <c r="M232" s="86"/>
    </row>
    <row r="233" spans="1:13" ht="15" hidden="1" customHeight="1">
      <c r="A233" s="314">
        <v>181</v>
      </c>
      <c r="B233" s="314" t="s">
        <v>117</v>
      </c>
      <c r="C233" s="315">
        <f>K233*J233</f>
        <v>3495.5090606742606</v>
      </c>
      <c r="D233" s="315">
        <f>I233*J233</f>
        <v>7783.7654335813641</v>
      </c>
      <c r="E233" s="315">
        <f>D233*F233</f>
        <v>0</v>
      </c>
      <c r="F233" s="316">
        <f t="shared" si="36"/>
        <v>0</v>
      </c>
      <c r="G233" s="314" t="s">
        <v>611</v>
      </c>
      <c r="H233" s="86"/>
      <c r="I233" s="398">
        <v>6443.5144317726526</v>
      </c>
      <c r="J233" s="399">
        <f>IF(Aplicar_Escala=1,INDEX(Factor_Escala,6),1)</f>
        <v>1.208</v>
      </c>
      <c r="K233" s="398">
        <v>2893.6333283727322</v>
      </c>
      <c r="L233" s="86"/>
      <c r="M233" s="86"/>
    </row>
    <row r="234" spans="1:13" ht="15" hidden="1" customHeight="1">
      <c r="A234" s="314">
        <v>182</v>
      </c>
      <c r="B234" s="314" t="s">
        <v>117</v>
      </c>
      <c r="C234" s="315">
        <f t="shared" si="23"/>
        <v>14290.13264</v>
      </c>
      <c r="D234" s="315">
        <f t="shared" si="24"/>
        <v>39460.002519999995</v>
      </c>
      <c r="E234" s="315">
        <f t="shared" si="31"/>
        <v>0</v>
      </c>
      <c r="F234" s="316">
        <f t="shared" si="36"/>
        <v>0</v>
      </c>
      <c r="G234" s="314" t="s">
        <v>93</v>
      </c>
      <c r="H234" s="86"/>
      <c r="I234" s="398">
        <v>32665.564999999999</v>
      </c>
      <c r="J234" s="399">
        <f t="shared" si="37"/>
        <v>1.208</v>
      </c>
      <c r="K234" s="398">
        <v>11829.58</v>
      </c>
      <c r="L234" s="86"/>
      <c r="M234" s="86"/>
    </row>
    <row r="235" spans="1:13" ht="15" hidden="1" customHeight="1">
      <c r="A235" s="314">
        <v>183</v>
      </c>
      <c r="B235" s="314" t="s">
        <v>117</v>
      </c>
      <c r="C235" s="315">
        <f t="shared" si="23"/>
        <v>3978.9587200000001</v>
      </c>
      <c r="D235" s="315">
        <f t="shared" si="24"/>
        <v>8203.0669063999994</v>
      </c>
      <c r="E235" s="315">
        <f t="shared" si="31"/>
        <v>0</v>
      </c>
      <c r="F235" s="316">
        <f t="shared" si="36"/>
        <v>0</v>
      </c>
      <c r="G235" s="314" t="s">
        <v>94</v>
      </c>
      <c r="H235" s="86"/>
      <c r="I235" s="398">
        <v>6790.6183000000001</v>
      </c>
      <c r="J235" s="399">
        <f t="shared" si="37"/>
        <v>1.208</v>
      </c>
      <c r="K235" s="398">
        <v>3293.84</v>
      </c>
      <c r="L235" s="86"/>
      <c r="M235" s="86"/>
    </row>
    <row r="236" spans="1:13" ht="15" hidden="1" customHeight="1">
      <c r="A236" s="314">
        <v>184</v>
      </c>
      <c r="B236" s="314" t="s">
        <v>117</v>
      </c>
      <c r="C236" s="315">
        <f t="shared" si="23"/>
        <v>6231.8908000000001</v>
      </c>
      <c r="D236" s="315">
        <f t="shared" si="24"/>
        <v>14959.616991199999</v>
      </c>
      <c r="E236" s="315">
        <f t="shared" si="31"/>
        <v>0</v>
      </c>
      <c r="F236" s="316">
        <f t="shared" si="36"/>
        <v>0</v>
      </c>
      <c r="G236" s="314" t="s">
        <v>95</v>
      </c>
      <c r="H236" s="86"/>
      <c r="I236" s="398">
        <v>12383.7889</v>
      </c>
      <c r="J236" s="399">
        <f t="shared" si="37"/>
        <v>1.208</v>
      </c>
      <c r="K236" s="398">
        <v>5158.8500000000004</v>
      </c>
      <c r="L236" s="86"/>
      <c r="M236" s="86"/>
    </row>
    <row r="237" spans="1:13" ht="15" hidden="1" customHeight="1">
      <c r="A237" s="314">
        <v>185</v>
      </c>
      <c r="B237" s="314" t="s">
        <v>117</v>
      </c>
      <c r="C237" s="315">
        <f t="shared" si="23"/>
        <v>4132.5196800000003</v>
      </c>
      <c r="D237" s="315">
        <f t="shared" si="24"/>
        <v>9098.7191784000006</v>
      </c>
      <c r="E237" s="315">
        <f t="shared" si="31"/>
        <v>0</v>
      </c>
      <c r="F237" s="316">
        <f t="shared" si="36"/>
        <v>0</v>
      </c>
      <c r="G237" s="314" t="s">
        <v>96</v>
      </c>
      <c r="H237" s="86"/>
      <c r="I237" s="398">
        <v>7532.0523000000003</v>
      </c>
      <c r="J237" s="399">
        <f t="shared" si="37"/>
        <v>1.208</v>
      </c>
      <c r="K237" s="398">
        <v>3420.96</v>
      </c>
      <c r="L237" s="86"/>
      <c r="M237" s="86"/>
    </row>
    <row r="238" spans="1:13" ht="15" hidden="1" customHeight="1">
      <c r="A238" s="314">
        <v>186</v>
      </c>
      <c r="B238" s="314" t="s">
        <v>117</v>
      </c>
      <c r="C238" s="315">
        <f t="shared" si="23"/>
        <v>12460.87032</v>
      </c>
      <c r="D238" s="315">
        <f t="shared" si="24"/>
        <v>39548.605695999999</v>
      </c>
      <c r="E238" s="315">
        <f t="shared" si="31"/>
        <v>0</v>
      </c>
      <c r="F238" s="316">
        <f t="shared" si="36"/>
        <v>0</v>
      </c>
      <c r="G238" s="314" t="s">
        <v>97</v>
      </c>
      <c r="H238" s="86"/>
      <c r="I238" s="398">
        <v>32738.912</v>
      </c>
      <c r="J238" s="399">
        <f t="shared" si="37"/>
        <v>1.208</v>
      </c>
      <c r="K238" s="398">
        <v>10315.290000000001</v>
      </c>
      <c r="L238" s="86"/>
      <c r="M238" s="86"/>
    </row>
    <row r="239" spans="1:13" ht="15" hidden="1" customHeight="1">
      <c r="A239" s="314">
        <v>187</v>
      </c>
      <c r="B239" s="314" t="s">
        <v>117</v>
      </c>
      <c r="C239" s="315">
        <f t="shared" si="23"/>
        <v>2969.5901599999997</v>
      </c>
      <c r="D239" s="315">
        <f t="shared" si="24"/>
        <v>5376.4292919999998</v>
      </c>
      <c r="E239" s="315">
        <f t="shared" si="31"/>
        <v>0</v>
      </c>
      <c r="F239" s="316">
        <f t="shared" si="36"/>
        <v>0</v>
      </c>
      <c r="G239" s="314" t="s">
        <v>98</v>
      </c>
      <c r="H239" s="86"/>
      <c r="I239" s="398">
        <v>4450.6864999999998</v>
      </c>
      <c r="J239" s="399">
        <f t="shared" si="37"/>
        <v>1.208</v>
      </c>
      <c r="K239" s="398">
        <v>2458.27</v>
      </c>
      <c r="L239" s="86"/>
      <c r="M239" s="86"/>
    </row>
    <row r="240" spans="1:13" ht="15" hidden="1" customHeight="1">
      <c r="A240" s="314">
        <v>188</v>
      </c>
      <c r="B240" s="314" t="s">
        <v>117</v>
      </c>
      <c r="C240" s="315">
        <f t="shared" si="23"/>
        <v>14794.78672</v>
      </c>
      <c r="D240" s="315">
        <f t="shared" si="24"/>
        <v>33827.380588</v>
      </c>
      <c r="E240" s="315">
        <f t="shared" si="31"/>
        <v>0</v>
      </c>
      <c r="F240" s="316">
        <f t="shared" si="36"/>
        <v>0</v>
      </c>
      <c r="G240" s="314" t="s">
        <v>99</v>
      </c>
      <c r="H240" s="86"/>
      <c r="I240" s="398">
        <v>28002.798500000001</v>
      </c>
      <c r="J240" s="399">
        <f t="shared" si="37"/>
        <v>1.208</v>
      </c>
      <c r="K240" s="398">
        <v>12247.34</v>
      </c>
      <c r="L240" s="86"/>
      <c r="M240" s="86"/>
    </row>
    <row r="241" spans="1:13" ht="15" hidden="1" customHeight="1">
      <c r="A241" s="314">
        <v>189</v>
      </c>
      <c r="B241" s="314" t="s">
        <v>117</v>
      </c>
      <c r="C241" s="315">
        <f t="shared" si="23"/>
        <v>25370.210640000001</v>
      </c>
      <c r="D241" s="315">
        <f t="shared" si="24"/>
        <v>46302.2680568</v>
      </c>
      <c r="E241" s="315">
        <f t="shared" si="31"/>
        <v>0</v>
      </c>
      <c r="F241" s="316">
        <f t="shared" si="36"/>
        <v>0</v>
      </c>
      <c r="G241" s="314" t="s">
        <v>100</v>
      </c>
      <c r="H241" s="86"/>
      <c r="I241" s="398">
        <v>38329.6921</v>
      </c>
      <c r="J241" s="399">
        <f t="shared" si="37"/>
        <v>1.208</v>
      </c>
      <c r="K241" s="398">
        <v>21001.83</v>
      </c>
      <c r="L241" s="86"/>
      <c r="M241" s="86"/>
    </row>
    <row r="242" spans="1:13" ht="15" hidden="1" customHeight="1">
      <c r="A242" s="314">
        <v>190</v>
      </c>
      <c r="B242" s="314" t="s">
        <v>117</v>
      </c>
      <c r="C242" s="315">
        <f t="shared" si="23"/>
        <v>92114.723280000006</v>
      </c>
      <c r="D242" s="315">
        <f t="shared" si="24"/>
        <v>127650.82143839999</v>
      </c>
      <c r="E242" s="315">
        <f t="shared" si="31"/>
        <v>0</v>
      </c>
      <c r="F242" s="316">
        <f t="shared" si="36"/>
        <v>0</v>
      </c>
      <c r="G242" s="314" t="s">
        <v>101</v>
      </c>
      <c r="H242" s="86"/>
      <c r="I242" s="398">
        <v>105671.2098</v>
      </c>
      <c r="J242" s="399">
        <f t="shared" si="37"/>
        <v>1.208</v>
      </c>
      <c r="K242" s="398">
        <v>76253.91</v>
      </c>
      <c r="L242" s="86"/>
      <c r="M242" s="86"/>
    </row>
    <row r="243" spans="1:13" ht="15" hidden="1" customHeight="1">
      <c r="A243" s="314">
        <v>191</v>
      </c>
      <c r="B243" s="314" t="s">
        <v>117</v>
      </c>
      <c r="C243" s="315">
        <f t="shared" si="23"/>
        <v>16409.278719999998</v>
      </c>
      <c r="D243" s="315">
        <f t="shared" si="24"/>
        <v>43287.907846400005</v>
      </c>
      <c r="E243" s="315">
        <f t="shared" si="31"/>
        <v>0</v>
      </c>
      <c r="F243" s="316">
        <f t="shared" si="36"/>
        <v>0</v>
      </c>
      <c r="G243" s="314" t="s">
        <v>102</v>
      </c>
      <c r="H243" s="86"/>
      <c r="I243" s="398">
        <v>35834.360800000002</v>
      </c>
      <c r="J243" s="399">
        <f t="shared" si="37"/>
        <v>1.208</v>
      </c>
      <c r="K243" s="398">
        <v>13583.84</v>
      </c>
      <c r="L243" s="86"/>
      <c r="M243" s="86"/>
    </row>
    <row r="244" spans="1:13" ht="15" hidden="1" customHeight="1">
      <c r="A244" s="314">
        <v>192</v>
      </c>
      <c r="B244" s="314" t="s">
        <v>117</v>
      </c>
      <c r="C244" s="315">
        <f t="shared" si="23"/>
        <v>16164.719119999998</v>
      </c>
      <c r="D244" s="315">
        <f t="shared" si="24"/>
        <v>38778.683996799999</v>
      </c>
      <c r="E244" s="315">
        <f t="shared" si="31"/>
        <v>0</v>
      </c>
      <c r="F244" s="316">
        <f t="shared" si="36"/>
        <v>0</v>
      </c>
      <c r="G244" s="314" t="s">
        <v>103</v>
      </c>
      <c r="H244" s="86"/>
      <c r="I244" s="398">
        <v>32101.559600000001</v>
      </c>
      <c r="J244" s="399">
        <f t="shared" si="37"/>
        <v>1.208</v>
      </c>
      <c r="K244" s="398">
        <v>13381.39</v>
      </c>
      <c r="L244" s="86"/>
      <c r="M244" s="86"/>
    </row>
    <row r="245" spans="1:13" ht="15" hidden="1" customHeight="1">
      <c r="A245" s="314">
        <v>193</v>
      </c>
      <c r="B245" s="314" t="s">
        <v>117</v>
      </c>
      <c r="C245" s="315">
        <f t="shared" si="23"/>
        <v>24486.474079999996</v>
      </c>
      <c r="D245" s="315">
        <f t="shared" si="24"/>
        <v>52699.528741599999</v>
      </c>
      <c r="E245" s="315">
        <f t="shared" si="31"/>
        <v>0</v>
      </c>
      <c r="F245" s="316">
        <f t="shared" si="36"/>
        <v>0</v>
      </c>
      <c r="G245" s="314" t="s">
        <v>104</v>
      </c>
      <c r="H245" s="86"/>
      <c r="I245" s="398">
        <v>43625.437700000002</v>
      </c>
      <c r="J245" s="399">
        <f t="shared" si="37"/>
        <v>1.208</v>
      </c>
      <c r="K245" s="398">
        <v>20270.259999999998</v>
      </c>
      <c r="L245" s="86"/>
      <c r="M245" s="86"/>
    </row>
    <row r="246" spans="1:13" ht="15" hidden="1" customHeight="1">
      <c r="A246" s="314">
        <v>194</v>
      </c>
      <c r="B246" s="314" t="s">
        <v>117</v>
      </c>
      <c r="C246" s="315">
        <f t="shared" si="23"/>
        <v>22238.108239999998</v>
      </c>
      <c r="D246" s="315">
        <f t="shared" si="24"/>
        <v>36414.3484656</v>
      </c>
      <c r="E246" s="315">
        <f t="shared" si="31"/>
        <v>0</v>
      </c>
      <c r="F246" s="316">
        <f t="shared" si="36"/>
        <v>0</v>
      </c>
      <c r="G246" s="314" t="s">
        <v>105</v>
      </c>
      <c r="H246" s="86"/>
      <c r="I246" s="398">
        <v>30144.3282</v>
      </c>
      <c r="J246" s="399">
        <f t="shared" si="37"/>
        <v>1.208</v>
      </c>
      <c r="K246" s="398">
        <v>18409.03</v>
      </c>
      <c r="L246" s="86"/>
      <c r="M246" s="86"/>
    </row>
    <row r="247" spans="1:13" ht="15" hidden="1" customHeight="1">
      <c r="A247" s="314">
        <v>195</v>
      </c>
      <c r="B247" s="314" t="s">
        <v>117</v>
      </c>
      <c r="C247" s="315">
        <f t="shared" si="23"/>
        <v>28834.778799999996</v>
      </c>
      <c r="D247" s="315">
        <f t="shared" si="24"/>
        <v>34255.132542399995</v>
      </c>
      <c r="E247" s="315">
        <f t="shared" si="31"/>
        <v>0</v>
      </c>
      <c r="F247" s="316">
        <f t="shared" si="36"/>
        <v>0</v>
      </c>
      <c r="G247" s="314" t="s">
        <v>106</v>
      </c>
      <c r="H247" s="86"/>
      <c r="I247" s="398">
        <v>28356.897799999999</v>
      </c>
      <c r="J247" s="399">
        <f t="shared" si="37"/>
        <v>1.208</v>
      </c>
      <c r="K247" s="398">
        <v>23869.85</v>
      </c>
      <c r="L247" s="86"/>
      <c r="M247" s="86"/>
    </row>
    <row r="248" spans="1:13" ht="15" hidden="1" customHeight="1">
      <c r="A248" s="314">
        <v>196</v>
      </c>
      <c r="B248" s="314" t="s">
        <v>117</v>
      </c>
      <c r="C248" s="315">
        <f t="shared" si="23"/>
        <v>31263.486959999998</v>
      </c>
      <c r="D248" s="315">
        <f t="shared" si="24"/>
        <v>46607.580392799995</v>
      </c>
      <c r="E248" s="315">
        <f t="shared" si="31"/>
        <v>0</v>
      </c>
      <c r="F248" s="316">
        <f t="shared" si="36"/>
        <v>0</v>
      </c>
      <c r="G248" s="314" t="s">
        <v>107</v>
      </c>
      <c r="H248" s="86"/>
      <c r="I248" s="398">
        <v>38582.434099999999</v>
      </c>
      <c r="J248" s="399">
        <f t="shared" si="37"/>
        <v>1.208</v>
      </c>
      <c r="K248" s="398">
        <v>25880.37</v>
      </c>
      <c r="L248" s="86"/>
      <c r="M248" s="86"/>
    </row>
    <row r="249" spans="1:13" ht="15" hidden="1" customHeight="1">
      <c r="A249" s="314">
        <v>197</v>
      </c>
      <c r="B249" s="314" t="s">
        <v>117</v>
      </c>
      <c r="C249" s="315">
        <f>K249*J249</f>
        <v>50437.738167745083</v>
      </c>
      <c r="D249" s="315">
        <f>I249*J249</f>
        <v>68398.292918435545</v>
      </c>
      <c r="E249" s="315">
        <f>D249*F249</f>
        <v>0</v>
      </c>
      <c r="F249" s="316">
        <f t="shared" si="36"/>
        <v>0</v>
      </c>
      <c r="G249" s="314" t="s">
        <v>612</v>
      </c>
      <c r="H249" s="86"/>
      <c r="I249" s="398">
        <v>56621.103409300951</v>
      </c>
      <c r="J249" s="399">
        <f>IF(Aplicar_Escala=1,INDEX(Factor_Escala,6),1)</f>
        <v>1.208</v>
      </c>
      <c r="K249" s="398">
        <v>41753.094509722752</v>
      </c>
      <c r="L249" s="86"/>
      <c r="M249" s="86"/>
    </row>
    <row r="250" spans="1:13" ht="15" hidden="1" customHeight="1">
      <c r="A250" s="314">
        <v>198</v>
      </c>
      <c r="B250" s="314" t="s">
        <v>117</v>
      </c>
      <c r="C250" s="315">
        <f t="shared" si="23"/>
        <v>73918.11855225492</v>
      </c>
      <c r="D250" s="315">
        <f t="shared" si="24"/>
        <v>100239.88601356446</v>
      </c>
      <c r="E250" s="315">
        <f t="shared" si="31"/>
        <v>0</v>
      </c>
      <c r="F250" s="316">
        <f t="shared" si="36"/>
        <v>0</v>
      </c>
      <c r="G250" s="314" t="s">
        <v>613</v>
      </c>
      <c r="H250" s="86"/>
      <c r="I250" s="398">
        <v>82980.038090699061</v>
      </c>
      <c r="J250" s="399">
        <f t="shared" si="37"/>
        <v>1.208</v>
      </c>
      <c r="K250" s="398">
        <v>61190.495490277252</v>
      </c>
      <c r="L250" s="86"/>
      <c r="M250" s="86"/>
    </row>
    <row r="251" spans="1:13" ht="15" hidden="1" customHeight="1">
      <c r="A251" s="314">
        <v>199</v>
      </c>
      <c r="B251" s="314" t="s">
        <v>121</v>
      </c>
      <c r="C251" s="315">
        <f t="shared" si="23"/>
        <v>522630.80100402987</v>
      </c>
      <c r="D251" s="315">
        <f t="shared" si="24"/>
        <v>735599.34140796994</v>
      </c>
      <c r="E251" s="315">
        <f t="shared" si="31"/>
        <v>0</v>
      </c>
      <c r="F251" s="316">
        <f t="shared" ref="F251:F283" si="42">H14</f>
        <v>0</v>
      </c>
      <c r="G251" s="314" t="s">
        <v>599</v>
      </c>
      <c r="H251" s="86"/>
      <c r="I251" s="398">
        <v>663898.32257036993</v>
      </c>
      <c r="J251" s="399">
        <f t="shared" ref="J251:J283" si="43">IF(Aplicar_Escala=1,INDEX(Factor_Escala,7),1)</f>
        <v>1.1080000000000001</v>
      </c>
      <c r="K251" s="398">
        <v>471688.4485595937</v>
      </c>
      <c r="L251" s="86"/>
      <c r="M251" s="86"/>
    </row>
    <row r="252" spans="1:13" ht="15" hidden="1" customHeight="1">
      <c r="A252" s="314">
        <v>200</v>
      </c>
      <c r="B252" s="314" t="s">
        <v>121</v>
      </c>
      <c r="C252" s="315">
        <f>K252*J252</f>
        <v>211752.50904994996</v>
      </c>
      <c r="D252" s="315">
        <f>I252*J252</f>
        <v>298040.23394600378</v>
      </c>
      <c r="E252" s="315">
        <f>D252*F252</f>
        <v>0</v>
      </c>
      <c r="F252" s="316">
        <f t="shared" si="42"/>
        <v>0</v>
      </c>
      <c r="G252" s="314" t="s">
        <v>600</v>
      </c>
      <c r="H252" s="86"/>
      <c r="I252" s="398">
        <v>268989.3808176929</v>
      </c>
      <c r="J252" s="399">
        <f>IF(Aplicar_Escala=1,INDEX(Factor_Escala,7),1)</f>
        <v>1.1080000000000001</v>
      </c>
      <c r="K252" s="398">
        <v>191112.37278876349</v>
      </c>
      <c r="L252" s="86"/>
      <c r="M252" s="86"/>
    </row>
    <row r="253" spans="1:13" ht="15" hidden="1" customHeight="1">
      <c r="A253" s="314">
        <v>201</v>
      </c>
      <c r="B253" s="314" t="s">
        <v>121</v>
      </c>
      <c r="C253" s="315">
        <f>K253*J253</f>
        <v>26811.148341759545</v>
      </c>
      <c r="D253" s="315">
        <f>I253*J253</f>
        <v>37736.511175195039</v>
      </c>
      <c r="E253" s="315">
        <f>D253*F253</f>
        <v>0</v>
      </c>
      <c r="F253" s="316">
        <f t="shared" si="42"/>
        <v>0</v>
      </c>
      <c r="G253" s="314" t="s">
        <v>601</v>
      </c>
      <c r="H253" s="86"/>
      <c r="I253" s="398">
        <v>34058.223082305987</v>
      </c>
      <c r="J253" s="399">
        <f>IF(Aplicar_Escala=1,INDEX(Factor_Escala,7),1)</f>
        <v>1.1080000000000001</v>
      </c>
      <c r="K253" s="398">
        <v>24197.787312057349</v>
      </c>
      <c r="L253" s="86"/>
      <c r="M253" s="86"/>
    </row>
    <row r="254" spans="1:13" ht="15" hidden="1" customHeight="1">
      <c r="A254" s="314">
        <v>202</v>
      </c>
      <c r="B254" s="314" t="s">
        <v>121</v>
      </c>
      <c r="C254" s="315">
        <f>K254*J254</f>
        <v>4594.3013242606839</v>
      </c>
      <c r="D254" s="315">
        <f>I254*J254</f>
        <v>6466.4482496313194</v>
      </c>
      <c r="E254" s="315">
        <f>D254*F254</f>
        <v>0</v>
      </c>
      <c r="F254" s="316">
        <f t="shared" si="42"/>
        <v>0</v>
      </c>
      <c r="G254" s="314" t="s">
        <v>602</v>
      </c>
      <c r="H254" s="86"/>
      <c r="I254" s="398">
        <v>5836.1446296311542</v>
      </c>
      <c r="J254" s="399">
        <f>IF(Aplicar_Escala=1,INDEX(Factor_Escala,7),1)</f>
        <v>1.1080000000000001</v>
      </c>
      <c r="K254" s="398">
        <v>4146.4813395854544</v>
      </c>
      <c r="L254" s="86"/>
      <c r="M254" s="86"/>
    </row>
    <row r="255" spans="1:13" ht="15" hidden="1" customHeight="1">
      <c r="A255" s="314">
        <v>203</v>
      </c>
      <c r="B255" s="314" t="s">
        <v>121</v>
      </c>
      <c r="C255" s="315">
        <f t="shared" si="23"/>
        <v>776774.49108000007</v>
      </c>
      <c r="D255" s="315">
        <f t="shared" si="24"/>
        <v>1337726.7896516002</v>
      </c>
      <c r="E255" s="315">
        <f t="shared" si="31"/>
        <v>0</v>
      </c>
      <c r="F255" s="316">
        <f t="shared" si="42"/>
        <v>0</v>
      </c>
      <c r="G255" s="314" t="s">
        <v>91</v>
      </c>
      <c r="H255" s="86"/>
      <c r="I255" s="398">
        <v>1207334.6477000001</v>
      </c>
      <c r="J255" s="399">
        <f t="shared" si="43"/>
        <v>1.1080000000000001</v>
      </c>
      <c r="K255" s="398">
        <v>701060.01</v>
      </c>
      <c r="L255" s="86"/>
      <c r="M255" s="86"/>
    </row>
    <row r="256" spans="1:13" ht="15" hidden="1" customHeight="1">
      <c r="A256" s="314">
        <v>204</v>
      </c>
      <c r="B256" s="314" t="s">
        <v>121</v>
      </c>
      <c r="C256" s="315">
        <f t="shared" si="23"/>
        <v>101797.26386652418</v>
      </c>
      <c r="D256" s="315">
        <f t="shared" si="24"/>
        <v>344435.77577991528</v>
      </c>
      <c r="E256" s="315">
        <f t="shared" si="31"/>
        <v>0</v>
      </c>
      <c r="F256" s="316">
        <f t="shared" si="42"/>
        <v>0</v>
      </c>
      <c r="G256" s="314" t="s">
        <v>603</v>
      </c>
      <c r="H256" s="86"/>
      <c r="I256" s="398">
        <v>310862.61351977912</v>
      </c>
      <c r="J256" s="399">
        <f t="shared" si="43"/>
        <v>1.1080000000000001</v>
      </c>
      <c r="K256" s="398">
        <v>91874.786883144567</v>
      </c>
      <c r="L256" s="86"/>
      <c r="M256" s="86"/>
    </row>
    <row r="257" spans="1:13" ht="15" hidden="1" customHeight="1">
      <c r="A257" s="314">
        <v>205</v>
      </c>
      <c r="B257" s="314" t="s">
        <v>121</v>
      </c>
      <c r="C257" s="315">
        <f t="shared" ref="C257:C262" si="44">K257*J257</f>
        <v>34608.782737059504</v>
      </c>
      <c r="D257" s="315">
        <f t="shared" ref="D257:D262" si="45">I257*J257</f>
        <v>117100.42567025873</v>
      </c>
      <c r="E257" s="315">
        <f t="shared" ref="E257:E262" si="46">D257*F257</f>
        <v>0</v>
      </c>
      <c r="F257" s="316">
        <f t="shared" si="42"/>
        <v>0</v>
      </c>
      <c r="G257" s="314" t="s">
        <v>604</v>
      </c>
      <c r="H257" s="86"/>
      <c r="I257" s="398">
        <v>105686.3047565512</v>
      </c>
      <c r="J257" s="399">
        <f t="shared" ref="J257:J262" si="47">IF(Aplicar_Escala=1,INDEX(Factor_Escala,7),1)</f>
        <v>1.1080000000000001</v>
      </c>
      <c r="K257" s="398">
        <v>31235.36348110063</v>
      </c>
      <c r="L257" s="86"/>
      <c r="M257" s="86"/>
    </row>
    <row r="258" spans="1:13" ht="15" hidden="1" customHeight="1">
      <c r="A258" s="314">
        <v>206</v>
      </c>
      <c r="B258" s="314" t="s">
        <v>121</v>
      </c>
      <c r="C258" s="315">
        <f t="shared" si="44"/>
        <v>22860.043767832067</v>
      </c>
      <c r="D258" s="315">
        <f t="shared" si="45"/>
        <v>77348.021061353313</v>
      </c>
      <c r="E258" s="315">
        <f t="shared" si="46"/>
        <v>0</v>
      </c>
      <c r="F258" s="316">
        <f t="shared" si="42"/>
        <v>0</v>
      </c>
      <c r="G258" s="314" t="s">
        <v>87</v>
      </c>
      <c r="H258" s="86"/>
      <c r="I258" s="398">
        <v>69808.683268369408</v>
      </c>
      <c r="J258" s="399">
        <f t="shared" si="47"/>
        <v>1.1080000000000001</v>
      </c>
      <c r="K258" s="398">
        <v>20631.808454722079</v>
      </c>
      <c r="L258" s="86"/>
      <c r="M258" s="86"/>
    </row>
    <row r="259" spans="1:13" ht="15" hidden="1" customHeight="1">
      <c r="A259" s="314">
        <v>207</v>
      </c>
      <c r="B259" s="314" t="s">
        <v>121</v>
      </c>
      <c r="C259" s="315">
        <f t="shared" si="44"/>
        <v>50756.304074554319</v>
      </c>
      <c r="D259" s="315">
        <f t="shared" si="45"/>
        <v>171736.31496189363</v>
      </c>
      <c r="E259" s="315">
        <f t="shared" si="46"/>
        <v>0</v>
      </c>
      <c r="F259" s="316">
        <f t="shared" si="42"/>
        <v>0</v>
      </c>
      <c r="G259" s="314" t="s">
        <v>605</v>
      </c>
      <c r="H259" s="86"/>
      <c r="I259" s="398">
        <v>154996.67415333359</v>
      </c>
      <c r="J259" s="399">
        <f t="shared" si="47"/>
        <v>1.1080000000000001</v>
      </c>
      <c r="K259" s="398">
        <v>45808.93869544613</v>
      </c>
      <c r="L259" s="86"/>
      <c r="M259" s="86"/>
    </row>
    <row r="260" spans="1:13" ht="15" hidden="1" customHeight="1">
      <c r="A260" s="314">
        <v>208</v>
      </c>
      <c r="B260" s="314" t="s">
        <v>121</v>
      </c>
      <c r="C260" s="315">
        <f t="shared" si="44"/>
        <v>9233.063654632042</v>
      </c>
      <c r="D260" s="315">
        <f t="shared" si="45"/>
        <v>31240.50020517622</v>
      </c>
      <c r="E260" s="315">
        <f t="shared" si="46"/>
        <v>0</v>
      </c>
      <c r="F260" s="316">
        <f t="shared" si="42"/>
        <v>0</v>
      </c>
      <c r="G260" s="314" t="s">
        <v>606</v>
      </c>
      <c r="H260" s="86"/>
      <c r="I260" s="398">
        <v>28195.397297090451</v>
      </c>
      <c r="J260" s="399">
        <f t="shared" si="47"/>
        <v>1.1080000000000001</v>
      </c>
      <c r="K260" s="398">
        <v>8333.0899410036473</v>
      </c>
      <c r="L260" s="86"/>
      <c r="M260" s="86"/>
    </row>
    <row r="261" spans="1:13" ht="15" hidden="1" customHeight="1">
      <c r="A261" s="314">
        <v>209</v>
      </c>
      <c r="B261" s="314" t="s">
        <v>121</v>
      </c>
      <c r="C261" s="315">
        <f t="shared" si="44"/>
        <v>33212.266653328588</v>
      </c>
      <c r="D261" s="315">
        <f t="shared" si="45"/>
        <v>112375.24856412665</v>
      </c>
      <c r="E261" s="315">
        <f t="shared" si="46"/>
        <v>0</v>
      </c>
      <c r="F261" s="316">
        <f t="shared" si="42"/>
        <v>0</v>
      </c>
      <c r="G261" s="314" t="s">
        <v>607</v>
      </c>
      <c r="H261" s="86"/>
      <c r="I261" s="398">
        <v>101421.7044802587</v>
      </c>
      <c r="J261" s="399">
        <f t="shared" si="47"/>
        <v>1.1080000000000001</v>
      </c>
      <c r="K261" s="398">
        <v>29974.96990372616</v>
      </c>
      <c r="L261" s="86"/>
      <c r="M261" s="86"/>
    </row>
    <row r="262" spans="1:13" ht="15" hidden="1" customHeight="1">
      <c r="A262" s="314">
        <v>210</v>
      </c>
      <c r="B262" s="314" t="s">
        <v>121</v>
      </c>
      <c r="C262" s="315">
        <f t="shared" si="44"/>
        <v>55588.152406069283</v>
      </c>
      <c r="D262" s="315">
        <f t="shared" si="45"/>
        <v>188085.09846847598</v>
      </c>
      <c r="E262" s="315">
        <f t="shared" si="46"/>
        <v>0</v>
      </c>
      <c r="F262" s="316">
        <f t="shared" si="42"/>
        <v>0</v>
      </c>
      <c r="G262" s="314" t="s">
        <v>608</v>
      </c>
      <c r="H262" s="86"/>
      <c r="I262" s="398">
        <v>169751.8939246173</v>
      </c>
      <c r="J262" s="399">
        <f t="shared" si="47"/>
        <v>1.1080000000000001</v>
      </c>
      <c r="K262" s="398">
        <v>50169.812640856748</v>
      </c>
      <c r="L262" s="86"/>
      <c r="M262" s="86"/>
    </row>
    <row r="263" spans="1:13" ht="15" hidden="1" customHeight="1">
      <c r="A263" s="314">
        <v>211</v>
      </c>
      <c r="B263" s="314" t="s">
        <v>121</v>
      </c>
      <c r="C263" s="315">
        <f t="shared" ref="C263:C362" si="48">K263*J263</f>
        <v>85553.489107708621</v>
      </c>
      <c r="D263" s="315">
        <f t="shared" ref="D263:D362" si="49">I263*J263</f>
        <v>286533.62000218575</v>
      </c>
      <c r="E263" s="315">
        <f t="shared" si="31"/>
        <v>0</v>
      </c>
      <c r="F263" s="316">
        <f t="shared" si="42"/>
        <v>0</v>
      </c>
      <c r="G263" s="314" t="s">
        <v>609</v>
      </c>
      <c r="H263" s="86"/>
      <c r="I263" s="398">
        <v>258604.35018247811</v>
      </c>
      <c r="J263" s="399">
        <f t="shared" si="43"/>
        <v>1.1080000000000001</v>
      </c>
      <c r="K263" s="398">
        <v>77214.340349917518</v>
      </c>
      <c r="L263" s="86"/>
      <c r="M263" s="86"/>
    </row>
    <row r="264" spans="1:13" ht="15" hidden="1" customHeight="1">
      <c r="A264" s="314">
        <v>212</v>
      </c>
      <c r="B264" s="314" t="s">
        <v>121</v>
      </c>
      <c r="C264" s="315">
        <f>K264*J264</f>
        <v>26452.823732291392</v>
      </c>
      <c r="D264" s="315">
        <f>I264*J264</f>
        <v>88595.139980214299</v>
      </c>
      <c r="E264" s="315">
        <f>D264*F264</f>
        <v>0</v>
      </c>
      <c r="F264" s="316">
        <f t="shared" si="42"/>
        <v>0</v>
      </c>
      <c r="G264" s="314" t="s">
        <v>610</v>
      </c>
      <c r="H264" s="86"/>
      <c r="I264" s="398">
        <v>79959.512617521919</v>
      </c>
      <c r="J264" s="399">
        <f>IF(Aplicar_Escala=1,INDEX(Factor_Escala,7),1)</f>
        <v>1.1080000000000001</v>
      </c>
      <c r="K264" s="398">
        <v>23874.389650082481</v>
      </c>
      <c r="L264" s="86"/>
      <c r="M264" s="86"/>
    </row>
    <row r="265" spans="1:13" ht="15" hidden="1" customHeight="1">
      <c r="A265" s="314">
        <v>213</v>
      </c>
      <c r="B265" s="314" t="s">
        <v>121</v>
      </c>
      <c r="C265" s="315">
        <f t="shared" si="48"/>
        <v>42657.376333810316</v>
      </c>
      <c r="D265" s="315">
        <f t="shared" si="49"/>
        <v>114576.92064140693</v>
      </c>
      <c r="E265" s="315">
        <f t="shared" si="31"/>
        <v>0</v>
      </c>
      <c r="F265" s="316">
        <f t="shared" si="42"/>
        <v>0</v>
      </c>
      <c r="G265" s="314" t="s">
        <v>92</v>
      </c>
      <c r="H265" s="86"/>
      <c r="I265" s="398">
        <v>103408.773142064</v>
      </c>
      <c r="J265" s="399">
        <f t="shared" si="43"/>
        <v>1.1080000000000001</v>
      </c>
      <c r="K265" s="398">
        <v>38499.437124377539</v>
      </c>
      <c r="L265" s="86"/>
      <c r="M265" s="86"/>
    </row>
    <row r="266" spans="1:13" ht="15" hidden="1" customHeight="1">
      <c r="A266" s="314">
        <v>214</v>
      </c>
      <c r="B266" s="314" t="s">
        <v>121</v>
      </c>
      <c r="C266" s="315">
        <f>K266*J266</f>
        <v>75827.046866189688</v>
      </c>
      <c r="D266" s="315">
        <f>I266*J266</f>
        <v>203670.0396965931</v>
      </c>
      <c r="E266" s="315">
        <f>D266*F266</f>
        <v>0</v>
      </c>
      <c r="F266" s="316">
        <f t="shared" si="42"/>
        <v>0</v>
      </c>
      <c r="G266" s="314" t="s">
        <v>611</v>
      </c>
      <c r="H266" s="86"/>
      <c r="I266" s="398">
        <v>183817.725357936</v>
      </c>
      <c r="J266" s="399">
        <f>IF(Aplicar_Escala=1,INDEX(Factor_Escala,7),1)</f>
        <v>1.1080000000000001</v>
      </c>
      <c r="K266" s="398">
        <v>68435.962875622456</v>
      </c>
      <c r="L266" s="86"/>
      <c r="M266" s="86"/>
    </row>
    <row r="267" spans="1:13" ht="15" hidden="1" customHeight="1">
      <c r="A267" s="314">
        <v>215</v>
      </c>
      <c r="B267" s="314" t="s">
        <v>121</v>
      </c>
      <c r="C267" s="315">
        <f t="shared" si="48"/>
        <v>428559.16500000004</v>
      </c>
      <c r="D267" s="315">
        <f t="shared" si="49"/>
        <v>1201991.1228964</v>
      </c>
      <c r="E267" s="315">
        <f t="shared" si="31"/>
        <v>0</v>
      </c>
      <c r="F267" s="316">
        <f t="shared" si="42"/>
        <v>0</v>
      </c>
      <c r="G267" s="314" t="s">
        <v>93</v>
      </c>
      <c r="H267" s="86"/>
      <c r="I267" s="398">
        <v>1084829.5333</v>
      </c>
      <c r="J267" s="399">
        <f t="shared" si="43"/>
        <v>1.1080000000000001</v>
      </c>
      <c r="K267" s="398">
        <v>386786.25</v>
      </c>
      <c r="L267" s="86"/>
      <c r="M267" s="86"/>
    </row>
    <row r="268" spans="1:13" ht="15" hidden="1" customHeight="1">
      <c r="A268" s="314">
        <v>216</v>
      </c>
      <c r="B268" s="314" t="s">
        <v>121</v>
      </c>
      <c r="C268" s="315">
        <f t="shared" si="48"/>
        <v>91077.843760000003</v>
      </c>
      <c r="D268" s="315">
        <f t="shared" si="49"/>
        <v>223623.24412080002</v>
      </c>
      <c r="E268" s="315">
        <f t="shared" si="31"/>
        <v>0</v>
      </c>
      <c r="F268" s="316">
        <f t="shared" si="42"/>
        <v>0</v>
      </c>
      <c r="G268" s="314" t="s">
        <v>94</v>
      </c>
      <c r="H268" s="86"/>
      <c r="I268" s="398">
        <v>201826.03260000001</v>
      </c>
      <c r="J268" s="399">
        <f t="shared" si="43"/>
        <v>1.1080000000000001</v>
      </c>
      <c r="K268" s="398">
        <v>82200.22</v>
      </c>
      <c r="L268" s="86"/>
      <c r="M268" s="86"/>
    </row>
    <row r="269" spans="1:13" ht="15" hidden="1" customHeight="1">
      <c r="A269" s="314">
        <v>217</v>
      </c>
      <c r="B269" s="314" t="s">
        <v>121</v>
      </c>
      <c r="C269" s="315">
        <f t="shared" si="48"/>
        <v>180473.68812000004</v>
      </c>
      <c r="D269" s="315">
        <f t="shared" si="49"/>
        <v>763371.94369480002</v>
      </c>
      <c r="E269" s="315">
        <f t="shared" si="31"/>
        <v>0</v>
      </c>
      <c r="F269" s="316">
        <f t="shared" si="42"/>
        <v>0</v>
      </c>
      <c r="G269" s="314" t="s">
        <v>95</v>
      </c>
      <c r="H269" s="86"/>
      <c r="I269" s="398">
        <v>688963.84809999994</v>
      </c>
      <c r="J269" s="399">
        <f t="shared" si="43"/>
        <v>1.1080000000000001</v>
      </c>
      <c r="K269" s="398">
        <v>162882.39000000001</v>
      </c>
      <c r="L269" s="86"/>
      <c r="M269" s="86"/>
    </row>
    <row r="270" spans="1:13" ht="15" hidden="1" customHeight="1">
      <c r="A270" s="314">
        <v>218</v>
      </c>
      <c r="B270" s="314" t="s">
        <v>121</v>
      </c>
      <c r="C270" s="315">
        <f t="shared" si="48"/>
        <v>129036.2396</v>
      </c>
      <c r="D270" s="315">
        <f t="shared" si="49"/>
        <v>332377.40965280001</v>
      </c>
      <c r="E270" s="315">
        <f t="shared" si="31"/>
        <v>0</v>
      </c>
      <c r="F270" s="316">
        <f t="shared" si="42"/>
        <v>0</v>
      </c>
      <c r="G270" s="314" t="s">
        <v>96</v>
      </c>
      <c r="H270" s="86"/>
      <c r="I270" s="398">
        <v>299979.6116</v>
      </c>
      <c r="J270" s="399">
        <f t="shared" si="43"/>
        <v>1.1080000000000001</v>
      </c>
      <c r="K270" s="398">
        <v>116458.7</v>
      </c>
      <c r="L270" s="86"/>
      <c r="M270" s="86"/>
    </row>
    <row r="271" spans="1:13" ht="15" hidden="1" customHeight="1">
      <c r="A271" s="314">
        <v>219</v>
      </c>
      <c r="B271" s="314" t="s">
        <v>121</v>
      </c>
      <c r="C271" s="315">
        <f t="shared" si="48"/>
        <v>929751.16480000003</v>
      </c>
      <c r="D271" s="315">
        <f t="shared" si="49"/>
        <v>2703409.9113360001</v>
      </c>
      <c r="E271" s="315">
        <f t="shared" si="31"/>
        <v>0</v>
      </c>
      <c r="F271" s="316">
        <f t="shared" si="42"/>
        <v>0</v>
      </c>
      <c r="G271" s="314" t="s">
        <v>97</v>
      </c>
      <c r="H271" s="86"/>
      <c r="I271" s="398">
        <v>2439900.642</v>
      </c>
      <c r="J271" s="399">
        <f t="shared" si="43"/>
        <v>1.1080000000000001</v>
      </c>
      <c r="K271" s="398">
        <v>839125.6</v>
      </c>
      <c r="L271" s="86"/>
      <c r="M271" s="86"/>
    </row>
    <row r="272" spans="1:13" ht="15" hidden="1" customHeight="1">
      <c r="A272" s="314">
        <v>220</v>
      </c>
      <c r="B272" s="314" t="s">
        <v>121</v>
      </c>
      <c r="C272" s="315">
        <f t="shared" si="48"/>
        <v>147966.15368000002</v>
      </c>
      <c r="D272" s="315">
        <f t="shared" si="49"/>
        <v>381272.52746440005</v>
      </c>
      <c r="E272" s="315">
        <f t="shared" si="31"/>
        <v>0</v>
      </c>
      <c r="F272" s="316">
        <f t="shared" si="42"/>
        <v>0</v>
      </c>
      <c r="G272" s="314" t="s">
        <v>98</v>
      </c>
      <c r="H272" s="86"/>
      <c r="I272" s="398">
        <v>344108.77929999999</v>
      </c>
      <c r="J272" s="399">
        <f t="shared" si="43"/>
        <v>1.1080000000000001</v>
      </c>
      <c r="K272" s="398">
        <v>133543.46</v>
      </c>
      <c r="L272" s="86"/>
      <c r="M272" s="86"/>
    </row>
    <row r="273" spans="1:13" ht="15" hidden="1" customHeight="1">
      <c r="A273" s="314">
        <v>221</v>
      </c>
      <c r="B273" s="314" t="s">
        <v>121</v>
      </c>
      <c r="C273" s="315">
        <f t="shared" si="48"/>
        <v>400519.95079999999</v>
      </c>
      <c r="D273" s="315">
        <f t="shared" si="49"/>
        <v>799145.84097200003</v>
      </c>
      <c r="E273" s="315">
        <f t="shared" si="31"/>
        <v>0</v>
      </c>
      <c r="F273" s="316">
        <f t="shared" si="42"/>
        <v>0</v>
      </c>
      <c r="G273" s="314" t="s">
        <v>99</v>
      </c>
      <c r="H273" s="86"/>
      <c r="I273" s="398">
        <v>721250.75899999996</v>
      </c>
      <c r="J273" s="399">
        <f t="shared" si="43"/>
        <v>1.1080000000000001</v>
      </c>
      <c r="K273" s="398">
        <v>361480.1</v>
      </c>
      <c r="L273" s="86"/>
      <c r="M273" s="86"/>
    </row>
    <row r="274" spans="1:13" ht="15" hidden="1" customHeight="1">
      <c r="A274" s="314">
        <v>222</v>
      </c>
      <c r="B274" s="314" t="s">
        <v>121</v>
      </c>
      <c r="C274" s="315">
        <f t="shared" si="48"/>
        <v>862347.39196000004</v>
      </c>
      <c r="D274" s="315">
        <f t="shared" si="49"/>
        <v>2047780.0107400003</v>
      </c>
      <c r="E274" s="315">
        <f t="shared" si="31"/>
        <v>0</v>
      </c>
      <c r="F274" s="316">
        <f t="shared" si="42"/>
        <v>0</v>
      </c>
      <c r="G274" s="314" t="s">
        <v>100</v>
      </c>
      <c r="H274" s="86"/>
      <c r="I274" s="398">
        <v>1848176.905</v>
      </c>
      <c r="J274" s="399">
        <f t="shared" si="43"/>
        <v>1.1080000000000001</v>
      </c>
      <c r="K274" s="398">
        <v>778291.87</v>
      </c>
      <c r="L274" s="86"/>
      <c r="M274" s="86"/>
    </row>
    <row r="275" spans="1:13" ht="15" hidden="1" customHeight="1">
      <c r="A275" s="314">
        <v>223</v>
      </c>
      <c r="B275" s="314" t="s">
        <v>121</v>
      </c>
      <c r="C275" s="315">
        <f t="shared" si="48"/>
        <v>1439406.8331200001</v>
      </c>
      <c r="D275" s="315">
        <f t="shared" si="49"/>
        <v>2255952.4391748002</v>
      </c>
      <c r="E275" s="315">
        <f t="shared" si="31"/>
        <v>0</v>
      </c>
      <c r="F275" s="316">
        <f t="shared" si="42"/>
        <v>0</v>
      </c>
      <c r="G275" s="314" t="s">
        <v>101</v>
      </c>
      <c r="H275" s="86"/>
      <c r="I275" s="398">
        <v>2036058.1580999999</v>
      </c>
      <c r="J275" s="399">
        <f t="shared" si="43"/>
        <v>1.1080000000000001</v>
      </c>
      <c r="K275" s="398">
        <v>1299103.6399999999</v>
      </c>
      <c r="L275" s="86"/>
      <c r="M275" s="86"/>
    </row>
    <row r="276" spans="1:13" ht="15" hidden="1" customHeight="1">
      <c r="A276" s="314">
        <v>224</v>
      </c>
      <c r="B276" s="314" t="s">
        <v>121</v>
      </c>
      <c r="C276" s="315">
        <f t="shared" si="48"/>
        <v>585552.11712000007</v>
      </c>
      <c r="D276" s="315">
        <f t="shared" si="49"/>
        <v>1079300.7346880001</v>
      </c>
      <c r="E276" s="315">
        <f t="shared" si="31"/>
        <v>0</v>
      </c>
      <c r="F276" s="316">
        <f t="shared" si="42"/>
        <v>0</v>
      </c>
      <c r="G276" s="314" t="s">
        <v>102</v>
      </c>
      <c r="H276" s="86"/>
      <c r="I276" s="398">
        <v>974098.13600000006</v>
      </c>
      <c r="J276" s="399">
        <f t="shared" si="43"/>
        <v>1.1080000000000001</v>
      </c>
      <c r="K276" s="398">
        <v>528476.64</v>
      </c>
      <c r="L276" s="86"/>
      <c r="M276" s="86"/>
    </row>
    <row r="277" spans="1:13" ht="15" hidden="1" customHeight="1">
      <c r="A277" s="314">
        <v>225</v>
      </c>
      <c r="B277" s="314" t="s">
        <v>121</v>
      </c>
      <c r="C277" s="315">
        <f t="shared" si="48"/>
        <v>456590.58996000001</v>
      </c>
      <c r="D277" s="315">
        <f t="shared" si="49"/>
        <v>1110183.0933972001</v>
      </c>
      <c r="E277" s="315">
        <f t="shared" si="31"/>
        <v>0</v>
      </c>
      <c r="F277" s="316">
        <f t="shared" si="42"/>
        <v>0</v>
      </c>
      <c r="G277" s="314" t="s">
        <v>103</v>
      </c>
      <c r="H277" s="86"/>
      <c r="I277" s="398">
        <v>1001970.3009</v>
      </c>
      <c r="J277" s="399">
        <f t="shared" si="43"/>
        <v>1.1080000000000001</v>
      </c>
      <c r="K277" s="398">
        <v>412085.37</v>
      </c>
      <c r="L277" s="86"/>
      <c r="M277" s="86"/>
    </row>
    <row r="278" spans="1:13" ht="15" hidden="1" customHeight="1">
      <c r="A278" s="314">
        <v>226</v>
      </c>
      <c r="B278" s="314" t="s">
        <v>121</v>
      </c>
      <c r="C278" s="315">
        <f t="shared" si="48"/>
        <v>657717.34268</v>
      </c>
      <c r="D278" s="315">
        <f t="shared" si="49"/>
        <v>1229061.3042292001</v>
      </c>
      <c r="E278" s="315">
        <f t="shared" si="31"/>
        <v>0</v>
      </c>
      <c r="F278" s="316">
        <f t="shared" si="42"/>
        <v>0</v>
      </c>
      <c r="G278" s="314" t="s">
        <v>104</v>
      </c>
      <c r="H278" s="86"/>
      <c r="I278" s="398">
        <v>1109261.1048999999</v>
      </c>
      <c r="J278" s="399">
        <f t="shared" si="43"/>
        <v>1.1080000000000001</v>
      </c>
      <c r="K278" s="398">
        <v>593607.71</v>
      </c>
      <c r="L278" s="86"/>
      <c r="M278" s="86"/>
    </row>
    <row r="279" spans="1:13" ht="15" hidden="1" customHeight="1">
      <c r="A279" s="314">
        <v>227</v>
      </c>
      <c r="B279" s="314" t="s">
        <v>121</v>
      </c>
      <c r="C279" s="315">
        <f t="shared" si="48"/>
        <v>670573.94312000007</v>
      </c>
      <c r="D279" s="315">
        <f t="shared" si="49"/>
        <v>993849.78106360009</v>
      </c>
      <c r="E279" s="315">
        <f t="shared" si="31"/>
        <v>0</v>
      </c>
      <c r="F279" s="316">
        <f t="shared" si="42"/>
        <v>0</v>
      </c>
      <c r="G279" s="314" t="s">
        <v>105</v>
      </c>
      <c r="H279" s="86"/>
      <c r="I279" s="398">
        <v>896976.33669999999</v>
      </c>
      <c r="J279" s="399">
        <f t="shared" si="43"/>
        <v>1.1080000000000001</v>
      </c>
      <c r="K279" s="398">
        <v>605211.14</v>
      </c>
      <c r="L279" s="86"/>
      <c r="M279" s="86"/>
    </row>
    <row r="280" spans="1:13" ht="15" hidden="1" customHeight="1">
      <c r="A280" s="314">
        <v>228</v>
      </c>
      <c r="B280" s="314" t="s">
        <v>121</v>
      </c>
      <c r="C280" s="315">
        <f t="shared" si="48"/>
        <v>1184833.152</v>
      </c>
      <c r="D280" s="315">
        <f t="shared" si="49"/>
        <v>1453462.0794832001</v>
      </c>
      <c r="E280" s="315">
        <f t="shared" si="31"/>
        <v>0</v>
      </c>
      <c r="F280" s="316">
        <f t="shared" si="42"/>
        <v>0</v>
      </c>
      <c r="G280" s="314" t="s">
        <v>106</v>
      </c>
      <c r="H280" s="86"/>
      <c r="I280" s="398">
        <v>1311788.8803999999</v>
      </c>
      <c r="J280" s="399">
        <f t="shared" si="43"/>
        <v>1.1080000000000001</v>
      </c>
      <c r="K280" s="398">
        <v>1069344</v>
      </c>
      <c r="L280" s="86"/>
      <c r="M280" s="86"/>
    </row>
    <row r="281" spans="1:13" ht="15" hidden="1" customHeight="1">
      <c r="A281" s="314">
        <v>229</v>
      </c>
      <c r="B281" s="314" t="s">
        <v>121</v>
      </c>
      <c r="C281" s="315">
        <f t="shared" si="48"/>
        <v>860596.00959999999</v>
      </c>
      <c r="D281" s="315">
        <f t="shared" si="49"/>
        <v>1386974.9480628001</v>
      </c>
      <c r="E281" s="315">
        <f t="shared" si="31"/>
        <v>0</v>
      </c>
      <c r="F281" s="316">
        <f t="shared" si="42"/>
        <v>0</v>
      </c>
      <c r="G281" s="314" t="s">
        <v>107</v>
      </c>
      <c r="H281" s="86"/>
      <c r="I281" s="398">
        <v>1251782.4441</v>
      </c>
      <c r="J281" s="399">
        <f t="shared" si="43"/>
        <v>1.1080000000000001</v>
      </c>
      <c r="K281" s="398">
        <v>776711.2</v>
      </c>
      <c r="L281" s="86"/>
      <c r="M281" s="86"/>
    </row>
    <row r="282" spans="1:13" ht="15" hidden="1" customHeight="1">
      <c r="A282" s="314">
        <v>230</v>
      </c>
      <c r="B282" s="314" t="s">
        <v>121</v>
      </c>
      <c r="C282" s="315">
        <f>K282*J282</f>
        <v>867337.82150407264</v>
      </c>
      <c r="D282" s="315">
        <f>I282*J282</f>
        <v>1199182.1140671244</v>
      </c>
      <c r="E282" s="315">
        <f>D282*F282</f>
        <v>0</v>
      </c>
      <c r="F282" s="316">
        <f t="shared" si="42"/>
        <v>0</v>
      </c>
      <c r="G282" s="314" t="s">
        <v>612</v>
      </c>
      <c r="H282" s="86"/>
      <c r="I282" s="398">
        <v>1082294.326775383</v>
      </c>
      <c r="J282" s="399">
        <f>IF(Aplicar_Escala=1,INDEX(Factor_Escala,7),1)</f>
        <v>1.1080000000000001</v>
      </c>
      <c r="K282" s="398">
        <v>782795.86778345902</v>
      </c>
      <c r="L282" s="86"/>
      <c r="M282" s="86"/>
    </row>
    <row r="283" spans="1:13" ht="15" hidden="1" customHeight="1">
      <c r="A283" s="314">
        <v>231</v>
      </c>
      <c r="B283" s="314" t="s">
        <v>121</v>
      </c>
      <c r="C283" s="315">
        <f t="shared" si="48"/>
        <v>1271111.3194959275</v>
      </c>
      <c r="D283" s="315">
        <f t="shared" si="49"/>
        <v>1757439.7443944758</v>
      </c>
      <c r="E283" s="315">
        <f t="shared" si="31"/>
        <v>0</v>
      </c>
      <c r="F283" s="316">
        <f t="shared" si="42"/>
        <v>0</v>
      </c>
      <c r="G283" s="314" t="s">
        <v>613</v>
      </c>
      <c r="H283" s="86"/>
      <c r="I283" s="398">
        <v>1586136.9534246169</v>
      </c>
      <c r="J283" s="399">
        <f t="shared" si="43"/>
        <v>1.1080000000000001</v>
      </c>
      <c r="K283" s="398">
        <v>1147212.3822165411</v>
      </c>
      <c r="L283" s="86"/>
      <c r="M283" s="86"/>
    </row>
    <row r="284" spans="1:13" ht="15" hidden="1" customHeight="1">
      <c r="A284" s="314">
        <v>232</v>
      </c>
      <c r="B284" s="314" t="s">
        <v>87</v>
      </c>
      <c r="C284" s="315">
        <f t="shared" si="48"/>
        <v>103465.04000549589</v>
      </c>
      <c r="D284" s="315">
        <f t="shared" si="49"/>
        <v>167610.21570395376</v>
      </c>
      <c r="E284" s="315">
        <f t="shared" si="31"/>
        <v>0</v>
      </c>
      <c r="F284" s="316">
        <f t="shared" ref="F284:F316" si="50">I14</f>
        <v>0</v>
      </c>
      <c r="G284" s="314" t="s">
        <v>599</v>
      </c>
      <c r="H284" s="86"/>
      <c r="I284" s="398">
        <v>134088.17256316301</v>
      </c>
      <c r="J284" s="399">
        <f t="shared" ref="J284:J316" si="51">IF(Aplicar_Escala=1,INDEX(Factor_Escala,8),1)</f>
        <v>1.25</v>
      </c>
      <c r="K284" s="398">
        <v>82772.032004396708</v>
      </c>
      <c r="L284" s="86"/>
      <c r="M284" s="86"/>
    </row>
    <row r="285" spans="1:13" ht="15" hidden="1" customHeight="1">
      <c r="A285" s="314">
        <v>233</v>
      </c>
      <c r="B285" s="314" t="s">
        <v>87</v>
      </c>
      <c r="C285" s="315">
        <f>K285*J285</f>
        <v>41920.571420642838</v>
      </c>
      <c r="D285" s="315">
        <f>I285*J285</f>
        <v>67910.049789510726</v>
      </c>
      <c r="E285" s="315">
        <f>D285*F285</f>
        <v>0</v>
      </c>
      <c r="F285" s="316">
        <f t="shared" si="50"/>
        <v>0</v>
      </c>
      <c r="G285" s="314" t="s">
        <v>600</v>
      </c>
      <c r="H285" s="86"/>
      <c r="I285" s="398">
        <v>54328.039831608578</v>
      </c>
      <c r="J285" s="399">
        <f>IF(Aplicar_Escala=1,INDEX(Factor_Escala,8),1)</f>
        <v>1.25</v>
      </c>
      <c r="K285" s="398">
        <v>33536.457136514269</v>
      </c>
      <c r="L285" s="86"/>
      <c r="M285" s="86"/>
    </row>
    <row r="286" spans="1:13" ht="15" hidden="1" customHeight="1">
      <c r="A286" s="314">
        <v>234</v>
      </c>
      <c r="B286" s="314" t="s">
        <v>87</v>
      </c>
      <c r="C286" s="315">
        <f>K286*J286</f>
        <v>5307.793820119773</v>
      </c>
      <c r="D286" s="315">
        <f>I286*J286</f>
        <v>8598.4644383758205</v>
      </c>
      <c r="E286" s="315">
        <f>D286*F286</f>
        <v>0</v>
      </c>
      <c r="F286" s="316">
        <f t="shared" si="50"/>
        <v>0</v>
      </c>
      <c r="G286" s="314" t="s">
        <v>601</v>
      </c>
      <c r="H286" s="86"/>
      <c r="I286" s="398">
        <v>6878.7715507006569</v>
      </c>
      <c r="J286" s="399">
        <f>IF(Aplicar_Escala=1,INDEX(Factor_Escala,8),1)</f>
        <v>1.25</v>
      </c>
      <c r="K286" s="398">
        <v>4246.2350560958184</v>
      </c>
      <c r="L286" s="86"/>
      <c r="M286" s="86"/>
    </row>
    <row r="287" spans="1:13" ht="15" hidden="1" customHeight="1">
      <c r="A287" s="314">
        <v>235</v>
      </c>
      <c r="B287" s="314" t="s">
        <v>87</v>
      </c>
      <c r="C287" s="315">
        <f>K287*J287</f>
        <v>909.53225374152623</v>
      </c>
      <c r="D287" s="315">
        <f>I287*J287</f>
        <v>1473.4145681596674</v>
      </c>
      <c r="E287" s="315">
        <f>D287*F287</f>
        <v>0</v>
      </c>
      <c r="F287" s="316">
        <f t="shared" si="50"/>
        <v>0</v>
      </c>
      <c r="G287" s="314" t="s">
        <v>602</v>
      </c>
      <c r="H287" s="86"/>
      <c r="I287" s="398">
        <v>1178.731654527734</v>
      </c>
      <c r="J287" s="399">
        <f>IF(Aplicar_Escala=1,INDEX(Factor_Escala,8),1)</f>
        <v>1.25</v>
      </c>
      <c r="K287" s="398">
        <v>727.62580299322099</v>
      </c>
      <c r="L287" s="86"/>
      <c r="M287" s="86"/>
    </row>
    <row r="288" spans="1:13" ht="15" hidden="1" customHeight="1">
      <c r="A288" s="314">
        <v>236</v>
      </c>
      <c r="B288" s="314" t="s">
        <v>87</v>
      </c>
      <c r="C288" s="315">
        <f t="shared" si="48"/>
        <v>214820.05000000002</v>
      </c>
      <c r="D288" s="315">
        <f t="shared" si="49"/>
        <v>422731.64512499998</v>
      </c>
      <c r="E288" s="315">
        <f t="shared" si="31"/>
        <v>0</v>
      </c>
      <c r="F288" s="316">
        <f t="shared" si="50"/>
        <v>0</v>
      </c>
      <c r="G288" s="314" t="s">
        <v>91</v>
      </c>
      <c r="H288" s="86"/>
      <c r="I288" s="398">
        <v>338185.3161</v>
      </c>
      <c r="J288" s="399">
        <f t="shared" si="51"/>
        <v>1.25</v>
      </c>
      <c r="K288" s="398">
        <v>171856.04</v>
      </c>
      <c r="L288" s="86"/>
      <c r="M288" s="86"/>
    </row>
    <row r="289" spans="1:13" ht="15" hidden="1" customHeight="1">
      <c r="A289" s="314">
        <v>237</v>
      </c>
      <c r="B289" s="314" t="s">
        <v>87</v>
      </c>
      <c r="C289" s="315">
        <f t="shared" si="48"/>
        <v>49463.368759477315</v>
      </c>
      <c r="D289" s="315">
        <f t="shared" si="49"/>
        <v>137826.09002510013</v>
      </c>
      <c r="E289" s="315">
        <f t="shared" si="31"/>
        <v>0</v>
      </c>
      <c r="F289" s="316">
        <f t="shared" si="50"/>
        <v>0</v>
      </c>
      <c r="G289" s="314" t="s">
        <v>603</v>
      </c>
      <c r="H289" s="86"/>
      <c r="I289" s="398">
        <v>110260.8720200801</v>
      </c>
      <c r="J289" s="399">
        <f t="shared" si="51"/>
        <v>1.25</v>
      </c>
      <c r="K289" s="398">
        <v>39570.695007581853</v>
      </c>
      <c r="L289" s="86"/>
      <c r="M289" s="86"/>
    </row>
    <row r="290" spans="1:13" ht="15" hidden="1" customHeight="1">
      <c r="A290" s="314">
        <v>238</v>
      </c>
      <c r="B290" s="314" t="s">
        <v>87</v>
      </c>
      <c r="C290" s="315">
        <f t="shared" ref="C290:C295" si="52">K290*J290</f>
        <v>16816.434134068615</v>
      </c>
      <c r="D290" s="315">
        <f t="shared" ref="D290:D295" si="53">I290*J290</f>
        <v>46857.774207285882</v>
      </c>
      <c r="E290" s="315">
        <f t="shared" ref="E290:E295" si="54">D290*F290</f>
        <v>0</v>
      </c>
      <c r="F290" s="316">
        <f t="shared" si="50"/>
        <v>0</v>
      </c>
      <c r="G290" s="314" t="s">
        <v>604</v>
      </c>
      <c r="H290" s="86"/>
      <c r="I290" s="398">
        <v>37486.219365828707</v>
      </c>
      <c r="J290" s="399">
        <f t="shared" ref="J290:J295" si="55">IF(Aplicar_Escala=1,INDEX(Factor_Escala,8),1)</f>
        <v>1.25</v>
      </c>
      <c r="K290" s="398">
        <v>13453.147307254891</v>
      </c>
      <c r="L290" s="86"/>
      <c r="M290" s="86"/>
    </row>
    <row r="291" spans="1:13" ht="15" hidden="1" customHeight="1">
      <c r="A291" s="314">
        <v>239</v>
      </c>
      <c r="B291" s="314" t="s">
        <v>87</v>
      </c>
      <c r="C291" s="315">
        <f t="shared" si="52"/>
        <v>11107.712838222051</v>
      </c>
      <c r="D291" s="315">
        <f t="shared" si="53"/>
        <v>30950.836305916215</v>
      </c>
      <c r="E291" s="315">
        <f t="shared" si="54"/>
        <v>0</v>
      </c>
      <c r="F291" s="316">
        <f t="shared" si="50"/>
        <v>0</v>
      </c>
      <c r="G291" s="314" t="s">
        <v>87</v>
      </c>
      <c r="H291" s="86"/>
      <c r="I291" s="398">
        <v>24760.669044732971</v>
      </c>
      <c r="J291" s="399">
        <f t="shared" si="55"/>
        <v>1.25</v>
      </c>
      <c r="K291" s="398">
        <v>8886.1702705776406</v>
      </c>
      <c r="L291" s="86"/>
      <c r="M291" s="86"/>
    </row>
    <row r="292" spans="1:13" ht="15" hidden="1" customHeight="1">
      <c r="A292" s="314">
        <v>240</v>
      </c>
      <c r="B292" s="314" t="s">
        <v>87</v>
      </c>
      <c r="C292" s="315">
        <f t="shared" si="52"/>
        <v>24662.527163791874</v>
      </c>
      <c r="D292" s="315">
        <f t="shared" si="53"/>
        <v>68720.343445511273</v>
      </c>
      <c r="E292" s="315">
        <f t="shared" si="54"/>
        <v>0</v>
      </c>
      <c r="F292" s="316">
        <f t="shared" si="50"/>
        <v>0</v>
      </c>
      <c r="G292" s="314" t="s">
        <v>605</v>
      </c>
      <c r="H292" s="86"/>
      <c r="I292" s="398">
        <v>54976.274756409017</v>
      </c>
      <c r="J292" s="399">
        <f t="shared" si="55"/>
        <v>1.25</v>
      </c>
      <c r="K292" s="398">
        <v>19730.021731033499</v>
      </c>
      <c r="L292" s="86"/>
      <c r="M292" s="86"/>
    </row>
    <row r="293" spans="1:13" ht="15" hidden="1" customHeight="1">
      <c r="A293" s="314">
        <v>241</v>
      </c>
      <c r="B293" s="314" t="s">
        <v>87</v>
      </c>
      <c r="C293" s="315">
        <f t="shared" si="52"/>
        <v>4486.3527268042453</v>
      </c>
      <c r="D293" s="315">
        <f t="shared" si="53"/>
        <v>12500.896528411238</v>
      </c>
      <c r="E293" s="315">
        <f t="shared" si="54"/>
        <v>0</v>
      </c>
      <c r="F293" s="316">
        <f t="shared" si="50"/>
        <v>0</v>
      </c>
      <c r="G293" s="314" t="s">
        <v>606</v>
      </c>
      <c r="H293" s="86"/>
      <c r="I293" s="398">
        <v>10000.71722272899</v>
      </c>
      <c r="J293" s="399">
        <f t="shared" si="55"/>
        <v>1.25</v>
      </c>
      <c r="K293" s="398">
        <v>3589.0821814433962</v>
      </c>
      <c r="L293" s="86"/>
      <c r="M293" s="86"/>
    </row>
    <row r="294" spans="1:13" ht="15" hidden="1" customHeight="1">
      <c r="A294" s="314">
        <v>242</v>
      </c>
      <c r="B294" s="314" t="s">
        <v>87</v>
      </c>
      <c r="C294" s="315">
        <f t="shared" si="52"/>
        <v>16137.865895548024</v>
      </c>
      <c r="D294" s="315">
        <f t="shared" si="53"/>
        <v>44966.993019589427</v>
      </c>
      <c r="E294" s="315">
        <f t="shared" si="54"/>
        <v>0</v>
      </c>
      <c r="F294" s="316">
        <f t="shared" si="50"/>
        <v>0</v>
      </c>
      <c r="G294" s="314" t="s">
        <v>607</v>
      </c>
      <c r="H294" s="86"/>
      <c r="I294" s="398">
        <v>35973.594415671541</v>
      </c>
      <c r="J294" s="399">
        <f t="shared" si="55"/>
        <v>1.25</v>
      </c>
      <c r="K294" s="398">
        <v>12910.29271643842</v>
      </c>
      <c r="L294" s="86"/>
      <c r="M294" s="86"/>
    </row>
    <row r="295" spans="1:13" ht="15" hidden="1" customHeight="1">
      <c r="A295" s="314">
        <v>243</v>
      </c>
      <c r="B295" s="314" t="s">
        <v>87</v>
      </c>
      <c r="C295" s="315">
        <f t="shared" si="52"/>
        <v>27010.325982087852</v>
      </c>
      <c r="D295" s="315">
        <f t="shared" si="53"/>
        <v>75262.314593185787</v>
      </c>
      <c r="E295" s="315">
        <f t="shared" si="54"/>
        <v>0</v>
      </c>
      <c r="F295" s="316">
        <f t="shared" si="50"/>
        <v>0</v>
      </c>
      <c r="G295" s="314" t="s">
        <v>608</v>
      </c>
      <c r="H295" s="86"/>
      <c r="I295" s="398">
        <v>60209.851674548627</v>
      </c>
      <c r="J295" s="399">
        <f t="shared" si="55"/>
        <v>1.25</v>
      </c>
      <c r="K295" s="398">
        <v>21608.260785670282</v>
      </c>
      <c r="L295" s="86"/>
      <c r="M295" s="86"/>
    </row>
    <row r="296" spans="1:13" ht="15" hidden="1" customHeight="1">
      <c r="A296" s="314">
        <v>244</v>
      </c>
      <c r="B296" s="314" t="s">
        <v>87</v>
      </c>
      <c r="C296" s="315">
        <f t="shared" si="48"/>
        <v>19566.059091994452</v>
      </c>
      <c r="D296" s="315">
        <f t="shared" si="49"/>
        <v>51927.098992771564</v>
      </c>
      <c r="E296" s="315">
        <f t="shared" ref="E296:E395" si="56">D296*F296</f>
        <v>0</v>
      </c>
      <c r="F296" s="316">
        <f t="shared" si="50"/>
        <v>0</v>
      </c>
      <c r="G296" s="314" t="s">
        <v>609</v>
      </c>
      <c r="H296" s="86"/>
      <c r="I296" s="398">
        <v>41541.679194217249</v>
      </c>
      <c r="J296" s="399">
        <f t="shared" si="51"/>
        <v>1.25</v>
      </c>
      <c r="K296" s="398">
        <v>15652.84727359556</v>
      </c>
      <c r="L296" s="86"/>
      <c r="M296" s="86"/>
    </row>
    <row r="297" spans="1:13" ht="15" hidden="1" customHeight="1">
      <c r="A297" s="314">
        <v>245</v>
      </c>
      <c r="B297" s="314" t="s">
        <v>87</v>
      </c>
      <c r="C297" s="315">
        <f>K297*J297</f>
        <v>6049.7534080055575</v>
      </c>
      <c r="D297" s="315">
        <f>I297*J297</f>
        <v>16055.66775722845</v>
      </c>
      <c r="E297" s="315">
        <f>D297*F297</f>
        <v>0</v>
      </c>
      <c r="F297" s="316">
        <f t="shared" si="50"/>
        <v>0</v>
      </c>
      <c r="G297" s="314" t="s">
        <v>610</v>
      </c>
      <c r="H297" s="86"/>
      <c r="I297" s="398">
        <v>12844.53420578276</v>
      </c>
      <c r="J297" s="399">
        <f>IF(Aplicar_Escala=1,INDEX(Factor_Escala,8),1)</f>
        <v>1.25</v>
      </c>
      <c r="K297" s="398">
        <v>4839.8027264044458</v>
      </c>
      <c r="L297" s="86"/>
      <c r="M297" s="86"/>
    </row>
    <row r="298" spans="1:13" ht="15" hidden="1" customHeight="1">
      <c r="A298" s="314">
        <v>246</v>
      </c>
      <c r="B298" s="314" t="s">
        <v>87</v>
      </c>
      <c r="C298" s="315">
        <f t="shared" si="48"/>
        <v>9970.6499699502056</v>
      </c>
      <c r="D298" s="315">
        <f t="shared" si="49"/>
        <v>27049.491239267936</v>
      </c>
      <c r="E298" s="315">
        <f t="shared" si="56"/>
        <v>0</v>
      </c>
      <c r="F298" s="316">
        <f t="shared" si="50"/>
        <v>0</v>
      </c>
      <c r="G298" s="314" t="s">
        <v>92</v>
      </c>
      <c r="H298" s="86"/>
      <c r="I298" s="398">
        <v>21639.592991414349</v>
      </c>
      <c r="J298" s="399">
        <f t="shared" si="51"/>
        <v>1.25</v>
      </c>
      <c r="K298" s="398">
        <v>7976.5199759601637</v>
      </c>
      <c r="L298" s="86"/>
      <c r="M298" s="86"/>
    </row>
    <row r="299" spans="1:13" ht="15" hidden="1" customHeight="1">
      <c r="A299" s="314">
        <v>247</v>
      </c>
      <c r="B299" s="314" t="s">
        <v>87</v>
      </c>
      <c r="C299" s="315">
        <f>K299*J299</f>
        <v>17723.662530049802</v>
      </c>
      <c r="D299" s="315">
        <f>I299*J299</f>
        <v>48082.728385732073</v>
      </c>
      <c r="E299" s="315">
        <f>D299*F299</f>
        <v>0</v>
      </c>
      <c r="F299" s="316">
        <f t="shared" si="50"/>
        <v>0</v>
      </c>
      <c r="G299" s="314" t="s">
        <v>611</v>
      </c>
      <c r="H299" s="86"/>
      <c r="I299" s="398">
        <v>38466.182708585657</v>
      </c>
      <c r="J299" s="399">
        <f>IF(Aplicar_Escala=1,INDEX(Factor_Escala,8),1)</f>
        <v>1.25</v>
      </c>
      <c r="K299" s="398">
        <v>14178.930024039841</v>
      </c>
      <c r="L299" s="86"/>
      <c r="M299" s="86"/>
    </row>
    <row r="300" spans="1:13" ht="15" hidden="1" customHeight="1">
      <c r="A300" s="314">
        <v>248</v>
      </c>
      <c r="B300" s="314" t="s">
        <v>87</v>
      </c>
      <c r="C300" s="315">
        <f t="shared" si="48"/>
        <v>60694.85</v>
      </c>
      <c r="D300" s="315">
        <f t="shared" si="49"/>
        <v>186575.767375</v>
      </c>
      <c r="E300" s="315">
        <f t="shared" si="56"/>
        <v>0</v>
      </c>
      <c r="F300" s="316">
        <f t="shared" si="50"/>
        <v>0</v>
      </c>
      <c r="G300" s="314" t="s">
        <v>93</v>
      </c>
      <c r="H300" s="86"/>
      <c r="I300" s="398">
        <v>149260.6139</v>
      </c>
      <c r="J300" s="399">
        <f t="shared" si="51"/>
        <v>1.25</v>
      </c>
      <c r="K300" s="398">
        <v>48555.88</v>
      </c>
      <c r="L300" s="86"/>
      <c r="M300" s="86"/>
    </row>
    <row r="301" spans="1:13" ht="15" hidden="1" customHeight="1">
      <c r="A301" s="314">
        <v>249</v>
      </c>
      <c r="B301" s="314" t="s">
        <v>87</v>
      </c>
      <c r="C301" s="315">
        <f t="shared" si="48"/>
        <v>25111.612500000003</v>
      </c>
      <c r="D301" s="315">
        <f t="shared" si="49"/>
        <v>59831.572125000006</v>
      </c>
      <c r="E301" s="315">
        <f t="shared" si="56"/>
        <v>0</v>
      </c>
      <c r="F301" s="316">
        <f t="shared" si="50"/>
        <v>0</v>
      </c>
      <c r="G301" s="314" t="s">
        <v>94</v>
      </c>
      <c r="H301" s="86"/>
      <c r="I301" s="398">
        <v>47865.257700000002</v>
      </c>
      <c r="J301" s="399">
        <f t="shared" si="51"/>
        <v>1.25</v>
      </c>
      <c r="K301" s="398">
        <v>20089.29</v>
      </c>
      <c r="L301" s="86"/>
      <c r="M301" s="86"/>
    </row>
    <row r="302" spans="1:13" ht="15" hidden="1" customHeight="1">
      <c r="A302" s="314">
        <v>250</v>
      </c>
      <c r="B302" s="314" t="s">
        <v>87</v>
      </c>
      <c r="C302" s="315">
        <f t="shared" si="48"/>
        <v>24686.837500000001</v>
      </c>
      <c r="D302" s="315">
        <f t="shared" si="49"/>
        <v>84404.158874999994</v>
      </c>
      <c r="E302" s="315">
        <f t="shared" si="56"/>
        <v>0</v>
      </c>
      <c r="F302" s="316">
        <f t="shared" si="50"/>
        <v>0</v>
      </c>
      <c r="G302" s="314" t="s">
        <v>95</v>
      </c>
      <c r="H302" s="86"/>
      <c r="I302" s="398">
        <v>67523.327099999995</v>
      </c>
      <c r="J302" s="399">
        <f t="shared" si="51"/>
        <v>1.25</v>
      </c>
      <c r="K302" s="398">
        <v>19749.47</v>
      </c>
      <c r="L302" s="86"/>
      <c r="M302" s="86"/>
    </row>
    <row r="303" spans="1:13" ht="15" hidden="1" customHeight="1">
      <c r="A303" s="314">
        <v>251</v>
      </c>
      <c r="B303" s="314" t="s">
        <v>87</v>
      </c>
      <c r="C303" s="315">
        <f t="shared" si="48"/>
        <v>20198.95</v>
      </c>
      <c r="D303" s="315">
        <f t="shared" si="49"/>
        <v>54749.824875000006</v>
      </c>
      <c r="E303" s="315">
        <f t="shared" si="56"/>
        <v>0</v>
      </c>
      <c r="F303" s="316">
        <f t="shared" si="50"/>
        <v>0</v>
      </c>
      <c r="G303" s="314" t="s">
        <v>96</v>
      </c>
      <c r="H303" s="86"/>
      <c r="I303" s="398">
        <v>43799.859900000003</v>
      </c>
      <c r="J303" s="399">
        <f t="shared" si="51"/>
        <v>1.25</v>
      </c>
      <c r="K303" s="398">
        <v>16159.16</v>
      </c>
      <c r="L303" s="86"/>
      <c r="M303" s="86"/>
    </row>
    <row r="304" spans="1:13" ht="15" hidden="1" customHeight="1">
      <c r="A304" s="314">
        <v>252</v>
      </c>
      <c r="B304" s="314" t="s">
        <v>87</v>
      </c>
      <c r="C304" s="315">
        <f t="shared" si="48"/>
        <v>138300.03750000001</v>
      </c>
      <c r="D304" s="315">
        <f t="shared" si="49"/>
        <v>482220.03125</v>
      </c>
      <c r="E304" s="315">
        <f t="shared" si="56"/>
        <v>0</v>
      </c>
      <c r="F304" s="316">
        <f t="shared" si="50"/>
        <v>0</v>
      </c>
      <c r="G304" s="314" t="s">
        <v>97</v>
      </c>
      <c r="H304" s="86"/>
      <c r="I304" s="398">
        <v>385776.02500000002</v>
      </c>
      <c r="J304" s="399">
        <f t="shared" si="51"/>
        <v>1.25</v>
      </c>
      <c r="K304" s="398">
        <v>110640.03</v>
      </c>
      <c r="L304" s="86"/>
      <c r="M304" s="86"/>
    </row>
    <row r="305" spans="1:13" ht="15" hidden="1" customHeight="1">
      <c r="A305" s="314">
        <v>253</v>
      </c>
      <c r="B305" s="314" t="s">
        <v>87</v>
      </c>
      <c r="C305" s="315">
        <f t="shared" si="48"/>
        <v>30672.087499999998</v>
      </c>
      <c r="D305" s="315">
        <f t="shared" si="49"/>
        <v>70564.705249999999</v>
      </c>
      <c r="E305" s="315">
        <f t="shared" si="56"/>
        <v>0</v>
      </c>
      <c r="F305" s="316">
        <f t="shared" si="50"/>
        <v>0</v>
      </c>
      <c r="G305" s="314" t="s">
        <v>98</v>
      </c>
      <c r="H305" s="86"/>
      <c r="I305" s="398">
        <v>56451.764199999998</v>
      </c>
      <c r="J305" s="399">
        <f t="shared" si="51"/>
        <v>1.25</v>
      </c>
      <c r="K305" s="398">
        <v>24537.67</v>
      </c>
      <c r="L305" s="86"/>
      <c r="M305" s="86"/>
    </row>
    <row r="306" spans="1:13" ht="15" hidden="1" customHeight="1">
      <c r="A306" s="314">
        <v>254</v>
      </c>
      <c r="B306" s="314" t="s">
        <v>87</v>
      </c>
      <c r="C306" s="315">
        <f t="shared" si="48"/>
        <v>73147.149999999994</v>
      </c>
      <c r="D306" s="315">
        <f t="shared" si="49"/>
        <v>139395.736</v>
      </c>
      <c r="E306" s="315">
        <f t="shared" si="56"/>
        <v>0</v>
      </c>
      <c r="F306" s="316">
        <f t="shared" si="50"/>
        <v>0</v>
      </c>
      <c r="G306" s="314" t="s">
        <v>99</v>
      </c>
      <c r="H306" s="86"/>
      <c r="I306" s="398">
        <v>111516.5888</v>
      </c>
      <c r="J306" s="399">
        <f t="shared" si="51"/>
        <v>1.25</v>
      </c>
      <c r="K306" s="398">
        <v>58517.72</v>
      </c>
      <c r="L306" s="86"/>
      <c r="M306" s="86"/>
    </row>
    <row r="307" spans="1:13" ht="15" hidden="1" customHeight="1">
      <c r="A307" s="314">
        <v>255</v>
      </c>
      <c r="B307" s="314" t="s">
        <v>87</v>
      </c>
      <c r="C307" s="315">
        <f t="shared" si="48"/>
        <v>224540.23749999999</v>
      </c>
      <c r="D307" s="315">
        <f t="shared" si="49"/>
        <v>453681.826375</v>
      </c>
      <c r="E307" s="315">
        <f t="shared" si="56"/>
        <v>0</v>
      </c>
      <c r="F307" s="316">
        <f t="shared" si="50"/>
        <v>0</v>
      </c>
      <c r="G307" s="314" t="s">
        <v>100</v>
      </c>
      <c r="H307" s="86"/>
      <c r="I307" s="398">
        <v>362945.46110000001</v>
      </c>
      <c r="J307" s="399">
        <f t="shared" si="51"/>
        <v>1.25</v>
      </c>
      <c r="K307" s="398">
        <v>179632.19</v>
      </c>
      <c r="L307" s="86"/>
      <c r="M307" s="86"/>
    </row>
    <row r="308" spans="1:13" ht="15" hidden="1" customHeight="1">
      <c r="A308" s="314">
        <v>256</v>
      </c>
      <c r="B308" s="314" t="s">
        <v>87</v>
      </c>
      <c r="C308" s="315">
        <f t="shared" si="48"/>
        <v>465742.82500000001</v>
      </c>
      <c r="D308" s="315">
        <f t="shared" si="49"/>
        <v>677717.33162499988</v>
      </c>
      <c r="E308" s="315">
        <f t="shared" si="56"/>
        <v>0</v>
      </c>
      <c r="F308" s="316">
        <f t="shared" si="50"/>
        <v>0</v>
      </c>
      <c r="G308" s="314" t="s">
        <v>101</v>
      </c>
      <c r="H308" s="86"/>
      <c r="I308" s="398">
        <v>542173.86529999995</v>
      </c>
      <c r="J308" s="399">
        <f t="shared" si="51"/>
        <v>1.25</v>
      </c>
      <c r="K308" s="398">
        <v>372594.26</v>
      </c>
      <c r="L308" s="86"/>
      <c r="M308" s="86"/>
    </row>
    <row r="309" spans="1:13" ht="15" hidden="1" customHeight="1">
      <c r="A309" s="314">
        <v>257</v>
      </c>
      <c r="B309" s="314" t="s">
        <v>87</v>
      </c>
      <c r="C309" s="315">
        <f t="shared" si="48"/>
        <v>189670.125</v>
      </c>
      <c r="D309" s="315">
        <f t="shared" si="49"/>
        <v>340382.87675</v>
      </c>
      <c r="E309" s="315">
        <f t="shared" si="56"/>
        <v>0</v>
      </c>
      <c r="F309" s="316">
        <f t="shared" si="50"/>
        <v>0</v>
      </c>
      <c r="G309" s="314" t="s">
        <v>102</v>
      </c>
      <c r="H309" s="86"/>
      <c r="I309" s="398">
        <v>272306.3014</v>
      </c>
      <c r="J309" s="399">
        <f t="shared" si="51"/>
        <v>1.25</v>
      </c>
      <c r="K309" s="398">
        <v>151736.1</v>
      </c>
      <c r="L309" s="86"/>
      <c r="M309" s="86"/>
    </row>
    <row r="310" spans="1:13" ht="15" hidden="1" customHeight="1">
      <c r="A310" s="314">
        <v>258</v>
      </c>
      <c r="B310" s="314" t="s">
        <v>87</v>
      </c>
      <c r="C310" s="315">
        <f t="shared" si="48"/>
        <v>59797.299999999996</v>
      </c>
      <c r="D310" s="315">
        <f t="shared" si="49"/>
        <v>105413.37675000001</v>
      </c>
      <c r="E310" s="315">
        <f t="shared" si="56"/>
        <v>0</v>
      </c>
      <c r="F310" s="316">
        <f t="shared" si="50"/>
        <v>0</v>
      </c>
      <c r="G310" s="314" t="s">
        <v>103</v>
      </c>
      <c r="H310" s="86"/>
      <c r="I310" s="398">
        <v>84330.701400000005</v>
      </c>
      <c r="J310" s="399">
        <f t="shared" si="51"/>
        <v>1.25</v>
      </c>
      <c r="K310" s="398">
        <v>47837.84</v>
      </c>
      <c r="L310" s="86"/>
      <c r="M310" s="86"/>
    </row>
    <row r="311" spans="1:13" ht="15" hidden="1" customHeight="1">
      <c r="A311" s="314">
        <v>259</v>
      </c>
      <c r="B311" s="314" t="s">
        <v>87</v>
      </c>
      <c r="C311" s="315">
        <f t="shared" si="48"/>
        <v>72361.975000000006</v>
      </c>
      <c r="D311" s="315">
        <f t="shared" si="49"/>
        <v>147759.12737500001</v>
      </c>
      <c r="E311" s="315">
        <f t="shared" si="56"/>
        <v>0</v>
      </c>
      <c r="F311" s="316">
        <f t="shared" si="50"/>
        <v>0</v>
      </c>
      <c r="G311" s="314" t="s">
        <v>104</v>
      </c>
      <c r="H311" s="86"/>
      <c r="I311" s="398">
        <v>118207.30190000001</v>
      </c>
      <c r="J311" s="399">
        <f t="shared" si="51"/>
        <v>1.25</v>
      </c>
      <c r="K311" s="398">
        <v>57889.58</v>
      </c>
      <c r="L311" s="86"/>
      <c r="M311" s="86"/>
    </row>
    <row r="312" spans="1:13" ht="15" hidden="1" customHeight="1">
      <c r="A312" s="314">
        <v>260</v>
      </c>
      <c r="B312" s="314" t="s">
        <v>87</v>
      </c>
      <c r="C312" s="315">
        <f t="shared" si="48"/>
        <v>136916.01250000001</v>
      </c>
      <c r="D312" s="315">
        <f t="shared" si="49"/>
        <v>220614.70525</v>
      </c>
      <c r="E312" s="315">
        <f t="shared" si="56"/>
        <v>0</v>
      </c>
      <c r="F312" s="316">
        <f t="shared" si="50"/>
        <v>0</v>
      </c>
      <c r="G312" s="314" t="s">
        <v>105</v>
      </c>
      <c r="H312" s="86"/>
      <c r="I312" s="398">
        <v>176491.76420000001</v>
      </c>
      <c r="J312" s="399">
        <f t="shared" si="51"/>
        <v>1.25</v>
      </c>
      <c r="K312" s="398">
        <v>109532.81</v>
      </c>
      <c r="L312" s="86"/>
      <c r="M312" s="86"/>
    </row>
    <row r="313" spans="1:13" ht="15" hidden="1" customHeight="1">
      <c r="A313" s="314">
        <v>261</v>
      </c>
      <c r="B313" s="314" t="s">
        <v>87</v>
      </c>
      <c r="C313" s="315">
        <f t="shared" si="48"/>
        <v>223627.35</v>
      </c>
      <c r="D313" s="315">
        <f t="shared" si="49"/>
        <v>245655.98824999999</v>
      </c>
      <c r="E313" s="315">
        <f t="shared" si="56"/>
        <v>0</v>
      </c>
      <c r="F313" s="316">
        <f t="shared" si="50"/>
        <v>0</v>
      </c>
      <c r="G313" s="314" t="s">
        <v>106</v>
      </c>
      <c r="H313" s="86"/>
      <c r="I313" s="398">
        <v>196524.79060000001</v>
      </c>
      <c r="J313" s="399">
        <f t="shared" si="51"/>
        <v>1.25</v>
      </c>
      <c r="K313" s="398">
        <v>178901.88</v>
      </c>
      <c r="L313" s="86"/>
      <c r="M313" s="86"/>
    </row>
    <row r="314" spans="1:13" ht="15" hidden="1" customHeight="1">
      <c r="A314" s="314">
        <v>262</v>
      </c>
      <c r="B314" s="314" t="s">
        <v>87</v>
      </c>
      <c r="C314" s="315">
        <f t="shared" si="48"/>
        <v>235142.44999999998</v>
      </c>
      <c r="D314" s="315">
        <f t="shared" si="49"/>
        <v>332274.93150000001</v>
      </c>
      <c r="E314" s="315">
        <f t="shared" si="56"/>
        <v>0</v>
      </c>
      <c r="F314" s="316">
        <f t="shared" si="50"/>
        <v>0</v>
      </c>
      <c r="G314" s="314" t="s">
        <v>107</v>
      </c>
      <c r="H314" s="86"/>
      <c r="I314" s="398">
        <v>265819.94520000002</v>
      </c>
      <c r="J314" s="399">
        <f t="shared" si="51"/>
        <v>1.25</v>
      </c>
      <c r="K314" s="398">
        <v>188113.96</v>
      </c>
      <c r="L314" s="86"/>
      <c r="M314" s="86"/>
    </row>
    <row r="315" spans="1:13" ht="15" hidden="1" customHeight="1">
      <c r="A315" s="314">
        <v>263</v>
      </c>
      <c r="B315" s="314" t="s">
        <v>87</v>
      </c>
      <c r="C315" s="315">
        <f>K315*J315</f>
        <v>204514.33118748464</v>
      </c>
      <c r="D315" s="315">
        <f>I315*J315</f>
        <v>295281.60827293771</v>
      </c>
      <c r="E315" s="315">
        <f>D315*F315</f>
        <v>0</v>
      </c>
      <c r="F315" s="316">
        <f t="shared" si="50"/>
        <v>0</v>
      </c>
      <c r="G315" s="314" t="s">
        <v>612</v>
      </c>
      <c r="H315" s="86"/>
      <c r="I315" s="398">
        <v>236225.28661835019</v>
      </c>
      <c r="J315" s="399">
        <f>IF(Aplicar_Escala=1,INDEX(Factor_Escala,8),1)</f>
        <v>1.25</v>
      </c>
      <c r="K315" s="398">
        <v>163611.46494998771</v>
      </c>
      <c r="L315" s="86"/>
      <c r="M315" s="86"/>
    </row>
    <row r="316" spans="1:13" ht="15" hidden="1" customHeight="1">
      <c r="A316" s="314">
        <v>264</v>
      </c>
      <c r="B316" s="314" t="s">
        <v>87</v>
      </c>
      <c r="C316" s="315">
        <f t="shared" si="48"/>
        <v>299722.29381251539</v>
      </c>
      <c r="D316" s="315">
        <f t="shared" si="49"/>
        <v>432744.64160206239</v>
      </c>
      <c r="E316" s="315">
        <f t="shared" si="56"/>
        <v>0</v>
      </c>
      <c r="F316" s="316">
        <f t="shared" si="50"/>
        <v>0</v>
      </c>
      <c r="G316" s="314" t="s">
        <v>613</v>
      </c>
      <c r="H316" s="86"/>
      <c r="I316" s="398">
        <v>346195.71328164992</v>
      </c>
      <c r="J316" s="399">
        <f t="shared" si="51"/>
        <v>1.25</v>
      </c>
      <c r="K316" s="398">
        <v>239777.83505001231</v>
      </c>
      <c r="L316" s="86"/>
      <c r="M316" s="86"/>
    </row>
    <row r="317" spans="1:13" ht="15" hidden="1" customHeight="1">
      <c r="A317" s="314">
        <v>265</v>
      </c>
      <c r="B317" s="314" t="s">
        <v>88</v>
      </c>
      <c r="C317" s="315">
        <f t="shared" si="48"/>
        <v>6930.5491492267874</v>
      </c>
      <c r="D317" s="315">
        <f t="shared" si="49"/>
        <v>12032.464595365771</v>
      </c>
      <c r="E317" s="315">
        <f t="shared" si="56"/>
        <v>0</v>
      </c>
      <c r="F317" s="316">
        <f t="shared" ref="F317:F349" si="57">J14</f>
        <v>0</v>
      </c>
      <c r="G317" s="314" t="s">
        <v>599</v>
      </c>
      <c r="H317" s="86"/>
      <c r="I317" s="398">
        <v>9782.4915409477817</v>
      </c>
      <c r="J317" s="399">
        <f t="shared" ref="J317:J349" si="58">IF(Aplicar_Escala=1,INDEX(Factor_Escala,9),1)</f>
        <v>1.23</v>
      </c>
      <c r="K317" s="398">
        <v>5634.5928042494206</v>
      </c>
      <c r="L317" s="86"/>
      <c r="M317" s="86"/>
    </row>
    <row r="318" spans="1:13" ht="15" hidden="1" customHeight="1">
      <c r="A318" s="314">
        <v>266</v>
      </c>
      <c r="B318" s="314" t="s">
        <v>88</v>
      </c>
      <c r="C318" s="315">
        <f>K318*J318</f>
        <v>2808.0265621992157</v>
      </c>
      <c r="D318" s="315">
        <f>I318*J318</f>
        <v>4875.151949002231</v>
      </c>
      <c r="E318" s="315">
        <f>D318*F318</f>
        <v>0</v>
      </c>
      <c r="F318" s="316">
        <f t="shared" si="57"/>
        <v>0</v>
      </c>
      <c r="G318" s="314" t="s">
        <v>600</v>
      </c>
      <c r="H318" s="86"/>
      <c r="I318" s="398">
        <v>3963.5381699205132</v>
      </c>
      <c r="J318" s="399">
        <f>IF(Aplicar_Escala=1,INDEX(Factor_Escala,9),1)</f>
        <v>1.23</v>
      </c>
      <c r="K318" s="398">
        <v>2282.9484245522081</v>
      </c>
      <c r="L318" s="86"/>
      <c r="M318" s="86"/>
    </row>
    <row r="319" spans="1:13" ht="15" hidden="1" customHeight="1">
      <c r="A319" s="314">
        <v>267</v>
      </c>
      <c r="B319" s="314" t="s">
        <v>88</v>
      </c>
      <c r="C319" s="315">
        <f>K319*J319</f>
        <v>355.53966772108026</v>
      </c>
      <c r="D319" s="315">
        <f>I319*J319</f>
        <v>617.269767804661</v>
      </c>
      <c r="E319" s="315">
        <f>D319*F319</f>
        <v>0</v>
      </c>
      <c r="F319" s="316">
        <f t="shared" si="57"/>
        <v>0</v>
      </c>
      <c r="G319" s="314" t="s">
        <v>601</v>
      </c>
      <c r="H319" s="86"/>
      <c r="I319" s="398">
        <v>501.84533967858619</v>
      </c>
      <c r="J319" s="399">
        <f>IF(Aplicar_Escala=1,INDEX(Factor_Escala,9),1)</f>
        <v>1.23</v>
      </c>
      <c r="K319" s="398">
        <v>289.05664042364248</v>
      </c>
      <c r="L319" s="86"/>
      <c r="M319" s="86"/>
    </row>
    <row r="320" spans="1:13" ht="15" hidden="1" customHeight="1">
      <c r="A320" s="314">
        <v>268</v>
      </c>
      <c r="B320" s="314" t="s">
        <v>88</v>
      </c>
      <c r="C320" s="315">
        <f>K320*J320</f>
        <v>60.924520852916338</v>
      </c>
      <c r="D320" s="315">
        <f>I320*J320</f>
        <v>105.77403382733752</v>
      </c>
      <c r="E320" s="315">
        <f>D320*F320</f>
        <v>0</v>
      </c>
      <c r="F320" s="316">
        <f t="shared" si="57"/>
        <v>0</v>
      </c>
      <c r="G320" s="314" t="s">
        <v>602</v>
      </c>
      <c r="H320" s="86"/>
      <c r="I320" s="398">
        <v>85.995149453119936</v>
      </c>
      <c r="J320" s="399">
        <f>IF(Aplicar_Escala=1,INDEX(Factor_Escala,9),1)</f>
        <v>1.23</v>
      </c>
      <c r="K320" s="398">
        <v>49.532130774728728</v>
      </c>
      <c r="L320" s="86"/>
      <c r="M320" s="86"/>
    </row>
    <row r="321" spans="1:13" ht="15" hidden="1" customHeight="1">
      <c r="A321" s="314">
        <v>269</v>
      </c>
      <c r="B321" s="314" t="s">
        <v>88</v>
      </c>
      <c r="C321" s="315">
        <f t="shared" si="48"/>
        <v>6640.437899999999</v>
      </c>
      <c r="D321" s="315">
        <f t="shared" si="49"/>
        <v>14231.088437999999</v>
      </c>
      <c r="E321" s="315">
        <f t="shared" si="56"/>
        <v>0</v>
      </c>
      <c r="F321" s="316">
        <f t="shared" si="57"/>
        <v>0</v>
      </c>
      <c r="G321" s="314" t="s">
        <v>91</v>
      </c>
      <c r="H321" s="86"/>
      <c r="I321" s="398">
        <v>11569.990599999999</v>
      </c>
      <c r="J321" s="399">
        <f t="shared" si="58"/>
        <v>1.23</v>
      </c>
      <c r="K321" s="398">
        <v>5398.73</v>
      </c>
      <c r="L321" s="86"/>
      <c r="M321" s="86"/>
    </row>
    <row r="322" spans="1:13" ht="15" hidden="1" customHeight="1">
      <c r="A322" s="314">
        <v>270</v>
      </c>
      <c r="B322" s="314" t="s">
        <v>88</v>
      </c>
      <c r="C322" s="315">
        <f t="shared" si="48"/>
        <v>2275.1523068663214</v>
      </c>
      <c r="D322" s="315">
        <f t="shared" si="49"/>
        <v>7040.4440918232467</v>
      </c>
      <c r="E322" s="315">
        <f t="shared" si="56"/>
        <v>0</v>
      </c>
      <c r="F322" s="316">
        <f t="shared" si="57"/>
        <v>0</v>
      </c>
      <c r="G322" s="314" t="s">
        <v>603</v>
      </c>
      <c r="H322" s="86"/>
      <c r="I322" s="398">
        <v>5723.9382860351598</v>
      </c>
      <c r="J322" s="399">
        <f t="shared" si="58"/>
        <v>1.23</v>
      </c>
      <c r="K322" s="398">
        <v>1849.717322655546</v>
      </c>
      <c r="L322" s="86"/>
      <c r="M322" s="86"/>
    </row>
    <row r="323" spans="1:13" ht="15" hidden="1" customHeight="1">
      <c r="A323" s="314">
        <v>271</v>
      </c>
      <c r="B323" s="314" t="s">
        <v>88</v>
      </c>
      <c r="C323" s="315">
        <f t="shared" ref="C323:C328" si="59">K323*J323</f>
        <v>773.50067075771199</v>
      </c>
      <c r="D323" s="315">
        <f t="shared" ref="D323:D328" si="60">I323*J323</f>
        <v>2393.5928205871201</v>
      </c>
      <c r="E323" s="315">
        <f t="shared" ref="E323:E328" si="61">D323*F323</f>
        <v>0</v>
      </c>
      <c r="F323" s="316">
        <f t="shared" si="57"/>
        <v>0</v>
      </c>
      <c r="G323" s="314" t="s">
        <v>604</v>
      </c>
      <c r="H323" s="86"/>
      <c r="I323" s="398">
        <v>1946.0104232415611</v>
      </c>
      <c r="J323" s="399">
        <f t="shared" ref="J323:J328" si="62">IF(Aplicar_Escala=1,INDEX(Factor_Escala,9),1)</f>
        <v>1.23</v>
      </c>
      <c r="K323" s="398">
        <v>628.86233394935937</v>
      </c>
      <c r="L323" s="86"/>
      <c r="M323" s="86"/>
    </row>
    <row r="324" spans="1:13" ht="15" hidden="1" customHeight="1">
      <c r="A324" s="314">
        <v>272</v>
      </c>
      <c r="B324" s="314" t="s">
        <v>88</v>
      </c>
      <c r="C324" s="315">
        <f t="shared" si="59"/>
        <v>510.91826379187785</v>
      </c>
      <c r="D324" s="315">
        <f t="shared" si="60"/>
        <v>1581.033261317159</v>
      </c>
      <c r="E324" s="315">
        <f t="shared" si="61"/>
        <v>0</v>
      </c>
      <c r="F324" s="316">
        <f t="shared" si="57"/>
        <v>0</v>
      </c>
      <c r="G324" s="314" t="s">
        <v>87</v>
      </c>
      <c r="H324" s="86"/>
      <c r="I324" s="398">
        <v>1285.392895379804</v>
      </c>
      <c r="J324" s="399">
        <f t="shared" si="62"/>
        <v>1.23</v>
      </c>
      <c r="K324" s="398">
        <v>415.38070226981938</v>
      </c>
      <c r="L324" s="86"/>
      <c r="M324" s="86"/>
    </row>
    <row r="325" spans="1:13" ht="15" hidden="1" customHeight="1">
      <c r="A325" s="314">
        <v>273</v>
      </c>
      <c r="B325" s="314" t="s">
        <v>88</v>
      </c>
      <c r="C325" s="315">
        <f t="shared" si="59"/>
        <v>1134.3951489172152</v>
      </c>
      <c r="D325" s="315">
        <f t="shared" si="60"/>
        <v>3510.3784480202803</v>
      </c>
      <c r="E325" s="315">
        <f t="shared" si="61"/>
        <v>0</v>
      </c>
      <c r="F325" s="316">
        <f t="shared" si="57"/>
        <v>0</v>
      </c>
      <c r="G325" s="314" t="s">
        <v>605</v>
      </c>
      <c r="H325" s="86"/>
      <c r="I325" s="398">
        <v>2853.9662179026668</v>
      </c>
      <c r="J325" s="399">
        <f t="shared" si="62"/>
        <v>1.23</v>
      </c>
      <c r="K325" s="398">
        <v>922.27247879448396</v>
      </c>
      <c r="L325" s="86"/>
      <c r="M325" s="86"/>
    </row>
    <row r="326" spans="1:13" ht="15" hidden="1" customHeight="1">
      <c r="A326" s="314">
        <v>274</v>
      </c>
      <c r="B326" s="314" t="s">
        <v>88</v>
      </c>
      <c r="C326" s="315">
        <f t="shared" si="59"/>
        <v>206.35747244467598</v>
      </c>
      <c r="D326" s="315">
        <f t="shared" si="60"/>
        <v>638.5718632076007</v>
      </c>
      <c r="E326" s="315">
        <f t="shared" si="61"/>
        <v>0</v>
      </c>
      <c r="F326" s="316">
        <f t="shared" si="57"/>
        <v>0</v>
      </c>
      <c r="G326" s="314" t="s">
        <v>606</v>
      </c>
      <c r="H326" s="86"/>
      <c r="I326" s="398">
        <v>519.16411642894366</v>
      </c>
      <c r="J326" s="399">
        <f t="shared" si="62"/>
        <v>1.23</v>
      </c>
      <c r="K326" s="398">
        <v>167.77030280054959</v>
      </c>
      <c r="L326" s="86"/>
      <c r="M326" s="86"/>
    </row>
    <row r="327" spans="1:13" ht="15" hidden="1" customHeight="1">
      <c r="A327" s="314">
        <v>275</v>
      </c>
      <c r="B327" s="314" t="s">
        <v>88</v>
      </c>
      <c r="C327" s="315">
        <f t="shared" si="59"/>
        <v>742.28876319954497</v>
      </c>
      <c r="D327" s="315">
        <f t="shared" si="60"/>
        <v>2297.0077746105289</v>
      </c>
      <c r="E327" s="315">
        <f t="shared" si="61"/>
        <v>0</v>
      </c>
      <c r="F327" s="316">
        <f t="shared" si="57"/>
        <v>0</v>
      </c>
      <c r="G327" s="314" t="s">
        <v>607</v>
      </c>
      <c r="H327" s="86"/>
      <c r="I327" s="398">
        <v>1867.4859956183161</v>
      </c>
      <c r="J327" s="399">
        <f t="shared" si="62"/>
        <v>1.23</v>
      </c>
      <c r="K327" s="398">
        <v>603.48679934922359</v>
      </c>
      <c r="L327" s="86"/>
      <c r="M327" s="86"/>
    </row>
    <row r="328" spans="1:13" ht="15" hidden="1" customHeight="1">
      <c r="A328" s="314">
        <v>276</v>
      </c>
      <c r="B328" s="314" t="s">
        <v>88</v>
      </c>
      <c r="C328" s="315">
        <f t="shared" si="59"/>
        <v>1242.3861740226509</v>
      </c>
      <c r="D328" s="315">
        <f t="shared" si="60"/>
        <v>3844.5559764340614</v>
      </c>
      <c r="E328" s="315">
        <f t="shared" si="61"/>
        <v>0</v>
      </c>
      <c r="F328" s="316">
        <f t="shared" si="57"/>
        <v>0</v>
      </c>
      <c r="G328" s="314" t="s">
        <v>608</v>
      </c>
      <c r="H328" s="86"/>
      <c r="I328" s="398">
        <v>3125.655265393546</v>
      </c>
      <c r="J328" s="399">
        <f t="shared" si="62"/>
        <v>1.23</v>
      </c>
      <c r="K328" s="398">
        <v>1010.070060181017</v>
      </c>
      <c r="L328" s="86"/>
      <c r="M328" s="86"/>
    </row>
    <row r="329" spans="1:13" ht="15" hidden="1" customHeight="1">
      <c r="A329" s="314">
        <v>277</v>
      </c>
      <c r="B329" s="314" t="s">
        <v>88</v>
      </c>
      <c r="C329" s="315">
        <f t="shared" si="48"/>
        <v>544.05010982026567</v>
      </c>
      <c r="D329" s="315">
        <f t="shared" si="49"/>
        <v>1685.5505369744733</v>
      </c>
      <c r="E329" s="315">
        <f t="shared" si="56"/>
        <v>0</v>
      </c>
      <c r="F329" s="316">
        <f t="shared" si="57"/>
        <v>0</v>
      </c>
      <c r="G329" s="314" t="s">
        <v>609</v>
      </c>
      <c r="H329" s="86"/>
      <c r="I329" s="398">
        <v>1370.366290223149</v>
      </c>
      <c r="J329" s="399">
        <f t="shared" si="58"/>
        <v>1.23</v>
      </c>
      <c r="K329" s="398">
        <v>442.31716245550058</v>
      </c>
      <c r="L329" s="86"/>
      <c r="M329" s="86"/>
    </row>
    <row r="330" spans="1:13" ht="15" hidden="1" customHeight="1">
      <c r="A330" s="314">
        <v>278</v>
      </c>
      <c r="B330" s="314" t="s">
        <v>88</v>
      </c>
      <c r="C330" s="315">
        <f>K330*J330</f>
        <v>168.21829017973425</v>
      </c>
      <c r="D330" s="315">
        <f>I330*J330</f>
        <v>521.16601802552748</v>
      </c>
      <c r="E330" s="315">
        <f>D330*F330</f>
        <v>0</v>
      </c>
      <c r="F330" s="316">
        <f t="shared" si="57"/>
        <v>0</v>
      </c>
      <c r="G330" s="314" t="s">
        <v>610</v>
      </c>
      <c r="H330" s="86"/>
      <c r="I330" s="398">
        <v>423.71220977685158</v>
      </c>
      <c r="J330" s="399">
        <f>IF(Aplicar_Escala=1,INDEX(Factor_Escala,9),1)</f>
        <v>1.23</v>
      </c>
      <c r="K330" s="398">
        <v>136.7628375444994</v>
      </c>
      <c r="L330" s="86"/>
      <c r="M330" s="86"/>
    </row>
    <row r="331" spans="1:13" ht="19" hidden="1" customHeight="1">
      <c r="A331" s="314">
        <v>279</v>
      </c>
      <c r="B331" s="314" t="s">
        <v>88</v>
      </c>
      <c r="C331" s="315">
        <f t="shared" si="48"/>
        <v>676.81843700990225</v>
      </c>
      <c r="D331" s="315">
        <f t="shared" si="49"/>
        <v>1707.2250099250189</v>
      </c>
      <c r="E331" s="315">
        <f t="shared" si="56"/>
        <v>0</v>
      </c>
      <c r="F331" s="316">
        <f t="shared" si="57"/>
        <v>0</v>
      </c>
      <c r="G331" s="314" t="s">
        <v>92</v>
      </c>
      <c r="H331" s="86"/>
      <c r="I331" s="398">
        <v>1387.9878129471699</v>
      </c>
      <c r="J331" s="399">
        <f t="shared" si="58"/>
        <v>1.23</v>
      </c>
      <c r="K331" s="398">
        <v>550.25889187796929</v>
      </c>
      <c r="L331" s="86"/>
      <c r="M331" s="86"/>
    </row>
    <row r="332" spans="1:13" hidden="1">
      <c r="A332" s="314">
        <v>280</v>
      </c>
      <c r="B332" s="314" t="s">
        <v>88</v>
      </c>
      <c r="C332" s="315">
        <f>K332*J332</f>
        <v>1203.1012629900981</v>
      </c>
      <c r="D332" s="315">
        <f>I332*J332</f>
        <v>3034.734950074981</v>
      </c>
      <c r="E332" s="315">
        <f>D332*F332</f>
        <v>0</v>
      </c>
      <c r="F332" s="316">
        <f t="shared" si="57"/>
        <v>0</v>
      </c>
      <c r="G332" s="314" t="s">
        <v>611</v>
      </c>
      <c r="H332" s="86"/>
      <c r="I332" s="398">
        <v>2467.26418705283</v>
      </c>
      <c r="J332" s="399">
        <f>IF(Aplicar_Escala=1,INDEX(Factor_Escala,9),1)</f>
        <v>1.23</v>
      </c>
      <c r="K332" s="398">
        <v>978.13110812203092</v>
      </c>
      <c r="L332" s="86"/>
    </row>
    <row r="333" spans="1:13" hidden="1">
      <c r="A333" s="314">
        <v>281</v>
      </c>
      <c r="B333" s="314" t="s">
        <v>88</v>
      </c>
      <c r="C333" s="315">
        <f t="shared" si="48"/>
        <v>1326.1860000000001</v>
      </c>
      <c r="D333" s="315">
        <f t="shared" si="49"/>
        <v>3702.1394849999997</v>
      </c>
      <c r="E333" s="315">
        <f t="shared" si="56"/>
        <v>0</v>
      </c>
      <c r="F333" s="316">
        <f t="shared" si="57"/>
        <v>0</v>
      </c>
      <c r="G333" s="314" t="s">
        <v>93</v>
      </c>
      <c r="H333" s="86"/>
      <c r="I333" s="398">
        <v>3009.8694999999998</v>
      </c>
      <c r="J333" s="399">
        <f t="shared" si="58"/>
        <v>1.23</v>
      </c>
      <c r="K333" s="398">
        <v>1078.2</v>
      </c>
      <c r="L333" s="86"/>
    </row>
    <row r="334" spans="1:13" hidden="1">
      <c r="A334" s="314">
        <v>282</v>
      </c>
      <c r="B334" s="314" t="s">
        <v>88</v>
      </c>
      <c r="C334" s="315">
        <f t="shared" si="48"/>
        <v>963.91409999999996</v>
      </c>
      <c r="D334" s="315">
        <f t="shared" si="49"/>
        <v>2024.594145</v>
      </c>
      <c r="E334" s="315">
        <f t="shared" si="56"/>
        <v>0</v>
      </c>
      <c r="F334" s="316">
        <f t="shared" si="57"/>
        <v>0</v>
      </c>
      <c r="G334" s="314" t="s">
        <v>94</v>
      </c>
      <c r="H334" s="86"/>
      <c r="I334" s="398">
        <v>1646.0115000000001</v>
      </c>
      <c r="J334" s="399">
        <f t="shared" si="58"/>
        <v>1.23</v>
      </c>
      <c r="K334" s="398">
        <v>783.67</v>
      </c>
      <c r="L334" s="86"/>
    </row>
    <row r="335" spans="1:13" hidden="1">
      <c r="A335" s="314">
        <v>283</v>
      </c>
      <c r="B335" s="314" t="s">
        <v>88</v>
      </c>
      <c r="C335" s="315">
        <f t="shared" si="48"/>
        <v>52.028999999999996</v>
      </c>
      <c r="D335" s="315">
        <f t="shared" si="49"/>
        <v>659.24863500000004</v>
      </c>
      <c r="E335" s="315">
        <f t="shared" si="56"/>
        <v>0</v>
      </c>
      <c r="F335" s="316">
        <f t="shared" si="57"/>
        <v>0</v>
      </c>
      <c r="G335" s="314" t="s">
        <v>95</v>
      </c>
      <c r="H335" s="86"/>
      <c r="I335" s="398">
        <v>535.97450000000003</v>
      </c>
      <c r="J335" s="399">
        <f t="shared" si="58"/>
        <v>1.23</v>
      </c>
      <c r="K335" s="398">
        <v>42.3</v>
      </c>
      <c r="L335" s="86"/>
    </row>
    <row r="336" spans="1:13" hidden="1">
      <c r="A336" s="314">
        <v>284</v>
      </c>
      <c r="B336" s="314" t="s">
        <v>88</v>
      </c>
      <c r="C336" s="315">
        <f t="shared" si="48"/>
        <v>314.27729999999997</v>
      </c>
      <c r="D336" s="315">
        <f t="shared" si="49"/>
        <v>702.29519100000005</v>
      </c>
      <c r="E336" s="315">
        <f t="shared" si="56"/>
        <v>0</v>
      </c>
      <c r="F336" s="316">
        <f t="shared" si="57"/>
        <v>0</v>
      </c>
      <c r="G336" s="314" t="s">
        <v>96</v>
      </c>
      <c r="H336" s="86"/>
      <c r="I336" s="398">
        <v>570.97170000000006</v>
      </c>
      <c r="J336" s="399">
        <f t="shared" si="58"/>
        <v>1.23</v>
      </c>
      <c r="K336" s="398">
        <v>255.51</v>
      </c>
      <c r="L336" s="86"/>
    </row>
    <row r="337" spans="1:12" hidden="1">
      <c r="A337" s="314">
        <v>285</v>
      </c>
      <c r="B337" s="314" t="s">
        <v>88</v>
      </c>
      <c r="C337" s="315">
        <f t="shared" si="48"/>
        <v>461.15160000000003</v>
      </c>
      <c r="D337" s="315">
        <f t="shared" si="49"/>
        <v>1349.5562459999999</v>
      </c>
      <c r="E337" s="315">
        <f t="shared" si="56"/>
        <v>0</v>
      </c>
      <c r="F337" s="316">
        <f t="shared" si="57"/>
        <v>0</v>
      </c>
      <c r="G337" s="314" t="s">
        <v>97</v>
      </c>
      <c r="H337" s="86"/>
      <c r="I337" s="398">
        <v>1097.2002</v>
      </c>
      <c r="J337" s="399">
        <f t="shared" si="58"/>
        <v>1.23</v>
      </c>
      <c r="K337" s="398">
        <v>374.92</v>
      </c>
      <c r="L337" s="86"/>
    </row>
    <row r="338" spans="1:12" hidden="1">
      <c r="A338" s="314">
        <v>286</v>
      </c>
      <c r="B338" s="314" t="s">
        <v>88</v>
      </c>
      <c r="C338" s="315">
        <f t="shared" si="48"/>
        <v>516.3048</v>
      </c>
      <c r="D338" s="315">
        <f t="shared" si="49"/>
        <v>1139.9536680000001</v>
      </c>
      <c r="E338" s="315">
        <f t="shared" si="56"/>
        <v>0</v>
      </c>
      <c r="F338" s="316">
        <f t="shared" si="57"/>
        <v>0</v>
      </c>
      <c r="G338" s="314" t="s">
        <v>98</v>
      </c>
      <c r="H338" s="86"/>
      <c r="I338" s="398">
        <v>926.79160000000002</v>
      </c>
      <c r="J338" s="399">
        <f t="shared" si="58"/>
        <v>1.23</v>
      </c>
      <c r="K338" s="398">
        <v>419.76</v>
      </c>
      <c r="L338" s="86"/>
    </row>
    <row r="339" spans="1:12" hidden="1">
      <c r="A339" s="314">
        <v>287</v>
      </c>
      <c r="B339" s="314" t="s">
        <v>88</v>
      </c>
      <c r="C339" s="315">
        <f t="shared" si="48"/>
        <v>3053.0691000000002</v>
      </c>
      <c r="D339" s="315">
        <f t="shared" si="49"/>
        <v>5133.6709259999998</v>
      </c>
      <c r="E339" s="315">
        <f t="shared" si="56"/>
        <v>0</v>
      </c>
      <c r="F339" s="316">
        <f t="shared" si="57"/>
        <v>0</v>
      </c>
      <c r="G339" s="314" t="s">
        <v>99</v>
      </c>
      <c r="H339" s="86"/>
      <c r="I339" s="398">
        <v>4173.7161999999998</v>
      </c>
      <c r="J339" s="399">
        <f t="shared" si="58"/>
        <v>1.23</v>
      </c>
      <c r="K339" s="398">
        <v>2482.17</v>
      </c>
      <c r="L339" s="86"/>
    </row>
    <row r="340" spans="1:12" hidden="1">
      <c r="A340" s="314">
        <v>288</v>
      </c>
      <c r="B340" s="314" t="s">
        <v>88</v>
      </c>
      <c r="C340" s="315">
        <f t="shared" si="48"/>
        <v>4688.3418000000001</v>
      </c>
      <c r="D340" s="315">
        <f t="shared" si="49"/>
        <v>10498.272507</v>
      </c>
      <c r="E340" s="315">
        <f t="shared" si="56"/>
        <v>0</v>
      </c>
      <c r="F340" s="316">
        <f t="shared" si="57"/>
        <v>0</v>
      </c>
      <c r="G340" s="314" t="s">
        <v>100</v>
      </c>
      <c r="H340" s="86"/>
      <c r="I340" s="398">
        <v>8535.1808999999994</v>
      </c>
      <c r="J340" s="399">
        <f t="shared" si="58"/>
        <v>1.23</v>
      </c>
      <c r="K340" s="398">
        <v>3811.66</v>
      </c>
      <c r="L340" s="86"/>
    </row>
    <row r="341" spans="1:12" hidden="1">
      <c r="A341" s="314">
        <v>289</v>
      </c>
      <c r="B341" s="314" t="s">
        <v>88</v>
      </c>
      <c r="C341" s="315">
        <f t="shared" si="48"/>
        <v>11130.921900000001</v>
      </c>
      <c r="D341" s="315">
        <f t="shared" si="49"/>
        <v>18132.186081</v>
      </c>
      <c r="E341" s="315">
        <f t="shared" si="56"/>
        <v>0</v>
      </c>
      <c r="F341" s="316">
        <f t="shared" si="57"/>
        <v>0</v>
      </c>
      <c r="G341" s="314" t="s">
        <v>101</v>
      </c>
      <c r="H341" s="86"/>
      <c r="I341" s="398">
        <v>14741.6147</v>
      </c>
      <c r="J341" s="399">
        <f t="shared" si="58"/>
        <v>1.23</v>
      </c>
      <c r="K341" s="398">
        <v>9049.5300000000007</v>
      </c>
      <c r="L341" s="86"/>
    </row>
    <row r="342" spans="1:12" hidden="1">
      <c r="A342" s="314">
        <v>290</v>
      </c>
      <c r="B342" s="314" t="s">
        <v>88</v>
      </c>
      <c r="C342" s="315">
        <f t="shared" si="48"/>
        <v>7389.9875999999995</v>
      </c>
      <c r="D342" s="315">
        <f t="shared" si="49"/>
        <v>12705.367655999999</v>
      </c>
      <c r="E342" s="315">
        <f t="shared" si="56"/>
        <v>0</v>
      </c>
      <c r="F342" s="316">
        <f t="shared" si="57"/>
        <v>0</v>
      </c>
      <c r="G342" s="314" t="s">
        <v>102</v>
      </c>
      <c r="H342" s="86"/>
      <c r="I342" s="398">
        <v>10329.5672</v>
      </c>
      <c r="J342" s="399">
        <f t="shared" si="58"/>
        <v>1.23</v>
      </c>
      <c r="K342" s="398">
        <v>6008.12</v>
      </c>
      <c r="L342" s="86"/>
    </row>
    <row r="343" spans="1:12" hidden="1">
      <c r="A343" s="314">
        <v>291</v>
      </c>
      <c r="B343" s="314" t="s">
        <v>88</v>
      </c>
      <c r="C343" s="315">
        <f t="shared" si="48"/>
        <v>1054.5527999999999</v>
      </c>
      <c r="D343" s="315">
        <f t="shared" si="49"/>
        <v>2158.3834590000001</v>
      </c>
      <c r="E343" s="315">
        <f t="shared" si="56"/>
        <v>0</v>
      </c>
      <c r="F343" s="316">
        <f t="shared" si="57"/>
        <v>0</v>
      </c>
      <c r="G343" s="314" t="s">
        <v>103</v>
      </c>
      <c r="H343" s="86"/>
      <c r="I343" s="398">
        <v>1754.7833000000001</v>
      </c>
      <c r="J343" s="399">
        <f t="shared" si="58"/>
        <v>1.23</v>
      </c>
      <c r="K343" s="398">
        <v>857.36</v>
      </c>
      <c r="L343" s="86"/>
    </row>
    <row r="344" spans="1:12" hidden="1">
      <c r="A344" s="314">
        <v>292</v>
      </c>
      <c r="B344" s="314" t="s">
        <v>88</v>
      </c>
      <c r="C344" s="315">
        <f t="shared" si="48"/>
        <v>4066.0232999999998</v>
      </c>
      <c r="D344" s="315">
        <f t="shared" si="49"/>
        <v>6219.8086499999999</v>
      </c>
      <c r="E344" s="315">
        <f t="shared" si="56"/>
        <v>0</v>
      </c>
      <c r="F344" s="316">
        <f t="shared" si="57"/>
        <v>0</v>
      </c>
      <c r="G344" s="314" t="s">
        <v>104</v>
      </c>
      <c r="H344" s="86"/>
      <c r="I344" s="398">
        <v>5056.7550000000001</v>
      </c>
      <c r="J344" s="399">
        <f t="shared" si="58"/>
        <v>1.23</v>
      </c>
      <c r="K344" s="398">
        <v>3305.71</v>
      </c>
      <c r="L344" s="86"/>
    </row>
    <row r="345" spans="1:12" hidden="1">
      <c r="A345" s="314">
        <v>293</v>
      </c>
      <c r="B345" s="314" t="s">
        <v>88</v>
      </c>
      <c r="C345" s="315">
        <f t="shared" si="48"/>
        <v>6541.0784999999996</v>
      </c>
      <c r="D345" s="315">
        <f t="shared" si="49"/>
        <v>10046.890304999999</v>
      </c>
      <c r="E345" s="315">
        <f t="shared" si="56"/>
        <v>0</v>
      </c>
      <c r="F345" s="316">
        <f t="shared" si="57"/>
        <v>0</v>
      </c>
      <c r="G345" s="314" t="s">
        <v>105</v>
      </c>
      <c r="H345" s="86"/>
      <c r="I345" s="398">
        <v>8168.2034999999996</v>
      </c>
      <c r="J345" s="399">
        <f t="shared" si="58"/>
        <v>1.23</v>
      </c>
      <c r="K345" s="398">
        <v>5317.95</v>
      </c>
      <c r="L345" s="86"/>
    </row>
    <row r="346" spans="1:12" hidden="1">
      <c r="A346" s="314">
        <v>294</v>
      </c>
      <c r="B346" s="314" t="s">
        <v>88</v>
      </c>
      <c r="C346" s="315">
        <f t="shared" si="48"/>
        <v>1565.7162000000001</v>
      </c>
      <c r="D346" s="315">
        <f t="shared" si="49"/>
        <v>2283.6352200000001</v>
      </c>
      <c r="E346" s="315">
        <f t="shared" si="56"/>
        <v>0</v>
      </c>
      <c r="F346" s="316">
        <f t="shared" si="57"/>
        <v>0</v>
      </c>
      <c r="G346" s="314" t="s">
        <v>106</v>
      </c>
      <c r="H346" s="86"/>
      <c r="I346" s="398">
        <v>1856.614</v>
      </c>
      <c r="J346" s="399">
        <f t="shared" si="58"/>
        <v>1.23</v>
      </c>
      <c r="K346" s="398">
        <v>1272.94</v>
      </c>
      <c r="L346" s="86"/>
    </row>
    <row r="347" spans="1:12" hidden="1">
      <c r="A347" s="314">
        <v>295</v>
      </c>
      <c r="B347" s="314" t="s">
        <v>88</v>
      </c>
      <c r="C347" s="315">
        <f t="shared" si="48"/>
        <v>10179.184800000001</v>
      </c>
      <c r="D347" s="315">
        <f t="shared" si="49"/>
        <v>12150.257217</v>
      </c>
      <c r="E347" s="315">
        <f t="shared" si="56"/>
        <v>0</v>
      </c>
      <c r="F347" s="316">
        <f t="shared" si="57"/>
        <v>0</v>
      </c>
      <c r="G347" s="314" t="s">
        <v>107</v>
      </c>
      <c r="H347" s="86"/>
      <c r="I347" s="398">
        <v>9878.2579000000005</v>
      </c>
      <c r="J347" s="399">
        <f t="shared" si="58"/>
        <v>1.23</v>
      </c>
      <c r="K347" s="398">
        <v>8275.76</v>
      </c>
      <c r="L347" s="86"/>
    </row>
    <row r="348" spans="1:12" hidden="1">
      <c r="A348" s="314">
        <v>296</v>
      </c>
      <c r="B348" s="314" t="s">
        <v>88</v>
      </c>
      <c r="C348" s="315">
        <f>K348*J348</f>
        <v>13160.450115080896</v>
      </c>
      <c r="D348" s="315">
        <f>I348*J348</f>
        <v>19401.393490623654</v>
      </c>
      <c r="E348" s="315">
        <f>D348*F348</f>
        <v>0</v>
      </c>
      <c r="F348" s="316">
        <f t="shared" si="57"/>
        <v>0</v>
      </c>
      <c r="G348" s="314" t="s">
        <v>612</v>
      </c>
      <c r="H348" s="86"/>
      <c r="I348" s="398">
        <v>15773.490642783459</v>
      </c>
      <c r="J348" s="399">
        <f>IF(Aplicar_Escala=1,INDEX(Factor_Escala,9),1)</f>
        <v>1.23</v>
      </c>
      <c r="K348" s="398">
        <v>10699.552939090159</v>
      </c>
      <c r="L348" s="86"/>
    </row>
    <row r="349" spans="1:12" hidden="1">
      <c r="A349" s="314">
        <v>297</v>
      </c>
      <c r="B349" s="314" t="s">
        <v>88</v>
      </c>
      <c r="C349" s="315">
        <f t="shared" si="48"/>
        <v>19287.060584919105</v>
      </c>
      <c r="D349" s="315">
        <f t="shared" si="49"/>
        <v>28433.362720376346</v>
      </c>
      <c r="E349" s="315">
        <f t="shared" si="56"/>
        <v>0</v>
      </c>
      <c r="F349" s="316">
        <f t="shared" si="57"/>
        <v>0</v>
      </c>
      <c r="G349" s="314" t="s">
        <v>613</v>
      </c>
      <c r="H349" s="86"/>
      <c r="I349" s="398">
        <v>23116.555057216541</v>
      </c>
      <c r="J349" s="399">
        <f t="shared" si="58"/>
        <v>1.23</v>
      </c>
      <c r="K349" s="398">
        <v>15680.537060909841</v>
      </c>
      <c r="L349" s="86"/>
    </row>
    <row r="350" spans="1:12" hidden="1">
      <c r="A350" s="314">
        <v>298</v>
      </c>
      <c r="B350" s="314" t="s">
        <v>120</v>
      </c>
      <c r="C350" s="315">
        <f t="shared" si="48"/>
        <v>13964.514713903643</v>
      </c>
      <c r="D350" s="315">
        <f t="shared" si="49"/>
        <v>36244.834124336019</v>
      </c>
      <c r="E350" s="315">
        <f t="shared" si="56"/>
        <v>0</v>
      </c>
      <c r="F350" s="316">
        <f t="shared" ref="F350:F382" si="63">K14</f>
        <v>0</v>
      </c>
      <c r="G350" s="314" t="s">
        <v>599</v>
      </c>
      <c r="H350" s="86"/>
      <c r="I350" s="398">
        <v>29065.62479898638</v>
      </c>
      <c r="J350" s="399">
        <f t="shared" ref="J350:J382" si="64">IF(Aplicar_Escala=1,INDEX(Factor_Escala,10),1)</f>
        <v>1.2470000000000001</v>
      </c>
      <c r="K350" s="398">
        <v>11198.48814266531</v>
      </c>
      <c r="L350" s="86"/>
    </row>
    <row r="351" spans="1:12" hidden="1">
      <c r="A351" s="314">
        <v>299</v>
      </c>
      <c r="B351" s="314" t="s">
        <v>120</v>
      </c>
      <c r="C351" s="315">
        <f>K351*J351</f>
        <v>5657.9539947765916</v>
      </c>
      <c r="D351" s="315">
        <f>I351*J351</f>
        <v>14685.193737496958</v>
      </c>
      <c r="E351" s="315">
        <f>D351*F351</f>
        <v>0</v>
      </c>
      <c r="F351" s="316">
        <f t="shared" si="63"/>
        <v>0</v>
      </c>
      <c r="G351" s="314" t="s">
        <v>600</v>
      </c>
      <c r="H351" s="86"/>
      <c r="I351" s="398">
        <v>11776.418394143509</v>
      </c>
      <c r="J351" s="399">
        <f>IF(Aplicar_Escala=1,INDEX(Factor_Escala,10),1)</f>
        <v>1.2470000000000001</v>
      </c>
      <c r="K351" s="398">
        <v>4537.2526020662317</v>
      </c>
      <c r="L351" s="86"/>
    </row>
    <row r="352" spans="1:12" hidden="1">
      <c r="A352" s="314">
        <v>300</v>
      </c>
      <c r="B352" s="314" t="s">
        <v>120</v>
      </c>
      <c r="C352" s="315">
        <f>K352*J352</f>
        <v>716.38463480507255</v>
      </c>
      <c r="D352" s="315">
        <f>I352*J352</f>
        <v>1859.3730458732541</v>
      </c>
      <c r="E352" s="315">
        <f>D352*F352</f>
        <v>0</v>
      </c>
      <c r="F352" s="316">
        <f t="shared" si="63"/>
        <v>0</v>
      </c>
      <c r="G352" s="314" t="s">
        <v>601</v>
      </c>
      <c r="H352" s="86"/>
      <c r="I352" s="398">
        <v>1491.0770215503239</v>
      </c>
      <c r="J352" s="399">
        <f>IF(Aplicar_Escala=1,INDEX(Factor_Escala,10),1)</f>
        <v>1.2470000000000001</v>
      </c>
      <c r="K352" s="398">
        <v>574.48647538498199</v>
      </c>
      <c r="L352" s="86"/>
    </row>
    <row r="353" spans="1:12" hidden="1">
      <c r="A353" s="314">
        <v>301</v>
      </c>
      <c r="B353" s="314" t="s">
        <v>120</v>
      </c>
      <c r="C353" s="315">
        <f>K353*J353</f>
        <v>122.75814651469538</v>
      </c>
      <c r="D353" s="315">
        <f>I353*J353</f>
        <v>318.61820829377751</v>
      </c>
      <c r="E353" s="315">
        <f>D353*F353</f>
        <v>0</v>
      </c>
      <c r="F353" s="316">
        <f t="shared" si="63"/>
        <v>0</v>
      </c>
      <c r="G353" s="314" t="s">
        <v>602</v>
      </c>
      <c r="H353" s="86"/>
      <c r="I353" s="398">
        <v>255.50778531978949</v>
      </c>
      <c r="J353" s="399">
        <f>IF(Aplicar_Escala=1,INDEX(Factor_Escala,10),1)</f>
        <v>1.2470000000000001</v>
      </c>
      <c r="K353" s="398">
        <v>98.442779883476646</v>
      </c>
      <c r="L353" s="86"/>
    </row>
    <row r="354" spans="1:12" hidden="1">
      <c r="A354" s="314">
        <v>302</v>
      </c>
      <c r="B354" s="314" t="s">
        <v>120</v>
      </c>
      <c r="C354" s="315">
        <f t="shared" si="48"/>
        <v>41535.687030000001</v>
      </c>
      <c r="D354" s="315">
        <f t="shared" si="49"/>
        <v>111958.07419200001</v>
      </c>
      <c r="E354" s="315">
        <f t="shared" si="56"/>
        <v>0</v>
      </c>
      <c r="F354" s="316">
        <f t="shared" si="63"/>
        <v>0</v>
      </c>
      <c r="G354" s="314" t="s">
        <v>91</v>
      </c>
      <c r="H354" s="86"/>
      <c r="I354" s="398">
        <v>89781.936000000002</v>
      </c>
      <c r="J354" s="399">
        <f t="shared" si="64"/>
        <v>1.2470000000000001</v>
      </c>
      <c r="K354" s="398">
        <v>33308.49</v>
      </c>
      <c r="L354" s="86"/>
    </row>
    <row r="355" spans="1:12" hidden="1">
      <c r="A355" s="314">
        <v>303</v>
      </c>
      <c r="B355" s="314" t="s">
        <v>120</v>
      </c>
      <c r="C355" s="315">
        <f t="shared" si="48"/>
        <v>16980.3274090345</v>
      </c>
      <c r="D355" s="315">
        <f t="shared" si="49"/>
        <v>55123.748827383766</v>
      </c>
      <c r="E355" s="315">
        <f t="shared" si="56"/>
        <v>0</v>
      </c>
      <c r="F355" s="316">
        <f t="shared" si="63"/>
        <v>0</v>
      </c>
      <c r="G355" s="314" t="s">
        <v>603</v>
      </c>
      <c r="H355" s="86"/>
      <c r="I355" s="398">
        <v>44205.091280981367</v>
      </c>
      <c r="J355" s="399">
        <f t="shared" si="64"/>
        <v>1.2470000000000001</v>
      </c>
      <c r="K355" s="398">
        <v>13616.94258944226</v>
      </c>
      <c r="L355" s="86"/>
    </row>
    <row r="356" spans="1:12" hidden="1">
      <c r="A356" s="314">
        <v>304</v>
      </c>
      <c r="B356" s="314" t="s">
        <v>120</v>
      </c>
      <c r="C356" s="315">
        <f t="shared" ref="C356:C361" si="65">K356*J356</f>
        <v>5772.9298389980086</v>
      </c>
      <c r="D356" s="315">
        <f t="shared" ref="D356:D361" si="66">I356*J356</f>
        <v>18740.836191045481</v>
      </c>
      <c r="E356" s="315">
        <f t="shared" ref="E356:E361" si="67">D356*F356</f>
        <v>0</v>
      </c>
      <c r="F356" s="316">
        <f t="shared" si="63"/>
        <v>0</v>
      </c>
      <c r="G356" s="314" t="s">
        <v>604</v>
      </c>
      <c r="H356" s="86"/>
      <c r="I356" s="398">
        <v>15028.73792385363</v>
      </c>
      <c r="J356" s="399">
        <f t="shared" ref="J356:J361" si="68">IF(Aplicar_Escala=1,INDEX(Factor_Escala,10),1)</f>
        <v>1.2470000000000001</v>
      </c>
      <c r="K356" s="398">
        <v>4629.4545621475609</v>
      </c>
      <c r="L356" s="86"/>
    </row>
    <row r="357" spans="1:12" hidden="1">
      <c r="A357" s="314">
        <v>305</v>
      </c>
      <c r="B357" s="314" t="s">
        <v>120</v>
      </c>
      <c r="C357" s="315">
        <f t="shared" si="65"/>
        <v>3813.1774177311272</v>
      </c>
      <c r="D357" s="315">
        <f t="shared" si="66"/>
        <v>12378.832819055422</v>
      </c>
      <c r="E357" s="315">
        <f t="shared" si="67"/>
        <v>0</v>
      </c>
      <c r="F357" s="316">
        <f t="shared" si="63"/>
        <v>0</v>
      </c>
      <c r="G357" s="314" t="s">
        <v>87</v>
      </c>
      <c r="H357" s="86"/>
      <c r="I357" s="398">
        <v>9926.8907931478916</v>
      </c>
      <c r="J357" s="399">
        <f t="shared" si="68"/>
        <v>1.2470000000000001</v>
      </c>
      <c r="K357" s="398">
        <v>3057.8808482206309</v>
      </c>
      <c r="L357" s="86"/>
    </row>
    <row r="358" spans="1:12" hidden="1">
      <c r="A358" s="314">
        <v>306</v>
      </c>
      <c r="B358" s="314" t="s">
        <v>120</v>
      </c>
      <c r="C358" s="315">
        <f t="shared" si="65"/>
        <v>8466.4226573762007</v>
      </c>
      <c r="D358" s="315">
        <f t="shared" si="66"/>
        <v>27484.803136561746</v>
      </c>
      <c r="E358" s="315">
        <f t="shared" si="67"/>
        <v>0</v>
      </c>
      <c r="F358" s="316">
        <f t="shared" si="63"/>
        <v>0</v>
      </c>
      <c r="G358" s="314" t="s">
        <v>605</v>
      </c>
      <c r="H358" s="86"/>
      <c r="I358" s="398">
        <v>22040.740285935641</v>
      </c>
      <c r="J358" s="399">
        <f t="shared" si="68"/>
        <v>1.2470000000000001</v>
      </c>
      <c r="K358" s="398">
        <v>6789.4327645358462</v>
      </c>
      <c r="L358" s="86"/>
    </row>
    <row r="359" spans="1:12" hidden="1">
      <c r="A359" s="314">
        <v>307</v>
      </c>
      <c r="B359" s="314" t="s">
        <v>120</v>
      </c>
      <c r="C359" s="315">
        <f t="shared" si="65"/>
        <v>1540.1243401755673</v>
      </c>
      <c r="D359" s="315">
        <f t="shared" si="66"/>
        <v>4999.7520804933283</v>
      </c>
      <c r="E359" s="315">
        <f t="shared" si="67"/>
        <v>0</v>
      </c>
      <c r="F359" s="316">
        <f t="shared" si="63"/>
        <v>0</v>
      </c>
      <c r="G359" s="314" t="s">
        <v>606</v>
      </c>
      <c r="H359" s="86"/>
      <c r="I359" s="398">
        <v>4009.4242826730779</v>
      </c>
      <c r="J359" s="399">
        <f t="shared" si="68"/>
        <v>1.2470000000000001</v>
      </c>
      <c r="K359" s="398">
        <v>1235.0636248400699</v>
      </c>
      <c r="L359" s="86"/>
    </row>
    <row r="360" spans="1:12" hidden="1">
      <c r="A360" s="314">
        <v>308</v>
      </c>
      <c r="B360" s="314" t="s">
        <v>120</v>
      </c>
      <c r="C360" s="315">
        <f t="shared" si="65"/>
        <v>5539.983496109794</v>
      </c>
      <c r="D360" s="315">
        <f t="shared" si="66"/>
        <v>17984.615454760064</v>
      </c>
      <c r="E360" s="315">
        <f t="shared" si="67"/>
        <v>0</v>
      </c>
      <c r="F360" s="316">
        <f t="shared" si="63"/>
        <v>0</v>
      </c>
      <c r="G360" s="314" t="s">
        <v>607</v>
      </c>
      <c r="H360" s="86"/>
      <c r="I360" s="398">
        <v>14422.305897963161</v>
      </c>
      <c r="J360" s="399">
        <f t="shared" si="68"/>
        <v>1.2470000000000001</v>
      </c>
      <c r="K360" s="398">
        <v>4442.6491548594977</v>
      </c>
      <c r="L360" s="86"/>
    </row>
    <row r="361" spans="1:12" hidden="1">
      <c r="A361" s="314">
        <v>309</v>
      </c>
      <c r="B361" s="314" t="s">
        <v>120</v>
      </c>
      <c r="C361" s="315">
        <f t="shared" si="65"/>
        <v>9272.400770574799</v>
      </c>
      <c r="D361" s="315">
        <f t="shared" si="66"/>
        <v>30101.274185800154</v>
      </c>
      <c r="E361" s="315">
        <f t="shared" si="67"/>
        <v>0</v>
      </c>
      <c r="F361" s="316">
        <f t="shared" si="63"/>
        <v>0</v>
      </c>
      <c r="G361" s="314" t="s">
        <v>608</v>
      </c>
      <c r="H361" s="86"/>
      <c r="I361" s="398">
        <v>24138.95283544519</v>
      </c>
      <c r="J361" s="399">
        <f t="shared" si="68"/>
        <v>1.2470000000000001</v>
      </c>
      <c r="K361" s="398">
        <v>7435.766455954129</v>
      </c>
      <c r="L361" s="86"/>
    </row>
    <row r="362" spans="1:12" hidden="1">
      <c r="A362" s="314">
        <v>310</v>
      </c>
      <c r="B362" s="314" t="s">
        <v>120</v>
      </c>
      <c r="C362" s="315">
        <f t="shared" si="48"/>
        <v>8304.0699163627705</v>
      </c>
      <c r="D362" s="315">
        <f t="shared" si="49"/>
        <v>15074.642507348372</v>
      </c>
      <c r="E362" s="315">
        <f t="shared" si="56"/>
        <v>0</v>
      </c>
      <c r="F362" s="316">
        <f t="shared" si="63"/>
        <v>0</v>
      </c>
      <c r="G362" s="314" t="s">
        <v>609</v>
      </c>
      <c r="H362" s="86"/>
      <c r="I362" s="398">
        <v>12088.72695056004</v>
      </c>
      <c r="J362" s="399">
        <f t="shared" si="64"/>
        <v>1.2470000000000001</v>
      </c>
      <c r="K362" s="398">
        <v>6659.2381045411139</v>
      </c>
      <c r="L362" s="86"/>
    </row>
    <row r="363" spans="1:12" hidden="1">
      <c r="A363" s="314">
        <v>311</v>
      </c>
      <c r="B363" s="314" t="s">
        <v>120</v>
      </c>
      <c r="C363" s="315">
        <f>K363*J363</f>
        <v>2567.5878336372325</v>
      </c>
      <c r="D363" s="315">
        <f>I363*J363</f>
        <v>4661.0239422516279</v>
      </c>
      <c r="E363" s="315">
        <f>D363*F363</f>
        <v>0</v>
      </c>
      <c r="F363" s="316">
        <f t="shared" si="63"/>
        <v>0</v>
      </c>
      <c r="G363" s="314" t="s">
        <v>610</v>
      </c>
      <c r="H363" s="86"/>
      <c r="I363" s="398">
        <v>3737.7898494399578</v>
      </c>
      <c r="J363" s="399">
        <f>IF(Aplicar_Escala=1,INDEX(Factor_Escala,10),1)</f>
        <v>1.2470000000000001</v>
      </c>
      <c r="K363" s="398">
        <v>2059.011895458887</v>
      </c>
      <c r="L363" s="86"/>
    </row>
    <row r="364" spans="1:12" hidden="1">
      <c r="A364" s="314">
        <v>312</v>
      </c>
      <c r="B364" s="314" t="s">
        <v>120</v>
      </c>
      <c r="C364" s="315">
        <f t="shared" ref="C364:C415" si="69">K364*J364</f>
        <v>7632.1693986434675</v>
      </c>
      <c r="D364" s="315">
        <f t="shared" ref="D364:D415" si="70">I364*J364</f>
        <v>19359.168445060397</v>
      </c>
      <c r="E364" s="315">
        <f t="shared" si="56"/>
        <v>0</v>
      </c>
      <c r="F364" s="316">
        <f t="shared" si="63"/>
        <v>0</v>
      </c>
      <c r="G364" s="314" t="s">
        <v>92</v>
      </c>
      <c r="H364" s="86"/>
      <c r="I364" s="398">
        <v>15524.593781123011</v>
      </c>
      <c r="J364" s="399">
        <f t="shared" si="64"/>
        <v>1.2470000000000001</v>
      </c>
      <c r="K364" s="398">
        <v>6120.4245378055066</v>
      </c>
      <c r="L364" s="86"/>
    </row>
    <row r="365" spans="1:12" hidden="1">
      <c r="A365" s="314">
        <v>313</v>
      </c>
      <c r="B365" s="314" t="s">
        <v>120</v>
      </c>
      <c r="C365" s="315">
        <f>K365*J365</f>
        <v>13566.818131356542</v>
      </c>
      <c r="D365" s="315">
        <f>I365*J365</f>
        <v>34412.537739939624</v>
      </c>
      <c r="E365" s="315">
        <f>D365*F365</f>
        <v>0</v>
      </c>
      <c r="F365" s="316">
        <f t="shared" si="63"/>
        <v>0</v>
      </c>
      <c r="G365" s="314" t="s">
        <v>611</v>
      </c>
      <c r="H365" s="86"/>
      <c r="I365" s="398">
        <v>27596.261218877</v>
      </c>
      <c r="J365" s="399">
        <f>IF(Aplicar_Escala=1,INDEX(Factor_Escala,10),1)</f>
        <v>1.2470000000000001</v>
      </c>
      <c r="K365" s="398">
        <v>10879.5654621945</v>
      </c>
      <c r="L365" s="86"/>
    </row>
    <row r="366" spans="1:12" hidden="1">
      <c r="A366" s="314">
        <v>314</v>
      </c>
      <c r="B366" s="314" t="s">
        <v>120</v>
      </c>
      <c r="C366" s="315">
        <f t="shared" si="69"/>
        <v>53832.266739999999</v>
      </c>
      <c r="D366" s="315">
        <f t="shared" si="70"/>
        <v>139869.74614630002</v>
      </c>
      <c r="E366" s="315">
        <f t="shared" si="56"/>
        <v>0</v>
      </c>
      <c r="F366" s="316">
        <f t="shared" si="63"/>
        <v>0</v>
      </c>
      <c r="G366" s="314" t="s">
        <v>93</v>
      </c>
      <c r="H366" s="86"/>
      <c r="I366" s="398">
        <v>112164.9929</v>
      </c>
      <c r="J366" s="399">
        <f t="shared" si="64"/>
        <v>1.2470000000000001</v>
      </c>
      <c r="K366" s="398">
        <v>43169.42</v>
      </c>
      <c r="L366" s="86"/>
    </row>
    <row r="367" spans="1:12" hidden="1">
      <c r="A367" s="314">
        <v>315</v>
      </c>
      <c r="B367" s="314" t="s">
        <v>120</v>
      </c>
      <c r="C367" s="315">
        <f t="shared" si="69"/>
        <v>10197.49214</v>
      </c>
      <c r="D367" s="315">
        <f t="shared" si="70"/>
        <v>24862.494585500001</v>
      </c>
      <c r="E367" s="315">
        <f t="shared" si="56"/>
        <v>0</v>
      </c>
      <c r="F367" s="316">
        <f t="shared" si="63"/>
        <v>0</v>
      </c>
      <c r="G367" s="314" t="s">
        <v>94</v>
      </c>
      <c r="H367" s="86"/>
      <c r="I367" s="398">
        <v>19937.8465</v>
      </c>
      <c r="J367" s="399">
        <f t="shared" si="64"/>
        <v>1.2470000000000001</v>
      </c>
      <c r="K367" s="398">
        <v>8177.62</v>
      </c>
      <c r="L367" s="86"/>
    </row>
    <row r="368" spans="1:12" hidden="1">
      <c r="A368" s="314">
        <v>316</v>
      </c>
      <c r="B368" s="314" t="s">
        <v>120</v>
      </c>
      <c r="C368" s="315">
        <f t="shared" si="69"/>
        <v>7304.3648500000008</v>
      </c>
      <c r="D368" s="315">
        <f t="shared" si="70"/>
        <v>24072.371941900001</v>
      </c>
      <c r="E368" s="315">
        <f t="shared" si="56"/>
        <v>0</v>
      </c>
      <c r="F368" s="316">
        <f t="shared" si="63"/>
        <v>0</v>
      </c>
      <c r="G368" s="314" t="s">
        <v>95</v>
      </c>
      <c r="H368" s="86"/>
      <c r="I368" s="398">
        <v>19304.227699999999</v>
      </c>
      <c r="J368" s="399">
        <f t="shared" si="64"/>
        <v>1.2470000000000001</v>
      </c>
      <c r="K368" s="398">
        <v>5857.55</v>
      </c>
      <c r="L368" s="86"/>
    </row>
    <row r="369" spans="1:12" hidden="1">
      <c r="A369" s="314">
        <v>317</v>
      </c>
      <c r="B369" s="314" t="s">
        <v>120</v>
      </c>
      <c r="C369" s="315">
        <f t="shared" si="69"/>
        <v>27837.491790000004</v>
      </c>
      <c r="D369" s="315">
        <f t="shared" si="70"/>
        <v>58126.230060300004</v>
      </c>
      <c r="E369" s="315">
        <f t="shared" si="56"/>
        <v>0</v>
      </c>
      <c r="F369" s="316">
        <f t="shared" si="63"/>
        <v>0</v>
      </c>
      <c r="G369" s="314" t="s">
        <v>96</v>
      </c>
      <c r="H369" s="86"/>
      <c r="I369" s="398">
        <v>46612.854899999998</v>
      </c>
      <c r="J369" s="399">
        <f t="shared" si="64"/>
        <v>1.2470000000000001</v>
      </c>
      <c r="K369" s="398">
        <v>22323.57</v>
      </c>
      <c r="L369" s="86"/>
    </row>
    <row r="370" spans="1:12" hidden="1">
      <c r="A370" s="314">
        <v>318</v>
      </c>
      <c r="B370" s="314" t="s">
        <v>120</v>
      </c>
      <c r="C370" s="315">
        <f t="shared" si="69"/>
        <v>103749.31511000001</v>
      </c>
      <c r="D370" s="315">
        <f t="shared" si="70"/>
        <v>283583.33300610003</v>
      </c>
      <c r="E370" s="315">
        <f t="shared" si="56"/>
        <v>0</v>
      </c>
      <c r="F370" s="316">
        <f t="shared" si="63"/>
        <v>0</v>
      </c>
      <c r="G370" s="314" t="s">
        <v>97</v>
      </c>
      <c r="H370" s="86"/>
      <c r="I370" s="398">
        <v>227412.45629999999</v>
      </c>
      <c r="J370" s="399">
        <f t="shared" si="64"/>
        <v>1.2470000000000001</v>
      </c>
      <c r="K370" s="398">
        <v>83199.13</v>
      </c>
      <c r="L370" s="86"/>
    </row>
    <row r="371" spans="1:12" hidden="1">
      <c r="A371" s="314">
        <v>319</v>
      </c>
      <c r="B371" s="314" t="s">
        <v>120</v>
      </c>
      <c r="C371" s="315">
        <f t="shared" si="69"/>
        <v>30474.273290000001</v>
      </c>
      <c r="D371" s="315">
        <f t="shared" si="70"/>
        <v>63743.165109800007</v>
      </c>
      <c r="E371" s="315">
        <f t="shared" si="56"/>
        <v>0</v>
      </c>
      <c r="F371" s="316">
        <f t="shared" si="63"/>
        <v>0</v>
      </c>
      <c r="G371" s="314" t="s">
        <v>98</v>
      </c>
      <c r="H371" s="86"/>
      <c r="I371" s="398">
        <v>51117.213400000001</v>
      </c>
      <c r="J371" s="399">
        <f t="shared" si="64"/>
        <v>1.2470000000000001</v>
      </c>
      <c r="K371" s="398">
        <v>24438.07</v>
      </c>
      <c r="L371" s="86"/>
    </row>
    <row r="372" spans="1:12" hidden="1">
      <c r="A372" s="314">
        <v>320</v>
      </c>
      <c r="B372" s="314" t="s">
        <v>120</v>
      </c>
      <c r="C372" s="315">
        <f t="shared" si="69"/>
        <v>82901.495250000007</v>
      </c>
      <c r="D372" s="315">
        <f t="shared" si="70"/>
        <v>271470.46121140005</v>
      </c>
      <c r="E372" s="315">
        <f t="shared" si="56"/>
        <v>0</v>
      </c>
      <c r="F372" s="316">
        <f t="shared" si="63"/>
        <v>0</v>
      </c>
      <c r="G372" s="314" t="s">
        <v>99</v>
      </c>
      <c r="H372" s="86"/>
      <c r="I372" s="398">
        <v>217698.8462</v>
      </c>
      <c r="J372" s="399">
        <f t="shared" si="64"/>
        <v>1.2470000000000001</v>
      </c>
      <c r="K372" s="398">
        <v>66480.75</v>
      </c>
      <c r="L372" s="86"/>
    </row>
    <row r="373" spans="1:12" hidden="1">
      <c r="A373" s="314">
        <v>321</v>
      </c>
      <c r="B373" s="314" t="s">
        <v>120</v>
      </c>
      <c r="C373" s="315">
        <f t="shared" si="69"/>
        <v>200041.09636000003</v>
      </c>
      <c r="D373" s="315">
        <f t="shared" si="70"/>
        <v>530997.70934260008</v>
      </c>
      <c r="E373" s="315">
        <f t="shared" si="56"/>
        <v>0</v>
      </c>
      <c r="F373" s="316">
        <f t="shared" si="63"/>
        <v>0</v>
      </c>
      <c r="G373" s="314" t="s">
        <v>100</v>
      </c>
      <c r="H373" s="86"/>
      <c r="I373" s="398">
        <v>425820.13579999999</v>
      </c>
      <c r="J373" s="399">
        <f t="shared" si="64"/>
        <v>1.2470000000000001</v>
      </c>
      <c r="K373" s="398">
        <v>160417.88</v>
      </c>
      <c r="L373" s="86"/>
    </row>
    <row r="374" spans="1:12" hidden="1">
      <c r="A374" s="314">
        <v>322</v>
      </c>
      <c r="B374" s="314" t="s">
        <v>120</v>
      </c>
      <c r="C374" s="315">
        <f t="shared" si="69"/>
        <v>323233.38607000001</v>
      </c>
      <c r="D374" s="315">
        <f t="shared" si="70"/>
        <v>569494.44328150013</v>
      </c>
      <c r="E374" s="315">
        <f t="shared" si="56"/>
        <v>0</v>
      </c>
      <c r="F374" s="316">
        <f t="shared" si="63"/>
        <v>0</v>
      </c>
      <c r="G374" s="314" t="s">
        <v>101</v>
      </c>
      <c r="H374" s="86"/>
      <c r="I374" s="398">
        <v>456691.61450000003</v>
      </c>
      <c r="J374" s="399">
        <f t="shared" si="64"/>
        <v>1.2470000000000001</v>
      </c>
      <c r="K374" s="398">
        <v>259208.81</v>
      </c>
      <c r="L374" s="86"/>
    </row>
    <row r="375" spans="1:12" hidden="1">
      <c r="A375" s="314">
        <v>323</v>
      </c>
      <c r="B375" s="314" t="s">
        <v>120</v>
      </c>
      <c r="C375" s="315">
        <f t="shared" si="69"/>
        <v>105728.77797</v>
      </c>
      <c r="D375" s="315">
        <f t="shared" si="70"/>
        <v>247211.95431810003</v>
      </c>
      <c r="E375" s="315">
        <f t="shared" si="56"/>
        <v>0</v>
      </c>
      <c r="F375" s="316">
        <f t="shared" si="63"/>
        <v>0</v>
      </c>
      <c r="G375" s="314" t="s">
        <v>102</v>
      </c>
      <c r="H375" s="86"/>
      <c r="I375" s="398">
        <v>198245.3523</v>
      </c>
      <c r="J375" s="399">
        <f t="shared" si="64"/>
        <v>1.2470000000000001</v>
      </c>
      <c r="K375" s="398">
        <v>84786.51</v>
      </c>
      <c r="L375" s="86"/>
    </row>
    <row r="376" spans="1:12" hidden="1">
      <c r="A376" s="314">
        <v>324</v>
      </c>
      <c r="B376" s="314" t="s">
        <v>120</v>
      </c>
      <c r="C376" s="315">
        <f t="shared" si="69"/>
        <v>141683.17981</v>
      </c>
      <c r="D376" s="315">
        <f t="shared" si="70"/>
        <v>248964.42938440002</v>
      </c>
      <c r="E376" s="315">
        <f t="shared" si="56"/>
        <v>0</v>
      </c>
      <c r="F376" s="316">
        <f t="shared" si="63"/>
        <v>0</v>
      </c>
      <c r="G376" s="314" t="s">
        <v>103</v>
      </c>
      <c r="H376" s="86"/>
      <c r="I376" s="398">
        <v>199650.7052</v>
      </c>
      <c r="J376" s="399">
        <f t="shared" si="64"/>
        <v>1.2470000000000001</v>
      </c>
      <c r="K376" s="398">
        <v>113619.23</v>
      </c>
      <c r="L376" s="86"/>
    </row>
    <row r="377" spans="1:12" hidden="1">
      <c r="A377" s="314">
        <v>325</v>
      </c>
      <c r="B377" s="314" t="s">
        <v>120</v>
      </c>
      <c r="C377" s="315">
        <f t="shared" si="69"/>
        <v>218884.68794</v>
      </c>
      <c r="D377" s="315">
        <f t="shared" si="70"/>
        <v>395026.17996829998</v>
      </c>
      <c r="E377" s="315">
        <f t="shared" si="56"/>
        <v>0</v>
      </c>
      <c r="F377" s="316">
        <f t="shared" si="63"/>
        <v>0</v>
      </c>
      <c r="G377" s="314" t="s">
        <v>104</v>
      </c>
      <c r="H377" s="86"/>
      <c r="I377" s="398">
        <v>316781.21889999998</v>
      </c>
      <c r="J377" s="399">
        <f t="shared" si="64"/>
        <v>1.2470000000000001</v>
      </c>
      <c r="K377" s="398">
        <v>175529.02</v>
      </c>
      <c r="L377" s="86"/>
    </row>
    <row r="378" spans="1:12" hidden="1">
      <c r="A378" s="314">
        <v>326</v>
      </c>
      <c r="B378" s="314" t="s">
        <v>120</v>
      </c>
      <c r="C378" s="315">
        <f t="shared" si="69"/>
        <v>271380.95629000006</v>
      </c>
      <c r="D378" s="315">
        <f t="shared" si="70"/>
        <v>507247.91123600001</v>
      </c>
      <c r="E378" s="315">
        <f t="shared" si="56"/>
        <v>0</v>
      </c>
      <c r="F378" s="316">
        <f t="shared" si="63"/>
        <v>0</v>
      </c>
      <c r="G378" s="314" t="s">
        <v>105</v>
      </c>
      <c r="H378" s="86"/>
      <c r="I378" s="398">
        <v>406774.58799999999</v>
      </c>
      <c r="J378" s="399">
        <f t="shared" si="64"/>
        <v>1.2470000000000001</v>
      </c>
      <c r="K378" s="398">
        <v>217627.07</v>
      </c>
      <c r="L378" s="86"/>
    </row>
    <row r="379" spans="1:12" hidden="1">
      <c r="A379" s="314">
        <v>327</v>
      </c>
      <c r="B379" s="314" t="s">
        <v>120</v>
      </c>
      <c r="C379" s="315">
        <f t="shared" si="69"/>
        <v>428438.69838000002</v>
      </c>
      <c r="D379" s="315">
        <f t="shared" si="70"/>
        <v>545763.63424150005</v>
      </c>
      <c r="E379" s="315">
        <f t="shared" si="56"/>
        <v>0</v>
      </c>
      <c r="F379" s="316">
        <f t="shared" si="63"/>
        <v>0</v>
      </c>
      <c r="G379" s="314" t="s">
        <v>106</v>
      </c>
      <c r="H379" s="86"/>
      <c r="I379" s="398">
        <v>437661.29450000002</v>
      </c>
      <c r="J379" s="399">
        <f t="shared" si="64"/>
        <v>1.2470000000000001</v>
      </c>
      <c r="K379" s="398">
        <v>343575.54</v>
      </c>
      <c r="L379" s="86"/>
    </row>
    <row r="380" spans="1:12" hidden="1">
      <c r="A380" s="314">
        <v>328</v>
      </c>
      <c r="B380" s="314" t="s">
        <v>120</v>
      </c>
      <c r="C380" s="315">
        <f t="shared" si="69"/>
        <v>404411.82660000003</v>
      </c>
      <c r="D380" s="315">
        <f t="shared" si="70"/>
        <v>731526.05723560008</v>
      </c>
      <c r="E380" s="315">
        <f t="shared" si="56"/>
        <v>0</v>
      </c>
      <c r="F380" s="316">
        <f t="shared" si="63"/>
        <v>0</v>
      </c>
      <c r="G380" s="314" t="s">
        <v>107</v>
      </c>
      <c r="H380" s="86"/>
      <c r="I380" s="398">
        <v>586628.7548</v>
      </c>
      <c r="J380" s="399">
        <f t="shared" si="64"/>
        <v>1.2470000000000001</v>
      </c>
      <c r="K380" s="398">
        <v>324307.8</v>
      </c>
      <c r="L380" s="86"/>
    </row>
    <row r="381" spans="1:12" hidden="1">
      <c r="A381" s="314">
        <v>329</v>
      </c>
      <c r="B381" s="314" t="s">
        <v>120</v>
      </c>
      <c r="C381" s="315">
        <f>K381*J381</f>
        <v>259987.53899987356</v>
      </c>
      <c r="D381" s="315">
        <f>I381*J381</f>
        <v>393733.5310730178</v>
      </c>
      <c r="E381" s="315">
        <f>D381*F381</f>
        <v>0</v>
      </c>
      <c r="F381" s="316">
        <f t="shared" si="63"/>
        <v>0</v>
      </c>
      <c r="G381" s="314" t="s">
        <v>612</v>
      </c>
      <c r="H381" s="86"/>
      <c r="I381" s="398">
        <v>315744.61192703911</v>
      </c>
      <c r="J381" s="399">
        <f>IF(Aplicar_Escala=1,INDEX(Factor_Escala,10),1)</f>
        <v>1.2470000000000001</v>
      </c>
      <c r="K381" s="398">
        <v>208490.40817952971</v>
      </c>
      <c r="L381" s="86"/>
    </row>
    <row r="382" spans="1:12" hidden="1">
      <c r="A382" s="314">
        <v>330</v>
      </c>
      <c r="B382" s="314" t="s">
        <v>120</v>
      </c>
      <c r="C382" s="315">
        <f t="shared" si="69"/>
        <v>381020.05419012666</v>
      </c>
      <c r="D382" s="315">
        <f t="shared" si="70"/>
        <v>577029.08348228224</v>
      </c>
      <c r="E382" s="315">
        <f t="shared" si="56"/>
        <v>0</v>
      </c>
      <c r="F382" s="316">
        <f t="shared" si="63"/>
        <v>0</v>
      </c>
      <c r="G382" s="314" t="s">
        <v>613</v>
      </c>
      <c r="H382" s="86"/>
      <c r="I382" s="398">
        <v>462733.82797296089</v>
      </c>
      <c r="J382" s="399">
        <f t="shared" si="64"/>
        <v>1.2470000000000001</v>
      </c>
      <c r="K382" s="398">
        <v>305549.36182047043</v>
      </c>
      <c r="L382" s="86"/>
    </row>
    <row r="383" spans="1:12" hidden="1">
      <c r="A383" s="314">
        <v>331</v>
      </c>
      <c r="B383" s="314" t="s">
        <v>90</v>
      </c>
      <c r="C383" s="315">
        <f t="shared" si="69"/>
        <v>124915.38445753824</v>
      </c>
      <c r="D383" s="315">
        <f t="shared" si="70"/>
        <v>252290.62265625416</v>
      </c>
      <c r="E383" s="315">
        <f t="shared" si="56"/>
        <v>0</v>
      </c>
      <c r="F383" s="316">
        <f t="shared" ref="F383:F415" si="71">L14</f>
        <v>0</v>
      </c>
      <c r="G383" s="314" t="s">
        <v>599</v>
      </c>
      <c r="H383" s="86"/>
      <c r="I383" s="398">
        <v>219383.15013587321</v>
      </c>
      <c r="J383" s="399">
        <f t="shared" ref="J383:J415" si="72">IF(Aplicar_Escala=1,INDEX(Factor_Escala,11),1)</f>
        <v>1.1499999999999999</v>
      </c>
      <c r="K383" s="398">
        <v>108622.0734413376</v>
      </c>
      <c r="L383" s="86"/>
    </row>
    <row r="384" spans="1:12" hidden="1">
      <c r="A384" s="314">
        <v>332</v>
      </c>
      <c r="B384" s="314" t="s">
        <v>90</v>
      </c>
      <c r="C384" s="315">
        <f>K384*J384</f>
        <v>50611.533087998963</v>
      </c>
      <c r="D384" s="315">
        <f>I384*J384</f>
        <v>102219.71658502394</v>
      </c>
      <c r="E384" s="315">
        <f>D384*F384</f>
        <v>0</v>
      </c>
      <c r="F384" s="316">
        <f t="shared" si="71"/>
        <v>0</v>
      </c>
      <c r="G384" s="314" t="s">
        <v>600</v>
      </c>
      <c r="H384" s="86"/>
      <c r="I384" s="398">
        <v>88886.710073933864</v>
      </c>
      <c r="J384" s="399">
        <f>IF(Aplicar_Escala=1,INDEX(Factor_Escala,11),1)</f>
        <v>1.1499999999999999</v>
      </c>
      <c r="K384" s="398">
        <v>44010.028772173013</v>
      </c>
      <c r="L384" s="86"/>
    </row>
    <row r="385" spans="1:12" hidden="1">
      <c r="A385" s="314">
        <v>333</v>
      </c>
      <c r="B385" s="314" t="s">
        <v>90</v>
      </c>
      <c r="C385" s="315">
        <f>K385*J385</f>
        <v>6408.2042168677317</v>
      </c>
      <c r="D385" s="315">
        <f>I385*J385</f>
        <v>12942.599816690785</v>
      </c>
      <c r="E385" s="315">
        <f>D385*F385</f>
        <v>0</v>
      </c>
      <c r="F385" s="316">
        <f t="shared" si="71"/>
        <v>0</v>
      </c>
      <c r="G385" s="314" t="s">
        <v>601</v>
      </c>
      <c r="H385" s="86"/>
      <c r="I385" s="398">
        <v>11254.434623209379</v>
      </c>
      <c r="J385" s="399">
        <f>IF(Aplicar_Escala=1,INDEX(Factor_Escala,11),1)</f>
        <v>1.1499999999999999</v>
      </c>
      <c r="K385" s="398">
        <v>5572.3514929284629</v>
      </c>
      <c r="L385" s="86"/>
    </row>
    <row r="386" spans="1:12" hidden="1">
      <c r="A386" s="314">
        <v>334</v>
      </c>
      <c r="B386" s="314" t="s">
        <v>90</v>
      </c>
      <c r="C386" s="315">
        <f>K386*J386</f>
        <v>1098.0962375950273</v>
      </c>
      <c r="D386" s="315">
        <f>I386*J386</f>
        <v>2217.8163620311457</v>
      </c>
      <c r="E386" s="315">
        <f>D386*F386</f>
        <v>0</v>
      </c>
      <c r="F386" s="316">
        <f t="shared" si="71"/>
        <v>0</v>
      </c>
      <c r="G386" s="314" t="s">
        <v>602</v>
      </c>
      <c r="H386" s="86"/>
      <c r="I386" s="398">
        <v>1928.535966983605</v>
      </c>
      <c r="J386" s="399">
        <f>IF(Aplicar_Escala=1,INDEX(Factor_Escala,11),1)</f>
        <v>1.1499999999999999</v>
      </c>
      <c r="K386" s="398">
        <v>954.86629356089338</v>
      </c>
      <c r="L386" s="86"/>
    </row>
    <row r="387" spans="1:12" hidden="1">
      <c r="A387" s="314">
        <v>335</v>
      </c>
      <c r="B387" s="314" t="s">
        <v>90</v>
      </c>
      <c r="C387" s="315">
        <f t="shared" si="69"/>
        <v>538893.49599999993</v>
      </c>
      <c r="D387" s="315">
        <f t="shared" si="70"/>
        <v>1021380.1796999999</v>
      </c>
      <c r="E387" s="315">
        <f t="shared" si="56"/>
        <v>0</v>
      </c>
      <c r="F387" s="316">
        <f t="shared" si="71"/>
        <v>0</v>
      </c>
      <c r="G387" s="314" t="s">
        <v>91</v>
      </c>
      <c r="H387" s="86"/>
      <c r="I387" s="398">
        <v>888156.67799999996</v>
      </c>
      <c r="J387" s="399">
        <f t="shared" si="72"/>
        <v>1.1499999999999999</v>
      </c>
      <c r="K387" s="398">
        <v>468603.04</v>
      </c>
      <c r="L387" s="86"/>
    </row>
    <row r="388" spans="1:12" hidden="1">
      <c r="A388" s="314">
        <v>336</v>
      </c>
      <c r="B388" s="314" t="s">
        <v>90</v>
      </c>
      <c r="C388" s="315">
        <f t="shared" si="69"/>
        <v>42479.336140785657</v>
      </c>
      <c r="D388" s="315">
        <f t="shared" si="70"/>
        <v>158478.89019975992</v>
      </c>
      <c r="E388" s="315">
        <f t="shared" si="56"/>
        <v>0</v>
      </c>
      <c r="F388" s="316">
        <f t="shared" si="71"/>
        <v>0</v>
      </c>
      <c r="G388" s="314" t="s">
        <v>603</v>
      </c>
      <c r="H388" s="86"/>
      <c r="I388" s="398">
        <v>137807.73060848689</v>
      </c>
      <c r="J388" s="399">
        <f t="shared" si="72"/>
        <v>1.1499999999999999</v>
      </c>
      <c r="K388" s="398">
        <v>36938.553165900572</v>
      </c>
      <c r="L388" s="86"/>
    </row>
    <row r="389" spans="1:12" hidden="1">
      <c r="A389" s="314">
        <v>337</v>
      </c>
      <c r="B389" s="314" t="s">
        <v>90</v>
      </c>
      <c r="C389" s="315">
        <f t="shared" ref="C389:C394" si="73">K389*J389</f>
        <v>14442.019947005947</v>
      </c>
      <c r="D389" s="315">
        <f t="shared" ref="D389:D394" si="74">I389*J389</f>
        <v>53879.262280815106</v>
      </c>
      <c r="E389" s="315">
        <f t="shared" ref="E389:E394" si="75">D389*F389</f>
        <v>0</v>
      </c>
      <c r="F389" s="316">
        <f t="shared" si="71"/>
        <v>0</v>
      </c>
      <c r="G389" s="314" t="s">
        <v>604</v>
      </c>
      <c r="H389" s="86"/>
      <c r="I389" s="398">
        <v>46851.532418100098</v>
      </c>
      <c r="J389" s="399">
        <f t="shared" ref="J389:J394" si="76">IF(Aplicar_Escala=1,INDEX(Factor_Escala,11),1)</f>
        <v>1.1499999999999999</v>
      </c>
      <c r="K389" s="398">
        <v>12558.278214787781</v>
      </c>
      <c r="L389" s="86"/>
    </row>
    <row r="390" spans="1:12" hidden="1">
      <c r="A390" s="314">
        <v>338</v>
      </c>
      <c r="B390" s="314" t="s">
        <v>90</v>
      </c>
      <c r="C390" s="315">
        <f t="shared" si="73"/>
        <v>9539.3475867886063</v>
      </c>
      <c r="D390" s="315">
        <f t="shared" si="74"/>
        <v>35588.720449247012</v>
      </c>
      <c r="E390" s="315">
        <f t="shared" si="75"/>
        <v>0</v>
      </c>
      <c r="F390" s="316">
        <f t="shared" si="71"/>
        <v>0</v>
      </c>
      <c r="G390" s="314" t="s">
        <v>87</v>
      </c>
      <c r="H390" s="86"/>
      <c r="I390" s="398">
        <v>30946.71343412784</v>
      </c>
      <c r="J390" s="399">
        <f t="shared" si="76"/>
        <v>1.1499999999999999</v>
      </c>
      <c r="K390" s="398">
        <v>8295.0848580770489</v>
      </c>
      <c r="L390" s="86"/>
    </row>
    <row r="391" spans="1:12" hidden="1">
      <c r="A391" s="314">
        <v>339</v>
      </c>
      <c r="B391" s="314" t="s">
        <v>90</v>
      </c>
      <c r="C391" s="315">
        <f t="shared" si="73"/>
        <v>21180.275580628342</v>
      </c>
      <c r="D391" s="315">
        <f t="shared" si="74"/>
        <v>79017.867817389444</v>
      </c>
      <c r="E391" s="315">
        <f t="shared" si="75"/>
        <v>0</v>
      </c>
      <c r="F391" s="316">
        <f t="shared" si="71"/>
        <v>0</v>
      </c>
      <c r="G391" s="314" t="s">
        <v>605</v>
      </c>
      <c r="H391" s="86"/>
      <c r="I391" s="398">
        <v>68711.189406425605</v>
      </c>
      <c r="J391" s="399">
        <f t="shared" si="76"/>
        <v>1.1499999999999999</v>
      </c>
      <c r="K391" s="398">
        <v>18417.630939676819</v>
      </c>
      <c r="L391" s="86"/>
    </row>
    <row r="392" spans="1:12" hidden="1">
      <c r="A392" s="314">
        <v>340</v>
      </c>
      <c r="B392" s="314" t="s">
        <v>90</v>
      </c>
      <c r="C392" s="315">
        <f t="shared" si="73"/>
        <v>3852.8974129270714</v>
      </c>
      <c r="D392" s="315">
        <f t="shared" si="74"/>
        <v>14374.116017974929</v>
      </c>
      <c r="E392" s="315">
        <f t="shared" si="75"/>
        <v>0</v>
      </c>
      <c r="F392" s="316">
        <f t="shared" si="71"/>
        <v>0</v>
      </c>
      <c r="G392" s="314" t="s">
        <v>606</v>
      </c>
      <c r="H392" s="86"/>
      <c r="I392" s="398">
        <v>12499.2313199782</v>
      </c>
      <c r="J392" s="399">
        <f t="shared" si="76"/>
        <v>1.1499999999999999</v>
      </c>
      <c r="K392" s="398">
        <v>3350.3455764583232</v>
      </c>
      <c r="L392" s="86"/>
    </row>
    <row r="393" spans="1:12" hidden="1">
      <c r="A393" s="314">
        <v>341</v>
      </c>
      <c r="B393" s="314" t="s">
        <v>90</v>
      </c>
      <c r="C393" s="315">
        <f t="shared" si="73"/>
        <v>13859.262867949259</v>
      </c>
      <c r="D393" s="315">
        <f t="shared" si="74"/>
        <v>51705.153560309816</v>
      </c>
      <c r="E393" s="315">
        <f t="shared" si="75"/>
        <v>0</v>
      </c>
      <c r="F393" s="316">
        <f t="shared" si="71"/>
        <v>0</v>
      </c>
      <c r="G393" s="314" t="s">
        <v>607</v>
      </c>
      <c r="H393" s="86"/>
      <c r="I393" s="398">
        <v>44961.00309592158</v>
      </c>
      <c r="J393" s="399">
        <f t="shared" si="76"/>
        <v>1.1499999999999999</v>
      </c>
      <c r="K393" s="398">
        <v>12051.53292865153</v>
      </c>
      <c r="L393" s="86"/>
    </row>
    <row r="394" spans="1:12" hidden="1">
      <c r="A394" s="314">
        <v>342</v>
      </c>
      <c r="B394" s="314" t="s">
        <v>90</v>
      </c>
      <c r="C394" s="315">
        <f t="shared" si="73"/>
        <v>23196.574463915083</v>
      </c>
      <c r="D394" s="315">
        <f t="shared" si="74"/>
        <v>86540.1324845036</v>
      </c>
      <c r="E394" s="315">
        <f t="shared" si="75"/>
        <v>0</v>
      </c>
      <c r="F394" s="316">
        <f t="shared" si="71"/>
        <v>0</v>
      </c>
      <c r="G394" s="314" t="s">
        <v>608</v>
      </c>
      <c r="H394" s="86"/>
      <c r="I394" s="398">
        <v>75252.289116959655</v>
      </c>
      <c r="J394" s="399">
        <f t="shared" si="76"/>
        <v>1.1499999999999999</v>
      </c>
      <c r="K394" s="398">
        <v>20170.9343164479</v>
      </c>
      <c r="L394" s="86"/>
    </row>
    <row r="395" spans="1:12" hidden="1">
      <c r="A395" s="314">
        <v>343</v>
      </c>
      <c r="B395" s="314" t="s">
        <v>90</v>
      </c>
      <c r="C395" s="315">
        <f t="shared" si="69"/>
        <v>34023.116261569849</v>
      </c>
      <c r="D395" s="315">
        <f t="shared" si="70"/>
        <v>92472.73885878353</v>
      </c>
      <c r="E395" s="315">
        <f t="shared" si="56"/>
        <v>0</v>
      </c>
      <c r="F395" s="316">
        <f t="shared" si="71"/>
        <v>0</v>
      </c>
      <c r="G395" s="314" t="s">
        <v>609</v>
      </c>
      <c r="H395" s="86"/>
      <c r="I395" s="398">
        <v>80411.077268507419</v>
      </c>
      <c r="J395" s="399">
        <f t="shared" si="72"/>
        <v>1.1499999999999999</v>
      </c>
      <c r="K395" s="398">
        <v>29585.318488321609</v>
      </c>
      <c r="L395" s="86"/>
    </row>
    <row r="396" spans="1:12" hidden="1">
      <c r="A396" s="314">
        <v>344</v>
      </c>
      <c r="B396" s="314" t="s">
        <v>90</v>
      </c>
      <c r="C396" s="315">
        <f>K396*J396</f>
        <v>10519.822238430144</v>
      </c>
      <c r="D396" s="315">
        <f>I396*J396</f>
        <v>28592.230271216453</v>
      </c>
      <c r="E396" s="315">
        <f>D396*F396</f>
        <v>0</v>
      </c>
      <c r="F396" s="316">
        <f t="shared" si="71"/>
        <v>0</v>
      </c>
      <c r="G396" s="314" t="s">
        <v>610</v>
      </c>
      <c r="H396" s="86"/>
      <c r="I396" s="398">
        <v>24862.808931492571</v>
      </c>
      <c r="J396" s="399">
        <f>IF(Aplicar_Escala=1,INDEX(Factor_Escala,11),1)</f>
        <v>1.1499999999999999</v>
      </c>
      <c r="K396" s="398">
        <v>9147.6715116783871</v>
      </c>
      <c r="L396" s="86"/>
    </row>
    <row r="397" spans="1:12" hidden="1">
      <c r="A397" s="314">
        <v>345</v>
      </c>
      <c r="B397" s="314" t="s">
        <v>90</v>
      </c>
      <c r="C397" s="315">
        <f t="shared" si="69"/>
        <v>22146.885325682568</v>
      </c>
      <c r="D397" s="315">
        <f t="shared" si="70"/>
        <v>63701.302532359339</v>
      </c>
      <c r="E397" s="315">
        <f t="shared" ref="E397:E415" si="77">D397*F397</f>
        <v>0</v>
      </c>
      <c r="F397" s="316">
        <f t="shared" si="71"/>
        <v>0</v>
      </c>
      <c r="G397" s="314" t="s">
        <v>92</v>
      </c>
      <c r="H397" s="86"/>
      <c r="I397" s="398">
        <v>55392.4369846603</v>
      </c>
      <c r="J397" s="399">
        <f t="shared" si="72"/>
        <v>1.1499999999999999</v>
      </c>
      <c r="K397" s="398">
        <v>19258.16115276745</v>
      </c>
      <c r="L397" s="86"/>
    </row>
    <row r="398" spans="1:12" hidden="1">
      <c r="A398" s="314">
        <v>346</v>
      </c>
      <c r="B398" s="314" t="s">
        <v>90</v>
      </c>
      <c r="C398" s="315">
        <f>K398*J398</f>
        <v>39367.937174317442</v>
      </c>
      <c r="D398" s="315">
        <f>I398*J398</f>
        <v>113234.38213264066</v>
      </c>
      <c r="E398" s="315">
        <f>D398*F398</f>
        <v>0</v>
      </c>
      <c r="F398" s="316">
        <f t="shared" si="71"/>
        <v>0</v>
      </c>
      <c r="G398" s="314" t="s">
        <v>611</v>
      </c>
      <c r="H398" s="86"/>
      <c r="I398" s="398">
        <v>98464.68011533971</v>
      </c>
      <c r="J398" s="399">
        <f>IF(Aplicar_Escala=1,INDEX(Factor_Escala,11),1)</f>
        <v>1.1499999999999999</v>
      </c>
      <c r="K398" s="398">
        <v>34232.988847232562</v>
      </c>
      <c r="L398" s="86"/>
    </row>
    <row r="399" spans="1:12" hidden="1">
      <c r="A399" s="314">
        <v>347</v>
      </c>
      <c r="B399" s="314" t="s">
        <v>90</v>
      </c>
      <c r="C399" s="315">
        <f t="shared" si="69"/>
        <v>135793.47199999998</v>
      </c>
      <c r="D399" s="315">
        <f t="shared" si="70"/>
        <v>417652.72349499993</v>
      </c>
      <c r="E399" s="315">
        <f t="shared" si="77"/>
        <v>0</v>
      </c>
      <c r="F399" s="316">
        <f t="shared" si="71"/>
        <v>0</v>
      </c>
      <c r="G399" s="314" t="s">
        <v>93</v>
      </c>
      <c r="H399" s="86"/>
      <c r="I399" s="398">
        <v>363176.28129999997</v>
      </c>
      <c r="J399" s="399">
        <f t="shared" si="72"/>
        <v>1.1499999999999999</v>
      </c>
      <c r="K399" s="398">
        <v>118081.28</v>
      </c>
      <c r="L399" s="86"/>
    </row>
    <row r="400" spans="1:12" hidden="1">
      <c r="A400" s="314">
        <v>348</v>
      </c>
      <c r="B400" s="314" t="s">
        <v>90</v>
      </c>
      <c r="C400" s="315">
        <f t="shared" si="69"/>
        <v>35896.076999999997</v>
      </c>
      <c r="D400" s="315">
        <f t="shared" si="70"/>
        <v>101332.84960999999</v>
      </c>
      <c r="E400" s="315">
        <f t="shared" si="77"/>
        <v>0</v>
      </c>
      <c r="F400" s="316">
        <f t="shared" si="71"/>
        <v>0</v>
      </c>
      <c r="G400" s="314" t="s">
        <v>94</v>
      </c>
      <c r="H400" s="86"/>
      <c r="I400" s="398">
        <v>88115.521399999998</v>
      </c>
      <c r="J400" s="399">
        <f t="shared" si="72"/>
        <v>1.1499999999999999</v>
      </c>
      <c r="K400" s="398">
        <v>31213.98</v>
      </c>
      <c r="L400" s="86"/>
    </row>
    <row r="401" spans="1:12" hidden="1">
      <c r="A401" s="314">
        <v>349</v>
      </c>
      <c r="B401" s="314" t="s">
        <v>90</v>
      </c>
      <c r="C401" s="315">
        <f t="shared" si="69"/>
        <v>73895.722499999989</v>
      </c>
      <c r="D401" s="315">
        <f t="shared" si="70"/>
        <v>282986.78647499997</v>
      </c>
      <c r="E401" s="315">
        <f t="shared" si="77"/>
        <v>0</v>
      </c>
      <c r="F401" s="316">
        <f t="shared" si="71"/>
        <v>0</v>
      </c>
      <c r="G401" s="314" t="s">
        <v>95</v>
      </c>
      <c r="H401" s="86"/>
      <c r="I401" s="398">
        <v>246075.46650000001</v>
      </c>
      <c r="J401" s="399">
        <f t="shared" si="72"/>
        <v>1.1499999999999999</v>
      </c>
      <c r="K401" s="398">
        <v>64257.15</v>
      </c>
      <c r="L401" s="86"/>
    </row>
    <row r="402" spans="1:12" hidden="1">
      <c r="A402" s="314">
        <v>350</v>
      </c>
      <c r="B402" s="314" t="s">
        <v>90</v>
      </c>
      <c r="C402" s="315">
        <f t="shared" si="69"/>
        <v>59323.842499999992</v>
      </c>
      <c r="D402" s="315">
        <f t="shared" si="70"/>
        <v>152251.47619999998</v>
      </c>
      <c r="E402" s="315">
        <f t="shared" si="77"/>
        <v>0</v>
      </c>
      <c r="F402" s="316">
        <f t="shared" si="71"/>
        <v>0</v>
      </c>
      <c r="G402" s="314" t="s">
        <v>96</v>
      </c>
      <c r="H402" s="86"/>
      <c r="I402" s="398">
        <v>132392.58799999999</v>
      </c>
      <c r="J402" s="399">
        <f t="shared" si="72"/>
        <v>1.1499999999999999</v>
      </c>
      <c r="K402" s="398">
        <v>51585.95</v>
      </c>
      <c r="L402" s="86"/>
    </row>
    <row r="403" spans="1:12" hidden="1">
      <c r="A403" s="314">
        <v>351</v>
      </c>
      <c r="B403" s="314" t="s">
        <v>90</v>
      </c>
      <c r="C403" s="315">
        <f t="shared" si="69"/>
        <v>199345.24349999998</v>
      </c>
      <c r="D403" s="315">
        <f t="shared" si="70"/>
        <v>639925.73503500002</v>
      </c>
      <c r="E403" s="315">
        <f t="shared" si="77"/>
        <v>0</v>
      </c>
      <c r="F403" s="316">
        <f t="shared" si="71"/>
        <v>0</v>
      </c>
      <c r="G403" s="314" t="s">
        <v>97</v>
      </c>
      <c r="H403" s="86"/>
      <c r="I403" s="398">
        <v>556457.16090000002</v>
      </c>
      <c r="J403" s="399">
        <f t="shared" si="72"/>
        <v>1.1499999999999999</v>
      </c>
      <c r="K403" s="398">
        <v>173343.69</v>
      </c>
      <c r="L403" s="86"/>
    </row>
    <row r="404" spans="1:12" hidden="1">
      <c r="A404" s="314">
        <v>352</v>
      </c>
      <c r="B404" s="314" t="s">
        <v>90</v>
      </c>
      <c r="C404" s="315">
        <f t="shared" si="69"/>
        <v>48521.650999999991</v>
      </c>
      <c r="D404" s="315">
        <f t="shared" si="70"/>
        <v>122604.97369</v>
      </c>
      <c r="E404" s="315">
        <f t="shared" si="77"/>
        <v>0</v>
      </c>
      <c r="F404" s="316">
        <f t="shared" si="71"/>
        <v>0</v>
      </c>
      <c r="G404" s="314" t="s">
        <v>98</v>
      </c>
      <c r="H404" s="86"/>
      <c r="I404" s="398">
        <v>106613.0206</v>
      </c>
      <c r="J404" s="399">
        <f t="shared" si="72"/>
        <v>1.1499999999999999</v>
      </c>
      <c r="K404" s="398">
        <v>42192.74</v>
      </c>
      <c r="L404" s="86"/>
    </row>
    <row r="405" spans="1:12" hidden="1">
      <c r="A405" s="314">
        <v>353</v>
      </c>
      <c r="B405" s="314" t="s">
        <v>90</v>
      </c>
      <c r="C405" s="315">
        <f t="shared" si="69"/>
        <v>168525.91049999997</v>
      </c>
      <c r="D405" s="315">
        <f t="shared" si="70"/>
        <v>443978.12179999991</v>
      </c>
      <c r="E405" s="315">
        <f t="shared" si="77"/>
        <v>0</v>
      </c>
      <c r="F405" s="316">
        <f t="shared" si="71"/>
        <v>0</v>
      </c>
      <c r="G405" s="314" t="s">
        <v>99</v>
      </c>
      <c r="H405" s="86"/>
      <c r="I405" s="398">
        <v>386067.93199999997</v>
      </c>
      <c r="J405" s="399">
        <f t="shared" si="72"/>
        <v>1.1499999999999999</v>
      </c>
      <c r="K405" s="398">
        <v>146544.26999999999</v>
      </c>
      <c r="L405" s="86"/>
    </row>
    <row r="406" spans="1:12" hidden="1">
      <c r="A406" s="314">
        <v>354</v>
      </c>
      <c r="B406" s="314" t="s">
        <v>90</v>
      </c>
      <c r="C406" s="315">
        <f t="shared" si="69"/>
        <v>385499.67649999994</v>
      </c>
      <c r="D406" s="315">
        <f t="shared" si="70"/>
        <v>962327.55987</v>
      </c>
      <c r="E406" s="315">
        <f t="shared" si="77"/>
        <v>0</v>
      </c>
      <c r="F406" s="316">
        <f t="shared" si="71"/>
        <v>0</v>
      </c>
      <c r="G406" s="314" t="s">
        <v>100</v>
      </c>
      <c r="H406" s="86"/>
      <c r="I406" s="398">
        <v>836806.57380000001</v>
      </c>
      <c r="J406" s="399">
        <f t="shared" si="72"/>
        <v>1.1499999999999999</v>
      </c>
      <c r="K406" s="398">
        <v>335217.11</v>
      </c>
      <c r="L406" s="86"/>
    </row>
    <row r="407" spans="1:12" hidden="1">
      <c r="A407" s="314">
        <v>355</v>
      </c>
      <c r="B407" s="314" t="s">
        <v>90</v>
      </c>
      <c r="C407" s="315">
        <f t="shared" si="69"/>
        <v>766363.81799999985</v>
      </c>
      <c r="D407" s="315">
        <f t="shared" si="70"/>
        <v>1297100.5630649999</v>
      </c>
      <c r="E407" s="315">
        <f t="shared" si="77"/>
        <v>0</v>
      </c>
      <c r="F407" s="316">
        <f t="shared" si="71"/>
        <v>0</v>
      </c>
      <c r="G407" s="314" t="s">
        <v>101</v>
      </c>
      <c r="H407" s="86"/>
      <c r="I407" s="398">
        <v>1127913.5330999999</v>
      </c>
      <c r="J407" s="399">
        <f t="shared" si="72"/>
        <v>1.1499999999999999</v>
      </c>
      <c r="K407" s="398">
        <v>666403.31999999995</v>
      </c>
      <c r="L407" s="86"/>
    </row>
    <row r="408" spans="1:12" hidden="1">
      <c r="A408" s="314">
        <v>356</v>
      </c>
      <c r="B408" s="314" t="s">
        <v>90</v>
      </c>
      <c r="C408" s="315">
        <f t="shared" si="69"/>
        <v>331245.75849999994</v>
      </c>
      <c r="D408" s="315">
        <f t="shared" si="70"/>
        <v>741813.47907999996</v>
      </c>
      <c r="E408" s="315">
        <f t="shared" si="77"/>
        <v>0</v>
      </c>
      <c r="F408" s="316">
        <f t="shared" si="71"/>
        <v>0</v>
      </c>
      <c r="G408" s="314" t="s">
        <v>102</v>
      </c>
      <c r="H408" s="86"/>
      <c r="I408" s="398">
        <v>645055.19920000003</v>
      </c>
      <c r="J408" s="399">
        <f t="shared" si="72"/>
        <v>1.1499999999999999</v>
      </c>
      <c r="K408" s="398">
        <v>288039.78999999998</v>
      </c>
      <c r="L408" s="86"/>
    </row>
    <row r="409" spans="1:12" hidden="1">
      <c r="A409" s="314">
        <v>357</v>
      </c>
      <c r="B409" s="314" t="s">
        <v>90</v>
      </c>
      <c r="C409" s="315">
        <f t="shared" si="69"/>
        <v>169138.46949999998</v>
      </c>
      <c r="D409" s="315">
        <f t="shared" si="70"/>
        <v>339818.11748000002</v>
      </c>
      <c r="E409" s="315">
        <f t="shared" si="77"/>
        <v>0</v>
      </c>
      <c r="F409" s="316">
        <f t="shared" si="71"/>
        <v>0</v>
      </c>
      <c r="G409" s="314" t="s">
        <v>103</v>
      </c>
      <c r="H409" s="86"/>
      <c r="I409" s="398">
        <v>295494.01520000002</v>
      </c>
      <c r="J409" s="399">
        <f t="shared" si="72"/>
        <v>1.1499999999999999</v>
      </c>
      <c r="K409" s="398">
        <v>147076.93</v>
      </c>
      <c r="L409" s="86"/>
    </row>
    <row r="410" spans="1:12" hidden="1">
      <c r="A410" s="314">
        <v>358</v>
      </c>
      <c r="B410" s="314" t="s">
        <v>90</v>
      </c>
      <c r="C410" s="315">
        <f t="shared" si="69"/>
        <v>248741.56149999998</v>
      </c>
      <c r="D410" s="315">
        <f t="shared" si="70"/>
        <v>472580.76689499995</v>
      </c>
      <c r="E410" s="315">
        <f t="shared" si="77"/>
        <v>0</v>
      </c>
      <c r="F410" s="316">
        <f t="shared" si="71"/>
        <v>0</v>
      </c>
      <c r="G410" s="314" t="s">
        <v>104</v>
      </c>
      <c r="H410" s="86"/>
      <c r="I410" s="398">
        <v>410939.79729999998</v>
      </c>
      <c r="J410" s="399">
        <f t="shared" si="72"/>
        <v>1.1499999999999999</v>
      </c>
      <c r="K410" s="398">
        <v>216297.01</v>
      </c>
      <c r="L410" s="86"/>
    </row>
    <row r="411" spans="1:12" hidden="1">
      <c r="A411" s="314">
        <v>359</v>
      </c>
      <c r="B411" s="314" t="s">
        <v>90</v>
      </c>
      <c r="C411" s="315">
        <f t="shared" si="69"/>
        <v>358303.76349999994</v>
      </c>
      <c r="D411" s="315">
        <f t="shared" si="70"/>
        <v>604252.43212499993</v>
      </c>
      <c r="E411" s="315">
        <f t="shared" si="77"/>
        <v>0</v>
      </c>
      <c r="F411" s="316">
        <f t="shared" si="71"/>
        <v>0</v>
      </c>
      <c r="G411" s="314" t="s">
        <v>105</v>
      </c>
      <c r="H411" s="86"/>
      <c r="I411" s="398">
        <v>525436.89749999996</v>
      </c>
      <c r="J411" s="399">
        <f t="shared" si="72"/>
        <v>1.1499999999999999</v>
      </c>
      <c r="K411" s="398">
        <v>311568.49</v>
      </c>
      <c r="L411" s="86"/>
    </row>
    <row r="412" spans="1:12" hidden="1">
      <c r="A412" s="314">
        <v>360</v>
      </c>
      <c r="B412" s="314" t="s">
        <v>90</v>
      </c>
      <c r="C412" s="315">
        <f t="shared" si="69"/>
        <v>575116.75950000004</v>
      </c>
      <c r="D412" s="315">
        <f t="shared" si="70"/>
        <v>763186.48035499989</v>
      </c>
      <c r="E412" s="315">
        <f t="shared" si="77"/>
        <v>0</v>
      </c>
      <c r="F412" s="316">
        <f t="shared" si="71"/>
        <v>0</v>
      </c>
      <c r="G412" s="314" t="s">
        <v>106</v>
      </c>
      <c r="H412" s="86"/>
      <c r="I412" s="398">
        <v>663640.41769999999</v>
      </c>
      <c r="J412" s="399">
        <f t="shared" si="72"/>
        <v>1.1499999999999999</v>
      </c>
      <c r="K412" s="398">
        <v>500101.53</v>
      </c>
      <c r="L412" s="86"/>
    </row>
    <row r="413" spans="1:12" hidden="1">
      <c r="A413" s="314">
        <v>361</v>
      </c>
      <c r="B413" s="314" t="s">
        <v>90</v>
      </c>
      <c r="C413" s="315">
        <f t="shared" si="69"/>
        <v>446995.65049999999</v>
      </c>
      <c r="D413" s="315">
        <f t="shared" si="70"/>
        <v>786865.35766999994</v>
      </c>
      <c r="E413" s="315">
        <f t="shared" si="77"/>
        <v>0</v>
      </c>
      <c r="F413" s="316">
        <f t="shared" si="71"/>
        <v>0</v>
      </c>
      <c r="G413" s="314" t="s">
        <v>107</v>
      </c>
      <c r="H413" s="86"/>
      <c r="I413" s="398">
        <v>684230.74580000003</v>
      </c>
      <c r="J413" s="399">
        <f t="shared" si="72"/>
        <v>1.1499999999999999</v>
      </c>
      <c r="K413" s="398">
        <v>388691.87</v>
      </c>
      <c r="L413" s="86"/>
    </row>
    <row r="414" spans="1:12" hidden="1">
      <c r="A414" s="314">
        <v>362</v>
      </c>
      <c r="B414" s="314" t="s">
        <v>90</v>
      </c>
      <c r="C414" s="315">
        <f>K414*J414</f>
        <v>471110.57975064329</v>
      </c>
      <c r="D414" s="315">
        <f>I414*J414</f>
        <v>690411.87815534731</v>
      </c>
      <c r="E414" s="315">
        <f>D414*F414</f>
        <v>0</v>
      </c>
      <c r="F414" s="316">
        <f t="shared" si="71"/>
        <v>0</v>
      </c>
      <c r="G414" s="314" t="s">
        <v>612</v>
      </c>
      <c r="H414" s="86"/>
      <c r="I414" s="398">
        <v>600358.15491769335</v>
      </c>
      <c r="J414" s="399">
        <f>IF(Aplicar_Escala=1,INDEX(Factor_Escala,11),1)</f>
        <v>1.1499999999999999</v>
      </c>
      <c r="K414" s="398">
        <v>409661.37369621161</v>
      </c>
      <c r="L414" s="86"/>
    </row>
    <row r="415" spans="1:12" hidden="1">
      <c r="A415" s="314">
        <v>363</v>
      </c>
      <c r="B415" s="314" t="s">
        <v>90</v>
      </c>
      <c r="C415" s="315">
        <f t="shared" si="69"/>
        <v>690427.62324935675</v>
      </c>
      <c r="D415" s="315">
        <f t="shared" si="70"/>
        <v>1011820.6904846525</v>
      </c>
      <c r="E415" s="315">
        <f t="shared" si="77"/>
        <v>0</v>
      </c>
      <c r="F415" s="316">
        <f t="shared" si="71"/>
        <v>0</v>
      </c>
      <c r="G415" s="314" t="s">
        <v>613</v>
      </c>
      <c r="H415" s="86"/>
      <c r="I415" s="398">
        <v>879844.07868230657</v>
      </c>
      <c r="J415" s="399">
        <f t="shared" si="72"/>
        <v>1.1499999999999999</v>
      </c>
      <c r="K415" s="398">
        <v>600371.84630378848</v>
      </c>
      <c r="L415" s="86"/>
    </row>
    <row r="416" spans="1:12">
      <c r="C416" s="17"/>
      <c r="D416" s="17"/>
      <c r="E416" s="17"/>
      <c r="F416" s="162"/>
      <c r="H416" s="86"/>
      <c r="I416" s="86"/>
      <c r="J416" s="86"/>
      <c r="K416" s="86"/>
      <c r="L416" s="86"/>
    </row>
    <row r="417" spans="3:12">
      <c r="C417" s="17"/>
      <c r="D417" s="17"/>
      <c r="E417" s="17"/>
      <c r="F417" s="162"/>
      <c r="H417" s="86"/>
      <c r="I417" s="86"/>
      <c r="J417" s="86"/>
      <c r="K417" s="86"/>
      <c r="L417" s="86"/>
    </row>
    <row r="418" spans="3:12">
      <c r="C418" s="17"/>
      <c r="D418" s="17"/>
      <c r="E418" s="17"/>
      <c r="F418" s="162"/>
      <c r="H418" s="86"/>
      <c r="I418" s="86"/>
      <c r="J418" s="86"/>
      <c r="K418" s="86"/>
      <c r="L418" s="86"/>
    </row>
    <row r="419" spans="3:12">
      <c r="C419" s="17"/>
      <c r="D419" s="17"/>
      <c r="E419" s="17"/>
      <c r="F419" s="162"/>
      <c r="H419" s="86"/>
      <c r="I419" s="86"/>
      <c r="J419" s="86"/>
      <c r="K419" s="86"/>
      <c r="L419" s="86"/>
    </row>
    <row r="420" spans="3:12">
      <c r="C420" s="17"/>
      <c r="D420" s="17"/>
      <c r="E420" s="17"/>
      <c r="F420" s="162"/>
      <c r="H420" s="86"/>
      <c r="I420" s="86"/>
      <c r="J420" s="86"/>
      <c r="K420" s="86"/>
      <c r="L420" s="86"/>
    </row>
    <row r="421" spans="3:12">
      <c r="C421" s="17"/>
      <c r="D421" s="17"/>
      <c r="E421" s="17"/>
      <c r="F421" s="162"/>
      <c r="H421" s="86"/>
      <c r="I421" s="86"/>
      <c r="J421" s="86"/>
      <c r="K421" s="86"/>
      <c r="L421" s="86"/>
    </row>
    <row r="422" spans="3:12">
      <c r="C422" s="17"/>
      <c r="D422" s="17"/>
      <c r="E422" s="17"/>
      <c r="F422" s="162"/>
      <c r="H422" s="86"/>
      <c r="I422" s="86"/>
      <c r="J422" s="86"/>
      <c r="K422" s="86"/>
      <c r="L422" s="86"/>
    </row>
    <row r="423" spans="3:12">
      <c r="C423" s="17"/>
      <c r="D423" s="17"/>
      <c r="E423" s="17"/>
      <c r="F423" s="162"/>
      <c r="H423" s="86"/>
      <c r="I423" s="86"/>
      <c r="J423" s="86"/>
      <c r="K423" s="86"/>
      <c r="L423" s="86"/>
    </row>
    <row r="424" spans="3:12">
      <c r="C424" s="17"/>
      <c r="D424" s="17"/>
      <c r="E424" s="17"/>
      <c r="F424" s="162"/>
      <c r="H424" s="86"/>
      <c r="I424" s="86"/>
      <c r="J424" s="86"/>
      <c r="K424" s="86"/>
      <c r="L424" s="86"/>
    </row>
    <row r="425" spans="3:12">
      <c r="C425" s="17"/>
      <c r="D425" s="17"/>
      <c r="E425" s="17"/>
      <c r="F425" s="162"/>
      <c r="H425" s="86"/>
      <c r="I425" s="86"/>
      <c r="J425" s="86"/>
      <c r="K425" s="86"/>
      <c r="L425" s="86"/>
    </row>
    <row r="426" spans="3:12">
      <c r="C426" s="17"/>
      <c r="D426" s="17"/>
      <c r="E426" s="17"/>
      <c r="F426" s="162"/>
      <c r="H426" s="86"/>
      <c r="I426" s="86"/>
      <c r="J426" s="86"/>
      <c r="K426" s="86"/>
      <c r="L426" s="86"/>
    </row>
    <row r="427" spans="3:12">
      <c r="C427" s="17"/>
      <c r="D427" s="17"/>
      <c r="E427" s="17"/>
      <c r="F427" s="162"/>
      <c r="H427" s="86"/>
      <c r="I427" s="86"/>
      <c r="J427" s="86"/>
      <c r="K427" s="86"/>
      <c r="L427" s="86"/>
    </row>
    <row r="428" spans="3:12">
      <c r="C428" s="17"/>
      <c r="D428" s="17"/>
      <c r="E428" s="17"/>
      <c r="F428" s="162"/>
      <c r="H428" s="86"/>
      <c r="I428" s="86"/>
      <c r="J428" s="86"/>
      <c r="K428" s="86"/>
      <c r="L428" s="86"/>
    </row>
    <row r="429" spans="3:12">
      <c r="C429" s="17"/>
      <c r="D429" s="17"/>
      <c r="E429" s="17"/>
      <c r="F429" s="162"/>
      <c r="H429" s="86"/>
      <c r="I429" s="86"/>
      <c r="J429" s="86"/>
      <c r="K429" s="86"/>
      <c r="L429" s="86"/>
    </row>
    <row r="430" spans="3:12">
      <c r="C430" s="17"/>
      <c r="D430" s="17"/>
      <c r="E430" s="17"/>
      <c r="F430" s="162"/>
      <c r="H430" s="86"/>
      <c r="I430" s="86"/>
      <c r="J430" s="86"/>
      <c r="K430" s="86"/>
      <c r="L430" s="86"/>
    </row>
    <row r="431" spans="3:12">
      <c r="C431" s="17"/>
      <c r="D431" s="17"/>
      <c r="E431" s="17"/>
      <c r="F431" s="162"/>
      <c r="H431" s="86"/>
      <c r="I431" s="86"/>
      <c r="J431" s="86"/>
      <c r="K431" s="86"/>
      <c r="L431" s="86"/>
    </row>
    <row r="432" spans="3:12">
      <c r="C432" s="17"/>
      <c r="D432" s="17"/>
      <c r="E432" s="17"/>
      <c r="F432" s="162"/>
      <c r="H432" s="86"/>
      <c r="I432" s="86"/>
      <c r="J432" s="86"/>
      <c r="K432" s="86"/>
      <c r="L432" s="86"/>
    </row>
    <row r="433" spans="3:12">
      <c r="C433" s="17"/>
      <c r="D433" s="17"/>
      <c r="E433" s="17"/>
      <c r="F433" s="162"/>
      <c r="H433" s="86"/>
      <c r="I433" s="86"/>
      <c r="J433" s="86"/>
      <c r="K433" s="86"/>
      <c r="L433" s="86"/>
    </row>
    <row r="434" spans="3:12">
      <c r="C434" s="17"/>
      <c r="D434" s="17"/>
      <c r="E434" s="17"/>
      <c r="F434" s="162"/>
      <c r="H434" s="86"/>
      <c r="I434" s="86"/>
      <c r="J434" s="86"/>
      <c r="K434" s="86"/>
      <c r="L434" s="86"/>
    </row>
    <row r="435" spans="3:12">
      <c r="C435" s="17"/>
      <c r="D435" s="17"/>
      <c r="E435" s="17"/>
      <c r="F435" s="162"/>
      <c r="H435" s="86"/>
      <c r="I435" s="86"/>
      <c r="J435" s="86"/>
      <c r="K435" s="86"/>
      <c r="L435" s="86"/>
    </row>
    <row r="436" spans="3:12">
      <c r="C436" s="17"/>
      <c r="D436" s="17"/>
      <c r="E436" s="17"/>
      <c r="F436" s="162"/>
      <c r="H436" s="86"/>
      <c r="I436" s="86"/>
      <c r="J436" s="86"/>
      <c r="K436" s="86"/>
      <c r="L436" s="86"/>
    </row>
    <row r="437" spans="3:12">
      <c r="C437" s="17"/>
      <c r="D437" s="17"/>
      <c r="E437" s="17"/>
      <c r="F437" s="162"/>
      <c r="H437" s="86"/>
      <c r="I437" s="86"/>
      <c r="J437" s="86"/>
      <c r="K437" s="86"/>
      <c r="L437" s="86"/>
    </row>
    <row r="438" spans="3:12">
      <c r="C438" s="17"/>
      <c r="D438" s="17"/>
      <c r="E438" s="17"/>
      <c r="F438" s="162"/>
      <c r="H438" s="86"/>
      <c r="I438" s="86"/>
      <c r="J438" s="86"/>
      <c r="K438" s="86"/>
      <c r="L438" s="86"/>
    </row>
    <row r="439" spans="3:12">
      <c r="C439" s="17"/>
      <c r="D439" s="17"/>
      <c r="E439" s="17"/>
      <c r="F439" s="162"/>
      <c r="H439" s="86"/>
      <c r="I439" s="86"/>
      <c r="J439" s="86"/>
      <c r="K439" s="86"/>
      <c r="L439" s="86"/>
    </row>
    <row r="440" spans="3:12">
      <c r="C440" s="17"/>
      <c r="D440" s="17"/>
      <c r="E440" s="17"/>
      <c r="F440" s="162"/>
      <c r="H440" s="86"/>
      <c r="I440" s="86"/>
      <c r="J440" s="86"/>
      <c r="K440" s="86"/>
      <c r="L440" s="86"/>
    </row>
    <row r="441" spans="3:12">
      <c r="C441" s="17"/>
      <c r="D441" s="17"/>
      <c r="E441" s="17"/>
      <c r="F441" s="162"/>
      <c r="H441" s="86"/>
      <c r="I441" s="86"/>
      <c r="J441" s="86"/>
      <c r="K441" s="86"/>
      <c r="L441" s="86"/>
    </row>
    <row r="442" spans="3:12">
      <c r="C442" s="17"/>
      <c r="D442" s="17"/>
      <c r="E442" s="17"/>
      <c r="F442" s="162"/>
      <c r="H442" s="86"/>
      <c r="I442" s="86"/>
      <c r="J442" s="86"/>
      <c r="K442" s="86"/>
      <c r="L442" s="86"/>
    </row>
    <row r="443" spans="3:12">
      <c r="C443" s="17"/>
      <c r="D443" s="17"/>
      <c r="E443" s="17"/>
      <c r="F443" s="162"/>
      <c r="H443" s="86"/>
      <c r="I443" s="86"/>
      <c r="J443" s="86"/>
      <c r="K443" s="86"/>
      <c r="L443" s="86"/>
    </row>
    <row r="444" spans="3:12">
      <c r="C444" s="17"/>
      <c r="D444" s="17"/>
      <c r="E444" s="17"/>
      <c r="F444" s="162"/>
      <c r="H444" s="86"/>
      <c r="I444" s="86"/>
      <c r="J444" s="86"/>
      <c r="K444" s="86"/>
      <c r="L444" s="86"/>
    </row>
    <row r="445" spans="3:12">
      <c r="C445" s="17"/>
      <c r="D445" s="17"/>
      <c r="E445" s="17"/>
      <c r="F445" s="162"/>
      <c r="H445" s="86"/>
      <c r="I445" s="86"/>
      <c r="J445" s="86"/>
      <c r="K445" s="86"/>
      <c r="L445" s="86"/>
    </row>
    <row r="446" spans="3:12">
      <c r="C446" s="17"/>
      <c r="D446" s="17"/>
      <c r="E446" s="17"/>
      <c r="F446" s="162"/>
      <c r="H446" s="86"/>
      <c r="I446" s="86"/>
      <c r="J446" s="86"/>
      <c r="K446" s="86"/>
      <c r="L446" s="86"/>
    </row>
    <row r="447" spans="3:12">
      <c r="C447" s="17"/>
      <c r="D447" s="17"/>
      <c r="E447" s="17"/>
      <c r="F447" s="162"/>
      <c r="H447" s="86"/>
      <c r="I447" s="86"/>
      <c r="J447" s="86"/>
      <c r="K447" s="86"/>
      <c r="L447" s="86"/>
    </row>
    <row r="448" spans="3:12">
      <c r="C448" s="17"/>
      <c r="D448" s="17"/>
      <c r="E448" s="17"/>
      <c r="F448" s="162"/>
      <c r="H448" s="86"/>
      <c r="I448" s="86"/>
      <c r="J448" s="86"/>
      <c r="K448" s="86"/>
      <c r="L448" s="86"/>
    </row>
    <row r="449" spans="1:12">
      <c r="C449" s="17"/>
      <c r="D449" s="17"/>
      <c r="E449" s="17"/>
      <c r="F449" s="162"/>
      <c r="H449" s="86"/>
      <c r="I449" s="86"/>
      <c r="J449" s="86"/>
      <c r="K449" s="86"/>
      <c r="L449" s="86"/>
    </row>
    <row r="450" spans="1:12">
      <c r="C450" s="17"/>
      <c r="D450" s="17"/>
      <c r="E450" s="17"/>
      <c r="F450" s="162"/>
      <c r="H450" s="86"/>
      <c r="I450" s="86"/>
      <c r="J450" s="86"/>
      <c r="K450" s="86"/>
      <c r="L450" s="86"/>
    </row>
    <row r="451" spans="1:12">
      <c r="C451" s="17"/>
      <c r="D451" s="17"/>
      <c r="E451" s="17"/>
      <c r="F451" s="162"/>
      <c r="H451" s="86"/>
      <c r="I451" s="86"/>
      <c r="J451" s="86"/>
      <c r="K451" s="86"/>
      <c r="L451" s="86"/>
    </row>
    <row r="452" spans="1:12">
      <c r="C452" s="17"/>
      <c r="D452" s="17"/>
      <c r="E452" s="17"/>
      <c r="F452" s="162"/>
      <c r="H452" s="86"/>
      <c r="I452" s="86"/>
      <c r="J452" s="86"/>
      <c r="K452" s="86"/>
      <c r="L452" s="86"/>
    </row>
    <row r="453" spans="1:12">
      <c r="C453" s="17"/>
      <c r="D453" s="17"/>
      <c r="E453" s="17"/>
      <c r="F453" s="162"/>
      <c r="H453" s="86"/>
      <c r="I453" s="86"/>
      <c r="J453" s="86"/>
      <c r="K453" s="86"/>
      <c r="L453" s="86"/>
    </row>
    <row r="454" spans="1:12">
      <c r="C454" s="17"/>
      <c r="D454" s="17"/>
      <c r="E454" s="17"/>
      <c r="F454" s="162"/>
      <c r="H454" s="86"/>
      <c r="I454" s="86"/>
      <c r="J454" s="86"/>
      <c r="K454" s="86"/>
      <c r="L454" s="86"/>
    </row>
    <row r="455" spans="1:12">
      <c r="C455" s="17"/>
      <c r="D455" s="17"/>
      <c r="E455" s="17"/>
      <c r="F455" s="162"/>
      <c r="H455" s="86"/>
      <c r="I455" s="86"/>
      <c r="J455" s="86"/>
      <c r="K455" s="86"/>
      <c r="L455" s="86"/>
    </row>
    <row r="456" spans="1:12">
      <c r="C456" s="17"/>
      <c r="D456" s="17"/>
      <c r="E456" s="17"/>
      <c r="F456" s="162"/>
      <c r="H456" s="86"/>
      <c r="I456" s="86"/>
      <c r="J456" s="86"/>
      <c r="K456" s="86"/>
      <c r="L456" s="86"/>
    </row>
    <row r="457" spans="1:12">
      <c r="C457" s="17"/>
      <c r="D457" s="17"/>
      <c r="E457" s="17"/>
      <c r="F457" s="162"/>
      <c r="H457" s="86"/>
      <c r="I457" s="86"/>
      <c r="J457" s="86"/>
      <c r="K457" s="86"/>
      <c r="L457" s="86"/>
    </row>
    <row r="458" spans="1:12">
      <c r="C458" s="17"/>
      <c r="D458" s="17"/>
      <c r="E458" s="17"/>
      <c r="F458" s="162"/>
      <c r="H458" s="86"/>
      <c r="I458" s="86"/>
      <c r="J458" s="86"/>
      <c r="K458" s="86"/>
      <c r="L458" s="86"/>
    </row>
    <row r="459" spans="1:12">
      <c r="C459" s="17"/>
      <c r="D459" s="17"/>
      <c r="E459" s="17"/>
      <c r="F459" s="162"/>
      <c r="H459" s="86"/>
      <c r="I459" s="86"/>
      <c r="J459" s="86"/>
      <c r="K459" s="86"/>
      <c r="L459" s="86"/>
    </row>
    <row r="460" spans="1:12">
      <c r="A460" s="97"/>
      <c r="B460" s="97"/>
      <c r="C460" s="98"/>
      <c r="D460" s="98"/>
      <c r="E460" s="98"/>
      <c r="F460" s="99"/>
      <c r="G460" s="97"/>
      <c r="H460" s="86"/>
      <c r="I460" s="86"/>
      <c r="J460" s="86"/>
      <c r="K460" s="86"/>
      <c r="L460" s="86"/>
    </row>
    <row r="461" spans="1:12">
      <c r="A461" s="97"/>
      <c r="B461" s="97"/>
      <c r="C461" s="98"/>
      <c r="D461" s="86"/>
      <c r="E461" s="98"/>
      <c r="F461" s="99"/>
      <c r="G461" s="97"/>
      <c r="H461" s="86"/>
      <c r="I461" s="86"/>
      <c r="J461" s="86"/>
      <c r="K461" s="86"/>
      <c r="L461" s="86"/>
    </row>
    <row r="462" spans="1:12">
      <c r="A462" s="86"/>
      <c r="B462" s="86"/>
      <c r="C462" s="86"/>
      <c r="D462" s="86"/>
      <c r="E462" s="86"/>
      <c r="F462" s="86"/>
      <c r="G462" s="86"/>
      <c r="H462" s="86"/>
      <c r="I462" s="86"/>
      <c r="J462" s="86"/>
      <c r="K462" s="86"/>
      <c r="L462" s="86"/>
    </row>
    <row r="463" spans="1:12">
      <c r="A463" s="86"/>
      <c r="B463" s="86"/>
      <c r="C463" s="86"/>
      <c r="D463" s="86"/>
      <c r="E463" s="86"/>
      <c r="F463" s="86"/>
      <c r="G463" s="86"/>
      <c r="H463" s="86"/>
      <c r="I463" s="86"/>
      <c r="J463" s="86"/>
      <c r="K463" s="86"/>
      <c r="L463" s="86"/>
    </row>
  </sheetData>
  <mergeCells count="6">
    <mergeCell ref="N70:R71"/>
    <mergeCell ref="A1:M1"/>
    <mergeCell ref="A4:L4"/>
    <mergeCell ref="A5:K5"/>
    <mergeCell ref="A11:M11"/>
    <mergeCell ref="A12:M12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Spinner 1">
              <controlPr defaultSize="0" autoPict="0">
                <anchor moveWithCells="1" sizeWithCells="1">
                  <from>
                    <xdr:col>6</xdr:col>
                    <xdr:colOff>101600</xdr:colOff>
                    <xdr:row>6</xdr:row>
                    <xdr:rowOff>12700</xdr:rowOff>
                  </from>
                  <to>
                    <xdr:col>6</xdr:col>
                    <xdr:colOff>736600</xdr:colOff>
                    <xdr:row>6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4" name="Spinner 3">
              <controlPr defaultSize="0" autoPict="0">
                <anchor moveWithCells="1" sizeWithCells="1">
                  <from>
                    <xdr:col>2</xdr:col>
                    <xdr:colOff>114300</xdr:colOff>
                    <xdr:row>6</xdr:row>
                    <xdr:rowOff>12700</xdr:rowOff>
                  </from>
                  <to>
                    <xdr:col>2</xdr:col>
                    <xdr:colOff>762000</xdr:colOff>
                    <xdr:row>6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Spinner 4">
              <controlPr defaultSize="0" autoPict="0">
                <anchor moveWithCells="1" sizeWithCells="1">
                  <from>
                    <xdr:col>5</xdr:col>
                    <xdr:colOff>63500</xdr:colOff>
                    <xdr:row>6</xdr:row>
                    <xdr:rowOff>25400</xdr:rowOff>
                  </from>
                  <to>
                    <xdr:col>5</xdr:col>
                    <xdr:colOff>711200</xdr:colOff>
                    <xdr:row>6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Spinner 5">
              <controlPr defaultSize="0" autoPict="0">
                <anchor moveWithCells="1" sizeWithCells="1">
                  <from>
                    <xdr:col>4</xdr:col>
                    <xdr:colOff>88900</xdr:colOff>
                    <xdr:row>6</xdr:row>
                    <xdr:rowOff>12700</xdr:rowOff>
                  </from>
                  <to>
                    <xdr:col>4</xdr:col>
                    <xdr:colOff>736600</xdr:colOff>
                    <xdr:row>6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Spinner 6">
              <controlPr defaultSize="0" autoPict="0">
                <anchor moveWithCells="1" sizeWithCells="1">
                  <from>
                    <xdr:col>3</xdr:col>
                    <xdr:colOff>88900</xdr:colOff>
                    <xdr:row>6</xdr:row>
                    <xdr:rowOff>25400</xdr:rowOff>
                  </from>
                  <to>
                    <xdr:col>3</xdr:col>
                    <xdr:colOff>736600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Spinner 7">
              <controlPr defaultSize="0" autoPict="0">
                <anchor moveWithCells="1" sizeWithCells="1">
                  <from>
                    <xdr:col>10</xdr:col>
                    <xdr:colOff>88900</xdr:colOff>
                    <xdr:row>6</xdr:row>
                    <xdr:rowOff>25400</xdr:rowOff>
                  </from>
                  <to>
                    <xdr:col>10</xdr:col>
                    <xdr:colOff>736600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Spinner 8">
              <controlPr defaultSize="0" autoPict="0">
                <anchor moveWithCells="1" sizeWithCells="1">
                  <from>
                    <xdr:col>9</xdr:col>
                    <xdr:colOff>101600</xdr:colOff>
                    <xdr:row>6</xdr:row>
                    <xdr:rowOff>12700</xdr:rowOff>
                  </from>
                  <to>
                    <xdr:col>9</xdr:col>
                    <xdr:colOff>736600</xdr:colOff>
                    <xdr:row>6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10" name="Spinner 9">
              <controlPr defaultSize="0" autoPict="0">
                <anchor moveWithCells="1" sizeWithCells="1">
                  <from>
                    <xdr:col>8</xdr:col>
                    <xdr:colOff>101600</xdr:colOff>
                    <xdr:row>6</xdr:row>
                    <xdr:rowOff>12700</xdr:rowOff>
                  </from>
                  <to>
                    <xdr:col>8</xdr:col>
                    <xdr:colOff>749300</xdr:colOff>
                    <xdr:row>6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11" name="Spinner 10">
              <controlPr defaultSize="0" autoPict="0">
                <anchor moveWithCells="1" sizeWithCells="1">
                  <from>
                    <xdr:col>7</xdr:col>
                    <xdr:colOff>101600</xdr:colOff>
                    <xdr:row>6</xdr:row>
                    <xdr:rowOff>12700</xdr:rowOff>
                  </from>
                  <to>
                    <xdr:col>7</xdr:col>
                    <xdr:colOff>749300</xdr:colOff>
                    <xdr:row>6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12" name="Spinner 11">
              <controlPr defaultSize="0" autoPict="0">
                <anchor moveWithCells="1" sizeWithCells="1">
                  <from>
                    <xdr:col>11</xdr:col>
                    <xdr:colOff>88900</xdr:colOff>
                    <xdr:row>6</xdr:row>
                    <xdr:rowOff>12700</xdr:rowOff>
                  </from>
                  <to>
                    <xdr:col>11</xdr:col>
                    <xdr:colOff>736600</xdr:colOff>
                    <xdr:row>6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13" name="11280">
              <controlPr defaultSize="0" autoFill="0" autoPict="0" macro="[0]!ReiniciarEscenarioInt" altText="Reiniciar escenario">
                <anchor moveWithCells="1">
                  <from>
                    <xdr:col>10</xdr:col>
                    <xdr:colOff>495300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4">
    <tabColor rgb="FF2C3E50"/>
    <pageSetUpPr fitToPage="1"/>
  </sheetPr>
  <dimension ref="A1:T39"/>
  <sheetViews>
    <sheetView showGridLines="0" workbookViewId="0">
      <pane xSplit="1" ySplit="8" topLeftCell="B9" activePane="bottomRight" state="frozen"/>
      <selection pane="topRight"/>
      <selection pane="bottomLeft"/>
      <selection pane="bottomRight" activeCell="L25" sqref="L25:M25"/>
    </sheetView>
  </sheetViews>
  <sheetFormatPr baseColWidth="10" defaultColWidth="8.83203125" defaultRowHeight="16"/>
  <cols>
    <col min="1" max="1" width="0.6640625" customWidth="1"/>
    <col min="2" max="2" width="15" customWidth="1"/>
    <col min="3" max="3" width="10" customWidth="1"/>
    <col min="4" max="6" width="13.1640625" customWidth="1"/>
    <col min="7" max="7" width="10" customWidth="1"/>
    <col min="8" max="8" width="11.6640625" customWidth="1"/>
    <col min="9" max="9" width="11.5" customWidth="1"/>
    <col min="10" max="13" width="10" customWidth="1"/>
    <col min="14" max="14" width="9.6640625" customWidth="1"/>
    <col min="15" max="15" width="12" customWidth="1"/>
    <col min="16" max="19" width="10" customWidth="1"/>
    <col min="20" max="20" width="0.6640625" customWidth="1"/>
  </cols>
  <sheetData>
    <row r="1" spans="1:20" ht="34" customHeight="1">
      <c r="A1" s="67"/>
      <c r="B1" s="263" t="str">
        <f>IF(SUM(DeltaF21c)=0,"📊  Resumen Ejecutivo","📊  Resumen Ejecutivo de Proyectos Comparados")&amp;" — Paraguay"</f>
        <v>📊  Resumen Ejecutivo de Proyectos Comparados — Paraguay</v>
      </c>
      <c r="C1" s="263"/>
      <c r="D1" s="263"/>
      <c r="E1" s="263"/>
      <c r="F1" s="263"/>
      <c r="G1" s="263"/>
      <c r="H1" s="263"/>
      <c r="I1" s="263"/>
      <c r="J1" s="263"/>
      <c r="K1" s="455" t="str">
        <f>IF(SUM(DeltaF21c)=0,"Estímulo Total","Estímulo Nacional Neto")</f>
        <v>Estímulo Nacional Neto</v>
      </c>
      <c r="L1" s="456"/>
      <c r="M1" s="456"/>
      <c r="N1" s="456"/>
      <c r="O1" s="457">
        <f>IFERROR(Produccion!C40,0)</f>
        <v>70</v>
      </c>
      <c r="P1" s="419"/>
      <c r="Q1" s="419"/>
      <c r="R1" s="448" t="s">
        <v>527</v>
      </c>
      <c r="S1" s="419"/>
      <c r="T1" s="419"/>
    </row>
    <row r="2" spans="1:20" ht="6" customHeight="1">
      <c r="A2" s="167"/>
      <c r="B2" s="167"/>
      <c r="C2" s="167"/>
      <c r="D2" s="167"/>
      <c r="E2" s="167"/>
      <c r="F2" s="167"/>
      <c r="G2" s="167"/>
      <c r="H2" s="167"/>
      <c r="I2" s="167"/>
      <c r="J2" s="167"/>
      <c r="K2" s="167"/>
      <c r="L2" s="167"/>
      <c r="M2" s="167"/>
      <c r="N2" s="167"/>
      <c r="O2" s="167"/>
      <c r="P2" s="167"/>
      <c r="Q2" s="167"/>
      <c r="R2" s="167"/>
      <c r="S2" s="167"/>
      <c r="T2" s="167"/>
    </row>
    <row r="3" spans="1:20" ht="22" customHeight="1">
      <c r="A3" s="167"/>
      <c r="B3" s="470" t="s">
        <v>122</v>
      </c>
      <c r="C3" s="419"/>
      <c r="D3" s="419"/>
      <c r="E3" s="419"/>
      <c r="F3" s="419"/>
      <c r="G3" s="419"/>
      <c r="H3" s="167"/>
      <c r="I3" s="475" t="s">
        <v>123</v>
      </c>
      <c r="J3" s="419"/>
      <c r="K3" s="419"/>
      <c r="L3" s="419"/>
      <c r="M3" s="419"/>
      <c r="N3" s="167"/>
      <c r="O3" s="451" t="s">
        <v>124</v>
      </c>
      <c r="P3" s="419"/>
      <c r="Q3" s="419"/>
      <c r="R3" s="419"/>
      <c r="S3" s="419"/>
      <c r="T3" s="167"/>
    </row>
    <row r="4" spans="1:20" ht="40" customHeight="1">
      <c r="A4" s="167"/>
      <c r="B4" s="443">
        <f>IFERROR(Produccion!K40,0)</f>
        <v>179.89947375516482</v>
      </c>
      <c r="C4" s="419"/>
      <c r="D4" s="419"/>
      <c r="E4" s="419"/>
      <c r="F4" s="419"/>
      <c r="G4" s="419"/>
      <c r="H4" s="167"/>
      <c r="I4" s="471">
        <f>IFERROR(PIB!K40,0)</f>
        <v>76.440879515831313</v>
      </c>
      <c r="J4" s="419"/>
      <c r="K4" s="419"/>
      <c r="L4" s="419"/>
      <c r="M4" s="419"/>
      <c r="N4" s="167"/>
      <c r="O4" s="446">
        <f>IFERROR(Empleo!K40,0)</f>
        <v>4807.6364042444357</v>
      </c>
      <c r="P4" s="419"/>
      <c r="Q4" s="419"/>
      <c r="R4" s="419"/>
      <c r="S4" s="419"/>
      <c r="T4" s="167"/>
    </row>
    <row r="5" spans="1:20" ht="16" customHeight="1">
      <c r="A5" s="167"/>
      <c r="B5" s="472" t="s">
        <v>125</v>
      </c>
      <c r="C5" s="419"/>
      <c r="D5" s="485">
        <f>IFERROR(Produccion!K40/Parametros!C4,0)</f>
        <v>4.3250264155587168E-3</v>
      </c>
      <c r="E5" s="419"/>
      <c r="F5" s="419"/>
      <c r="G5" s="419"/>
      <c r="H5" s="167"/>
      <c r="I5" s="444" t="s">
        <v>125</v>
      </c>
      <c r="J5" s="419"/>
      <c r="K5" s="458">
        <f>IFERROR(PIB!K40/Parametros!C4,0)</f>
        <v>1.8377420246623707E-3</v>
      </c>
      <c r="L5" s="419"/>
      <c r="M5" s="419"/>
      <c r="N5" s="167"/>
      <c r="O5" s="449" t="s">
        <v>126</v>
      </c>
      <c r="P5" s="419"/>
      <c r="Q5" s="460">
        <f>IFERROR(Empleo!K40/'Informacion Empleo'!C39,0)</f>
        <v>1.549746133882158E-3</v>
      </c>
      <c r="R5" s="419"/>
      <c r="S5" s="419"/>
      <c r="T5" s="167"/>
    </row>
    <row r="6" spans="1:20" ht="15" customHeight="1">
      <c r="A6" s="167"/>
      <c r="B6" s="472" t="s">
        <v>127</v>
      </c>
      <c r="C6" s="419"/>
      <c r="D6" s="442">
        <f>IFERROR(Produccion!K40/Produccion!C40,"—")</f>
        <v>2.5699924822166405</v>
      </c>
      <c r="E6" s="419"/>
      <c r="F6" s="419"/>
      <c r="G6" s="419"/>
      <c r="H6" s="167"/>
      <c r="I6" s="444" t="s">
        <v>128</v>
      </c>
      <c r="J6" s="419"/>
      <c r="K6" s="473">
        <f>IFERROR(PIB!K40/PIB!C40,"—")</f>
        <v>3.8732604558611294</v>
      </c>
      <c r="L6" s="419"/>
      <c r="M6" s="419"/>
      <c r="N6" s="167"/>
      <c r="O6" s="449" t="s">
        <v>129</v>
      </c>
      <c r="P6" s="419"/>
      <c r="Q6" s="464">
        <f>IFERROR(Empleo!K40/Produccion!C40,"—")</f>
        <v>68.680520060634791</v>
      </c>
      <c r="R6" s="419"/>
      <c r="S6" s="419"/>
      <c r="T6" s="167"/>
    </row>
    <row r="7" spans="1:20" ht="18" customHeight="1">
      <c r="A7" s="167"/>
      <c r="B7" s="472" t="s">
        <v>130</v>
      </c>
      <c r="C7" s="419"/>
      <c r="D7" s="459">
        <f>IFERROR(Produccion!I40,0)</f>
        <v>30.560418326964271</v>
      </c>
      <c r="E7" s="419"/>
      <c r="F7" s="419"/>
      <c r="G7" s="419"/>
      <c r="H7" s="167"/>
      <c r="I7" s="444" t="s">
        <v>131</v>
      </c>
      <c r="J7" s="419"/>
      <c r="K7" s="482">
        <f>IFERROR(PIB!K40/Produccion!K40,"—")</f>
        <v>0.4249088555971206</v>
      </c>
      <c r="L7" s="419"/>
      <c r="M7" s="419"/>
      <c r="N7" s="167"/>
      <c r="O7" s="449" t="s">
        <v>132</v>
      </c>
      <c r="P7" s="419"/>
      <c r="Q7" s="479">
        <f>IFERROR(Empleo!C79/Empleo!E79,"—")</f>
        <v>0.38639140118620796</v>
      </c>
      <c r="R7" s="419"/>
      <c r="S7" s="419"/>
      <c r="T7" s="167"/>
    </row>
    <row r="8" spans="1:20" ht="16" customHeight="1">
      <c r="A8" s="167"/>
      <c r="B8" s="167"/>
      <c r="C8" s="167"/>
      <c r="D8" s="167"/>
      <c r="E8" s="167"/>
      <c r="F8" s="167"/>
      <c r="G8" s="167"/>
      <c r="H8" s="167"/>
      <c r="I8" s="167"/>
      <c r="J8" s="167"/>
      <c r="K8" s="167"/>
      <c r="L8" s="167"/>
      <c r="M8" s="167"/>
      <c r="N8" s="167"/>
      <c r="O8" s="167"/>
      <c r="P8" s="167"/>
      <c r="Q8" s="167"/>
      <c r="R8" s="167"/>
      <c r="S8" s="167"/>
      <c r="T8" s="167"/>
    </row>
    <row r="9" spans="1:20" ht="16" customHeight="1">
      <c r="A9" s="167"/>
      <c r="B9" s="452" t="s">
        <v>133</v>
      </c>
      <c r="C9" s="419"/>
      <c r="D9" s="419"/>
      <c r="E9" s="419"/>
      <c r="F9" s="419"/>
      <c r="G9" s="419"/>
      <c r="H9" s="419"/>
      <c r="I9" s="419"/>
      <c r="J9" s="419"/>
      <c r="K9" s="419"/>
      <c r="L9" s="419"/>
      <c r="M9" s="419"/>
      <c r="N9" s="419"/>
      <c r="O9" s="419"/>
      <c r="P9" s="419"/>
      <c r="Q9" s="419"/>
      <c r="R9" s="419"/>
      <c r="S9" s="419"/>
      <c r="T9" s="167"/>
    </row>
    <row r="10" spans="1:20" ht="27" customHeight="1">
      <c r="A10" s="167"/>
      <c r="B10" s="474" t="s">
        <v>134</v>
      </c>
      <c r="C10" s="419"/>
      <c r="D10" s="480" t="s">
        <v>135</v>
      </c>
      <c r="E10" s="480" t="s">
        <v>136</v>
      </c>
      <c r="F10" s="239" t="s">
        <v>137</v>
      </c>
      <c r="G10" s="240" t="s">
        <v>138</v>
      </c>
      <c r="H10" s="237"/>
      <c r="I10" s="238" t="s">
        <v>139</v>
      </c>
      <c r="J10" s="454" t="s">
        <v>140</v>
      </c>
      <c r="K10" s="463" t="s">
        <v>141</v>
      </c>
      <c r="L10" s="490" t="s">
        <v>142</v>
      </c>
      <c r="M10" s="474" t="s">
        <v>143</v>
      </c>
      <c r="N10" s="237"/>
      <c r="O10" s="467" t="s">
        <v>144</v>
      </c>
      <c r="P10" s="487" t="s">
        <v>145</v>
      </c>
      <c r="Q10" s="488" t="s">
        <v>146</v>
      </c>
      <c r="R10" s="463" t="s">
        <v>147</v>
      </c>
      <c r="S10" s="492" t="s">
        <v>148</v>
      </c>
      <c r="T10" s="167"/>
    </row>
    <row r="11" spans="1:20" ht="20" customHeight="1">
      <c r="A11" s="167"/>
      <c r="B11" s="491" t="s">
        <v>149</v>
      </c>
      <c r="C11" s="419"/>
      <c r="D11" s="169">
        <f>IFERROR(Produccion!C40,0)</f>
        <v>70</v>
      </c>
      <c r="E11" s="168">
        <f>IFERROR(Produccion!D40,0)</f>
        <v>47.124828435486208</v>
      </c>
      <c r="F11" s="168">
        <f>IFERROR(Produccion!E40,0)</f>
        <v>0</v>
      </c>
      <c r="G11" s="171">
        <f>IFERROR(Produccion!F40,0)</f>
        <v>47.124828435486208</v>
      </c>
      <c r="H11" s="167"/>
      <c r="I11" s="168">
        <f>IFERROR(Produccion!G40,0)</f>
        <v>30.560418326964271</v>
      </c>
      <c r="J11" s="168">
        <f>IFERROR(Produccion!H40,0)</f>
        <v>0</v>
      </c>
      <c r="K11" s="170">
        <f>IFERROR(Produccion!I40,0)</f>
        <v>30.560418326964271</v>
      </c>
      <c r="L11" s="394">
        <f>IFERROR(Produccion!J40,0)</f>
        <v>32.214226992714245</v>
      </c>
      <c r="M11" s="171">
        <f>IFERROR(Produccion!K40,0)</f>
        <v>179.89947375516482</v>
      </c>
      <c r="N11" s="167"/>
      <c r="O11" s="172">
        <f>IFERROR((Produccion!D40+Produccion!G40)/Produccion!K40,0)</f>
        <v>0.43182586997545441</v>
      </c>
      <c r="P11" s="173">
        <f>IFERROR((Produccion!E40+Produccion!H40)/Produccion!K40,0)</f>
        <v>0</v>
      </c>
      <c r="Q11" s="396">
        <f>IFERROR(Produccion!J40/Produccion!K40,0)</f>
        <v>0.17906793344240893</v>
      </c>
      <c r="R11" s="174">
        <f>IFERROR(Produccion!K40/Parametros!C4,0)</f>
        <v>4.3250264155587168E-3</v>
      </c>
      <c r="S11" s="175">
        <f>IFERROR((Produccion!D40+Produccion!G40)/Produccion!K40,0)</f>
        <v>0.43182586997545441</v>
      </c>
      <c r="T11" s="167"/>
    </row>
    <row r="12" spans="1:20" ht="20" customHeight="1">
      <c r="A12" s="167"/>
      <c r="B12" s="465" t="s">
        <v>150</v>
      </c>
      <c r="C12" s="419"/>
      <c r="D12" s="169">
        <f>IFERROR(PIB!C40,0)</f>
        <v>19.735538156273165</v>
      </c>
      <c r="E12" s="176">
        <f>IFERROR(PIB!D40,0)</f>
        <v>22.035766109808488</v>
      </c>
      <c r="F12" s="176">
        <f>IFERROR(PIB!E40,0)</f>
        <v>0</v>
      </c>
      <c r="G12" s="171">
        <f>IFERROR(PIB!F40,0)</f>
        <v>22.035766109808488</v>
      </c>
      <c r="H12" s="167"/>
      <c r="I12" s="176">
        <f>IFERROR(PIB!G40,0)</f>
        <v>17.083211474214128</v>
      </c>
      <c r="J12" s="176">
        <f>IFERROR(PIB!H40,0)</f>
        <v>0</v>
      </c>
      <c r="K12" s="170">
        <f>IFERROR(PIB!I40,0)</f>
        <v>17.083211474214128</v>
      </c>
      <c r="L12" s="394">
        <f>IFERROR(PIB!J40,0)</f>
        <v>17.586363775535499</v>
      </c>
      <c r="M12" s="171">
        <f>IFERROR(PIB!K40,0)</f>
        <v>76.440879515831313</v>
      </c>
      <c r="N12" s="167"/>
      <c r="O12" s="172">
        <f>IFERROR((PIB!D40+PIB!G40)/PIB!K40,0)</f>
        <v>0.5117546767096115</v>
      </c>
      <c r="P12" s="173">
        <f>IFERROR((PIB!E40+PIB!H40)/PIB!K40,0)</f>
        <v>0</v>
      </c>
      <c r="Q12" s="396">
        <f>IFERROR(PIB!J40/PIB!K40,0)</f>
        <v>0.23006490619843364</v>
      </c>
      <c r="R12" s="174">
        <f>IFERROR(PIB!K40/Parametros!C4,0)</f>
        <v>1.8377420246623707E-3</v>
      </c>
      <c r="S12" s="175">
        <f>IFERROR((PIB!D40+PIB!G40)/PIB!K40,0)</f>
        <v>0.5117546767096115</v>
      </c>
      <c r="T12" s="167"/>
    </row>
    <row r="13" spans="1:20" ht="20" customHeight="1">
      <c r="A13" s="167"/>
      <c r="B13" s="469" t="s">
        <v>151</v>
      </c>
      <c r="C13" s="419"/>
      <c r="D13" s="228">
        <f>IFERROR(Empleo!C40,0)</f>
        <v>530.57828811407171</v>
      </c>
      <c r="E13" s="231">
        <f>IFERROR(Empleo!D40,0)</f>
        <v>1852.4068539257078</v>
      </c>
      <c r="F13" s="231">
        <f>IFERROR(Empleo!E40,0)</f>
        <v>0</v>
      </c>
      <c r="G13" s="229">
        <f>IFERROR(Empleo!F40,0)</f>
        <v>1852.4068539257078</v>
      </c>
      <c r="H13" s="167"/>
      <c r="I13" s="231">
        <f>IFERROR(Empleo!G40,0)</f>
        <v>1101.2829226956237</v>
      </c>
      <c r="J13" s="231">
        <f>IFERROR(Empleo!H40,0)</f>
        <v>0</v>
      </c>
      <c r="K13" s="230">
        <f>IFERROR(Empleo!I40,0)</f>
        <v>1101.2829226956237</v>
      </c>
      <c r="L13" s="395">
        <f>IFERROR(Empleo!J40,0)</f>
        <v>1323.368339509032</v>
      </c>
      <c r="M13" s="229">
        <f>IFERROR(Empleo!K40,0)</f>
        <v>4807.6364042444357</v>
      </c>
      <c r="N13" s="167"/>
      <c r="O13" s="172">
        <f>IFERROR((Empleo!D40+Empleo!G40)/Empleo!K40,0)</f>
        <v>0.61437461743439203</v>
      </c>
      <c r="P13" s="173">
        <f>IFERROR((Empleo!E40+Empleo!H40)/Empleo!K40,0)</f>
        <v>0</v>
      </c>
      <c r="Q13" s="396">
        <f>IFERROR(Empleo!J40/Empleo!K40,0)</f>
        <v>0.2752638153627201</v>
      </c>
      <c r="R13" s="174">
        <f>IFERROR(Empleo!K40*1000/'Informacion Empleo'!C39,0)</f>
        <v>1.5497461338821581</v>
      </c>
      <c r="S13" s="175">
        <f>IFERROR((Empleo!D40+Empleo!G40)/Empleo!K40,0)</f>
        <v>0.61437461743439203</v>
      </c>
      <c r="T13" s="167"/>
    </row>
    <row r="14" spans="1:20" ht="20" customHeight="1">
      <c r="A14" s="167"/>
      <c r="B14" s="461" t="s">
        <v>152</v>
      </c>
      <c r="C14" s="419"/>
      <c r="D14" s="419"/>
      <c r="E14" s="419"/>
      <c r="F14" s="419"/>
      <c r="G14" s="419"/>
      <c r="H14" s="419"/>
      <c r="I14" s="419"/>
      <c r="J14" s="419"/>
      <c r="K14" s="419"/>
      <c r="L14" s="419"/>
      <c r="M14" s="419"/>
      <c r="N14" s="419"/>
      <c r="O14" s="419"/>
      <c r="P14" s="419"/>
      <c r="Q14" s="419"/>
      <c r="R14" s="419"/>
      <c r="S14" s="419"/>
      <c r="T14" s="167"/>
    </row>
    <row r="15" spans="1:20" ht="20" customHeight="1">
      <c r="A15" s="167"/>
      <c r="B15" s="167"/>
      <c r="C15" s="167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</row>
    <row r="16" spans="1:20" ht="23" customHeight="1">
      <c r="A16" s="167"/>
      <c r="B16" s="445" t="s">
        <v>153</v>
      </c>
      <c r="C16" s="419"/>
      <c r="D16" s="419"/>
      <c r="E16" s="419"/>
      <c r="F16" s="419"/>
      <c r="G16" s="419"/>
      <c r="H16" s="419"/>
      <c r="I16" s="419"/>
      <c r="J16" s="419"/>
      <c r="K16" s="419"/>
      <c r="L16" s="419"/>
      <c r="M16" s="419"/>
      <c r="N16" s="419"/>
      <c r="O16" s="419"/>
      <c r="P16" s="419"/>
      <c r="Q16" s="419"/>
      <c r="R16" s="419"/>
      <c r="S16" s="419"/>
      <c r="T16" s="167"/>
    </row>
    <row r="17" spans="1:20" s="232" customFormat="1" ht="28" customHeight="1">
      <c r="A17" s="241"/>
      <c r="B17" s="453" t="s">
        <v>154</v>
      </c>
      <c r="C17" s="441"/>
      <c r="D17" s="242" t="s">
        <v>155</v>
      </c>
      <c r="E17" s="243" t="s">
        <v>156</v>
      </c>
      <c r="F17" s="244" t="s">
        <v>157</v>
      </c>
      <c r="G17" s="453" t="s">
        <v>158</v>
      </c>
      <c r="H17" s="441"/>
      <c r="I17" s="242" t="s">
        <v>155</v>
      </c>
      <c r="J17" s="243" t="s">
        <v>156</v>
      </c>
      <c r="K17" s="245" t="s">
        <v>157</v>
      </c>
      <c r="L17" s="453" t="s">
        <v>159</v>
      </c>
      <c r="M17" s="441"/>
      <c r="N17" s="242" t="s">
        <v>155</v>
      </c>
      <c r="O17" s="243" t="s">
        <v>156</v>
      </c>
      <c r="P17" s="453" t="s">
        <v>160</v>
      </c>
      <c r="Q17" s="441"/>
      <c r="R17" s="242" t="s">
        <v>155</v>
      </c>
      <c r="S17" s="243" t="s">
        <v>156</v>
      </c>
      <c r="T17" s="241"/>
    </row>
    <row r="18" spans="1:20" ht="20" customHeight="1">
      <c r="A18" s="167"/>
      <c r="B18" s="450" t="s">
        <v>161</v>
      </c>
      <c r="C18" s="419"/>
      <c r="D18" s="292">
        <f>IFERROR(Empleo!H79,0)</f>
        <v>1280.4982008700242</v>
      </c>
      <c r="E18" s="293">
        <f>IFERROR(Empleo!H79/Empleo!I79,0)</f>
        <v>0.26634672283859329</v>
      </c>
      <c r="F18" s="294">
        <f>IFERROR(Empleo!H79/'Informacion Empleo'!C39,0)</f>
        <v>4.1276980399129271E-4</v>
      </c>
      <c r="G18" s="450" t="s">
        <v>162</v>
      </c>
      <c r="H18" s="419"/>
      <c r="I18" s="246">
        <f>IFERROR(Empleo!C79,0)</f>
        <v>1857.6293666298304</v>
      </c>
      <c r="J18" s="478">
        <f>IFERROR(Empleo!C79/Empleo!K40,0)</f>
        <v>0.38639140118620807</v>
      </c>
      <c r="K18" s="466">
        <f>IFERROR(Empleo!C79/'Informacion Empleo'!C39,0)</f>
        <v>5.9880858015363579E-4</v>
      </c>
      <c r="L18" s="450" t="s">
        <v>163</v>
      </c>
      <c r="M18" s="419"/>
      <c r="N18" s="246">
        <f>Empleo!C118</f>
        <v>1408.6762114403296</v>
      </c>
      <c r="O18" s="248">
        <f>IFERROR(N18/N21,0)</f>
        <v>0.29300805905302552</v>
      </c>
      <c r="P18" s="450" t="s">
        <v>164</v>
      </c>
      <c r="Q18" s="419"/>
      <c r="R18" s="246">
        <f>Empleo!F118</f>
        <v>2792.847653751267</v>
      </c>
      <c r="S18" s="248">
        <f>IFERROR(R18/R21,0)</f>
        <v>0.58091906685904804</v>
      </c>
      <c r="T18" s="167"/>
    </row>
    <row r="19" spans="1:20" ht="18" customHeight="1">
      <c r="A19" s="167"/>
      <c r="B19" s="450" t="s">
        <v>165</v>
      </c>
      <c r="C19" s="419"/>
      <c r="D19" s="250">
        <f>IFERROR(Empleo!G79,0)</f>
        <v>1745.1657550092646</v>
      </c>
      <c r="E19" s="251">
        <f>IFERROR(Empleo!G79/Empleo!I79,0)</f>
        <v>0.3629986979607151</v>
      </c>
      <c r="F19" s="252">
        <f>IFERROR(Empleo!G79/'Informacion Empleo'!C39,0)</f>
        <v>5.6255582876887553E-4</v>
      </c>
      <c r="G19" s="450" t="s">
        <v>166</v>
      </c>
      <c r="H19" s="419"/>
      <c r="I19" s="247">
        <f>IFERROR(Empleo!D79,0)</f>
        <v>2950.0070376146059</v>
      </c>
      <c r="J19" s="481">
        <f>IFERROR(Empleo!D79/Empleo!K40,0)</f>
        <v>0.61360859881379204</v>
      </c>
      <c r="K19" s="484">
        <f>IFERROR(Empleo!D79/'Informacion Empleo'!C39,0)</f>
        <v>9.5093755372852246E-4</v>
      </c>
      <c r="L19" s="450" t="s">
        <v>167</v>
      </c>
      <c r="M19" s="419"/>
      <c r="N19" s="247">
        <f>Empleo!D118</f>
        <v>3398.9601928041084</v>
      </c>
      <c r="O19" s="249">
        <f>IFERROR(N19/N21,0)</f>
        <v>0.70699194094697437</v>
      </c>
      <c r="P19" s="450" t="s">
        <v>168</v>
      </c>
      <c r="Q19" s="419"/>
      <c r="R19" s="247">
        <f>Empleo!G118</f>
        <v>2014.78875049317</v>
      </c>
      <c r="S19" s="249">
        <f>IFERROR(R19/R21,0)</f>
        <v>0.41908093314095207</v>
      </c>
      <c r="T19" s="167"/>
    </row>
    <row r="20" spans="1:20" ht="18" customHeight="1">
      <c r="A20" s="167"/>
      <c r="B20" s="450" t="s">
        <v>169</v>
      </c>
      <c r="C20" s="419"/>
      <c r="D20" s="289">
        <f>IFERROR(Empleo!F79,0)</f>
        <v>1781.9724483651473</v>
      </c>
      <c r="E20" s="290">
        <f>IFERROR(Empleo!F79/Empleo!I79,0)</f>
        <v>0.3706545792006915</v>
      </c>
      <c r="F20" s="291">
        <f>IFERROR(Empleo!F79/'Informacion Empleo'!C39,0)</f>
        <v>5.7442050112199001E-4</v>
      </c>
      <c r="G20" s="177"/>
      <c r="H20" s="177"/>
      <c r="I20" s="177"/>
      <c r="J20" s="177"/>
      <c r="K20" s="177"/>
      <c r="L20" s="177"/>
      <c r="M20" s="177"/>
      <c r="N20" s="177"/>
      <c r="O20" s="177"/>
      <c r="P20" s="177"/>
      <c r="Q20" s="177"/>
      <c r="R20" s="177"/>
      <c r="S20" s="177"/>
      <c r="T20" s="167"/>
    </row>
    <row r="21" spans="1:20" ht="18" customHeight="1">
      <c r="A21" s="167"/>
      <c r="B21" s="177"/>
      <c r="C21" s="177" t="s">
        <v>26</v>
      </c>
      <c r="D21" s="253">
        <f>SUM(D18:D20)</f>
        <v>4807.6364042444357</v>
      </c>
      <c r="E21" s="177"/>
      <c r="F21" s="177"/>
      <c r="G21" s="177"/>
      <c r="H21" s="177"/>
      <c r="I21" s="253">
        <f>IFERROR(Empleo!E79,0)</f>
        <v>4807.6364042444366</v>
      </c>
      <c r="J21" s="177"/>
      <c r="K21" s="177"/>
      <c r="L21" s="177"/>
      <c r="M21" s="177"/>
      <c r="N21" s="253">
        <f>IFERROR(Empleo!E118,0)</f>
        <v>4807.6364042444384</v>
      </c>
      <c r="O21" s="177"/>
      <c r="P21" s="177"/>
      <c r="Q21" s="177"/>
      <c r="R21" s="253">
        <f>IFERROR(Empleo!H118,0)</f>
        <v>4807.6364042444366</v>
      </c>
      <c r="S21" s="177"/>
      <c r="T21" s="167"/>
    </row>
    <row r="22" spans="1:20" ht="15" customHeight="1">
      <c r="A22" s="167"/>
      <c r="B22" s="167"/>
      <c r="C22" s="167"/>
      <c r="D22" s="167"/>
      <c r="E22" s="167"/>
      <c r="F22" s="167"/>
      <c r="G22" s="167"/>
      <c r="H22" s="167"/>
      <c r="I22" s="167"/>
      <c r="J22" s="167"/>
      <c r="K22" s="167"/>
      <c r="L22" s="167"/>
      <c r="M22" s="167"/>
      <c r="N22" s="167"/>
      <c r="O22" s="167"/>
      <c r="P22" s="167"/>
      <c r="Q22" s="167"/>
      <c r="R22" s="167"/>
      <c r="S22" s="167"/>
      <c r="T22" s="167"/>
    </row>
    <row r="23" spans="1:20" s="232" customFormat="1" ht="25" customHeight="1">
      <c r="A23" s="241"/>
      <c r="B23" s="475" t="s">
        <v>170</v>
      </c>
      <c r="C23" s="441"/>
      <c r="D23" s="441"/>
      <c r="E23" s="441"/>
      <c r="F23" s="441"/>
      <c r="G23" s="441"/>
      <c r="H23" s="441"/>
      <c r="I23" s="441"/>
      <c r="J23" s="264"/>
      <c r="K23" s="451" t="s">
        <v>171</v>
      </c>
      <c r="L23" s="441"/>
      <c r="M23" s="441"/>
      <c r="N23" s="441"/>
      <c r="O23" s="441"/>
      <c r="P23" s="441"/>
      <c r="Q23" s="441"/>
      <c r="R23" s="441"/>
      <c r="S23" s="441"/>
      <c r="T23" s="241"/>
    </row>
    <row r="24" spans="1:20" s="232" customFormat="1" ht="25" customHeight="1">
      <c r="A24" s="241"/>
      <c r="B24" s="453" t="s">
        <v>5</v>
      </c>
      <c r="C24" s="441"/>
      <c r="D24" s="441"/>
      <c r="E24" s="476" t="s">
        <v>172</v>
      </c>
      <c r="F24" s="447" t="s">
        <v>173</v>
      </c>
      <c r="G24" s="476" t="s">
        <v>174</v>
      </c>
      <c r="H24" s="453" t="s">
        <v>175</v>
      </c>
      <c r="I24" s="463" t="s">
        <v>176</v>
      </c>
      <c r="J24" s="264"/>
      <c r="K24" s="453" t="s">
        <v>5</v>
      </c>
      <c r="L24" s="441"/>
      <c r="M24" s="441"/>
      <c r="N24" s="477" t="s">
        <v>177</v>
      </c>
      <c r="O24" s="447" t="s">
        <v>173</v>
      </c>
      <c r="P24" s="477" t="s">
        <v>174</v>
      </c>
      <c r="Q24" s="468" t="s">
        <v>175</v>
      </c>
      <c r="R24" s="454" t="s">
        <v>178</v>
      </c>
      <c r="S24" s="463" t="s">
        <v>179</v>
      </c>
      <c r="T24" s="241"/>
    </row>
    <row r="25" spans="1:20" s="232" customFormat="1" ht="25" customHeight="1">
      <c r="A25" s="241"/>
      <c r="B25" s="266">
        <v>1</v>
      </c>
      <c r="C25" s="440" t="str">
        <f>IFERROR(INDEX(Produccion!$A$6:$A$38,MATCH(LARGE(Produccion!$K$6:$K$38,1),Produccion!$K$6:$K$38,0)),"—")</f>
        <v>Producción de carne</v>
      </c>
      <c r="D25" s="441"/>
      <c r="E25" s="267">
        <f>IFERROR(LARGE(Produccion!$K$6:$K$38,1),0)</f>
        <v>103.50742169436525</v>
      </c>
      <c r="F25" s="268">
        <f>IFERROR(INDEX(Produccion!$F$6:$F$38,MATCH(LARGE(Produccion!$K$6:$K$38,1),Produccion!$K$6:$K$38,0)),0)</f>
        <v>1.8881001888100188</v>
      </c>
      <c r="G25" s="269">
        <f>IFERROR(INDEX(Produccion!$I$6:$I$38,MATCH(LARGE(Produccion!$K$6:$K$38,1),Produccion!$K$6:$K$38,0)),0)</f>
        <v>0.13897566265331829</v>
      </c>
      <c r="H25" s="297">
        <f>IFERROR(LARGE(Produccion!$K$6:$K$38,1)/Produccion!$K$40,0)</f>
        <v>0.57536255962168203</v>
      </c>
      <c r="I25" s="270">
        <f>IFERROR(LARGE(Produccion!$K$6:$K$38,1)/INDEX('Estimulos Nacionales'!$C$8:$C$40,MATCH(LARGE(Produccion!$K$6:$K$38,1),Produccion!$K$6:$K$38,0)),0)</f>
        <v>7.3041720199255686E-2</v>
      </c>
      <c r="J25" s="264"/>
      <c r="K25" s="271">
        <v>1</v>
      </c>
      <c r="L25" s="440" t="str">
        <f>IFERROR(INDEX(Empleo!$A$6:$A$38,MATCH(LARGE(Empleo!$K$6:$K$38,1),Empleo!$K$6:$K$38,0)),"—")</f>
        <v>Ganadería</v>
      </c>
      <c r="M25" s="441"/>
      <c r="N25" s="272">
        <f>IFERROR(LARGE(Empleo!$K$6:$K$38,1),0)</f>
        <v>1745.9001957714781</v>
      </c>
      <c r="O25" s="273">
        <f>IFERROR(INDEX(Empleo!$F$6:$F$38,MATCH(LARGE(Empleo!$K$6:$K$38,1),Empleo!$K$6:$K$38,0)),0)</f>
        <v>1646.534011900209</v>
      </c>
      <c r="P25" s="274">
        <f>IFERROR(INDEX(Empleo!$I$6:$I$38,MATCH(LARGE(Empleo!$K$6:$K$38,1),Empleo!$K$6:$K$38,0)),0)</f>
        <v>58.854945209659952</v>
      </c>
      <c r="Q25" s="297">
        <f>IFERROR(LARGE(Empleo!$K$6:$K$38,1)/Empleo!$K$40,0)</f>
        <v>0.36315146341559962</v>
      </c>
      <c r="R25" s="275">
        <f>IFERROR(LARGE(Empleo!$K$6:$K$38,1)/INDEX('Informacion Empleo'!$C$6:$C$38,MATCH(LARGE(Empleo!$K$6:$K$38,1),Empleo!$K$6:$K$38,0)),0)</f>
        <v>1.6040684623320759E-2</v>
      </c>
      <c r="S25" s="298">
        <f>IFERROR(LARGE(Empleo!$K$6:$K$38,1)/Produccion!$C$40,0)</f>
        <v>24.941431368163972</v>
      </c>
      <c r="T25" s="241"/>
    </row>
    <row r="26" spans="1:20" s="232" customFormat="1" ht="25" customHeight="1">
      <c r="A26" s="241"/>
      <c r="B26" s="266">
        <v>2</v>
      </c>
      <c r="C26" s="462" t="str">
        <f>IFERROR(INDEX(Produccion!$A$6:$A$38,MATCH(LARGE(Produccion!$K$6:$K$38,2),Produccion!$K$6:$K$38,0)),"—")</f>
        <v>Ganadería</v>
      </c>
      <c r="D26" s="441"/>
      <c r="E26" s="267">
        <f>IFERROR(LARGE(Produccion!$K$6:$K$38,2),0)</f>
        <v>40.958284117187233</v>
      </c>
      <c r="F26" s="276">
        <f>IFERROR(INDEX(Produccion!$F$6:$F$38,MATCH(LARGE(Produccion!$K$6:$K$38,2),Produccion!$K$6:$K$38,0)),0)</f>
        <v>38.627183862718383</v>
      </c>
      <c r="G26" s="277">
        <f>IFERROR(INDEX(Produccion!$I$6:$I$38,MATCH(LARGE(Produccion!$K$6:$K$38,2),Produccion!$K$6:$K$38,0)),0)</f>
        <v>1.3807189972468876</v>
      </c>
      <c r="H26" s="278">
        <f>IFERROR(LARGE(Produccion!$K$6:$K$38,2)/Produccion!$K$40,0)</f>
        <v>0.22767317359098913</v>
      </c>
      <c r="I26" s="270">
        <f>IFERROR(LARGE(Produccion!$K$6:$K$38,2)/INDEX('Estimulos Nacionales'!$C$8:$C$40,MATCH(LARGE(Produccion!$K$6:$K$38,2),Produccion!$K$6:$K$38,0)),0)</f>
        <v>3.3084235958955759E-2</v>
      </c>
      <c r="J26" s="264"/>
      <c r="K26" s="271">
        <v>2</v>
      </c>
      <c r="L26" s="462" t="str">
        <f>IFERROR(INDEX(Empleo!$A$6:$A$38,MATCH(LARGE(Empleo!$K$6:$K$38,2),Empleo!$K$6:$K$38,0)),"—")</f>
        <v>Comercio al por mayor y menor</v>
      </c>
      <c r="M26" s="441"/>
      <c r="N26" s="272">
        <f>IFERROR(LARGE(Empleo!$K$6:$K$38,2),0)</f>
        <v>1377.9708446124312</v>
      </c>
      <c r="O26" s="279">
        <f>IFERROR(INDEX(Empleo!$F$6:$F$38,MATCH(LARGE(Empleo!$K$6:$K$38,2),Empleo!$K$6:$K$38,0)),0)</f>
        <v>745.31877317075703</v>
      </c>
      <c r="P26" s="280">
        <f>IFERROR(INDEX(Empleo!$I$6:$I$38,MATCH(LARGE(Empleo!$K$6:$K$38,2),Empleo!$K$6:$K$38,0)),0)</f>
        <v>332.32818882277206</v>
      </c>
      <c r="Q26" s="278">
        <f>IFERROR(LARGE(Empleo!$K$6:$K$38,2)/Empleo!$K$40,0)</f>
        <v>0.28662126848775121</v>
      </c>
      <c r="R26" s="275">
        <f>IFERROR(LARGE(Empleo!$K$6:$K$38,2)/INDEX('Informacion Empleo'!$C$6:$C$38,MATCH(LARGE(Empleo!$K$6:$K$38,2),Empleo!$K$6:$K$38,0)),0)</f>
        <v>1.717410076615099E-3</v>
      </c>
      <c r="S26" s="281">
        <f>IFERROR(LARGE(Empleo!$K$6:$K$38,2)/Produccion!$C$40,0)</f>
        <v>19.685297780177589</v>
      </c>
      <c r="T26" s="241"/>
    </row>
    <row r="27" spans="1:20" s="232" customFormat="1" ht="25" customHeight="1">
      <c r="A27" s="241"/>
      <c r="B27" s="266">
        <v>3</v>
      </c>
      <c r="C27" s="440" t="str">
        <f>IFERROR(INDEX(Produccion!$A$6:$A$38,MATCH(LARGE(Produccion!$K$6:$K$38,3),Produccion!$K$6:$K$38,0)),"—")</f>
        <v>Comercio al por mayor y menor</v>
      </c>
      <c r="D27" s="441"/>
      <c r="E27" s="267">
        <f>IFERROR(LARGE(Produccion!$K$6:$K$38,3),0)</f>
        <v>16.752476592341985</v>
      </c>
      <c r="F27" s="268">
        <f>IFERROR(INDEX(Produccion!$F$6:$F$38,MATCH(LARGE(Produccion!$K$6:$K$38,3),Produccion!$K$6:$K$38,0)),0)</f>
        <v>9.0611026715067791</v>
      </c>
      <c r="G27" s="269">
        <f>IFERROR(INDEX(Produccion!$I$6:$I$38,MATCH(LARGE(Produccion!$K$6:$K$38,3),Produccion!$K$6:$K$38,0)),0)</f>
        <v>4.0402307683039282</v>
      </c>
      <c r="H27" s="297">
        <f>IFERROR(LARGE(Produccion!$K$6:$K$38,3)/Produccion!$K$40,0)</f>
        <v>9.3121320716820777E-2</v>
      </c>
      <c r="I27" s="270">
        <f>IFERROR(LARGE(Produccion!$K$6:$K$38,3)/INDEX('Estimulos Nacionales'!$C$8:$C$40,MATCH(LARGE(Produccion!$K$6:$K$38,3),Produccion!$K$6:$K$38,0)),0)</f>
        <v>3.2022931896513334E-3</v>
      </c>
      <c r="J27" s="264"/>
      <c r="K27" s="271">
        <v>3</v>
      </c>
      <c r="L27" s="440" t="str">
        <f>IFERROR(INDEX(Empleo!$A$6:$A$38,MATCH(LARGE(Empleo!$K$6:$K$38,3),Empleo!$K$6:$K$38,0)),"—")</f>
        <v>Producción de carne</v>
      </c>
      <c r="M27" s="441"/>
      <c r="N27" s="272">
        <f>IFERROR(LARGE(Empleo!$K$6:$K$38,3),0)</f>
        <v>701.30539366018024</v>
      </c>
      <c r="O27" s="273">
        <f>IFERROR(INDEX(Empleo!$F$6:$F$38,MATCH(LARGE(Empleo!$K$6:$K$38,3),Empleo!$K$6:$K$38,0)),0)</f>
        <v>12.792656067631084</v>
      </c>
      <c r="P27" s="274">
        <f>IFERROR(INDEX(Empleo!$I$6:$I$38,MATCH(LARGE(Empleo!$K$6:$K$38,3),Empleo!$K$6:$K$38,0)),0)</f>
        <v>0.94161732763531458</v>
      </c>
      <c r="Q27" s="297">
        <f>IFERROR(LARGE(Empleo!$K$6:$K$38,3)/Empleo!$K$40,0)</f>
        <v>0.14587321808301285</v>
      </c>
      <c r="R27" s="275">
        <f>IFERROR(LARGE(Empleo!$K$6:$K$38,3)/INDEX('Informacion Empleo'!$C$6:$C$38,MATCH(LARGE(Empleo!$K$6:$K$38,3),Empleo!$K$6:$K$38,0)),0)</f>
        <v>2.4738276258780917E-2</v>
      </c>
      <c r="S27" s="298">
        <f>IFERROR(LARGE(Empleo!$K$6:$K$38,3)/Produccion!$C$40,0)</f>
        <v>10.018648480859717</v>
      </c>
      <c r="T27" s="241"/>
    </row>
    <row r="28" spans="1:20" s="232" customFormat="1" ht="25" customHeight="1">
      <c r="A28" s="241"/>
      <c r="B28" s="266">
        <v>4</v>
      </c>
      <c r="C28" s="462" t="str">
        <f>IFERROR(INDEX(Produccion!$A$6:$A$38,MATCH(LARGE(Produccion!$K$6:$K$38,4),Produccion!$K$6:$K$38,0)),"—")</f>
        <v>Finanzas y seguros</v>
      </c>
      <c r="D28" s="441"/>
      <c r="E28" s="267">
        <f>IFERROR(LARGE(Produccion!$K$6:$K$38,4),0)</f>
        <v>7.3756568103478823</v>
      </c>
      <c r="F28" s="276">
        <f>IFERROR(INDEX(Produccion!$F$6:$F$38,MATCH(LARGE(Produccion!$K$6:$K$38,4),Produccion!$K$6:$K$38,0)),0)</f>
        <v>1.0997701029466391</v>
      </c>
      <c r="G28" s="277">
        <f>IFERROR(INDEX(Produccion!$I$6:$I$38,MATCH(LARGE(Produccion!$K$6:$K$38,4),Produccion!$K$6:$K$38,0)),0)</f>
        <v>4.6635685866246819</v>
      </c>
      <c r="H28" s="278">
        <f>IFERROR(LARGE(Produccion!$K$6:$K$38,4)/Produccion!$K$40,0)</f>
        <v>4.0998768125279916E-2</v>
      </c>
      <c r="I28" s="270">
        <f>IFERROR(LARGE(Produccion!$K$6:$K$38,4)/INDEX('Estimulos Nacionales'!$C$8:$C$40,MATCH(LARGE(Produccion!$K$6:$K$38,4),Produccion!$K$6:$K$38,0)),0)</f>
        <v>2.9098736774955153E-3</v>
      </c>
      <c r="J28" s="264"/>
      <c r="K28" s="271">
        <v>4</v>
      </c>
      <c r="L28" s="462" t="str">
        <f>IFERROR(INDEX(Empleo!$A$6:$A$38,MATCH(LARGE(Empleo!$K$6:$K$38,4),Empleo!$K$6:$K$38,0)),"—")</f>
        <v>Servicios a los hogares</v>
      </c>
      <c r="M28" s="441"/>
      <c r="N28" s="272">
        <f>IFERROR(LARGE(Empleo!$K$6:$K$38,4),0)</f>
        <v>381.39945926484745</v>
      </c>
      <c r="O28" s="279">
        <f>IFERROR(INDEX(Empleo!$F$6:$F$38,MATCH(LARGE(Empleo!$K$6:$K$38,4),Empleo!$K$6:$K$38,0)),0)</f>
        <v>24.592893143225297</v>
      </c>
      <c r="P28" s="280">
        <f>IFERROR(INDEX(Empleo!$I$6:$I$38,MATCH(LARGE(Empleo!$K$6:$K$38,4),Empleo!$K$6:$K$38,0)),0)</f>
        <v>29.682780105301724</v>
      </c>
      <c r="Q28" s="278">
        <f>IFERROR(LARGE(Empleo!$K$6:$K$38,4)/Empleo!$K$40,0)</f>
        <v>7.9332009993128394E-2</v>
      </c>
      <c r="R28" s="275">
        <f>IFERROR(LARGE(Empleo!$K$6:$K$38,4)/INDEX('Informacion Empleo'!$C$6:$C$38,MATCH(LARGE(Empleo!$K$6:$K$38,4),Empleo!$K$6:$K$38,0)),0)</f>
        <v>8.1015060084806243E-4</v>
      </c>
      <c r="S28" s="281">
        <f>IFERROR(LARGE(Empleo!$K$6:$K$38,4)/Produccion!$C$40,0)</f>
        <v>5.4485637037835346</v>
      </c>
      <c r="T28" s="241"/>
    </row>
    <row r="29" spans="1:20" s="232" customFormat="1" ht="25" customHeight="1">
      <c r="A29" s="241"/>
      <c r="B29" s="266">
        <v>5</v>
      </c>
      <c r="C29" s="440" t="str">
        <f>IFERROR(INDEX(Produccion!$A$6:$A$38,MATCH(LARGE(Produccion!$K$6:$K$38,5),Produccion!$K$6:$K$38,0)),"—")</f>
        <v>Transporte</v>
      </c>
      <c r="D29" s="441"/>
      <c r="E29" s="267">
        <f>IFERROR(LARGE(Produccion!$K$6:$K$38,5),0)</f>
        <v>6.282357446720618</v>
      </c>
      <c r="F29" s="268">
        <f>IFERROR(INDEX(Produccion!$F$6:$F$38,MATCH(LARGE(Produccion!$K$6:$K$38,5),Produccion!$K$6:$K$38,0)),0)</f>
        <v>2.0477770894093172</v>
      </c>
      <c r="G29" s="269">
        <f>IFERROR(INDEX(Produccion!$I$6:$I$38,MATCH(LARGE(Produccion!$K$6:$K$38,5),Produccion!$K$6:$K$38,0)),0)</f>
        <v>2.4274824339976249</v>
      </c>
      <c r="H29" s="297">
        <f>IFERROR(LARGE(Produccion!$K$6:$K$38,5)/Produccion!$K$40,0)</f>
        <v>3.4921488738041705E-2</v>
      </c>
      <c r="I29" s="270">
        <f>IFERROR(LARGE(Produccion!$K$6:$K$38,5)/INDEX('Estimulos Nacionales'!$C$8:$C$40,MATCH(LARGE(Produccion!$K$6:$K$38,5),Produccion!$K$6:$K$38,0)),0)</f>
        <v>3.4326070630098446E-3</v>
      </c>
      <c r="J29" s="264"/>
      <c r="K29" s="271">
        <v>5</v>
      </c>
      <c r="L29" s="440" t="str">
        <f>IFERROR(INDEX(Empleo!$A$6:$A$38,MATCH(LARGE(Empleo!$K$6:$K$38,5),Empleo!$K$6:$K$38,0)),"—")</f>
        <v>Servicios a las empresas</v>
      </c>
      <c r="M29" s="441"/>
      <c r="N29" s="272">
        <f>IFERROR(LARGE(Empleo!$K$6:$K$38,5),0)</f>
        <v>274.54356075304008</v>
      </c>
      <c r="O29" s="273">
        <f>IFERROR(INDEX(Empleo!$F$6:$F$38,MATCH(LARGE(Empleo!$K$6:$K$38,5),Empleo!$K$6:$K$38,0)),0)</f>
        <v>42.708525571994656</v>
      </c>
      <c r="P29" s="274">
        <f>IFERROR(INDEX(Empleo!$I$6:$I$38,MATCH(LARGE(Empleo!$K$6:$K$38,5),Empleo!$K$6:$K$38,0)),0)</f>
        <v>166.46660521850822</v>
      </c>
      <c r="Q29" s="297">
        <f>IFERROR(LARGE(Empleo!$K$6:$K$38,5)/Empleo!$K$40,0)</f>
        <v>5.7105724657267862E-2</v>
      </c>
      <c r="R29" s="275">
        <f>IFERROR(LARGE(Empleo!$K$6:$K$38,5)/INDEX('Informacion Empleo'!$C$6:$C$38,MATCH(LARGE(Empleo!$K$6:$K$38,5),Empleo!$K$6:$K$38,0)),0)</f>
        <v>1.8596228562054817E-3</v>
      </c>
      <c r="S29" s="298">
        <f>IFERROR(LARGE(Empleo!$K$6:$K$38,5)/Produccion!$C$40,0)</f>
        <v>3.9220508679005728</v>
      </c>
      <c r="T29" s="241"/>
    </row>
    <row r="30" spans="1:20" s="232" customFormat="1" ht="25" customHeight="1">
      <c r="A30" s="241"/>
      <c r="B30" s="489"/>
      <c r="C30" s="441"/>
      <c r="D30" s="441"/>
      <c r="E30" s="441"/>
      <c r="F30" s="441"/>
      <c r="G30" s="441"/>
      <c r="H30" s="441"/>
      <c r="I30" s="441"/>
      <c r="J30" s="441"/>
      <c r="K30" s="441"/>
      <c r="L30" s="441"/>
      <c r="M30" s="441"/>
      <c r="N30" s="441"/>
      <c r="O30" s="441"/>
      <c r="P30" s="441"/>
      <c r="Q30" s="441"/>
      <c r="R30" s="441"/>
      <c r="S30" s="441"/>
      <c r="T30" s="241"/>
    </row>
    <row r="31" spans="1:20" s="232" customFormat="1" ht="25" customHeight="1">
      <c r="A31" s="241"/>
      <c r="B31" s="241"/>
      <c r="C31" s="241"/>
      <c r="D31" s="241"/>
      <c r="E31" s="241"/>
      <c r="F31" s="241"/>
      <c r="G31" s="241"/>
      <c r="H31" s="241"/>
      <c r="I31" s="241"/>
      <c r="J31" s="241"/>
      <c r="K31" s="241"/>
      <c r="L31" s="241"/>
      <c r="M31" s="241"/>
      <c r="N31" s="241"/>
      <c r="O31" s="241"/>
      <c r="P31" s="241"/>
      <c r="Q31" s="241"/>
      <c r="R31" s="241"/>
      <c r="S31" s="241"/>
      <c r="T31" s="241"/>
    </row>
    <row r="32" spans="1:20" s="232" customFormat="1" ht="25" customHeight="1">
      <c r="A32" s="241"/>
      <c r="B32" s="483" t="s">
        <v>180</v>
      </c>
      <c r="C32" s="441"/>
      <c r="D32" s="441"/>
      <c r="E32" s="441"/>
      <c r="F32" s="441"/>
      <c r="G32" s="441"/>
      <c r="H32" s="441"/>
      <c r="I32" s="441"/>
      <c r="J32" s="264"/>
      <c r="K32" s="486" t="s">
        <v>181</v>
      </c>
      <c r="L32" s="441"/>
      <c r="M32" s="441"/>
      <c r="N32" s="441"/>
      <c r="O32" s="441"/>
      <c r="P32" s="441"/>
      <c r="Q32" s="441"/>
      <c r="R32" s="441"/>
      <c r="S32" s="441"/>
      <c r="T32" s="241"/>
    </row>
    <row r="33" spans="1:20" s="232" customFormat="1" ht="25" customHeight="1">
      <c r="A33" s="241"/>
      <c r="B33" s="453" t="s">
        <v>5</v>
      </c>
      <c r="C33" s="441"/>
      <c r="D33" s="441"/>
      <c r="E33" s="243" t="s">
        <v>172</v>
      </c>
      <c r="F33" s="242" t="s">
        <v>173</v>
      </c>
      <c r="G33" s="243" t="s">
        <v>174</v>
      </c>
      <c r="H33" s="254" t="s">
        <v>175</v>
      </c>
      <c r="I33" s="245" t="s">
        <v>176</v>
      </c>
      <c r="J33" s="264"/>
      <c r="K33" s="453" t="s">
        <v>5</v>
      </c>
      <c r="L33" s="441"/>
      <c r="M33" s="441"/>
      <c r="N33" s="265" t="s">
        <v>177</v>
      </c>
      <c r="O33" s="242" t="s">
        <v>173</v>
      </c>
      <c r="P33" s="265" t="s">
        <v>174</v>
      </c>
      <c r="Q33" s="282" t="s">
        <v>175</v>
      </c>
      <c r="R33" s="238" t="s">
        <v>178</v>
      </c>
      <c r="S33" s="245" t="s">
        <v>179</v>
      </c>
      <c r="T33" s="241"/>
    </row>
    <row r="34" spans="1:20" s="232" customFormat="1" ht="25" customHeight="1">
      <c r="A34" s="241"/>
      <c r="B34" s="266">
        <v>1</v>
      </c>
      <c r="C34" s="440" t="str">
        <f>IFERROR(INDEX(Produccion!$A$6:$A$38,MATCH(SMALL(Produccion!$K$6:$K$38,1),Produccion!$K$6:$K$38,0)),"—")</f>
        <v>Elaboración de aceites</v>
      </c>
      <c r="D34" s="441"/>
      <c r="E34" s="267">
        <f>IFERROR(SMALL(Produccion!$K$6:$K$38,1),0)</f>
        <v>-29.661591860880339</v>
      </c>
      <c r="F34" s="268">
        <f>IFERROR(INDEX(Produccion!$F$6:$F$38,MATCH(SMALL(Produccion!$K$6:$K$38,1),Produccion!$K$6:$K$38,0)),0)</f>
        <v>3.8801781579840697E-2</v>
      </c>
      <c r="G34" s="269">
        <f>IFERROR(INDEX(Produccion!$I$6:$I$38,MATCH(SMALL(Produccion!$K$6:$K$38,1),Produccion!$K$6:$K$38,0)),0)</f>
        <v>0.13345951933423228</v>
      </c>
      <c r="H34" s="297">
        <f>IFERROR(SMALL(Produccion!$K$6:$K$38,1)/Produccion!$K$40,0)</f>
        <v>-0.16487870276512562</v>
      </c>
      <c r="I34" s="270">
        <f>IFERROR(SMALL(Produccion!$K$6:$K$38,1)/INDEX('Estimulos Nacionales'!$C$8:$C$40,MATCH(SMALL(Produccion!$K$6:$K$38,1),Produccion!$K$6:$K$38,0)),0)</f>
        <v>-4.4264425997433722E-2</v>
      </c>
      <c r="J34" s="264"/>
      <c r="K34" s="271">
        <v>1</v>
      </c>
      <c r="L34" s="440" t="str">
        <f>IFERROR(INDEX(Empleo!$A$6:$A$38,MATCH(SMALL(Empleo!$K$6:$K$38,1),Empleo!$K$6:$K$38,0)),"—")</f>
        <v>Agricultura</v>
      </c>
      <c r="M34" s="441"/>
      <c r="N34" s="272">
        <f>IFERROR(SMALL(Empleo!$K$6:$K$38,1),0)</f>
        <v>-539.68476831581188</v>
      </c>
      <c r="O34" s="273">
        <f>IFERROR(INDEX(Empleo!$F$6:$F$38,MATCH(SMALL(Empleo!$K$6:$K$38,1),Empleo!$K$6:$K$38,0)),0)</f>
        <v>-767.71048731252085</v>
      </c>
      <c r="P34" s="274">
        <f>IFERROR(INDEX(Empleo!$I$6:$I$38,MATCH(SMALL(Empleo!$K$6:$K$38,1),Empleo!$K$6:$K$38,0)),0)</f>
        <v>143.08437047939262</v>
      </c>
      <c r="Q34" s="297">
        <f>IFERROR(SMALL(Empleo!$K$6:$K$38,1)/Empleo!$K$40,0)</f>
        <v>-0.11225573711010042</v>
      </c>
      <c r="R34" s="275">
        <f>IFERROR(SMALL(Empleo!$K$6:$K$38,1)/INDEX('Informacion Empleo'!$C$6:$C$38,MATCH(SMALL(Empleo!$K$6:$K$38,1),Empleo!$K$6:$K$38,0)),0)</f>
        <v>-1.3523019307011819E-3</v>
      </c>
      <c r="S34" s="298">
        <f>IFERROR(SMALL(Empleo!$K$6:$K$38,1)/Produccion!$C$40,0)</f>
        <v>-7.7097824045115981</v>
      </c>
      <c r="T34" s="241"/>
    </row>
    <row r="35" spans="1:20" s="232" customFormat="1" ht="25" customHeight="1">
      <c r="A35" s="241"/>
      <c r="B35" s="266">
        <v>2</v>
      </c>
      <c r="C35" s="462" t="str">
        <f>IFERROR(INDEX(Produccion!$A$6:$A$38,MATCH(SMALL(Produccion!$K$6:$K$38,2),Produccion!$K$6:$K$38,0)),"—")</f>
        <v>Agricultura</v>
      </c>
      <c r="D35" s="441"/>
      <c r="E35" s="267">
        <f>IFERROR(SMALL(Produccion!$K$6:$K$38,2),0)</f>
        <v>-8.5223419974719192</v>
      </c>
      <c r="F35" s="276">
        <f>IFERROR(INDEX(Produccion!$F$6:$F$38,MATCH(SMALL(Produccion!$K$6:$K$38,2),Produccion!$K$6:$K$38,0)),0)</f>
        <v>-12.123172103487063</v>
      </c>
      <c r="G35" s="277">
        <f>IFERROR(INDEX(Produccion!$I$6:$I$38,MATCH(SMALL(Produccion!$K$6:$K$38,2),Produccion!$K$6:$K$38,0)),0)</f>
        <v>2.2594929694305996</v>
      </c>
      <c r="H35" s="278">
        <f>IFERROR(SMALL(Produccion!$K$6:$K$38,2)/Produccion!$K$40,0)</f>
        <v>-4.7372801151550042E-2</v>
      </c>
      <c r="I35" s="270">
        <f>IFERROR(SMALL(Produccion!$K$6:$K$38,2)/INDEX('Estimulos Nacionales'!$C$8:$C$40,MATCH(SMALL(Produccion!$K$6:$K$38,2),Produccion!$K$6:$K$38,0)),0)</f>
        <v>-2.3822725995057636E-3</v>
      </c>
      <c r="J35" s="264"/>
      <c r="K35" s="271">
        <v>2</v>
      </c>
      <c r="L35" s="462" t="str">
        <f>IFERROR(INDEX(Empleo!$A$6:$A$38,MATCH(SMALL(Empleo!$K$6:$K$38,2),Empleo!$K$6:$K$38,0)),"—")</f>
        <v>Elaboración de aceites</v>
      </c>
      <c r="M35" s="441"/>
      <c r="N35" s="272">
        <f>IFERROR(SMALL(Empleo!$K$6:$K$38,2),0)</f>
        <v>-145.30509848608986</v>
      </c>
      <c r="O35" s="279">
        <f>IFERROR(INDEX(Empleo!$F$6:$F$38,MATCH(SMALL(Empleo!$K$6:$K$38,2),Empleo!$K$6:$K$38,0)),0)</f>
        <v>0.19008071853791478</v>
      </c>
      <c r="P35" s="280">
        <f>IFERROR(INDEX(Empleo!$I$6:$I$38,MATCH(SMALL(Empleo!$K$6:$K$38,2),Empleo!$K$6:$K$38,0)),0)</f>
        <v>0.65378650922450121</v>
      </c>
      <c r="Q35" s="278">
        <f>IFERROR(SMALL(Empleo!$K$6:$K$38,2)/Empleo!$K$40,0)</f>
        <v>-3.0223811925087937E-2</v>
      </c>
      <c r="R35" s="275">
        <f>IFERROR(SMALL(Empleo!$K$6:$K$38,2)/INDEX('Informacion Empleo'!$C$6:$C$38,MATCH(SMALL(Empleo!$K$6:$K$38,2),Empleo!$K$6:$K$38,0)),0)</f>
        <v>-2.0853200127165593E-2</v>
      </c>
      <c r="S35" s="281">
        <f>IFERROR(SMALL(Empleo!$K$6:$K$38,2)/Produccion!$C$40,0)</f>
        <v>-2.0757871212298551</v>
      </c>
      <c r="T35" s="241"/>
    </row>
    <row r="36" spans="1:20" s="232" customFormat="1" ht="25" customHeight="1">
      <c r="A36" s="241"/>
      <c r="B36" s="266">
        <v>3</v>
      </c>
      <c r="C36" s="440" t="str">
        <f>IFERROR(INDEX(Produccion!$A$6:$A$38,MATCH(SMALL(Produccion!$K$6:$K$38,3),Produccion!$K$6:$K$38,0)),"—")</f>
        <v>Pesca</v>
      </c>
      <c r="D36" s="441"/>
      <c r="E36" s="267">
        <f>IFERROR(SMALL(Produccion!$K$6:$K$38,3),0)</f>
        <v>3.9343031097167629E-2</v>
      </c>
      <c r="F36" s="268">
        <f>IFERROR(INDEX(Produccion!$F$6:$F$38,MATCH(SMALL(Produccion!$K$6:$K$38,3),Produccion!$K$6:$K$38,0)),0)</f>
        <v>0</v>
      </c>
      <c r="G36" s="269">
        <f>IFERROR(INDEX(Produccion!$I$6:$I$38,MATCH(SMALL(Produccion!$K$6:$K$38,3),Produccion!$K$6:$K$38,0)),0)</f>
        <v>1.7370138418247097E-4</v>
      </c>
      <c r="H36" s="297">
        <f>IFERROR(SMALL(Produccion!$K$6:$K$38,3)/Produccion!$K$40,0)</f>
        <v>2.1869453131759432E-4</v>
      </c>
      <c r="I36" s="270">
        <f>IFERROR(SMALL(Produccion!$K$6:$K$38,3)/INDEX('Estimulos Nacionales'!$C$8:$C$40,MATCH(SMALL(Produccion!$K$6:$K$38,3),Produccion!$K$6:$K$38,0)),0)</f>
        <v>1.0604590592228473E-3</v>
      </c>
      <c r="J36" s="264"/>
      <c r="K36" s="271">
        <v>3</v>
      </c>
      <c r="L36" s="440" t="str">
        <f>IFERROR(INDEX(Empleo!$A$6:$A$38,MATCH(SMALL(Empleo!$K$6:$K$38,3),Empleo!$K$6:$K$38,0)),"—")</f>
        <v>Minería</v>
      </c>
      <c r="M36" s="441"/>
      <c r="N36" s="272">
        <f>IFERROR(SMALL(Empleo!$K$6:$K$38,3),0)</f>
        <v>1.1125875279011908</v>
      </c>
      <c r="O36" s="273">
        <f>IFERROR(INDEX(Empleo!$F$6:$F$38,MATCH(SMALL(Empleo!$K$6:$K$38,3),Empleo!$K$6:$K$38,0)),0)</f>
        <v>2.4310065032444018E-2</v>
      </c>
      <c r="P36" s="274">
        <f>IFERROR(INDEX(Empleo!$I$6:$I$38,MATCH(SMALL(Empleo!$K$6:$K$38,3),Empleo!$K$6:$K$38,0)),0)</f>
        <v>0.28016782089640985</v>
      </c>
      <c r="Q36" s="297">
        <f>IFERROR(SMALL(Empleo!$K$6:$K$38,3)/Empleo!$K$40,0)</f>
        <v>2.3142089674646352E-4</v>
      </c>
      <c r="R36" s="275">
        <f>IFERROR(SMALL(Empleo!$K$6:$K$38,3)/INDEX('Informacion Empleo'!$C$6:$C$38,MATCH(SMALL(Empleo!$K$6:$K$38,3),Empleo!$K$6:$K$38,0)),0)</f>
        <v>2.5361010437683853E-4</v>
      </c>
      <c r="S36" s="298">
        <f>IFERROR(SMALL(Empleo!$K$6:$K$38,3)/Produccion!$C$40,0)</f>
        <v>1.5894107541445584E-2</v>
      </c>
      <c r="T36" s="241"/>
    </row>
    <row r="37" spans="1:20" s="232" customFormat="1" ht="25" customHeight="1">
      <c r="A37" s="241"/>
      <c r="B37" s="266">
        <v>4</v>
      </c>
      <c r="C37" s="462" t="str">
        <f>IFERROR(INDEX(Produccion!$A$6:$A$38,MATCH(SMALL(Produccion!$K$6:$K$38,4),Produccion!$K$6:$K$38,0)),"—")</f>
        <v>Minería</v>
      </c>
      <c r="D37" s="441"/>
      <c r="E37" s="267">
        <f>IFERROR(SMALL(Produccion!$K$6:$K$38,4),0)</f>
        <v>0.10938203801773044</v>
      </c>
      <c r="F37" s="276">
        <f>IFERROR(INDEX(Produccion!$F$6:$F$38,MATCH(SMALL(Produccion!$K$6:$K$38,4),Produccion!$K$6:$K$38,0)),0)</f>
        <v>2.3900002390000235E-3</v>
      </c>
      <c r="G37" s="277">
        <f>IFERROR(INDEX(Produccion!$I$6:$I$38,MATCH(SMALL(Produccion!$K$6:$K$38,4),Produccion!$K$6:$K$38,0)),0)</f>
        <v>2.7544194472902107E-2</v>
      </c>
      <c r="H37" s="278">
        <f>IFERROR(SMALL(Produccion!$K$6:$K$38,4)/Produccion!$K$40,0)</f>
        <v>6.0801755410688156E-4</v>
      </c>
      <c r="I37" s="270">
        <f>IFERROR(SMALL(Produccion!$K$6:$K$38,4)/INDEX('Estimulos Nacionales'!$C$8:$C$40,MATCH(SMALL(Produccion!$K$6:$K$38,4),Produccion!$K$6:$K$38,0)),0)</f>
        <v>7.8919219349011865E-4</v>
      </c>
      <c r="J37" s="264"/>
      <c r="K37" s="271">
        <v>4</v>
      </c>
      <c r="L37" s="462" t="str">
        <f>IFERROR(INDEX(Empleo!$A$6:$A$38,MATCH(SMALL(Empleo!$K$6:$K$38,4),Empleo!$K$6:$K$38,0)),"—")</f>
        <v>Hierro y acero</v>
      </c>
      <c r="M37" s="441"/>
      <c r="N37" s="272">
        <f>IFERROR(SMALL(Empleo!$K$6:$K$38,4),0)</f>
        <v>2.3850592432105868</v>
      </c>
      <c r="O37" s="279">
        <f>IFERROR(INDEX(Empleo!$F$6:$F$38,MATCH(SMALL(Empleo!$K$6:$K$38,4),Empleo!$K$6:$K$38,0)),0)</f>
        <v>9.335340933534092E-2</v>
      </c>
      <c r="P37" s="280">
        <f>IFERROR(INDEX(Empleo!$I$6:$I$38,MATCH(SMALL(Empleo!$K$6:$K$38,4),Empleo!$K$6:$K$38,0)),0)</f>
        <v>1.3462595855810966</v>
      </c>
      <c r="Q37" s="278">
        <f>IFERROR(SMALL(Empleo!$K$6:$K$38,4)/Empleo!$K$40,0)</f>
        <v>4.9609809117530824E-4</v>
      </c>
      <c r="R37" s="275">
        <f>IFERROR(SMALL(Empleo!$K$6:$K$38,4)/INDEX('Informacion Empleo'!$C$6:$C$38,MATCH(SMALL(Empleo!$K$6:$K$38,4),Empleo!$K$6:$K$38,0)),0)</f>
        <v>6.1061424557362696E-4</v>
      </c>
      <c r="S37" s="281">
        <f>IFERROR(SMALL(Empleo!$K$6:$K$38,4)/Produccion!$C$40,0)</f>
        <v>3.4072274903008383E-2</v>
      </c>
      <c r="T37" s="241"/>
    </row>
    <row r="38" spans="1:20" s="232" customFormat="1" ht="25" customHeight="1">
      <c r="A38" s="241"/>
      <c r="B38" s="266">
        <v>5</v>
      </c>
      <c r="C38" s="440" t="str">
        <f>IFERROR(INDEX(Produccion!$A$6:$A$38,MATCH(SMALL(Produccion!$K$6:$K$38,5),Produccion!$K$6:$K$38,0)),"—")</f>
        <v>Hierro y acero</v>
      </c>
      <c r="D38" s="441"/>
      <c r="E38" s="267">
        <f>IFERROR(SMALL(Produccion!$K$6:$K$38,5),0)</f>
        <v>0.12212284911472539</v>
      </c>
      <c r="F38" s="268">
        <f>IFERROR(INDEX(Produccion!$F$6:$F$38,MATCH(SMALL(Produccion!$K$6:$K$38,5),Produccion!$K$6:$K$38,0)),0)</f>
        <v>4.7800004780000471E-3</v>
      </c>
      <c r="G38" s="269">
        <f>IFERROR(INDEX(Produccion!$I$6:$I$38,MATCH(SMALL(Produccion!$K$6:$K$38,5),Produccion!$K$6:$K$38,0)),0)</f>
        <v>6.8932902487511341E-2</v>
      </c>
      <c r="H38" s="297">
        <f>IFERROR(SMALL(Produccion!$K$6:$K$38,5)/Produccion!$K$40,0)</f>
        <v>6.7883939049721267E-4</v>
      </c>
      <c r="I38" s="270">
        <f>IFERROR(SMALL(Produccion!$K$6:$K$38,5)/INDEX('Estimulos Nacionales'!$C$8:$C$40,MATCH(SMALL(Produccion!$K$6:$K$38,5),Produccion!$K$6:$K$38,0)),0)</f>
        <v>1.097240333465637E-3</v>
      </c>
      <c r="J38" s="264"/>
      <c r="K38" s="271">
        <v>5</v>
      </c>
      <c r="L38" s="440" t="str">
        <f>IFERROR(INDEX(Empleo!$A$6:$A$38,MATCH(SMALL(Empleo!$K$6:$K$38,5),Empleo!$K$6:$K$38,0)),"—")</f>
        <v>Pesca</v>
      </c>
      <c r="M38" s="441"/>
      <c r="N38" s="272">
        <f>IFERROR(SMALL(Empleo!$K$6:$K$38,5),0)</f>
        <v>3.4320213745522001</v>
      </c>
      <c r="O38" s="273">
        <f>IFERROR(INDEX(Empleo!$F$6:$F$38,MATCH(SMALL(Empleo!$K$6:$K$38,5),Empleo!$K$6:$K$38,0)),0)</f>
        <v>0</v>
      </c>
      <c r="P38" s="274">
        <f>IFERROR(INDEX(Empleo!$I$6:$I$38,MATCH(SMALL(Empleo!$K$6:$K$38,5),Empleo!$K$6:$K$38,0)),0)</f>
        <v>1.5152540276604702E-2</v>
      </c>
      <c r="Q38" s="297">
        <f>IFERROR(SMALL(Empleo!$K$6:$K$38,5)/Empleo!$K$40,0)</f>
        <v>7.1386874671350569E-4</v>
      </c>
      <c r="R38" s="275">
        <f>IFERROR(SMALL(Empleo!$K$6:$K$38,5)/INDEX('Informacion Empleo'!$C$6:$C$38,MATCH(SMALL(Empleo!$K$6:$K$38,5),Empleo!$K$6:$K$38,0)),0)</f>
        <v>7.1144721694697344E-4</v>
      </c>
      <c r="S38" s="298">
        <f>IFERROR(SMALL(Empleo!$K$6:$K$38,5)/Produccion!$C$40,0)</f>
        <v>4.9028876779317145E-2</v>
      </c>
      <c r="T38" s="241"/>
    </row>
    <row r="39" spans="1:20" ht="19" customHeight="1">
      <c r="A39" s="167"/>
      <c r="B39" s="461"/>
      <c r="C39" s="419"/>
      <c r="D39" s="419"/>
      <c r="E39" s="419"/>
      <c r="F39" s="419"/>
      <c r="G39" s="419"/>
      <c r="H39" s="419"/>
      <c r="I39" s="419"/>
      <c r="J39" s="419"/>
      <c r="K39" s="419"/>
      <c r="L39" s="419"/>
      <c r="M39" s="419"/>
      <c r="N39" s="419"/>
      <c r="O39" s="419"/>
      <c r="P39" s="419"/>
      <c r="Q39" s="419"/>
      <c r="R39" s="419"/>
      <c r="S39" s="419"/>
      <c r="T39" s="167"/>
    </row>
  </sheetData>
  <mergeCells count="103">
    <mergeCell ref="L36:M36"/>
    <mergeCell ref="I24"/>
    <mergeCell ref="L35:M35"/>
    <mergeCell ref="B19:C19"/>
    <mergeCell ref="L25:M25"/>
    <mergeCell ref="P19:Q19"/>
    <mergeCell ref="M10"/>
    <mergeCell ref="K24:M24"/>
    <mergeCell ref="Q10"/>
    <mergeCell ref="C34:D34"/>
    <mergeCell ref="B30:S30"/>
    <mergeCell ref="L10"/>
    <mergeCell ref="C29:D29"/>
    <mergeCell ref="C28:D28"/>
    <mergeCell ref="B11:C11"/>
    <mergeCell ref="P17:Q17"/>
    <mergeCell ref="S10"/>
    <mergeCell ref="S24"/>
    <mergeCell ref="R10"/>
    <mergeCell ref="C38:D38"/>
    <mergeCell ref="B5:C5"/>
    <mergeCell ref="B20:C20"/>
    <mergeCell ref="B32:I32"/>
    <mergeCell ref="L37:M37"/>
    <mergeCell ref="K19"/>
    <mergeCell ref="C26:D26"/>
    <mergeCell ref="D5:G5"/>
    <mergeCell ref="G17:H17"/>
    <mergeCell ref="C35:D35"/>
    <mergeCell ref="C25:D25"/>
    <mergeCell ref="G19:H19"/>
    <mergeCell ref="D10"/>
    <mergeCell ref="B24:D24"/>
    <mergeCell ref="K32:S32"/>
    <mergeCell ref="C36:D36"/>
    <mergeCell ref="R24"/>
    <mergeCell ref="K33:M33"/>
    <mergeCell ref="L26:M26"/>
    <mergeCell ref="L34:M34"/>
    <mergeCell ref="C37:D37"/>
    <mergeCell ref="L27:M27"/>
    <mergeCell ref="P10"/>
    <mergeCell ref="B33:D33"/>
    <mergeCell ref="B7:C7"/>
    <mergeCell ref="N24"/>
    <mergeCell ref="P24"/>
    <mergeCell ref="H24"/>
    <mergeCell ref="J18"/>
    <mergeCell ref="Q7:S7"/>
    <mergeCell ref="E10"/>
    <mergeCell ref="I7:J7"/>
    <mergeCell ref="E24"/>
    <mergeCell ref="B23:I23"/>
    <mergeCell ref="J19"/>
    <mergeCell ref="K7:M7"/>
    <mergeCell ref="B39:S39"/>
    <mergeCell ref="O3:S3"/>
    <mergeCell ref="O6:P6"/>
    <mergeCell ref="B14:S14"/>
    <mergeCell ref="L19:M19"/>
    <mergeCell ref="L28:M28"/>
    <mergeCell ref="K10"/>
    <mergeCell ref="Q6:S6"/>
    <mergeCell ref="B12:C12"/>
    <mergeCell ref="K18"/>
    <mergeCell ref="O10"/>
    <mergeCell ref="O24"/>
    <mergeCell ref="Q24"/>
    <mergeCell ref="G18:H18"/>
    <mergeCell ref="B13:C13"/>
    <mergeCell ref="L29:M29"/>
    <mergeCell ref="B3:G3"/>
    <mergeCell ref="I4:M4"/>
    <mergeCell ref="B6:C6"/>
    <mergeCell ref="K6:M6"/>
    <mergeCell ref="B10:C10"/>
    <mergeCell ref="O7:P7"/>
    <mergeCell ref="I3:M3"/>
    <mergeCell ref="G24"/>
    <mergeCell ref="L38:M38"/>
    <mergeCell ref="D6:G6"/>
    <mergeCell ref="C27:D27"/>
    <mergeCell ref="B4:G4"/>
    <mergeCell ref="I5:J5"/>
    <mergeCell ref="B16:S16"/>
    <mergeCell ref="O4:S4"/>
    <mergeCell ref="F24"/>
    <mergeCell ref="R1:T1"/>
    <mergeCell ref="O5:P5"/>
    <mergeCell ref="L18:M18"/>
    <mergeCell ref="K23:S23"/>
    <mergeCell ref="B9:S9"/>
    <mergeCell ref="B17:C17"/>
    <mergeCell ref="J10"/>
    <mergeCell ref="B18:C18"/>
    <mergeCell ref="K1:N1"/>
    <mergeCell ref="O1:Q1"/>
    <mergeCell ref="K5:M5"/>
    <mergeCell ref="D7:G7"/>
    <mergeCell ref="L17:M17"/>
    <mergeCell ref="Q5:S5"/>
    <mergeCell ref="I6:J6"/>
    <mergeCell ref="P18:Q18"/>
  </mergeCells>
  <conditionalFormatting sqref="H25:H29">
    <cfRule type="dataBar" priority="4">
      <dataBar>
        <cfvo type="num" val="0"/>
        <cfvo type="max"/>
        <color rgb="FF1A6B8A"/>
      </dataBar>
    </cfRule>
  </conditionalFormatting>
  <conditionalFormatting sqref="Q25:Q29">
    <cfRule type="dataBar" priority="5">
      <dataBar>
        <cfvo type="num" val="0"/>
        <cfvo type="max"/>
        <color rgb="FF2980B9"/>
      </dataBar>
    </cfRule>
  </conditionalFormatting>
  <conditionalFormatting sqref="H34:H38">
    <cfRule type="dataBar" priority="2">
      <dataBar>
        <cfvo type="num" val="0"/>
        <cfvo type="max"/>
        <color rgb="FF1A6B8A"/>
      </dataBar>
    </cfRule>
  </conditionalFormatting>
  <conditionalFormatting sqref="Q34:Q38">
    <cfRule type="dataBar" priority="3">
      <dataBar>
        <cfvo type="num" val="0"/>
        <cfvo type="max"/>
        <color rgb="FF2980B9"/>
      </dataBar>
    </cfRule>
  </conditionalFormatting>
  <pageMargins left="0.35" right="0.35" top="0.4" bottom="0.4" header="0.5" footer="0.5"/>
  <pageSetup paperSize="9" fitToHeight="0" orientation="landscape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A120D698-13D0-D142-A773-537C576BFDDF}">
            <xm:f>'Estimulos Nacionales'!$H$42&gt;0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B1:N1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5">
    <tabColor rgb="FF27AE60"/>
  </sheetPr>
  <dimension ref="A1:X48"/>
  <sheetViews>
    <sheetView showGridLines="0" zoomScale="130" zoomScaleNormal="130" workbookViewId="0">
      <pane xSplit="2" ySplit="5" topLeftCell="C6" activePane="bottomRight" state="frozen"/>
      <selection pane="topRight"/>
      <selection pane="bottomLeft"/>
      <selection pane="bottomRight" activeCell="E6" sqref="E6"/>
    </sheetView>
  </sheetViews>
  <sheetFormatPr baseColWidth="10" defaultRowHeight="16"/>
  <cols>
    <col min="1" max="1" width="30" bestFit="1" customWidth="1"/>
    <col min="2" max="2" width="6" hidden="1" customWidth="1"/>
    <col min="3" max="10" width="12" customWidth="1"/>
    <col min="11" max="11" width="13" customWidth="1"/>
    <col min="12" max="12" width="13.1640625" customWidth="1"/>
    <col min="13" max="17" width="10.1640625" customWidth="1"/>
    <col min="18" max="18" width="17.83203125" customWidth="1"/>
    <col min="19" max="23" width="9.83203125" customWidth="1"/>
    <col min="24" max="24" width="14.83203125" customWidth="1"/>
    <col min="25" max="29" width="11.1640625" customWidth="1"/>
  </cols>
  <sheetData>
    <row r="1" spans="1:24" ht="26" customHeight="1">
      <c r="A1" s="493" t="str">
        <f>IF(SUM(DeltaF21c)=0,"Efectos sobre la Producción","Diferencias entre los proyectos en Producción")&amp;" — Paraguay"</f>
        <v>Diferencias entre los proyectos en Producción — Paraguay</v>
      </c>
      <c r="B1" s="493"/>
      <c r="C1" s="493"/>
      <c r="D1" s="493"/>
      <c r="E1" s="493"/>
      <c r="F1" s="493"/>
      <c r="G1" s="493"/>
      <c r="H1" s="493"/>
      <c r="I1" s="493"/>
      <c r="J1" s="493"/>
      <c r="K1" s="493"/>
      <c r="L1" s="493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</row>
    <row r="2" spans="1:24" ht="14" customHeight="1">
      <c r="A2" s="308" t="s">
        <v>198</v>
      </c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</row>
    <row r="3" spans="1:24" ht="17" customHeight="1">
      <c r="A3" s="18" t="s">
        <v>199</v>
      </c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</row>
    <row r="4" spans="1:24" ht="20" customHeight="1">
      <c r="A4" s="72"/>
      <c r="B4" s="72"/>
      <c r="C4" s="73" t="s">
        <v>135</v>
      </c>
      <c r="D4" s="310" t="s">
        <v>182</v>
      </c>
      <c r="G4" s="309" t="s">
        <v>183</v>
      </c>
      <c r="J4" s="233" t="s">
        <v>184</v>
      </c>
      <c r="K4" s="74" t="s">
        <v>185</v>
      </c>
      <c r="L4" s="74" t="s">
        <v>186</v>
      </c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</row>
    <row r="5" spans="1:24" ht="20" customHeight="1" thickBot="1">
      <c r="A5" s="75" t="s">
        <v>5</v>
      </c>
      <c r="B5" s="76" t="s">
        <v>83</v>
      </c>
      <c r="C5" s="77"/>
      <c r="D5" s="78" t="s">
        <v>187</v>
      </c>
      <c r="E5" s="79" t="s">
        <v>188</v>
      </c>
      <c r="F5" s="80" t="s">
        <v>26</v>
      </c>
      <c r="G5" s="81" t="s">
        <v>187</v>
      </c>
      <c r="H5" s="79" t="s">
        <v>188</v>
      </c>
      <c r="I5" s="82" t="s">
        <v>26</v>
      </c>
      <c r="J5" s="234"/>
      <c r="K5" s="77"/>
      <c r="L5" s="77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</row>
    <row r="6" spans="1:24" ht="14" customHeight="1">
      <c r="A6" s="19" t="s">
        <v>582</v>
      </c>
      <c r="B6" s="83" t="s">
        <v>599</v>
      </c>
      <c r="C6" s="148" cm="1">
        <f t="array" ref="C6:C38">DeltaF21-DeltaF21c</f>
        <v>0</v>
      </c>
      <c r="D6" s="148" cm="1">
        <f t="array" ref="D6:D38">MMULT(A_21x21,EInicial_21)</f>
        <v>-12.123172103487063</v>
      </c>
      <c r="E6" s="148" cm="1">
        <f t="array" ref="E6">SUMPRODUCT(MRIO!C4:NA4,TRANSPOSE(DF_MRIO))</f>
        <v>0</v>
      </c>
      <c r="F6" s="149" cm="1">
        <f t="array" ref="F6:F38">EDirecto_21+EIDirecto_21</f>
        <v>-12.123172103487063</v>
      </c>
      <c r="G6" s="148" cm="1">
        <f t="array" ref="G6:G38">MMULT(L_21x21,EInicial_21)-EInicial_21-EDirecto_21</f>
        <v>2.2594929694305996</v>
      </c>
      <c r="H6" s="148" cm="1">
        <f t="array" ref="H6">SUMPRODUCT(MRIO!C41:NA41,TRANSPOSE(DF_MRIO))-E6</f>
        <v>0</v>
      </c>
      <c r="I6" s="149" cm="1">
        <f t="array" ref="I6:I38">EIIndirecto_21+EIndirecto21</f>
        <v>2.2594929694305996</v>
      </c>
      <c r="J6" s="148" cm="1">
        <f t="array" ref="J6:J38">_xlfn.TAKE(MMULT(L_22x22,(DeltaF22-DeltaF22c)),33)-EInicial_21-EDirecto_21-EIndirecto21</f>
        <v>1.3413371365845439</v>
      </c>
      <c r="K6" s="149">
        <f t="shared" ref="K6:K38" si="0">J6+I6+F6+C6</f>
        <v>-8.5223419974719192</v>
      </c>
      <c r="L6" s="178" cm="1">
        <f t="array" ref="L6:L38">K6:K38/TRANSPOSE(VBP_21)</f>
        <v>-1.3523019307011819E-3</v>
      </c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</row>
    <row r="7" spans="1:24" ht="14" customHeight="1">
      <c r="A7" s="19" t="s">
        <v>583</v>
      </c>
      <c r="B7" s="83" t="s">
        <v>600</v>
      </c>
      <c r="C7" s="148">
        <v>0</v>
      </c>
      <c r="D7" s="148">
        <v>38.627183862718383</v>
      </c>
      <c r="E7" s="148" cm="1">
        <f t="array" ref="E7">SUMPRODUCT(MRIO!C5:NA5,TRANSPOSE(DF_MRIO))</f>
        <v>0</v>
      </c>
      <c r="F7" s="149">
        <v>38.627183862718383</v>
      </c>
      <c r="G7" s="148">
        <v>1.3807189972468876</v>
      </c>
      <c r="H7" s="148" cm="1">
        <f t="array" ref="H7">SUMPRODUCT(MRIO!C42:NA42,TRANSPOSE(DF_MRIO))-E7</f>
        <v>0</v>
      </c>
      <c r="I7" s="149">
        <v>1.3807189972468876</v>
      </c>
      <c r="J7" s="148">
        <v>0.95038125722196298</v>
      </c>
      <c r="K7" s="149">
        <f>J7+I7+F7+C7</f>
        <v>40.958284117187233</v>
      </c>
      <c r="L7" s="178">
        <v>1.6040684623320763E-2</v>
      </c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</row>
    <row r="8" spans="1:24" ht="14" customHeight="1">
      <c r="A8" s="19" t="s">
        <v>584</v>
      </c>
      <c r="B8" s="83" t="s">
        <v>601</v>
      </c>
      <c r="C8" s="148">
        <v>0</v>
      </c>
      <c r="D8" s="148">
        <v>0.10360778735740415</v>
      </c>
      <c r="E8" s="148" cm="1">
        <f t="array" ref="E8">SUMPRODUCT(MRIO!C6:NA6,TRANSPOSE(DF_MRIO))</f>
        <v>0</v>
      </c>
      <c r="F8" s="149">
        <v>0.10360778735740415</v>
      </c>
      <c r="G8" s="148">
        <v>0.25592302904654857</v>
      </c>
      <c r="H8" s="148" cm="1">
        <f t="array" ref="H8">SUMPRODUCT(MRIO!C43:NA43,TRANSPOSE(DF_MRIO))-E8</f>
        <v>0</v>
      </c>
      <c r="I8" s="149">
        <v>0.25592302904654857</v>
      </c>
      <c r="J8" s="148">
        <v>7.0522018427850552E-2</v>
      </c>
      <c r="K8" s="149">
        <f>J8+I8+F8+C8</f>
        <v>0.43005283483180329</v>
      </c>
      <c r="L8" s="178">
        <v>1.3297861312053286E-3</v>
      </c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</row>
    <row r="9" spans="1:24" ht="14" customHeight="1">
      <c r="A9" s="19" t="s">
        <v>585</v>
      </c>
      <c r="B9" s="83" t="s">
        <v>602</v>
      </c>
      <c r="C9" s="148">
        <v>0</v>
      </c>
      <c r="D9" s="148">
        <v>0</v>
      </c>
      <c r="E9" s="148" cm="1">
        <f t="array" ref="E9">SUMPRODUCT(MRIO!C7:NA7,TRANSPOSE(DF_MRIO))</f>
        <v>0</v>
      </c>
      <c r="F9" s="149">
        <v>0</v>
      </c>
      <c r="G9" s="148">
        <v>1.7370138418247097E-4</v>
      </c>
      <c r="H9" s="148" cm="1">
        <f t="array" ref="H9">SUMPRODUCT(MRIO!C44:NA44,TRANSPOSE(DF_MRIO))-E9</f>
        <v>0</v>
      </c>
      <c r="I9" s="149">
        <v>1.7370138418247097E-4</v>
      </c>
      <c r="J9" s="148">
        <v>3.916932971298516E-2</v>
      </c>
      <c r="K9" s="149">
        <f>J9+I9+F9+C9</f>
        <v>3.9343031097167629E-2</v>
      </c>
      <c r="L9" s="178">
        <v>7.1144721694697344E-4</v>
      </c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</row>
    <row r="10" spans="1:24" ht="14" customHeight="1">
      <c r="A10" s="21" t="s">
        <v>10</v>
      </c>
      <c r="B10" s="84" t="s">
        <v>91</v>
      </c>
      <c r="C10" s="151">
        <v>0</v>
      </c>
      <c r="D10" s="151">
        <v>2.3900002390000235E-3</v>
      </c>
      <c r="E10" s="151" cm="1">
        <f t="array" ref="E10">SUMPRODUCT(MRIO!C8:NA8,TRANSPOSE(DF_MRIO))</f>
        <v>0</v>
      </c>
      <c r="F10" s="152">
        <v>2.3900002390000235E-3</v>
      </c>
      <c r="G10" s="151">
        <v>2.7544194472902107E-2</v>
      </c>
      <c r="H10" s="151" cm="1">
        <f t="array" ref="H10">SUMPRODUCT(MRIO!C45:NA45,TRANSPOSE(DF_MRIO))-E10</f>
        <v>0</v>
      </c>
      <c r="I10" s="152">
        <v>2.7544194472902107E-2</v>
      </c>
      <c r="J10" s="148">
        <v>7.9447843305828325E-2</v>
      </c>
      <c r="K10" s="152">
        <f t="shared" si="0"/>
        <v>0.10938203801773044</v>
      </c>
      <c r="L10" s="179">
        <v>2.5361010437683853E-4</v>
      </c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</row>
    <row r="11" spans="1:24" ht="14" customHeight="1">
      <c r="A11" s="19" t="s">
        <v>586</v>
      </c>
      <c r="B11" s="83" t="s">
        <v>603</v>
      </c>
      <c r="C11" s="148">
        <v>100</v>
      </c>
      <c r="D11" s="148">
        <v>1.8881001888100188</v>
      </c>
      <c r="E11" s="148" cm="1">
        <f t="array" ref="E11">SUMPRODUCT(MRIO!C9:NA9,TRANSPOSE(DF_MRIO))</f>
        <v>0</v>
      </c>
      <c r="F11" s="149">
        <v>1.8881001888100188</v>
      </c>
      <c r="G11" s="148">
        <v>0.13897566265331829</v>
      </c>
      <c r="H11" s="148" cm="1">
        <f t="array" ref="H11">SUMPRODUCT(MRIO!C46:NA46,TRANSPOSE(DF_MRIO))-E11</f>
        <v>0</v>
      </c>
      <c r="I11" s="149">
        <v>0.13897566265331829</v>
      </c>
      <c r="J11" s="148">
        <v>1.4803458429019116</v>
      </c>
      <c r="K11" s="149">
        <f t="shared" si="0"/>
        <v>103.50742169436525</v>
      </c>
      <c r="L11" s="179">
        <v>2.4738276258780917E-2</v>
      </c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</row>
    <row r="12" spans="1:24" ht="14" customHeight="1">
      <c r="A12" s="19" t="s">
        <v>587</v>
      </c>
      <c r="B12" s="83" t="s">
        <v>604</v>
      </c>
      <c r="C12" s="148">
        <v>-30</v>
      </c>
      <c r="D12" s="148">
        <v>3.8801781579840697E-2</v>
      </c>
      <c r="E12" s="148" cm="1">
        <f t="array" ref="E12">SUMPRODUCT(MRIO!C10:NA10,TRANSPOSE(DF_MRIO))</f>
        <v>0</v>
      </c>
      <c r="F12" s="149">
        <v>3.8801781579840697E-2</v>
      </c>
      <c r="G12" s="148">
        <v>0.13345951933423228</v>
      </c>
      <c r="H12" s="148" cm="1">
        <f t="array" ref="H12">SUMPRODUCT(MRIO!C47:NA47,TRANSPOSE(DF_MRIO))-E12</f>
        <v>0</v>
      </c>
      <c r="I12" s="149">
        <v>0.13345951933423228</v>
      </c>
      <c r="J12" s="148">
        <v>0.16614683820558795</v>
      </c>
      <c r="K12" s="149">
        <f t="shared" ref="K12:K17" si="1">J12+I12+F12+C12</f>
        <v>-29.661591860880339</v>
      </c>
      <c r="L12" s="179">
        <v>-2.0853200127165593E-2</v>
      </c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</row>
    <row r="13" spans="1:24" ht="14" customHeight="1">
      <c r="A13" s="19" t="s">
        <v>588</v>
      </c>
      <c r="B13" s="83" t="s">
        <v>87</v>
      </c>
      <c r="C13" s="148">
        <v>0</v>
      </c>
      <c r="D13" s="148">
        <v>4.7800004780000471E-3</v>
      </c>
      <c r="E13" s="148" cm="1">
        <f t="array" ref="E13">SUMPRODUCT(MRIO!C11:NA11,TRANSPOSE(DF_MRIO))</f>
        <v>0</v>
      </c>
      <c r="F13" s="149">
        <v>4.7800004780000471E-3</v>
      </c>
      <c r="G13" s="148">
        <v>0.11319722228702386</v>
      </c>
      <c r="H13" s="148" cm="1">
        <f t="array" ref="H13">SUMPRODUCT(MRIO!C48:NA48,TRANSPOSE(DF_MRIO))-E13</f>
        <v>0</v>
      </c>
      <c r="I13" s="149">
        <v>0.11319722228702386</v>
      </c>
      <c r="J13" s="148">
        <v>0.6037257702094142</v>
      </c>
      <c r="K13" s="149">
        <f t="shared" si="1"/>
        <v>0.72170299297443818</v>
      </c>
      <c r="L13" s="179">
        <v>7.6801425239378341E-4</v>
      </c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</row>
    <row r="14" spans="1:24" ht="14" customHeight="1">
      <c r="A14" s="19" t="s">
        <v>589</v>
      </c>
      <c r="B14" s="83" t="s">
        <v>605</v>
      </c>
      <c r="C14" s="148">
        <v>0</v>
      </c>
      <c r="D14" s="148">
        <v>1.611141049963936</v>
      </c>
      <c r="E14" s="148" cm="1">
        <f t="array" ref="E14">SUMPRODUCT(MRIO!C12:NA12,TRANSPOSE(DF_MRIO))</f>
        <v>0</v>
      </c>
      <c r="F14" s="149">
        <v>1.611141049963936</v>
      </c>
      <c r="G14" s="148">
        <v>0.35049843735317077</v>
      </c>
      <c r="H14" s="148" cm="1">
        <f t="array" ref="H14">SUMPRODUCT(MRIO!C49:NA49,TRANSPOSE(DF_MRIO))-E14</f>
        <v>0</v>
      </c>
      <c r="I14" s="149">
        <v>0.35049843735317077</v>
      </c>
      <c r="J14" s="148">
        <v>1.0508027501094002</v>
      </c>
      <c r="K14" s="149">
        <f t="shared" si="1"/>
        <v>3.012442237426507</v>
      </c>
      <c r="L14" s="179">
        <v>1.4439853501229543E-3</v>
      </c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</row>
    <row r="15" spans="1:24" ht="14" customHeight="1">
      <c r="A15" s="19" t="s">
        <v>590</v>
      </c>
      <c r="B15" s="83" t="s">
        <v>606</v>
      </c>
      <c r="C15" s="148">
        <v>0</v>
      </c>
      <c r="D15" s="148">
        <v>4.7800004780000471E-3</v>
      </c>
      <c r="E15" s="148" cm="1">
        <f t="array" ref="E15">SUMPRODUCT(MRIO!C13:NA13,TRANSPOSE(DF_MRIO))</f>
        <v>0</v>
      </c>
      <c r="F15" s="149">
        <v>4.7800004780000471E-3</v>
      </c>
      <c r="G15" s="148">
        <v>3.7294421583062544E-2</v>
      </c>
      <c r="H15" s="148" cm="1">
        <f t="array" ref="H15">SUMPRODUCT(MRIO!C50:NA50,TRANSPOSE(DF_MRIO))-E15</f>
        <v>0</v>
      </c>
      <c r="I15" s="149">
        <v>3.7294421583062544E-2</v>
      </c>
      <c r="J15" s="148">
        <v>0.21640844067924772</v>
      </c>
      <c r="K15" s="149">
        <f t="shared" si="1"/>
        <v>0.25848286274031029</v>
      </c>
      <c r="L15" s="179">
        <v>6.8129378687482932E-4</v>
      </c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</row>
    <row r="16" spans="1:24" ht="14" customHeight="1">
      <c r="A16" s="19" t="s">
        <v>591</v>
      </c>
      <c r="B16" s="83" t="s">
        <v>607</v>
      </c>
      <c r="C16" s="148">
        <v>0</v>
      </c>
      <c r="D16" s="148">
        <v>0.76986096583592778</v>
      </c>
      <c r="E16" s="148" cm="1">
        <f t="array" ref="E16">SUMPRODUCT(MRIO!C14:NA14,TRANSPOSE(DF_MRIO))</f>
        <v>0</v>
      </c>
      <c r="F16" s="149">
        <v>0.76986096583592778</v>
      </c>
      <c r="G16" s="148">
        <v>1.063938359374248</v>
      </c>
      <c r="H16" s="148" cm="1">
        <f t="array" ref="H16">SUMPRODUCT(MRIO!C51:NA51,TRANSPOSE(DF_MRIO))-E16</f>
        <v>0</v>
      </c>
      <c r="I16" s="149">
        <v>1.063938359374248</v>
      </c>
      <c r="J16" s="148">
        <v>0.80248244499239219</v>
      </c>
      <c r="K16" s="149">
        <f t="shared" si="1"/>
        <v>2.6362817702025678</v>
      </c>
      <c r="L16" s="179">
        <v>1.9312004763039836E-3</v>
      </c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</row>
    <row r="17" spans="1:24" ht="14" customHeight="1">
      <c r="A17" s="19" t="s">
        <v>592</v>
      </c>
      <c r="B17" s="83" t="s">
        <v>608</v>
      </c>
      <c r="C17" s="148">
        <v>0</v>
      </c>
      <c r="D17" s="148">
        <v>2.6570891506920422E-2</v>
      </c>
      <c r="E17" s="148" cm="1">
        <f t="array" ref="E17">SUMPRODUCT(MRIO!C15:NA15,TRANSPOSE(DF_MRIO))</f>
        <v>0</v>
      </c>
      <c r="F17" s="149">
        <v>2.6570891506920422E-2</v>
      </c>
      <c r="G17" s="148">
        <v>4.5201000072662478E-2</v>
      </c>
      <c r="H17" s="148" cm="1">
        <f t="array" ref="H17">SUMPRODUCT(MRIO!C52:NA52,TRANSPOSE(DF_MRIO))-E17</f>
        <v>0</v>
      </c>
      <c r="I17" s="149">
        <v>4.5201000072662478E-2</v>
      </c>
      <c r="J17" s="148">
        <v>1.3830719596895853</v>
      </c>
      <c r="K17" s="149">
        <f t="shared" si="1"/>
        <v>1.4548438512691682</v>
      </c>
      <c r="L17" s="179">
        <v>6.367488844840546E-4</v>
      </c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</row>
    <row r="18" spans="1:24" ht="14" customHeight="1">
      <c r="A18" s="21" t="s">
        <v>593</v>
      </c>
      <c r="B18" s="84" t="s">
        <v>609</v>
      </c>
      <c r="C18" s="151">
        <v>0</v>
      </c>
      <c r="D18" s="151">
        <v>0.2074817949326565</v>
      </c>
      <c r="E18" s="151" cm="1">
        <f t="array" ref="E18">SUMPRODUCT(MRIO!C16:NA16,TRANSPOSE(DF_MRIO))</f>
        <v>0</v>
      </c>
      <c r="F18" s="152">
        <v>0.2074817949326565</v>
      </c>
      <c r="G18" s="151">
        <v>0.79654929613234604</v>
      </c>
      <c r="H18" s="151" cm="1">
        <f t="array" ref="H18">SUMPRODUCT(MRIO!C53:NA53,TRANSPOSE(DF_MRIO))-E18</f>
        <v>0</v>
      </c>
      <c r="I18" s="152">
        <v>0.79654929613234604</v>
      </c>
      <c r="J18" s="148">
        <v>0.44387745665721334</v>
      </c>
      <c r="K18" s="152">
        <f t="shared" si="0"/>
        <v>1.447908547722216</v>
      </c>
      <c r="L18" s="179">
        <v>1.6460988491612278E-3</v>
      </c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</row>
    <row r="19" spans="1:24" ht="14" customHeight="1">
      <c r="A19" s="21" t="s">
        <v>594</v>
      </c>
      <c r="B19" s="84" t="s">
        <v>610</v>
      </c>
      <c r="C19" s="151">
        <v>0</v>
      </c>
      <c r="D19" s="151">
        <v>1.4616000758562953E-2</v>
      </c>
      <c r="E19" s="151" cm="1">
        <f t="array" ref="E19">SUMPRODUCT(MRIO!C17:NA17,TRANSPOSE(DF_MRIO))</f>
        <v>0</v>
      </c>
      <c r="F19" s="152">
        <v>1.4616000758562953E-2</v>
      </c>
      <c r="G19" s="151">
        <v>2.5761598648677678E-2</v>
      </c>
      <c r="H19" s="151" cm="1">
        <f t="array" ref="H19">SUMPRODUCT(MRIO!C54:NA54,TRANSPOSE(DF_MRIO))-E19</f>
        <v>0</v>
      </c>
      <c r="I19" s="152">
        <v>2.5761598648677678E-2</v>
      </c>
      <c r="J19" s="148">
        <v>0.17350035595022406</v>
      </c>
      <c r="K19" s="152">
        <f>J19+I19+F19+C19</f>
        <v>0.21387795535746468</v>
      </c>
      <c r="L19" s="179">
        <v>7.8660520543385321E-4</v>
      </c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</row>
    <row r="20" spans="1:24" ht="14" customHeight="1">
      <c r="A20" s="19" t="s">
        <v>595</v>
      </c>
      <c r="B20" s="83" t="s">
        <v>92</v>
      </c>
      <c r="C20" s="148">
        <v>0</v>
      </c>
      <c r="D20" s="148">
        <v>7.1700007170000715E-3</v>
      </c>
      <c r="E20" s="148" cm="1">
        <f t="array" ref="E20">SUMPRODUCT(MRIO!C18:NA18,TRANSPOSE(DF_MRIO))</f>
        <v>0</v>
      </c>
      <c r="F20" s="149">
        <v>7.1700007170000715E-3</v>
      </c>
      <c r="G20" s="148">
        <v>0.663159095980145</v>
      </c>
      <c r="H20" s="148" cm="1">
        <f t="array" ref="H20">SUMPRODUCT(MRIO!C55:NA55,TRANSPOSE(DF_MRIO))-E20</f>
        <v>0</v>
      </c>
      <c r="I20" s="149">
        <v>0.663159095980145</v>
      </c>
      <c r="J20" s="148">
        <v>9.0878803141631992E-2</v>
      </c>
      <c r="K20" s="149">
        <f t="shared" si="0"/>
        <v>0.76120789983877701</v>
      </c>
      <c r="L20" s="178">
        <v>1.2103798693572539E-3</v>
      </c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</row>
    <row r="21" spans="1:24" ht="14" customHeight="1">
      <c r="A21" s="19" t="s">
        <v>596</v>
      </c>
      <c r="B21" s="83" t="s">
        <v>611</v>
      </c>
      <c r="C21" s="148">
        <v>0</v>
      </c>
      <c r="D21" s="148">
        <v>0.47530960046965515</v>
      </c>
      <c r="E21" s="148" cm="1">
        <f t="array" ref="E21">SUMPRODUCT(MRIO!C19:NA19,TRANSPOSE(DF_MRIO))</f>
        <v>0</v>
      </c>
      <c r="F21" s="149">
        <v>0.47530960046965515</v>
      </c>
      <c r="G21" s="148">
        <v>0.59336341071390519</v>
      </c>
      <c r="H21" s="148" cm="1">
        <f t="array" ref="H21">SUMPRODUCT(MRIO!C56:NA56,TRANSPOSE(DF_MRIO))-E21</f>
        <v>0</v>
      </c>
      <c r="I21" s="149">
        <v>0.59336341071390519</v>
      </c>
      <c r="J21" s="148">
        <v>0.58920483122326894</v>
      </c>
      <c r="K21" s="149">
        <f>J21+I21+F21+C21</f>
        <v>1.6578778424068292</v>
      </c>
      <c r="L21" s="178">
        <v>1.4828961023316898E-3</v>
      </c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</row>
    <row r="22" spans="1:24" ht="14" customHeight="1">
      <c r="A22" s="21" t="s">
        <v>11</v>
      </c>
      <c r="B22" s="84" t="s">
        <v>93</v>
      </c>
      <c r="C22" s="151">
        <v>0</v>
      </c>
      <c r="D22" s="151">
        <v>0.60224094380114712</v>
      </c>
      <c r="E22" s="151" cm="1">
        <f t="array" ref="E22">SUMPRODUCT(MRIO!C20:NA20,TRANSPOSE(DF_MRIO))</f>
        <v>0</v>
      </c>
      <c r="F22" s="152">
        <v>0.60224094380114712</v>
      </c>
      <c r="G22" s="151">
        <v>0.75507881643837083</v>
      </c>
      <c r="H22" s="151" cm="1">
        <f t="array" ref="H22">SUMPRODUCT(MRIO!C57:NA57,TRANSPOSE(DF_MRIO))-E22</f>
        <v>0</v>
      </c>
      <c r="I22" s="152">
        <v>0.75507881643837083</v>
      </c>
      <c r="J22" s="148">
        <v>1.8059855727899294</v>
      </c>
      <c r="K22" s="152">
        <f t="shared" si="0"/>
        <v>3.1633053330294474</v>
      </c>
      <c r="L22" s="179">
        <v>8.5402411798851175E-4</v>
      </c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</row>
    <row r="23" spans="1:24" ht="14" customHeight="1">
      <c r="A23" s="19" t="s">
        <v>12</v>
      </c>
      <c r="B23" s="83" t="s">
        <v>94</v>
      </c>
      <c r="C23" s="148">
        <v>0</v>
      </c>
      <c r="D23" s="148">
        <v>1.46208903119203E-2</v>
      </c>
      <c r="E23" s="148" cm="1">
        <f t="array" ref="E23">SUMPRODUCT(MRIO!C21:NA21,TRANSPOSE(DF_MRIO))</f>
        <v>0</v>
      </c>
      <c r="F23" s="149">
        <v>1.46208903119203E-2</v>
      </c>
      <c r="G23" s="148">
        <v>6.324926320889418E-2</v>
      </c>
      <c r="H23" s="148" cm="1">
        <f t="array" ref="H23">SUMPRODUCT(MRIO!C58:NA58,TRANSPOSE(DF_MRIO))-E23</f>
        <v>0</v>
      </c>
      <c r="I23" s="149">
        <v>6.324926320889418E-2</v>
      </c>
      <c r="J23" s="148">
        <v>0.16028861658969587</v>
      </c>
      <c r="K23" s="149">
        <f t="shared" si="0"/>
        <v>0.23815877011051034</v>
      </c>
      <c r="L23" s="178">
        <v>2.8857236169939457E-4</v>
      </c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</row>
    <row r="24" spans="1:24" ht="14" customHeight="1">
      <c r="A24" s="21" t="s">
        <v>13</v>
      </c>
      <c r="B24" s="84" t="s">
        <v>95</v>
      </c>
      <c r="C24" s="151">
        <v>0</v>
      </c>
      <c r="D24" s="151">
        <v>4.7800004780000471E-3</v>
      </c>
      <c r="E24" s="151" cm="1">
        <f t="array" ref="E24">SUMPRODUCT(MRIO!C22:NA22,TRANSPOSE(DF_MRIO))</f>
        <v>0</v>
      </c>
      <c r="F24" s="152">
        <v>4.7800004780000471E-3</v>
      </c>
      <c r="G24" s="151">
        <v>6.8932902487511341E-2</v>
      </c>
      <c r="H24" s="151" cm="1">
        <f t="array" ref="H24">SUMPRODUCT(MRIO!C59:NA59,TRANSPOSE(DF_MRIO))-E24</f>
        <v>0</v>
      </c>
      <c r="I24" s="152">
        <v>6.8932902487511341E-2</v>
      </c>
      <c r="J24" s="148">
        <v>4.8409946149213998E-2</v>
      </c>
      <c r="K24" s="152">
        <f t="shared" si="0"/>
        <v>0.12212284911472539</v>
      </c>
      <c r="L24" s="179">
        <v>6.1061424557362696E-4</v>
      </c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</row>
    <row r="25" spans="1:24" ht="14" customHeight="1">
      <c r="A25" s="19" t="s">
        <v>14</v>
      </c>
      <c r="B25" s="83" t="s">
        <v>96</v>
      </c>
      <c r="C25" s="148">
        <v>0</v>
      </c>
      <c r="D25" s="148">
        <v>4.4143559813681066E-2</v>
      </c>
      <c r="E25" s="148" cm="1">
        <f t="array" ref="E25">SUMPRODUCT(MRIO!C23:NA23,TRANSPOSE(DF_MRIO))</f>
        <v>0</v>
      </c>
      <c r="F25" s="149">
        <v>4.4143559813681066E-2</v>
      </c>
      <c r="G25" s="148">
        <v>0.28559898049017091</v>
      </c>
      <c r="H25" s="148" cm="1">
        <f t="array" ref="H25">SUMPRODUCT(MRIO!C60:NA60,TRANSPOSE(DF_MRIO))-E25</f>
        <v>0</v>
      </c>
      <c r="I25" s="149">
        <v>0.28559898049017091</v>
      </c>
      <c r="J25" s="148">
        <v>0.17574767458004081</v>
      </c>
      <c r="K25" s="149">
        <f t="shared" si="0"/>
        <v>0.50549021488389279</v>
      </c>
      <c r="L25" s="178">
        <v>4.9263250646515227E-4</v>
      </c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</row>
    <row r="26" spans="1:24" ht="14" customHeight="1">
      <c r="A26" s="21" t="s">
        <v>15</v>
      </c>
      <c r="B26" s="84" t="s">
        <v>97</v>
      </c>
      <c r="C26" s="151">
        <v>0</v>
      </c>
      <c r="D26" s="151">
        <v>1.7010890550920324E-2</v>
      </c>
      <c r="E26" s="151" cm="1">
        <f t="array" ref="E26">SUMPRODUCT(MRIO!C24:NA24,TRANSPOSE(DF_MRIO))</f>
        <v>0</v>
      </c>
      <c r="F26" s="152">
        <v>1.7010890550920324E-2</v>
      </c>
      <c r="G26" s="151">
        <v>3.9663767779458681E-2</v>
      </c>
      <c r="H26" s="151" cm="1">
        <f t="array" ref="H26">SUMPRODUCT(MRIO!C61:NA61,TRANSPOSE(DF_MRIO))-E26</f>
        <v>0</v>
      </c>
      <c r="I26" s="152">
        <v>3.9663767779458681E-2</v>
      </c>
      <c r="J26" s="148">
        <v>9.2803827602147004E-2</v>
      </c>
      <c r="K26" s="152">
        <f t="shared" si="0"/>
        <v>0.149478485932526</v>
      </c>
      <c r="L26" s="179">
        <v>3.6735926746750061E-4</v>
      </c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</row>
    <row r="27" spans="1:24" ht="14" customHeight="1">
      <c r="A27" s="19" t="s">
        <v>16</v>
      </c>
      <c r="B27" s="83" t="s">
        <v>98</v>
      </c>
      <c r="C27" s="148">
        <v>0</v>
      </c>
      <c r="D27" s="148">
        <v>0.67847428944472921</v>
      </c>
      <c r="E27" s="148" cm="1">
        <f t="array" ref="E27">SUMPRODUCT(MRIO!C25:NA25,TRANSPOSE(DF_MRIO))</f>
        <v>0</v>
      </c>
      <c r="F27" s="149">
        <v>0.67847428944472921</v>
      </c>
      <c r="G27" s="148">
        <v>2.2115075071709516</v>
      </c>
      <c r="H27" s="148" cm="1">
        <f t="array" ref="H27">SUMPRODUCT(MRIO!C62:NA62,TRANSPOSE(DF_MRIO))-E27</f>
        <v>0</v>
      </c>
      <c r="I27" s="149">
        <v>2.2115075071709516</v>
      </c>
      <c r="J27" s="148">
        <v>0.63665699898221995</v>
      </c>
      <c r="K27" s="149">
        <f t="shared" si="0"/>
        <v>3.5266387955979006</v>
      </c>
      <c r="L27" s="178">
        <v>2.4259742695177141E-3</v>
      </c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</row>
    <row r="28" spans="1:24" ht="14" customHeight="1">
      <c r="A28" s="21" t="s">
        <v>17</v>
      </c>
      <c r="B28" s="84" t="s">
        <v>99</v>
      </c>
      <c r="C28" s="151">
        <v>0</v>
      </c>
      <c r="D28" s="151">
        <v>0.50901626582007431</v>
      </c>
      <c r="E28" s="151" cm="1">
        <f t="array" ref="E28">SUMPRODUCT(MRIO!C26:NA26,TRANSPOSE(DF_MRIO))</f>
        <v>0</v>
      </c>
      <c r="F28" s="152">
        <v>0.50901626582007431</v>
      </c>
      <c r="G28" s="151">
        <v>1.3804426490088857</v>
      </c>
      <c r="H28" s="151" cm="1">
        <f t="array" ref="H28">SUMPRODUCT(MRIO!C63:NA63,TRANSPOSE(DF_MRIO))-E28</f>
        <v>0</v>
      </c>
      <c r="I28" s="152">
        <v>1.3804426490088857</v>
      </c>
      <c r="J28" s="148">
        <v>0.99041049195275166</v>
      </c>
      <c r="K28" s="152">
        <f t="shared" si="0"/>
        <v>2.8798694067817117</v>
      </c>
      <c r="L28" s="179">
        <v>8.5097494438322548E-4</v>
      </c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</row>
    <row r="29" spans="1:24" ht="14" customHeight="1">
      <c r="A29" s="19" t="s">
        <v>18</v>
      </c>
      <c r="B29" s="83" t="s">
        <v>100</v>
      </c>
      <c r="C29" s="148">
        <v>0</v>
      </c>
      <c r="D29" s="148">
        <v>0</v>
      </c>
      <c r="E29" s="148" cm="1">
        <f t="array" ref="E29">SUMPRODUCT(MRIO!C27:NA27,TRANSPOSE(DF_MRIO))</f>
        <v>0</v>
      </c>
      <c r="F29" s="149">
        <v>0</v>
      </c>
      <c r="G29" s="148">
        <v>0.24550883528579753</v>
      </c>
      <c r="H29" s="148" cm="1">
        <f t="array" ref="H29">SUMPRODUCT(MRIO!C64:NA64,TRANSPOSE(DF_MRIO))-E29</f>
        <v>0</v>
      </c>
      <c r="I29" s="149">
        <v>0.24550883528579753</v>
      </c>
      <c r="J29" s="148">
        <v>0.25168645158415676</v>
      </c>
      <c r="K29" s="149">
        <f t="shared" si="0"/>
        <v>0.49719528686995429</v>
      </c>
      <c r="L29" s="178">
        <v>8.7007435053540938E-5</v>
      </c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</row>
    <row r="30" spans="1:24" ht="14" customHeight="1">
      <c r="A30" s="21" t="s">
        <v>19</v>
      </c>
      <c r="B30" s="84" t="s">
        <v>101</v>
      </c>
      <c r="C30" s="151">
        <v>0</v>
      </c>
      <c r="D30" s="151">
        <v>9.0611026715067791</v>
      </c>
      <c r="E30" s="151" cm="1">
        <f t="array" ref="E30">SUMPRODUCT(MRIO!C28:NA28,TRANSPOSE(DF_MRIO))</f>
        <v>0</v>
      </c>
      <c r="F30" s="152">
        <v>9.0611026715067791</v>
      </c>
      <c r="G30" s="151">
        <v>4.0402307683039282</v>
      </c>
      <c r="H30" s="151" cm="1">
        <f t="array" ref="H30">SUMPRODUCT(MRIO!C65:NA65,TRANSPOSE(DF_MRIO))-E30</f>
        <v>0</v>
      </c>
      <c r="I30" s="152">
        <v>4.0402307683039282</v>
      </c>
      <c r="J30" s="148">
        <v>3.6511431525312776</v>
      </c>
      <c r="K30" s="152">
        <f t="shared" si="0"/>
        <v>16.752476592341985</v>
      </c>
      <c r="L30" s="179">
        <v>1.7174100766150992E-3</v>
      </c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</row>
    <row r="31" spans="1:24" ht="14" customHeight="1">
      <c r="A31" s="19" t="s">
        <v>20</v>
      </c>
      <c r="B31" s="83" t="s">
        <v>102</v>
      </c>
      <c r="C31" s="148">
        <v>0</v>
      </c>
      <c r="D31" s="148">
        <v>2.0477770894093172</v>
      </c>
      <c r="E31" s="148" cm="1">
        <f t="array" ref="E31">SUMPRODUCT(MRIO!C29:NA29,TRANSPOSE(DF_MRIO))</f>
        <v>0</v>
      </c>
      <c r="F31" s="149">
        <v>2.0477770894093172</v>
      </c>
      <c r="G31" s="148">
        <v>2.4274824339976249</v>
      </c>
      <c r="H31" s="148" cm="1">
        <f t="array" ref="H31">SUMPRODUCT(MRIO!C66:NA66,TRANSPOSE(DF_MRIO))-E31</f>
        <v>0</v>
      </c>
      <c r="I31" s="149">
        <v>2.4274824339976249</v>
      </c>
      <c r="J31" s="148">
        <v>1.8070979233136759</v>
      </c>
      <c r="K31" s="149">
        <f t="shared" si="0"/>
        <v>6.282357446720618</v>
      </c>
      <c r="L31" s="178">
        <v>1.571178553637769E-3</v>
      </c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</row>
    <row r="32" spans="1:24" ht="14" customHeight="1">
      <c r="A32" s="21" t="s">
        <v>21</v>
      </c>
      <c r="B32" s="84" t="s">
        <v>103</v>
      </c>
      <c r="C32" s="151">
        <v>0</v>
      </c>
      <c r="D32" s="151">
        <v>7.5632451460882946E-2</v>
      </c>
      <c r="E32" s="151" cm="1">
        <f t="array" ref="E32">SUMPRODUCT(MRIO!C30:NA30,TRANSPOSE(DF_MRIO))</f>
        <v>0</v>
      </c>
      <c r="F32" s="152">
        <v>7.5632451460882946E-2</v>
      </c>
      <c r="G32" s="151">
        <v>0.2747859618604474</v>
      </c>
      <c r="H32" s="151" cm="1">
        <f t="array" ref="H32">SUMPRODUCT(MRIO!C67:NA67,TRANSPOSE(DF_MRIO))-E32</f>
        <v>0</v>
      </c>
      <c r="I32" s="152">
        <v>0.2747859618604474</v>
      </c>
      <c r="J32" s="148">
        <v>1.0592886594410886</v>
      </c>
      <c r="K32" s="152">
        <f t="shared" si="0"/>
        <v>1.409707072762419</v>
      </c>
      <c r="L32" s="179">
        <v>6.1500177679191129E-4</v>
      </c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</row>
    <row r="33" spans="1:24" ht="14" customHeight="1">
      <c r="A33" s="19" t="s">
        <v>22</v>
      </c>
      <c r="B33" s="83" t="s">
        <v>104</v>
      </c>
      <c r="C33" s="148">
        <v>0</v>
      </c>
      <c r="D33" s="148">
        <v>0.28792358419168346</v>
      </c>
      <c r="E33" s="148" cm="1">
        <f t="array" ref="E33">SUMPRODUCT(MRIO!C31:NA31,TRANSPOSE(DF_MRIO))</f>
        <v>0</v>
      </c>
      <c r="F33" s="149">
        <v>0.28792358419168346</v>
      </c>
      <c r="G33" s="148">
        <v>2.0260071894502536</v>
      </c>
      <c r="H33" s="148" cm="1">
        <f t="array" ref="H33">SUMPRODUCT(MRIO!C68:NA68,TRANSPOSE(DF_MRIO))-E33</f>
        <v>0</v>
      </c>
      <c r="I33" s="149">
        <v>2.0260071894502536</v>
      </c>
      <c r="J33" s="148">
        <v>1.4436654969589369</v>
      </c>
      <c r="K33" s="149">
        <f t="shared" si="0"/>
        <v>3.7575962706008741</v>
      </c>
      <c r="L33" s="178">
        <v>1.383249133296843E-3</v>
      </c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</row>
    <row r="34" spans="1:24" ht="14" customHeight="1">
      <c r="A34" s="21" t="s">
        <v>23</v>
      </c>
      <c r="B34" s="84" t="s">
        <v>105</v>
      </c>
      <c r="C34" s="151">
        <v>0</v>
      </c>
      <c r="D34" s="151">
        <v>1.0997701029466391</v>
      </c>
      <c r="E34" s="151" cm="1">
        <f t="array" ref="E34">SUMPRODUCT(MRIO!C32:NA32,TRANSPOSE(DF_MRIO))</f>
        <v>0</v>
      </c>
      <c r="F34" s="152">
        <v>1.0997701029466391</v>
      </c>
      <c r="G34" s="151">
        <v>4.6635685866246819</v>
      </c>
      <c r="H34" s="151" cm="1">
        <f t="array" ref="H34">SUMPRODUCT(MRIO!C69:NA69,TRANSPOSE(DF_MRIO))-E34</f>
        <v>0</v>
      </c>
      <c r="I34" s="152">
        <v>4.6635685866246819</v>
      </c>
      <c r="J34" s="148">
        <v>1.6123181207765613</v>
      </c>
      <c r="K34" s="152">
        <f t="shared" si="0"/>
        <v>7.3756568103478823</v>
      </c>
      <c r="L34" s="179">
        <v>2.2176423856243074E-3</v>
      </c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</row>
    <row r="35" spans="1:24" ht="14" customHeight="1">
      <c r="A35" s="19" t="s">
        <v>24</v>
      </c>
      <c r="B35" s="83" t="s">
        <v>106</v>
      </c>
      <c r="C35" s="148">
        <v>0</v>
      </c>
      <c r="D35" s="148">
        <v>0.21383357678268275</v>
      </c>
      <c r="E35" s="148" cm="1">
        <f t="array" ref="E35">SUMPRODUCT(MRIO!C33:NA33,TRANSPOSE(DF_MRIO))</f>
        <v>0</v>
      </c>
      <c r="F35" s="149">
        <v>0.21383357678268275</v>
      </c>
      <c r="G35" s="148">
        <v>1.5474129836542123</v>
      </c>
      <c r="H35" s="148" cm="1">
        <f t="array" ref="H35">SUMPRODUCT(MRIO!C70:NA70,TRANSPOSE(DF_MRIO))-E35</f>
        <v>0</v>
      </c>
      <c r="I35" s="149">
        <v>1.5474129836542123</v>
      </c>
      <c r="J35" s="148">
        <v>1.7244724209533691</v>
      </c>
      <c r="K35" s="149">
        <f t="shared" si="0"/>
        <v>3.485718981390264</v>
      </c>
      <c r="L35" s="178">
        <v>1.1861431862355001E-3</v>
      </c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</row>
    <row r="36" spans="1:24" ht="14" customHeight="1">
      <c r="A36" s="21" t="s">
        <v>25</v>
      </c>
      <c r="B36" s="84" t="s">
        <v>107</v>
      </c>
      <c r="C36" s="151">
        <v>0</v>
      </c>
      <c r="D36" s="151">
        <v>0.61811849973367228</v>
      </c>
      <c r="E36" s="151" cm="1">
        <f t="array" ref="E36">SUMPRODUCT(MRIO!C34:NA34,TRANSPOSE(DF_MRIO))</f>
        <v>0</v>
      </c>
      <c r="F36" s="152">
        <v>0.61811849973367228</v>
      </c>
      <c r="G36" s="151">
        <v>2.4092634174403353</v>
      </c>
      <c r="H36" s="151" cm="1">
        <f t="array" ref="H36">SUMPRODUCT(MRIO!C71:NA71,TRANSPOSE(DF_MRIO))-E36</f>
        <v>0</v>
      </c>
      <c r="I36" s="152">
        <v>2.4092634174403353</v>
      </c>
      <c r="J36" s="148">
        <v>0.94607423968024484</v>
      </c>
      <c r="K36" s="152">
        <f t="shared" si="0"/>
        <v>3.9734561568542524</v>
      </c>
      <c r="L36" s="179">
        <v>1.8596228562054817E-3</v>
      </c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</row>
    <row r="37" spans="1:24" ht="14" customHeight="1">
      <c r="A37" s="19" t="s">
        <v>597</v>
      </c>
      <c r="B37" s="83" t="s">
        <v>612</v>
      </c>
      <c r="C37" s="148">
        <v>0</v>
      </c>
      <c r="D37" s="148">
        <v>0.18937179663684217</v>
      </c>
      <c r="E37" s="148" cm="1">
        <f t="array" ref="E37">SUMPRODUCT(MRIO!C35:NA35,TRANSPOSE(DF_MRIO))</f>
        <v>0</v>
      </c>
      <c r="F37" s="149">
        <v>0.18937179663684217</v>
      </c>
      <c r="G37" s="148">
        <v>0.22856527554448242</v>
      </c>
      <c r="H37" s="148" cm="1">
        <f t="array" ref="H37">SUMPRODUCT(MRIO!C72:NA72,TRANSPOSE(DF_MRIO))-E37</f>
        <v>0</v>
      </c>
      <c r="I37" s="149">
        <v>0.22856527554448242</v>
      </c>
      <c r="J37" s="148">
        <v>2.5189398709529858</v>
      </c>
      <c r="K37" s="149">
        <f>J37+I37+F37+C37</f>
        <v>2.9368769431343105</v>
      </c>
      <c r="L37" s="178">
        <v>8.1015060084806243E-4</v>
      </c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</row>
    <row r="38" spans="1:24" ht="14" customHeight="1">
      <c r="A38" s="19" t="s">
        <v>598</v>
      </c>
      <c r="B38" s="83" t="s">
        <v>613</v>
      </c>
      <c r="C38" s="148">
        <v>0</v>
      </c>
      <c r="D38" s="148">
        <v>2.3900002390000235E-3</v>
      </c>
      <c r="E38" s="148" cm="1">
        <f t="array" ref="E38">SUMPRODUCT(MRIO!C36:NA36,TRANSPOSE(DF_MRIO))</f>
        <v>0</v>
      </c>
      <c r="F38" s="149">
        <v>2.3900002390000235E-3</v>
      </c>
      <c r="G38" s="148">
        <v>7.8680725043548602E-3</v>
      </c>
      <c r="H38" s="148" cm="1">
        <f t="array" ref="H38">SUMPRODUCT(MRIO!C73:NA73,TRANSPOSE(DF_MRIO))-E38</f>
        <v>0</v>
      </c>
      <c r="I38" s="149">
        <v>7.8680725043548602E-3</v>
      </c>
      <c r="J38" s="148">
        <v>3.8079344488629099</v>
      </c>
      <c r="K38" s="149">
        <f t="shared" si="0"/>
        <v>3.8181925216062647</v>
      </c>
      <c r="L38" s="178">
        <v>7.1870506373645018E-4</v>
      </c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</row>
    <row r="39" spans="1:24">
      <c r="A39" s="18"/>
      <c r="B39" s="18"/>
      <c r="C39" s="153"/>
      <c r="D39" s="153"/>
      <c r="E39" s="153"/>
      <c r="F39" s="153"/>
      <c r="G39" s="153"/>
      <c r="H39" s="153"/>
      <c r="I39" s="153"/>
      <c r="J39" s="153"/>
      <c r="K39" s="153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</row>
    <row r="40" spans="1:24" ht="18" customHeight="1">
      <c r="A40" s="85" t="s">
        <v>189</v>
      </c>
      <c r="B40" s="85"/>
      <c r="C40" s="154">
        <f t="shared" ref="C40:K40" si="2">SUM(C6:C38)</f>
        <v>70</v>
      </c>
      <c r="D40" s="154">
        <f t="shared" si="2"/>
        <v>47.124828435486208</v>
      </c>
      <c r="E40" s="154">
        <f t="shared" si="2"/>
        <v>0</v>
      </c>
      <c r="F40" s="154">
        <f t="shared" si="2"/>
        <v>47.124828435486208</v>
      </c>
      <c r="G40" s="154">
        <f t="shared" si="2"/>
        <v>30.560418326964271</v>
      </c>
      <c r="H40" s="154">
        <f t="shared" si="2"/>
        <v>0</v>
      </c>
      <c r="I40" s="154">
        <f t="shared" si="2"/>
        <v>30.560418326964271</v>
      </c>
      <c r="J40" s="155">
        <f t="shared" si="2"/>
        <v>32.214226992714245</v>
      </c>
      <c r="K40" s="156">
        <f t="shared" si="2"/>
        <v>179.89947375516482</v>
      </c>
      <c r="L40" s="180">
        <f>K40/'Matrices Nacionales'!AJ58</f>
        <v>2.3051947601214848E-3</v>
      </c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</row>
    <row r="45" spans="1:24">
      <c r="D45" s="113"/>
      <c r="G45" s="111"/>
    </row>
    <row r="46" spans="1:24">
      <c r="D46" s="113"/>
    </row>
    <row r="47" spans="1:24">
      <c r="D47" s="112"/>
    </row>
    <row r="48" spans="1:24">
      <c r="E48" s="112"/>
    </row>
  </sheetData>
  <mergeCells count="1">
    <mergeCell ref="A1:L1"/>
  </mergeCells>
  <conditionalFormatting sqref="K6:K38">
    <cfRule type="dataBar" priority="32">
      <dataBar>
        <cfvo type="min"/>
        <cfvo type="max"/>
        <color rgb="FF638EC6"/>
      </dataBar>
    </cfRule>
  </conditionalFormatting>
  <conditionalFormatting sqref="L6:L38">
    <cfRule type="dataBar" priority="33">
      <dataBar>
        <cfvo type="min"/>
        <cfvo type="max"/>
        <color rgb="FF63C384"/>
      </dataBar>
    </cfRule>
  </conditionalFormatting>
  <conditionalFormatting sqref="I6:I38">
    <cfRule type="dataBar" priority="16">
      <dataBar>
        <cfvo type="min"/>
        <cfvo type="max"/>
        <color rgb="FF638EC6"/>
      </dataBar>
    </cfRule>
  </conditionalFormatting>
  <conditionalFormatting sqref="F6:F38">
    <cfRule type="dataBar" priority="15">
      <dataBar>
        <cfvo type="min"/>
        <cfvo type="max"/>
        <color rgb="FF638EC6"/>
      </dataBar>
    </cfRule>
  </conditionalFormatting>
  <conditionalFormatting sqref="C6:C38">
    <cfRule type="cellIs" dxfId="49" priority="11" stopIfTrue="1" operator="equal">
      <formula>0</formula>
    </cfRule>
  </conditionalFormatting>
  <conditionalFormatting sqref="C6:C38"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6:D38">
    <cfRule type="cellIs" dxfId="48" priority="9" stopIfTrue="1" operator="equal">
      <formula>0</formula>
    </cfRule>
  </conditionalFormatting>
  <conditionalFormatting sqref="D6:D38">
    <cfRule type="colorScale" priority="1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6:E38">
    <cfRule type="cellIs" dxfId="47" priority="7" stopIfTrue="1" operator="equal">
      <formula>0</formula>
    </cfRule>
  </conditionalFormatting>
  <conditionalFormatting sqref="E6:E38"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G6:G38">
    <cfRule type="cellIs" dxfId="46" priority="5" stopIfTrue="1" operator="equal">
      <formula>0</formula>
    </cfRule>
  </conditionalFormatting>
  <conditionalFormatting sqref="G6:G38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H6:H38">
    <cfRule type="cellIs" dxfId="45" priority="3" stopIfTrue="1" operator="equal">
      <formula>0</formula>
    </cfRule>
  </conditionalFormatting>
  <conditionalFormatting sqref="H6:H38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6:J38">
    <cfRule type="cellIs" dxfId="44" priority="1" stopIfTrue="1" operator="equal">
      <formula>0</formula>
    </cfRule>
  </conditionalFormatting>
  <conditionalFormatting sqref="J6:J38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id="{7160BD3F-4BE1-EE40-982C-13D2D8602C91}">
            <xm:f>'Estimulos Nacionales'!$H$42&gt;0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A1:L1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1">
    <tabColor rgb="FF27AE60"/>
  </sheetPr>
  <dimension ref="A1:L157"/>
  <sheetViews>
    <sheetView showGridLines="0" zoomScale="130" zoomScaleNormal="130" workbookViewId="0">
      <pane ySplit="1" topLeftCell="A116" activePane="bottomLeft" state="frozen"/>
      <selection pane="bottomLeft" activeCell="D7" sqref="D7"/>
    </sheetView>
  </sheetViews>
  <sheetFormatPr baseColWidth="10" defaultRowHeight="16"/>
  <cols>
    <col min="1" max="1" width="30.6640625" customWidth="1"/>
    <col min="2" max="2" width="1.1640625" hidden="1" customWidth="1"/>
    <col min="3" max="10" width="12" customWidth="1"/>
    <col min="11" max="11" width="13" customWidth="1"/>
    <col min="12" max="12" width="12" customWidth="1"/>
    <col min="13" max="13" width="10.1640625" customWidth="1"/>
    <col min="14" max="17" width="11.1640625" customWidth="1"/>
  </cols>
  <sheetData>
    <row r="1" spans="1:12" ht="26" customHeight="1">
      <c r="A1" s="493" t="str">
        <f>IF(SUM(DeltaF21c)=0,"Efectos sobre el Empleo","Diferencias entre los proyectos en Empleo")&amp;" — Paraguay"</f>
        <v>Diferencias entre los proyectos en Empleo — Paraguay</v>
      </c>
      <c r="B1" s="493"/>
      <c r="C1" s="493"/>
      <c r="D1" s="493"/>
      <c r="E1" s="493"/>
      <c r="F1" s="493"/>
      <c r="G1" s="493"/>
      <c r="H1" s="493"/>
      <c r="I1" s="493"/>
      <c r="J1" s="493"/>
      <c r="K1" s="493"/>
      <c r="L1" s="493"/>
    </row>
    <row r="2" spans="1:12" ht="14" customHeight="1">
      <c r="A2" s="308" t="s">
        <v>555</v>
      </c>
    </row>
    <row r="3" spans="1:12" ht="8" customHeight="1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</row>
    <row r="4" spans="1:12" ht="20" customHeight="1">
      <c r="A4" s="114" t="s">
        <v>549</v>
      </c>
      <c r="B4" s="72"/>
      <c r="C4" s="73" t="s">
        <v>135</v>
      </c>
      <c r="D4" s="382" t="s">
        <v>182</v>
      </c>
      <c r="G4" s="385" t="s">
        <v>183</v>
      </c>
      <c r="J4" s="388" t="s">
        <v>184</v>
      </c>
      <c r="K4" s="74" t="s">
        <v>185</v>
      </c>
      <c r="L4" s="74" t="s">
        <v>186</v>
      </c>
    </row>
    <row r="5" spans="1:12" ht="20" customHeight="1" thickBot="1">
      <c r="A5" s="75" t="s">
        <v>5</v>
      </c>
      <c r="B5" s="76" t="s">
        <v>83</v>
      </c>
      <c r="C5" s="77"/>
      <c r="D5" s="383" t="s">
        <v>187</v>
      </c>
      <c r="E5" s="384" t="s">
        <v>188</v>
      </c>
      <c r="F5" s="384" t="s">
        <v>26</v>
      </c>
      <c r="G5" s="386" t="s">
        <v>187</v>
      </c>
      <c r="H5" s="387" t="s">
        <v>188</v>
      </c>
      <c r="I5" s="387" t="s">
        <v>26</v>
      </c>
      <c r="J5" s="389"/>
      <c r="K5" s="77"/>
      <c r="L5" s="77"/>
    </row>
    <row r="6" spans="1:12" ht="14" customHeight="1">
      <c r="A6" s="19" t="s">
        <v>582</v>
      </c>
      <c r="B6" s="83" t="s">
        <v>599</v>
      </c>
      <c r="C6" s="148" cm="1">
        <f t="array" ref="C6:C38">EInicial_21*Coef_trabajo</f>
        <v>0</v>
      </c>
      <c r="D6" s="148" cm="1">
        <f t="array" ref="D6:D38">EDirecto_21*Coef_trabajo</f>
        <v>-767.71048731252085</v>
      </c>
      <c r="E6" s="147" cm="1">
        <f t="array" ref="E6:E38">EIDirecto_21*Coef_trabajo</f>
        <v>0</v>
      </c>
      <c r="F6" s="149">
        <f t="shared" ref="F6:F38" si="0">E6+D6</f>
        <v>-767.71048731252085</v>
      </c>
      <c r="G6" s="148" cm="1">
        <f t="array" ref="G6:G38">EIndirecto21*Coef_trabajo</f>
        <v>143.08437047939262</v>
      </c>
      <c r="H6" s="147" cm="1">
        <f t="array" ref="H6:H38">EIIndirecto_21*Coef_trabajo</f>
        <v>0</v>
      </c>
      <c r="I6" s="149">
        <f t="shared" ref="I6:I38" si="1">H6+G6</f>
        <v>143.08437047939262</v>
      </c>
      <c r="J6" s="148" cm="1">
        <f t="array" ref="J6:J38">EInducido21*Coef_trabajo</f>
        <v>84.941348517316328</v>
      </c>
      <c r="K6" s="149">
        <f t="shared" ref="K6:K38" si="2">J6+I6+F6+C6</f>
        <v>-539.68476831581188</v>
      </c>
      <c r="L6" s="178" cm="1">
        <f t="array" ref="L6:L38">K6:K38/EmpleoTotal21</f>
        <v>-1.3523019307011819E-3</v>
      </c>
    </row>
    <row r="7" spans="1:12" ht="14" customHeight="1">
      <c r="A7" s="19" t="s">
        <v>583</v>
      </c>
      <c r="B7" s="83" t="s">
        <v>600</v>
      </c>
      <c r="C7" s="148">
        <v>0</v>
      </c>
      <c r="D7" s="148">
        <v>1646.534011900209</v>
      </c>
      <c r="E7" s="147">
        <v>0</v>
      </c>
      <c r="F7" s="149">
        <f>E7+D7</f>
        <v>1646.534011900209</v>
      </c>
      <c r="G7" s="148">
        <v>58.854945209659952</v>
      </c>
      <c r="H7" s="147">
        <v>0</v>
      </c>
      <c r="I7" s="149">
        <f>H7+G7</f>
        <v>58.854945209659952</v>
      </c>
      <c r="J7" s="148">
        <v>40.511238661609184</v>
      </c>
      <c r="K7" s="149">
        <f>J7+I7+F7+C7</f>
        <v>1745.9001957714781</v>
      </c>
      <c r="L7" s="178">
        <v>1.6040684623320759E-2</v>
      </c>
    </row>
    <row r="8" spans="1:12" ht="14" customHeight="1">
      <c r="A8" s="19" t="s">
        <v>584</v>
      </c>
      <c r="B8" s="83" t="s">
        <v>601</v>
      </c>
      <c r="C8" s="148">
        <v>0</v>
      </c>
      <c r="D8" s="148">
        <v>5.5436894014611049</v>
      </c>
      <c r="E8" s="147">
        <v>0</v>
      </c>
      <c r="F8" s="149">
        <f>E8+D8</f>
        <v>5.5436894014611049</v>
      </c>
      <c r="G8" s="148">
        <v>13.693543891841298</v>
      </c>
      <c r="H8" s="147">
        <v>0</v>
      </c>
      <c r="I8" s="149">
        <f>H8+G8</f>
        <v>13.693543891841298</v>
      </c>
      <c r="J8" s="148">
        <v>3.7733859210746004</v>
      </c>
      <c r="K8" s="149">
        <f>J8+I8+F8+C8</f>
        <v>23.010619214377002</v>
      </c>
      <c r="L8" s="178">
        <v>1.3297861312053284E-3</v>
      </c>
    </row>
    <row r="9" spans="1:12" ht="14" customHeight="1">
      <c r="A9" s="19" t="s">
        <v>585</v>
      </c>
      <c r="B9" s="83" t="s">
        <v>602</v>
      </c>
      <c r="C9" s="148">
        <v>0</v>
      </c>
      <c r="D9" s="148">
        <v>0</v>
      </c>
      <c r="E9" s="147">
        <v>0</v>
      </c>
      <c r="F9" s="149">
        <f>E9+D9</f>
        <v>0</v>
      </c>
      <c r="G9" s="148">
        <v>1.5152540276604702E-2</v>
      </c>
      <c r="H9" s="147">
        <v>0</v>
      </c>
      <c r="I9" s="149">
        <f>H9+G9</f>
        <v>1.5152540276604702E-2</v>
      </c>
      <c r="J9" s="148">
        <v>3.4168688342755953</v>
      </c>
      <c r="K9" s="149">
        <f>J9+I9+F9+C9</f>
        <v>3.4320213745522001</v>
      </c>
      <c r="L9" s="178">
        <v>7.1144721694697344E-4</v>
      </c>
    </row>
    <row r="10" spans="1:12" ht="14" customHeight="1">
      <c r="A10" s="21" t="s">
        <v>10</v>
      </c>
      <c r="B10" s="84" t="s">
        <v>91</v>
      </c>
      <c r="C10" s="151">
        <v>0</v>
      </c>
      <c r="D10" s="151">
        <v>2.4310065032444018E-2</v>
      </c>
      <c r="E10" s="150">
        <v>0</v>
      </c>
      <c r="F10" s="152">
        <f t="shared" si="0"/>
        <v>2.4310065032444018E-2</v>
      </c>
      <c r="G10" s="151">
        <v>0.28016782089640985</v>
      </c>
      <c r="H10" s="150">
        <v>0</v>
      </c>
      <c r="I10" s="152">
        <f t="shared" si="1"/>
        <v>0.28016782089640985</v>
      </c>
      <c r="J10" s="148">
        <v>0.80810964197233692</v>
      </c>
      <c r="K10" s="152">
        <f t="shared" si="2"/>
        <v>1.1125875279011908</v>
      </c>
      <c r="L10" s="179">
        <v>2.5361010437683853E-4</v>
      </c>
    </row>
    <row r="11" spans="1:12" ht="14" customHeight="1">
      <c r="A11" s="19" t="s">
        <v>586</v>
      </c>
      <c r="B11" s="83" t="s">
        <v>603</v>
      </c>
      <c r="C11" s="148">
        <v>677.54116775411671</v>
      </c>
      <c r="D11" s="148">
        <v>12.792656067631084</v>
      </c>
      <c r="E11" s="147">
        <v>0</v>
      </c>
      <c r="F11" s="149">
        <f t="shared" si="0"/>
        <v>12.792656067631084</v>
      </c>
      <c r="G11" s="148">
        <v>0.94161732763531458</v>
      </c>
      <c r="H11" s="147">
        <v>0</v>
      </c>
      <c r="I11" s="149">
        <f t="shared" si="1"/>
        <v>0.94161732763531458</v>
      </c>
      <c r="J11" s="148">
        <v>10.029952510797134</v>
      </c>
      <c r="K11" s="149">
        <f t="shared" si="2"/>
        <v>701.30539366018024</v>
      </c>
      <c r="L11" s="179">
        <v>2.4738276258780917E-2</v>
      </c>
    </row>
    <row r="12" spans="1:12" ht="14" customHeight="1">
      <c r="A12" s="19" t="s">
        <v>587</v>
      </c>
      <c r="B12" s="83" t="s">
        <v>604</v>
      </c>
      <c r="C12" s="148">
        <v>-146.962879640045</v>
      </c>
      <c r="D12" s="148">
        <v>0.19008071853791478</v>
      </c>
      <c r="E12" s="147">
        <v>0</v>
      </c>
      <c r="F12" s="149">
        <f t="shared" ref="F12:F17" si="3">E12+D12</f>
        <v>0.19008071853791478</v>
      </c>
      <c r="G12" s="148">
        <v>0.65378650922450121</v>
      </c>
      <c r="H12" s="147">
        <v>0</v>
      </c>
      <c r="I12" s="149">
        <f t="shared" ref="I12:I17" si="4">H12+G12</f>
        <v>0.65378650922450121</v>
      </c>
      <c r="J12" s="148">
        <v>0.8139139261927284</v>
      </c>
      <c r="K12" s="149">
        <f t="shared" ref="K12:K17" si="5">J12+I12+F12+C12</f>
        <v>-145.30509848608986</v>
      </c>
      <c r="L12" s="179">
        <v>-2.0853200127165593E-2</v>
      </c>
    </row>
    <row r="13" spans="1:12" ht="14" customHeight="1">
      <c r="A13" s="19" t="s">
        <v>588</v>
      </c>
      <c r="B13" s="83" t="s">
        <v>87</v>
      </c>
      <c r="C13" s="148">
        <v>0</v>
      </c>
      <c r="D13" s="148">
        <v>3.7580763575039214E-2</v>
      </c>
      <c r="E13" s="147">
        <v>0</v>
      </c>
      <c r="F13" s="149">
        <f t="shared" si="3"/>
        <v>3.7580763575039214E-2</v>
      </c>
      <c r="G13" s="148">
        <v>0.88996602985690365</v>
      </c>
      <c r="H13" s="147">
        <v>0</v>
      </c>
      <c r="I13" s="149">
        <f t="shared" si="4"/>
        <v>0.88996602985690365</v>
      </c>
      <c r="J13" s="148">
        <v>4.7465425032533286</v>
      </c>
      <c r="K13" s="149">
        <f t="shared" si="5"/>
        <v>5.6740892966852714</v>
      </c>
      <c r="L13" s="179">
        <v>7.6801425239378331E-4</v>
      </c>
    </row>
    <row r="14" spans="1:12" ht="14" customHeight="1">
      <c r="A14" s="19" t="s">
        <v>589</v>
      </c>
      <c r="B14" s="83" t="s">
        <v>605</v>
      </c>
      <c r="C14" s="148">
        <v>0</v>
      </c>
      <c r="D14" s="148">
        <v>20.360522788442726</v>
      </c>
      <c r="E14" s="147">
        <v>0</v>
      </c>
      <c r="F14" s="149">
        <f t="shared" si="3"/>
        <v>20.360522788442726</v>
      </c>
      <c r="G14" s="148">
        <v>4.4293647792057307</v>
      </c>
      <c r="H14" s="147">
        <v>0</v>
      </c>
      <c r="I14" s="149">
        <f t="shared" si="4"/>
        <v>4.4293647792057307</v>
      </c>
      <c r="J14" s="148">
        <v>13.279342202993112</v>
      </c>
      <c r="K14" s="149">
        <f t="shared" si="5"/>
        <v>38.06922977064157</v>
      </c>
      <c r="L14" s="179">
        <v>1.4439853501229543E-3</v>
      </c>
    </row>
    <row r="15" spans="1:12" ht="14" customHeight="1">
      <c r="A15" s="19" t="s">
        <v>590</v>
      </c>
      <c r="B15" s="83" t="s">
        <v>606</v>
      </c>
      <c r="C15" s="148">
        <v>0</v>
      </c>
      <c r="D15" s="148">
        <v>6.8613290994170406E-2</v>
      </c>
      <c r="E15" s="147">
        <v>0</v>
      </c>
      <c r="F15" s="149">
        <f t="shared" si="3"/>
        <v>6.8613290994170406E-2</v>
      </c>
      <c r="G15" s="148">
        <v>0.53533321017753976</v>
      </c>
      <c r="H15" s="147">
        <v>0</v>
      </c>
      <c r="I15" s="149">
        <f t="shared" si="4"/>
        <v>0.53533321017753976</v>
      </c>
      <c r="J15" s="148">
        <v>3.1063794621486105</v>
      </c>
      <c r="K15" s="149">
        <f t="shared" si="5"/>
        <v>3.7103259633203209</v>
      </c>
      <c r="L15" s="179">
        <v>6.8129378687482943E-4</v>
      </c>
    </row>
    <row r="16" spans="1:12" ht="14" customHeight="1">
      <c r="A16" s="19" t="s">
        <v>591</v>
      </c>
      <c r="B16" s="83" t="s">
        <v>607</v>
      </c>
      <c r="C16" s="148">
        <v>0</v>
      </c>
      <c r="D16" s="148">
        <v>5.0959370648988678</v>
      </c>
      <c r="E16" s="147">
        <v>0</v>
      </c>
      <c r="F16" s="149">
        <f t="shared" si="3"/>
        <v>5.0959370648988678</v>
      </c>
      <c r="G16" s="148">
        <v>7.0425221707609005</v>
      </c>
      <c r="H16" s="147">
        <v>0</v>
      </c>
      <c r="I16" s="149">
        <f t="shared" si="4"/>
        <v>7.0425221707609005</v>
      </c>
      <c r="J16" s="148">
        <v>5.3118682682230292</v>
      </c>
      <c r="K16" s="149">
        <f t="shared" si="5"/>
        <v>17.450327503882797</v>
      </c>
      <c r="L16" s="179">
        <v>1.9312004763039838E-3</v>
      </c>
    </row>
    <row r="17" spans="1:12" ht="14" customHeight="1">
      <c r="A17" s="19" t="s">
        <v>592</v>
      </c>
      <c r="B17" s="83" t="s">
        <v>608</v>
      </c>
      <c r="C17" s="148">
        <v>0</v>
      </c>
      <c r="D17" s="148">
        <v>0.16813810810883026</v>
      </c>
      <c r="E17" s="147">
        <v>0</v>
      </c>
      <c r="F17" s="149">
        <f t="shared" si="3"/>
        <v>0.16813810810883026</v>
      </c>
      <c r="G17" s="148">
        <v>0.28602768690938113</v>
      </c>
      <c r="H17" s="147">
        <v>0</v>
      </c>
      <c r="I17" s="149">
        <f t="shared" si="4"/>
        <v>0.28602768690938113</v>
      </c>
      <c r="J17" s="148">
        <v>8.7519495768522511</v>
      </c>
      <c r="K17" s="149">
        <f t="shared" si="5"/>
        <v>9.2061153718704638</v>
      </c>
      <c r="L17" s="179">
        <v>6.3674888448405481E-4</v>
      </c>
    </row>
    <row r="18" spans="1:12" ht="14" customHeight="1">
      <c r="A18" s="21" t="s">
        <v>593</v>
      </c>
      <c r="B18" s="84" t="s">
        <v>609</v>
      </c>
      <c r="C18" s="151">
        <v>0</v>
      </c>
      <c r="D18" s="151">
        <v>14.011389971577758</v>
      </c>
      <c r="E18" s="150">
        <v>0</v>
      </c>
      <c r="F18" s="152">
        <f t="shared" si="0"/>
        <v>14.011389971577758</v>
      </c>
      <c r="G18" s="151">
        <v>53.791528183562249</v>
      </c>
      <c r="H18" s="150">
        <v>0</v>
      </c>
      <c r="I18" s="152">
        <f t="shared" si="1"/>
        <v>53.791528183562249</v>
      </c>
      <c r="J18" s="148">
        <v>29.975353485036916</v>
      </c>
      <c r="K18" s="152">
        <f t="shared" si="2"/>
        <v>97.778271640176925</v>
      </c>
      <c r="L18" s="179">
        <v>1.6460988491612278E-3</v>
      </c>
    </row>
    <row r="19" spans="1:12" ht="14" customHeight="1">
      <c r="A19" s="21" t="s">
        <v>594</v>
      </c>
      <c r="B19" s="84" t="s">
        <v>610</v>
      </c>
      <c r="C19" s="151">
        <v>0</v>
      </c>
      <c r="D19" s="151">
        <v>0.55722494984650084</v>
      </c>
      <c r="E19" s="150">
        <v>0</v>
      </c>
      <c r="F19" s="152">
        <f>E19+D19</f>
        <v>0.55722494984650084</v>
      </c>
      <c r="G19" s="151">
        <v>0.98214318349464069</v>
      </c>
      <c r="H19" s="150">
        <v>0</v>
      </c>
      <c r="I19" s="152">
        <f>H19+G19</f>
        <v>0.98214318349464069</v>
      </c>
      <c r="J19" s="148">
        <v>6.6145814261861808</v>
      </c>
      <c r="K19" s="152">
        <f>J19+I19+F19+C19</f>
        <v>8.153949559527323</v>
      </c>
      <c r="L19" s="179">
        <v>7.8660520543385331E-4</v>
      </c>
    </row>
    <row r="20" spans="1:12" ht="14" customHeight="1">
      <c r="A20" s="19" t="s">
        <v>595</v>
      </c>
      <c r="B20" s="83" t="s">
        <v>92</v>
      </c>
      <c r="C20" s="148">
        <v>0</v>
      </c>
      <c r="D20" s="148">
        <v>0.1943618575662541</v>
      </c>
      <c r="E20" s="147">
        <v>0</v>
      </c>
      <c r="F20" s="149">
        <f t="shared" si="0"/>
        <v>0.1943618575662541</v>
      </c>
      <c r="G20" s="148">
        <v>17.976683524041199</v>
      </c>
      <c r="H20" s="147">
        <v>0</v>
      </c>
      <c r="I20" s="149">
        <f t="shared" si="1"/>
        <v>17.976683524041199</v>
      </c>
      <c r="J20" s="148">
        <v>2.4635106311950103</v>
      </c>
      <c r="K20" s="149">
        <f t="shared" si="2"/>
        <v>20.634556012802463</v>
      </c>
      <c r="L20" s="178">
        <v>1.2103798693572539E-3</v>
      </c>
    </row>
    <row r="21" spans="1:12" ht="14" customHeight="1">
      <c r="A21" s="19" t="s">
        <v>596</v>
      </c>
      <c r="B21" s="83" t="s">
        <v>611</v>
      </c>
      <c r="C21" s="148">
        <v>0</v>
      </c>
      <c r="D21" s="148">
        <v>5.9298911514765207</v>
      </c>
      <c r="E21" s="147">
        <v>0</v>
      </c>
      <c r="F21" s="149">
        <f>E21+D21</f>
        <v>5.9298911514765207</v>
      </c>
      <c r="G21" s="148">
        <v>7.4027127483341228</v>
      </c>
      <c r="H21" s="147">
        <v>0</v>
      </c>
      <c r="I21" s="149">
        <f>H21+G21</f>
        <v>7.4027127483341228</v>
      </c>
      <c r="J21" s="148">
        <v>7.350830935511766</v>
      </c>
      <c r="K21" s="149">
        <f>J21+I21+F21+C21</f>
        <v>20.683434835322409</v>
      </c>
      <c r="L21" s="178">
        <v>1.4828961023316898E-3</v>
      </c>
    </row>
    <row r="22" spans="1:12" ht="14" customHeight="1">
      <c r="A22" s="21" t="s">
        <v>11</v>
      </c>
      <c r="B22" s="84" t="s">
        <v>93</v>
      </c>
      <c r="C22" s="151">
        <v>0</v>
      </c>
      <c r="D22" s="151">
        <v>4.0865885209227946</v>
      </c>
      <c r="E22" s="150">
        <v>0</v>
      </c>
      <c r="F22" s="152">
        <f t="shared" si="0"/>
        <v>4.0865885209227946</v>
      </c>
      <c r="G22" s="151">
        <v>5.1236908672683619</v>
      </c>
      <c r="H22" s="150">
        <v>0</v>
      </c>
      <c r="I22" s="152">
        <f t="shared" si="1"/>
        <v>5.1236908672683619</v>
      </c>
      <c r="J22" s="148">
        <v>12.254762793332096</v>
      </c>
      <c r="K22" s="152">
        <f t="shared" si="2"/>
        <v>21.465042181523252</v>
      </c>
      <c r="L22" s="179">
        <v>8.5402411798851164E-4</v>
      </c>
    </row>
    <row r="23" spans="1:12" ht="14" customHeight="1">
      <c r="A23" s="19" t="s">
        <v>12</v>
      </c>
      <c r="B23" s="83" t="s">
        <v>94</v>
      </c>
      <c r="C23" s="148">
        <v>0</v>
      </c>
      <c r="D23" s="148">
        <v>0.51124397506530483</v>
      </c>
      <c r="E23" s="147">
        <v>0</v>
      </c>
      <c r="F23" s="149">
        <f t="shared" si="0"/>
        <v>0.51124397506530483</v>
      </c>
      <c r="G23" s="148">
        <v>2.2116166699167192</v>
      </c>
      <c r="H23" s="147">
        <v>0</v>
      </c>
      <c r="I23" s="149">
        <f t="shared" si="1"/>
        <v>2.2116166699167192</v>
      </c>
      <c r="J23" s="148">
        <v>5.6047605689391053</v>
      </c>
      <c r="K23" s="149">
        <f t="shared" si="2"/>
        <v>8.3276212139211303</v>
      </c>
      <c r="L23" s="178">
        <v>2.8857236169939463E-4</v>
      </c>
    </row>
    <row r="24" spans="1:12" ht="14" customHeight="1">
      <c r="A24" s="21" t="s">
        <v>13</v>
      </c>
      <c r="B24" s="84" t="s">
        <v>95</v>
      </c>
      <c r="C24" s="151">
        <v>0</v>
      </c>
      <c r="D24" s="151">
        <v>9.335340933534092E-2</v>
      </c>
      <c r="E24" s="150">
        <v>0</v>
      </c>
      <c r="F24" s="152">
        <f t="shared" si="0"/>
        <v>9.335340933534092E-2</v>
      </c>
      <c r="G24" s="151">
        <v>1.3462595855810966</v>
      </c>
      <c r="H24" s="150">
        <v>0</v>
      </c>
      <c r="I24" s="152">
        <f t="shared" si="1"/>
        <v>1.3462595855810966</v>
      </c>
      <c r="J24" s="148">
        <v>0.94544624829414947</v>
      </c>
      <c r="K24" s="152">
        <f t="shared" si="2"/>
        <v>2.3850592432105868</v>
      </c>
      <c r="L24" s="179">
        <v>6.1061424557362696E-4</v>
      </c>
    </row>
    <row r="25" spans="1:12" ht="14" customHeight="1">
      <c r="A25" s="19" t="s">
        <v>14</v>
      </c>
      <c r="B25" s="83" t="s">
        <v>96</v>
      </c>
      <c r="C25" s="148">
        <v>0</v>
      </c>
      <c r="D25" s="148">
        <v>0.8829572377117143</v>
      </c>
      <c r="E25" s="147">
        <v>0</v>
      </c>
      <c r="F25" s="149">
        <f t="shared" si="0"/>
        <v>0.8829572377117143</v>
      </c>
      <c r="G25" s="148">
        <v>5.7125362787060388</v>
      </c>
      <c r="H25" s="147">
        <v>0</v>
      </c>
      <c r="I25" s="149">
        <f t="shared" si="1"/>
        <v>5.7125362787060388</v>
      </c>
      <c r="J25" s="148">
        <v>3.5152960462730309</v>
      </c>
      <c r="K25" s="149">
        <f t="shared" si="2"/>
        <v>10.110789562690783</v>
      </c>
      <c r="L25" s="178">
        <v>4.9263250646515216E-4</v>
      </c>
    </row>
    <row r="26" spans="1:12" ht="14" customHeight="1">
      <c r="A26" s="21" t="s">
        <v>15</v>
      </c>
      <c r="B26" s="84" t="s">
        <v>97</v>
      </c>
      <c r="C26" s="151">
        <v>0</v>
      </c>
      <c r="D26" s="151">
        <v>0.39498376486875214</v>
      </c>
      <c r="E26" s="150">
        <v>0</v>
      </c>
      <c r="F26" s="152">
        <f t="shared" si="0"/>
        <v>0.39498376486875214</v>
      </c>
      <c r="G26" s="151">
        <v>0.92097143765132872</v>
      </c>
      <c r="H26" s="150">
        <v>0</v>
      </c>
      <c r="I26" s="152">
        <f t="shared" si="1"/>
        <v>0.92097143765132872</v>
      </c>
      <c r="J26" s="148">
        <v>2.1548551565128657</v>
      </c>
      <c r="K26" s="152">
        <f t="shared" si="2"/>
        <v>3.4708103590329467</v>
      </c>
      <c r="L26" s="179">
        <v>3.6735926746750072E-4</v>
      </c>
    </row>
    <row r="27" spans="1:12" ht="14" customHeight="1">
      <c r="A27" s="19" t="s">
        <v>16</v>
      </c>
      <c r="B27" s="83" t="s">
        <v>98</v>
      </c>
      <c r="C27" s="148">
        <v>0</v>
      </c>
      <c r="D27" s="148">
        <v>17.283195578474082</v>
      </c>
      <c r="E27" s="147">
        <v>0</v>
      </c>
      <c r="F27" s="149">
        <f t="shared" si="0"/>
        <v>17.283195578474082</v>
      </c>
      <c r="G27" s="148">
        <v>56.335099744133949</v>
      </c>
      <c r="H27" s="147">
        <v>0</v>
      </c>
      <c r="I27" s="149">
        <f t="shared" si="1"/>
        <v>56.335099744133949</v>
      </c>
      <c r="J27" s="148">
        <v>16.217957851902451</v>
      </c>
      <c r="K27" s="149">
        <f t="shared" si="2"/>
        <v>89.836253174510475</v>
      </c>
      <c r="L27" s="178">
        <v>2.4259742695177141E-3</v>
      </c>
    </row>
    <row r="28" spans="1:12" ht="14" customHeight="1">
      <c r="A28" s="21" t="s">
        <v>17</v>
      </c>
      <c r="B28" s="84" t="s">
        <v>99</v>
      </c>
      <c r="C28" s="151">
        <v>0</v>
      </c>
      <c r="D28" s="151">
        <v>3.8545475575235049</v>
      </c>
      <c r="E28" s="150">
        <v>0</v>
      </c>
      <c r="F28" s="152">
        <f t="shared" si="0"/>
        <v>3.8545475575235049</v>
      </c>
      <c r="G28" s="151">
        <v>10.453461310250788</v>
      </c>
      <c r="H28" s="150">
        <v>0</v>
      </c>
      <c r="I28" s="152">
        <f t="shared" si="1"/>
        <v>10.453461310250788</v>
      </c>
      <c r="J28" s="148">
        <v>7.4999260319346286</v>
      </c>
      <c r="K28" s="152">
        <f t="shared" si="2"/>
        <v>21.807934899708918</v>
      </c>
      <c r="L28" s="179">
        <v>8.5097494438322548E-4</v>
      </c>
    </row>
    <row r="29" spans="1:12" ht="14" customHeight="1">
      <c r="A29" s="19" t="s">
        <v>18</v>
      </c>
      <c r="B29" s="83" t="s">
        <v>100</v>
      </c>
      <c r="C29" s="148">
        <v>0</v>
      </c>
      <c r="D29" s="148">
        <v>0</v>
      </c>
      <c r="E29" s="147">
        <v>0</v>
      </c>
      <c r="F29" s="149">
        <f t="shared" si="0"/>
        <v>0</v>
      </c>
      <c r="G29" s="148">
        <v>9.1254238631420073</v>
      </c>
      <c r="H29" s="147">
        <v>0</v>
      </c>
      <c r="I29" s="149">
        <f t="shared" si="1"/>
        <v>9.1254238631420073</v>
      </c>
      <c r="J29" s="148">
        <v>9.3550423496651423</v>
      </c>
      <c r="K29" s="149">
        <f t="shared" si="2"/>
        <v>18.480466212807151</v>
      </c>
      <c r="L29" s="178">
        <v>8.7007435053540951E-5</v>
      </c>
    </row>
    <row r="30" spans="1:12" ht="14" customHeight="1">
      <c r="A30" s="21" t="s">
        <v>19</v>
      </c>
      <c r="B30" s="84" t="s">
        <v>101</v>
      </c>
      <c r="C30" s="151">
        <v>0</v>
      </c>
      <c r="D30" s="151">
        <v>745.31877317075703</v>
      </c>
      <c r="E30" s="150">
        <v>0</v>
      </c>
      <c r="F30" s="152">
        <f t="shared" si="0"/>
        <v>745.31877317075703</v>
      </c>
      <c r="G30" s="151">
        <v>332.32818882277206</v>
      </c>
      <c r="H30" s="150">
        <v>0</v>
      </c>
      <c r="I30" s="152">
        <f t="shared" si="1"/>
        <v>332.32818882277206</v>
      </c>
      <c r="J30" s="148">
        <v>300.32388261890208</v>
      </c>
      <c r="K30" s="152">
        <f t="shared" si="2"/>
        <v>1377.9708446124312</v>
      </c>
      <c r="L30" s="179">
        <v>1.717410076615099E-3</v>
      </c>
    </row>
    <row r="31" spans="1:12" ht="14" customHeight="1">
      <c r="A31" s="19" t="s">
        <v>20</v>
      </c>
      <c r="B31" s="83" t="s">
        <v>102</v>
      </c>
      <c r="C31" s="148">
        <v>0</v>
      </c>
      <c r="D31" s="148">
        <v>45.088481918618562</v>
      </c>
      <c r="E31" s="147">
        <v>0</v>
      </c>
      <c r="F31" s="149">
        <f t="shared" si="0"/>
        <v>45.088481918618562</v>
      </c>
      <c r="G31" s="148">
        <v>53.448931721683365</v>
      </c>
      <c r="H31" s="147">
        <v>0</v>
      </c>
      <c r="I31" s="149">
        <f t="shared" si="1"/>
        <v>53.448931721683365</v>
      </c>
      <c r="J31" s="148">
        <v>39.789146221967258</v>
      </c>
      <c r="K31" s="149">
        <f t="shared" si="2"/>
        <v>138.32655986226919</v>
      </c>
      <c r="L31" s="178">
        <v>1.5711785536377692E-3</v>
      </c>
    </row>
    <row r="32" spans="1:12" ht="14" customHeight="1">
      <c r="A32" s="21" t="s">
        <v>21</v>
      </c>
      <c r="B32" s="84" t="s">
        <v>103</v>
      </c>
      <c r="C32" s="151">
        <v>0</v>
      </c>
      <c r="D32" s="151">
        <v>3.6413913895921133</v>
      </c>
      <c r="E32" s="150">
        <v>0</v>
      </c>
      <c r="F32" s="152">
        <f t="shared" si="0"/>
        <v>3.6413913895921133</v>
      </c>
      <c r="G32" s="151">
        <v>13.229813607416009</v>
      </c>
      <c r="H32" s="150">
        <v>0</v>
      </c>
      <c r="I32" s="152">
        <f t="shared" si="1"/>
        <v>13.229813607416009</v>
      </c>
      <c r="J32" s="148">
        <v>51.000391089747204</v>
      </c>
      <c r="K32" s="152">
        <f t="shared" si="2"/>
        <v>67.871596086755332</v>
      </c>
      <c r="L32" s="179">
        <v>6.1500177679191129E-4</v>
      </c>
    </row>
    <row r="33" spans="1:12" ht="14" customHeight="1">
      <c r="A33" s="19" t="s">
        <v>22</v>
      </c>
      <c r="B33" s="83" t="s">
        <v>104</v>
      </c>
      <c r="C33" s="148">
        <v>0</v>
      </c>
      <c r="D33" s="148">
        <v>5.2093341577165662</v>
      </c>
      <c r="E33" s="147">
        <v>0</v>
      </c>
      <c r="F33" s="149">
        <f t="shared" si="0"/>
        <v>5.2093341577165662</v>
      </c>
      <c r="G33" s="148">
        <v>36.656074858932641</v>
      </c>
      <c r="H33" s="147">
        <v>0</v>
      </c>
      <c r="I33" s="149">
        <f t="shared" si="1"/>
        <v>36.656074858932641</v>
      </c>
      <c r="J33" s="148">
        <v>26.119902635757331</v>
      </c>
      <c r="K33" s="149">
        <f t="shared" si="2"/>
        <v>67.985311652406537</v>
      </c>
      <c r="L33" s="178">
        <v>1.383249133296843E-3</v>
      </c>
    </row>
    <row r="34" spans="1:12" ht="14" customHeight="1">
      <c r="A34" s="21" t="s">
        <v>23</v>
      </c>
      <c r="B34" s="84" t="s">
        <v>105</v>
      </c>
      <c r="C34" s="151">
        <v>0</v>
      </c>
      <c r="D34" s="151">
        <v>13.437041974605259</v>
      </c>
      <c r="E34" s="150">
        <v>0</v>
      </c>
      <c r="F34" s="152">
        <f t="shared" si="0"/>
        <v>13.437041974605259</v>
      </c>
      <c r="G34" s="151">
        <v>56.979696649352235</v>
      </c>
      <c r="H34" s="150">
        <v>0</v>
      </c>
      <c r="I34" s="152">
        <f t="shared" si="1"/>
        <v>56.979696649352235</v>
      </c>
      <c r="J34" s="148">
        <v>19.699377358271853</v>
      </c>
      <c r="K34" s="152">
        <f t="shared" si="2"/>
        <v>90.116115982229346</v>
      </c>
      <c r="L34" s="179">
        <v>2.2176423856243074E-3</v>
      </c>
    </row>
    <row r="35" spans="1:12" ht="14" customHeight="1">
      <c r="A35" s="19" t="s">
        <v>24</v>
      </c>
      <c r="B35" s="83" t="s">
        <v>106</v>
      </c>
      <c r="C35" s="148">
        <v>0</v>
      </c>
      <c r="D35" s="148">
        <v>1.3804915842791226</v>
      </c>
      <c r="E35" s="147">
        <v>0</v>
      </c>
      <c r="F35" s="149">
        <f t="shared" si="0"/>
        <v>1.3804915842791226</v>
      </c>
      <c r="G35" s="148">
        <v>9.989968055904896</v>
      </c>
      <c r="H35" s="147">
        <v>0</v>
      </c>
      <c r="I35" s="149">
        <f t="shared" si="1"/>
        <v>9.989968055904896</v>
      </c>
      <c r="J35" s="148">
        <v>11.133048889075891</v>
      </c>
      <c r="K35" s="149">
        <f t="shared" si="2"/>
        <v>22.503508529259911</v>
      </c>
      <c r="L35" s="178">
        <v>1.1861431862355003E-3</v>
      </c>
    </row>
    <row r="36" spans="1:12" ht="14" customHeight="1">
      <c r="A36" s="21" t="s">
        <v>25</v>
      </c>
      <c r="B36" s="84" t="s">
        <v>107</v>
      </c>
      <c r="C36" s="151">
        <v>0</v>
      </c>
      <c r="D36" s="151">
        <v>42.708525571994656</v>
      </c>
      <c r="E36" s="150">
        <v>0</v>
      </c>
      <c r="F36" s="152">
        <f t="shared" si="0"/>
        <v>42.708525571994656</v>
      </c>
      <c r="G36" s="151">
        <v>166.46660521850822</v>
      </c>
      <c r="H36" s="150">
        <v>0</v>
      </c>
      <c r="I36" s="152">
        <f t="shared" si="1"/>
        <v>166.46660521850822</v>
      </c>
      <c r="J36" s="148">
        <v>65.36842996253722</v>
      </c>
      <c r="K36" s="152">
        <f t="shared" si="2"/>
        <v>274.54356075304008</v>
      </c>
      <c r="L36" s="179">
        <v>1.8596228562054817E-3</v>
      </c>
    </row>
    <row r="37" spans="1:12" ht="14" customHeight="1">
      <c r="A37" s="19" t="s">
        <v>597</v>
      </c>
      <c r="B37" s="83" t="s">
        <v>612</v>
      </c>
      <c r="C37" s="148">
        <v>0</v>
      </c>
      <c r="D37" s="148">
        <v>24.592893143225297</v>
      </c>
      <c r="E37" s="147">
        <v>0</v>
      </c>
      <c r="F37" s="149">
        <f>E37+D37</f>
        <v>24.592893143225297</v>
      </c>
      <c r="G37" s="148">
        <v>29.682780105301724</v>
      </c>
      <c r="H37" s="147">
        <v>0</v>
      </c>
      <c r="I37" s="149">
        <f>H37+G37</f>
        <v>29.682780105301724</v>
      </c>
      <c r="J37" s="148">
        <v>327.12378601632042</v>
      </c>
      <c r="K37" s="149">
        <f>J37+I37+F37+C37</f>
        <v>381.39945926484745</v>
      </c>
      <c r="L37" s="178">
        <v>8.1015060084806243E-4</v>
      </c>
    </row>
    <row r="38" spans="1:12" ht="14" customHeight="1">
      <c r="A38" s="19" t="s">
        <v>598</v>
      </c>
      <c r="B38" s="83" t="s">
        <v>613</v>
      </c>
      <c r="C38" s="148">
        <v>0</v>
      </c>
      <c r="D38" s="148">
        <v>0.12513018418037528</v>
      </c>
      <c r="E38" s="147">
        <v>0</v>
      </c>
      <c r="F38" s="149">
        <f t="shared" si="0"/>
        <v>0.12513018418037528</v>
      </c>
      <c r="G38" s="148">
        <v>0.41193860383311048</v>
      </c>
      <c r="H38" s="147">
        <v>0</v>
      </c>
      <c r="I38" s="149">
        <f t="shared" si="1"/>
        <v>0.41193860383311048</v>
      </c>
      <c r="J38" s="148">
        <v>199.36715116496146</v>
      </c>
      <c r="K38" s="149">
        <f t="shared" si="2"/>
        <v>199.90421995297493</v>
      </c>
      <c r="L38" s="178">
        <v>7.1870506373645018E-4</v>
      </c>
    </row>
    <row r="39" spans="1:12">
      <c r="A39" s="164"/>
      <c r="B39" s="18"/>
      <c r="C39" s="153"/>
      <c r="D39" s="153"/>
      <c r="E39" s="153"/>
      <c r="F39" s="153"/>
      <c r="G39" s="153"/>
      <c r="H39" s="153"/>
      <c r="I39" s="153"/>
      <c r="J39" s="153"/>
      <c r="K39" s="153"/>
      <c r="L39" s="18"/>
    </row>
    <row r="40" spans="1:12" ht="18" customHeight="1">
      <c r="A40" s="85" t="s">
        <v>189</v>
      </c>
      <c r="B40" s="85"/>
      <c r="C40" s="154">
        <f t="shared" ref="C40:K40" si="6">SUM(C6:C38)</f>
        <v>530.57828811407171</v>
      </c>
      <c r="D40" s="155">
        <f t="shared" si="6"/>
        <v>1852.4068539257078</v>
      </c>
      <c r="E40" s="154">
        <f t="shared" si="6"/>
        <v>0</v>
      </c>
      <c r="F40" s="154">
        <f t="shared" si="6"/>
        <v>1852.4068539257078</v>
      </c>
      <c r="G40" s="155">
        <f t="shared" si="6"/>
        <v>1101.2829226956237</v>
      </c>
      <c r="H40" s="154">
        <f t="shared" si="6"/>
        <v>0</v>
      </c>
      <c r="I40" s="154">
        <f t="shared" si="6"/>
        <v>1101.2829226956237</v>
      </c>
      <c r="J40" s="155">
        <f t="shared" si="6"/>
        <v>1323.368339509032</v>
      </c>
      <c r="K40" s="156">
        <f t="shared" si="6"/>
        <v>4807.6364042444357</v>
      </c>
      <c r="L40" s="180">
        <f>K40/'Informacion Empleo'!C39</f>
        <v>1.549746133882158E-3</v>
      </c>
    </row>
    <row r="43" spans="1:12">
      <c r="A43" s="114" t="s">
        <v>554</v>
      </c>
      <c r="B43" s="72"/>
      <c r="C43" s="495" t="s">
        <v>190</v>
      </c>
      <c r="D43" s="496"/>
      <c r="F43" s="497" t="s">
        <v>191</v>
      </c>
      <c r="G43" s="498"/>
      <c r="H43" s="498"/>
    </row>
    <row r="44" spans="1:12" ht="17" customHeight="1" thickBot="1">
      <c r="A44" s="75" t="s">
        <v>5</v>
      </c>
      <c r="B44" s="76" t="s">
        <v>83</v>
      </c>
      <c r="C44" s="383" t="s">
        <v>162</v>
      </c>
      <c r="D44" s="384" t="s">
        <v>166</v>
      </c>
      <c r="E44" s="384" t="s">
        <v>26</v>
      </c>
      <c r="F44" s="390" t="s">
        <v>192</v>
      </c>
      <c r="G44" s="391" t="s">
        <v>193</v>
      </c>
      <c r="H44" s="391" t="s">
        <v>194</v>
      </c>
      <c r="I44" s="391" t="s">
        <v>26</v>
      </c>
    </row>
    <row r="45" spans="1:12">
      <c r="A45" s="19" t="s">
        <v>582</v>
      </c>
      <c r="B45" s="83"/>
      <c r="C45" s="147" cm="1">
        <f t="array" ref="C45:C77">ETotal_21*Coef_trabajo_M</f>
        <v>-151.93575688592719</v>
      </c>
      <c r="D45" s="148" cm="1">
        <f t="array" ref="D45:D77">ETotal_21*Coef_trabajo_H</f>
        <v>-387.74901142988477</v>
      </c>
      <c r="E45" s="149">
        <f t="shared" ref="E45:E77" si="7">D45+C45</f>
        <v>-539.68476831581199</v>
      </c>
      <c r="F45" s="148" cm="1">
        <f t="array" ref="F45:F77">ETotal_21*Coef_trabajo_Baja</f>
        <v>-381.08715411841126</v>
      </c>
      <c r="G45" s="148" cm="1">
        <f t="array" ref="G45:G77">ETotal_21*Coef_trabajo_Media</f>
        <v>-123.8618776792549</v>
      </c>
      <c r="H45" s="148" cm="1">
        <f t="array" ref="H45:H77">ETotal_21*Coef_trabajo_Alta</f>
        <v>-34.735736518145707</v>
      </c>
      <c r="I45" s="149">
        <f t="shared" ref="I45:I77" si="8">H45+G45+F45</f>
        <v>-539.68476831581188</v>
      </c>
    </row>
    <row r="46" spans="1:12">
      <c r="A46" s="19" t="s">
        <v>583</v>
      </c>
      <c r="B46" s="83"/>
      <c r="C46" s="147">
        <v>491.51779569328312</v>
      </c>
      <c r="D46" s="148">
        <v>1254.3824000781951</v>
      </c>
      <c r="E46" s="149">
        <f>D46+C46</f>
        <v>1745.9001957714781</v>
      </c>
      <c r="F46" s="148">
        <v>1232.8310451629923</v>
      </c>
      <c r="G46" s="148">
        <v>400.69775762559408</v>
      </c>
      <c r="H46" s="148">
        <v>112.3713929828919</v>
      </c>
      <c r="I46" s="149">
        <f>H46+G46+F46</f>
        <v>1745.9001957714781</v>
      </c>
    </row>
    <row r="47" spans="1:12">
      <c r="A47" s="19" t="s">
        <v>584</v>
      </c>
      <c r="B47" s="83"/>
      <c r="C47" s="147">
        <v>6.4781073174634543</v>
      </c>
      <c r="D47" s="148">
        <v>16.532511896913544</v>
      </c>
      <c r="E47" s="149">
        <f>D47+C47</f>
        <v>23.010619214376998</v>
      </c>
      <c r="F47" s="148">
        <v>16.248469302320391</v>
      </c>
      <c r="G47" s="148">
        <v>5.281117181330635</v>
      </c>
      <c r="H47" s="148">
        <v>1.4810327307259716</v>
      </c>
      <c r="I47" s="149">
        <f>H47+G47+F47</f>
        <v>23.010619214376998</v>
      </c>
    </row>
    <row r="48" spans="1:12">
      <c r="A48" s="19" t="s">
        <v>585</v>
      </c>
      <c r="B48" s="83"/>
      <c r="C48" s="147">
        <v>0.96620619258635287</v>
      </c>
      <c r="D48" s="148">
        <v>2.4658151819658469</v>
      </c>
      <c r="E48" s="149">
        <f>D48+C48</f>
        <v>3.4320213745521997</v>
      </c>
      <c r="F48" s="148">
        <v>2.4234503830508354</v>
      </c>
      <c r="G48" s="148">
        <v>0.78767576304583675</v>
      </c>
      <c r="H48" s="148">
        <v>0.220895228455527</v>
      </c>
      <c r="I48" s="149">
        <f>H48+G48+F48</f>
        <v>3.4320213745521992</v>
      </c>
    </row>
    <row r="49" spans="1:9">
      <c r="A49" s="21" t="s">
        <v>10</v>
      </c>
      <c r="B49" s="84"/>
      <c r="C49" s="150">
        <v>0.34719223289189194</v>
      </c>
      <c r="D49" s="151">
        <v>0.76539529500929859</v>
      </c>
      <c r="E49" s="152">
        <f t="shared" si="7"/>
        <v>1.1125875279011905</v>
      </c>
      <c r="F49" s="151">
        <v>0.33121479631615108</v>
      </c>
      <c r="G49" s="151">
        <v>0.52243681501628736</v>
      </c>
      <c r="H49" s="151">
        <v>0.25893591656875214</v>
      </c>
      <c r="I49" s="152">
        <f t="shared" si="8"/>
        <v>1.1125875279011905</v>
      </c>
    </row>
    <row r="50" spans="1:9">
      <c r="A50" s="19" t="s">
        <v>586</v>
      </c>
      <c r="B50" s="83"/>
      <c r="C50" s="147">
        <v>185.5435105498639</v>
      </c>
      <c r="D50" s="148">
        <v>515.76188311031638</v>
      </c>
      <c r="E50" s="149">
        <f t="shared" si="7"/>
        <v>701.30539366018024</v>
      </c>
      <c r="F50" s="148">
        <v>208.72652851337588</v>
      </c>
      <c r="G50" s="148">
        <v>329.31135739604349</v>
      </c>
      <c r="H50" s="148">
        <v>163.26750775076098</v>
      </c>
      <c r="I50" s="149">
        <f t="shared" si="8"/>
        <v>701.30539366018036</v>
      </c>
    </row>
    <row r="51" spans="1:9">
      <c r="A51" s="19" t="s">
        <v>587</v>
      </c>
      <c r="B51" s="83"/>
      <c r="C51" s="147">
        <v>-86.096042547309992</v>
      </c>
      <c r="D51" s="148">
        <v>-59.209055938779692</v>
      </c>
      <c r="E51" s="149">
        <f t="shared" ref="E51:E56" si="9">D51+C51</f>
        <v>-145.30509848608969</v>
      </c>
      <c r="F51" s="148">
        <v>-43.246535755280028</v>
      </c>
      <c r="G51" s="148">
        <v>-68.230787402451071</v>
      </c>
      <c r="H51" s="148">
        <v>-33.82777532835874</v>
      </c>
      <c r="I51" s="149">
        <f t="shared" ref="I51:I56" si="10">H51+G51+F51</f>
        <v>-145.30509848608983</v>
      </c>
    </row>
    <row r="52" spans="1:9">
      <c r="A52" s="19" t="s">
        <v>588</v>
      </c>
      <c r="B52" s="83"/>
      <c r="C52" s="147">
        <v>1.5011868678006008</v>
      </c>
      <c r="D52" s="148">
        <v>4.1729024288846706</v>
      </c>
      <c r="E52" s="149">
        <f t="shared" si="9"/>
        <v>5.6740892966852714</v>
      </c>
      <c r="F52" s="148">
        <v>1.6887549590783439</v>
      </c>
      <c r="G52" s="148">
        <v>2.6643771246727299</v>
      </c>
      <c r="H52" s="148">
        <v>1.3209572129341987</v>
      </c>
      <c r="I52" s="149">
        <f t="shared" si="10"/>
        <v>5.6740892966852723</v>
      </c>
    </row>
    <row r="53" spans="1:9">
      <c r="A53" s="19" t="s">
        <v>589</v>
      </c>
      <c r="B53" s="83"/>
      <c r="C53" s="147">
        <v>12.287520809530278</v>
      </c>
      <c r="D53" s="148">
        <v>25.781708961111278</v>
      </c>
      <c r="E53" s="149">
        <f t="shared" si="9"/>
        <v>38.069229770641556</v>
      </c>
      <c r="F53" s="148">
        <v>11.330382234382705</v>
      </c>
      <c r="G53" s="148">
        <v>17.876134768281133</v>
      </c>
      <c r="H53" s="148">
        <v>8.8627127679777225</v>
      </c>
      <c r="I53" s="149">
        <f t="shared" si="10"/>
        <v>38.069229770641563</v>
      </c>
    </row>
    <row r="54" spans="1:9">
      <c r="A54" s="19" t="s">
        <v>590</v>
      </c>
      <c r="B54" s="83"/>
      <c r="C54" s="147">
        <v>0.51990182423664488</v>
      </c>
      <c r="D54" s="148">
        <v>3.1904241390836785</v>
      </c>
      <c r="E54" s="149">
        <f t="shared" si="9"/>
        <v>3.7103259633203232</v>
      </c>
      <c r="F54" s="148">
        <v>1.1042884668760398</v>
      </c>
      <c r="G54" s="148">
        <v>1.7422545019735713</v>
      </c>
      <c r="H54" s="148">
        <v>0.86378299447070905</v>
      </c>
      <c r="I54" s="149">
        <f t="shared" si="10"/>
        <v>3.7103259633203205</v>
      </c>
    </row>
    <row r="55" spans="1:9">
      <c r="A55" s="19" t="s">
        <v>591</v>
      </c>
      <c r="B55" s="83"/>
      <c r="C55" s="147">
        <v>10.339651910993423</v>
      </c>
      <c r="D55" s="148">
        <v>7.1106755928893497</v>
      </c>
      <c r="E55" s="149">
        <f t="shared" si="9"/>
        <v>17.450327503882772</v>
      </c>
      <c r="F55" s="148">
        <v>5.1936664315344636</v>
      </c>
      <c r="G55" s="148">
        <v>8.1941349507054877</v>
      </c>
      <c r="H55" s="148">
        <v>4.062526121642847</v>
      </c>
      <c r="I55" s="149">
        <f t="shared" si="10"/>
        <v>17.450327503882797</v>
      </c>
    </row>
    <row r="56" spans="1:9">
      <c r="A56" s="19" t="s">
        <v>592</v>
      </c>
      <c r="B56" s="83"/>
      <c r="C56" s="147">
        <v>1.513469933643822</v>
      </c>
      <c r="D56" s="148">
        <v>7.6926454382266449</v>
      </c>
      <c r="E56" s="149">
        <f t="shared" si="9"/>
        <v>9.2061153718704674</v>
      </c>
      <c r="F56" s="148">
        <v>2.7399767919013702</v>
      </c>
      <c r="G56" s="148">
        <v>4.3229075048640677</v>
      </c>
      <c r="H56" s="148">
        <v>2.1432310751050245</v>
      </c>
      <c r="I56" s="149">
        <f t="shared" si="10"/>
        <v>9.206115371870462</v>
      </c>
    </row>
    <row r="57" spans="1:9">
      <c r="A57" s="21" t="s">
        <v>593</v>
      </c>
      <c r="B57" s="84"/>
      <c r="C57" s="150">
        <v>34.804724258500585</v>
      </c>
      <c r="D57" s="151">
        <v>62.973547381676305</v>
      </c>
      <c r="E57" s="152">
        <f t="shared" si="7"/>
        <v>97.778271640176882</v>
      </c>
      <c r="F57" s="151">
        <v>29.101109886429409</v>
      </c>
      <c r="G57" s="151">
        <v>45.913714114786515</v>
      </c>
      <c r="H57" s="151">
        <v>22.763447638961008</v>
      </c>
      <c r="I57" s="152">
        <f t="shared" si="8"/>
        <v>97.778271640176939</v>
      </c>
    </row>
    <row r="58" spans="1:9">
      <c r="A58" s="21" t="s">
        <v>594</v>
      </c>
      <c r="B58" s="84"/>
      <c r="C58" s="150">
        <v>0.49496094804428259</v>
      </c>
      <c r="D58" s="151">
        <v>7.6589886114830543</v>
      </c>
      <c r="E58" s="152">
        <f>D58+C58</f>
        <v>8.1539495595273372</v>
      </c>
      <c r="F58" s="151">
        <v>2.4268068780498426</v>
      </c>
      <c r="G58" s="151">
        <v>3.8288476846904658</v>
      </c>
      <c r="H58" s="151">
        <v>1.8982949967870133</v>
      </c>
      <c r="I58" s="152">
        <f>H58+G58+F58</f>
        <v>8.153949559527323</v>
      </c>
    </row>
    <row r="59" spans="1:9">
      <c r="A59" s="19" t="s">
        <v>595</v>
      </c>
      <c r="B59" s="83"/>
      <c r="C59" s="147">
        <v>4.9163106342928886</v>
      </c>
      <c r="D59" s="148">
        <v>15.718245378509556</v>
      </c>
      <c r="E59" s="149">
        <f t="shared" si="7"/>
        <v>20.634556012802445</v>
      </c>
      <c r="F59" s="148">
        <v>6.1412369085721616</v>
      </c>
      <c r="G59" s="148">
        <v>9.6895071224138558</v>
      </c>
      <c r="H59" s="148">
        <v>4.8038119818164464</v>
      </c>
      <c r="I59" s="149">
        <f t="shared" si="8"/>
        <v>20.634556012802463</v>
      </c>
    </row>
    <row r="60" spans="1:9">
      <c r="A60" s="19" t="s">
        <v>596</v>
      </c>
      <c r="B60" s="83"/>
      <c r="C60" s="147">
        <v>8.3208392517961087</v>
      </c>
      <c r="D60" s="148">
        <v>12.362595583526323</v>
      </c>
      <c r="E60" s="149">
        <f>D60+C60</f>
        <v>20.68343483532243</v>
      </c>
      <c r="F60" s="148">
        <v>6.1557841771792887</v>
      </c>
      <c r="G60" s="148">
        <v>9.7124594795495458</v>
      </c>
      <c r="H60" s="148">
        <v>4.8151911785935768</v>
      </c>
      <c r="I60" s="149">
        <f>H60+G60+F60</f>
        <v>20.683434835322412</v>
      </c>
    </row>
    <row r="61" spans="1:9">
      <c r="A61" s="21" t="s">
        <v>11</v>
      </c>
      <c r="B61" s="84"/>
      <c r="C61" s="150">
        <v>6.6989651815018858</v>
      </c>
      <c r="D61" s="151">
        <v>14.766077000021367</v>
      </c>
      <c r="E61" s="152">
        <f t="shared" si="7"/>
        <v>21.465042181523252</v>
      </c>
      <c r="F61" s="151">
        <v>6.3881004025540671</v>
      </c>
      <c r="G61" s="151">
        <v>10.079192640500416</v>
      </c>
      <c r="H61" s="151">
        <v>4.9977491384687704</v>
      </c>
      <c r="I61" s="152">
        <f t="shared" si="8"/>
        <v>21.465042181523252</v>
      </c>
    </row>
    <row r="62" spans="1:9">
      <c r="A62" s="19" t="s">
        <v>12</v>
      </c>
      <c r="B62" s="83"/>
      <c r="C62" s="147">
        <v>2.5988826894647477</v>
      </c>
      <c r="D62" s="148">
        <v>5.7287385244563813</v>
      </c>
      <c r="E62" s="149">
        <f t="shared" si="7"/>
        <v>8.3276212139211285</v>
      </c>
      <c r="F62" s="148">
        <v>2.4785480146360999</v>
      </c>
      <c r="G62" s="148">
        <v>3.9104440733884962</v>
      </c>
      <c r="H62" s="148">
        <v>1.9386291258965331</v>
      </c>
      <c r="I62" s="149">
        <f t="shared" si="8"/>
        <v>8.3276212139211285</v>
      </c>
    </row>
    <row r="63" spans="1:9">
      <c r="A63" s="21" t="s">
        <v>13</v>
      </c>
      <c r="B63" s="84"/>
      <c r="C63" s="150">
        <v>0.74433876535425125</v>
      </c>
      <c r="D63" s="151">
        <v>1.6407204778563356</v>
      </c>
      <c r="E63" s="152">
        <f t="shared" si="7"/>
        <v>2.3850592432105868</v>
      </c>
      <c r="F63" s="151">
        <v>0.71014436760212818</v>
      </c>
      <c r="G63" s="151">
        <v>1.1198665263820318</v>
      </c>
      <c r="H63" s="151">
        <v>0.55504834922642687</v>
      </c>
      <c r="I63" s="152">
        <f t="shared" si="8"/>
        <v>2.3850592432105868</v>
      </c>
    </row>
    <row r="64" spans="1:9">
      <c r="A64" s="19" t="s">
        <v>14</v>
      </c>
      <c r="B64" s="83"/>
      <c r="C64" s="147">
        <v>3.1553112039092999</v>
      </c>
      <c r="D64" s="148">
        <v>6.9554783587814839</v>
      </c>
      <c r="E64" s="149">
        <f t="shared" si="7"/>
        <v>10.110789562690783</v>
      </c>
      <c r="F64" s="148">
        <v>3.0089993494891503</v>
      </c>
      <c r="G64" s="148">
        <v>4.7479920973111369</v>
      </c>
      <c r="H64" s="148">
        <v>2.3537981158904975</v>
      </c>
      <c r="I64" s="149">
        <f t="shared" si="8"/>
        <v>10.110789562690785</v>
      </c>
    </row>
    <row r="65" spans="1:9">
      <c r="A65" s="21" t="s">
        <v>15</v>
      </c>
      <c r="B65" s="84"/>
      <c r="C65" s="150">
        <v>1.0833424797616593</v>
      </c>
      <c r="D65" s="151">
        <v>2.3874678792712865</v>
      </c>
      <c r="E65" s="152">
        <f t="shared" si="7"/>
        <v>3.4708103590329458</v>
      </c>
      <c r="F65" s="151">
        <v>1.0330142601186119</v>
      </c>
      <c r="G65" s="151">
        <v>1.6299730697533004</v>
      </c>
      <c r="H65" s="151">
        <v>0.80782302916103388</v>
      </c>
      <c r="I65" s="152">
        <f t="shared" si="8"/>
        <v>3.4708103590329458</v>
      </c>
    </row>
    <row r="66" spans="1:9">
      <c r="A66" s="19" t="s">
        <v>16</v>
      </c>
      <c r="B66" s="83"/>
      <c r="C66" s="147">
        <v>28.036984632816221</v>
      </c>
      <c r="D66" s="148">
        <v>61.799268541694254</v>
      </c>
      <c r="E66" s="149">
        <f t="shared" si="7"/>
        <v>89.836253174510475</v>
      </c>
      <c r="F66" s="148">
        <v>26.736662424354726</v>
      </c>
      <c r="G66" s="148">
        <v>42.185266572643535</v>
      </c>
      <c r="H66" s="148">
        <v>20.914324177512214</v>
      </c>
      <c r="I66" s="149">
        <f t="shared" si="8"/>
        <v>89.836253174510475</v>
      </c>
    </row>
    <row r="67" spans="1:9">
      <c r="A67" s="21" t="s">
        <v>17</v>
      </c>
      <c r="B67" s="84"/>
      <c r="C67" s="150">
        <v>5.0164972971391144</v>
      </c>
      <c r="D67" s="151">
        <v>16.791437602569808</v>
      </c>
      <c r="E67" s="152">
        <f t="shared" si="7"/>
        <v>21.807934899708922</v>
      </c>
      <c r="F67" s="151">
        <v>2.6303635530885501</v>
      </c>
      <c r="G67" s="151">
        <v>6.9728886942761505</v>
      </c>
      <c r="H67" s="151">
        <v>12.204682652344221</v>
      </c>
      <c r="I67" s="152">
        <f t="shared" si="8"/>
        <v>21.807934899708922</v>
      </c>
    </row>
    <row r="68" spans="1:9">
      <c r="A68" s="19" t="s">
        <v>18</v>
      </c>
      <c r="B68" s="83"/>
      <c r="C68" s="147">
        <v>0.45200362510314518</v>
      </c>
      <c r="D68" s="148">
        <v>18.028462587704002</v>
      </c>
      <c r="E68" s="149">
        <f t="shared" si="7"/>
        <v>18.480466212807148</v>
      </c>
      <c r="F68" s="148">
        <v>8.6219147691955857</v>
      </c>
      <c r="G68" s="148">
        <v>7.635772500298752</v>
      </c>
      <c r="H68" s="148">
        <v>2.22277894331281</v>
      </c>
      <c r="I68" s="149">
        <f t="shared" si="8"/>
        <v>18.480466212807148</v>
      </c>
    </row>
    <row r="69" spans="1:9">
      <c r="A69" s="21" t="s">
        <v>19</v>
      </c>
      <c r="B69" s="84"/>
      <c r="C69" s="150">
        <v>664.06751950460716</v>
      </c>
      <c r="D69" s="151">
        <v>713.90332510782412</v>
      </c>
      <c r="E69" s="152">
        <f t="shared" si="7"/>
        <v>1377.9708446124314</v>
      </c>
      <c r="F69" s="151">
        <v>391.01992624372576</v>
      </c>
      <c r="G69" s="151">
        <v>618.34662844495995</v>
      </c>
      <c r="H69" s="151">
        <v>368.60428992374551</v>
      </c>
      <c r="I69" s="152">
        <f t="shared" si="8"/>
        <v>1377.9708446124314</v>
      </c>
    </row>
    <row r="70" spans="1:9">
      <c r="A70" s="19" t="s">
        <v>20</v>
      </c>
      <c r="B70" s="83"/>
      <c r="C70" s="147">
        <v>21.581708612768395</v>
      </c>
      <c r="D70" s="148">
        <v>116.7448512495008</v>
      </c>
      <c r="E70" s="149">
        <f t="shared" si="7"/>
        <v>138.32655986226919</v>
      </c>
      <c r="F70" s="148">
        <v>27.999973004378681</v>
      </c>
      <c r="G70" s="148">
        <v>63.910830026323531</v>
      </c>
      <c r="H70" s="148">
        <v>46.415756831566974</v>
      </c>
      <c r="I70" s="149">
        <f t="shared" si="8"/>
        <v>138.32655986226919</v>
      </c>
    </row>
    <row r="71" spans="1:9">
      <c r="A71" s="21" t="s">
        <v>21</v>
      </c>
      <c r="B71" s="84"/>
      <c r="C71" s="150">
        <v>32.708254496901013</v>
      </c>
      <c r="D71" s="151">
        <v>35.163341589854326</v>
      </c>
      <c r="E71" s="152">
        <f t="shared" si="7"/>
        <v>67.871596086755346</v>
      </c>
      <c r="F71" s="151">
        <v>19.259395642015495</v>
      </c>
      <c r="G71" s="151">
        <v>30.456732992065824</v>
      </c>
      <c r="H71" s="151">
        <v>18.155467452674014</v>
      </c>
      <c r="I71" s="152">
        <f t="shared" si="8"/>
        <v>67.871596086755332</v>
      </c>
    </row>
    <row r="72" spans="1:9">
      <c r="A72" s="19" t="s">
        <v>22</v>
      </c>
      <c r="B72" s="83"/>
      <c r="C72" s="147">
        <v>10.606754354120193</v>
      </c>
      <c r="D72" s="148">
        <v>57.378557298286346</v>
      </c>
      <c r="E72" s="149">
        <f t="shared" si="7"/>
        <v>67.985311652406537</v>
      </c>
      <c r="F72" s="148">
        <v>13.761945627170292</v>
      </c>
      <c r="G72" s="148">
        <v>31.410821318904713</v>
      </c>
      <c r="H72" s="148">
        <v>22.812544706331536</v>
      </c>
      <c r="I72" s="149">
        <f t="shared" si="8"/>
        <v>67.985311652406537</v>
      </c>
    </row>
    <row r="73" spans="1:9">
      <c r="A73" s="21" t="s">
        <v>23</v>
      </c>
      <c r="B73" s="84"/>
      <c r="C73" s="150">
        <v>42.157381750718081</v>
      </c>
      <c r="D73" s="151">
        <v>47.958734231511265</v>
      </c>
      <c r="E73" s="152">
        <f t="shared" si="7"/>
        <v>90.116115982229346</v>
      </c>
      <c r="F73" s="151">
        <v>8.2762413831499142</v>
      </c>
      <c r="G73" s="151">
        <v>23.021345605165934</v>
      </c>
      <c r="H73" s="151">
        <v>58.818528993913496</v>
      </c>
      <c r="I73" s="152">
        <f t="shared" si="8"/>
        <v>90.116115982229331</v>
      </c>
    </row>
    <row r="74" spans="1:9">
      <c r="A74" s="19" t="s">
        <v>24</v>
      </c>
      <c r="B74" s="83"/>
      <c r="C74" s="147">
        <v>10.527020777840065</v>
      </c>
      <c r="D74" s="148">
        <v>11.976487751419846</v>
      </c>
      <c r="E74" s="149">
        <f t="shared" si="7"/>
        <v>22.503508529259911</v>
      </c>
      <c r="F74" s="148">
        <v>2.0662614304222413</v>
      </c>
      <c r="G74" s="148">
        <v>5.7492360236834692</v>
      </c>
      <c r="H74" s="148">
        <v>14.688011075154197</v>
      </c>
      <c r="I74" s="149">
        <f t="shared" si="8"/>
        <v>22.503508529259907</v>
      </c>
    </row>
    <row r="75" spans="1:9">
      <c r="A75" s="21" t="s">
        <v>25</v>
      </c>
      <c r="B75" s="84"/>
      <c r="C75" s="150">
        <v>128.43485256383158</v>
      </c>
      <c r="D75" s="151">
        <v>146.10870818920847</v>
      </c>
      <c r="E75" s="152">
        <f t="shared" si="7"/>
        <v>274.54356075304008</v>
      </c>
      <c r="F75" s="151">
        <v>25.212766684433923</v>
      </c>
      <c r="G75" s="151">
        <v>70.137535644645951</v>
      </c>
      <c r="H75" s="151">
        <v>179.1932584239602</v>
      </c>
      <c r="I75" s="152">
        <f t="shared" si="8"/>
        <v>274.54356075304008</v>
      </c>
    </row>
    <row r="76" spans="1:9">
      <c r="A76" s="19" t="s">
        <v>597</v>
      </c>
      <c r="B76" s="83"/>
      <c r="C76" s="147">
        <v>265.59718778048796</v>
      </c>
      <c r="D76" s="148">
        <v>115.80227148435944</v>
      </c>
      <c r="E76" s="149">
        <f>D76+C76</f>
        <v>381.39945926484739</v>
      </c>
      <c r="F76" s="148">
        <v>129.79028777495796</v>
      </c>
      <c r="G76" s="148">
        <v>147.29393137277606</v>
      </c>
      <c r="H76" s="148">
        <v>104.31524011711339</v>
      </c>
      <c r="I76" s="149">
        <f>H76+G76+F76</f>
        <v>381.39945926484739</v>
      </c>
    </row>
    <row r="77" spans="1:9">
      <c r="A77" s="19" t="s">
        <v>598</v>
      </c>
      <c r="B77" s="83"/>
      <c r="C77" s="147">
        <v>112.64278192181587</v>
      </c>
      <c r="D77" s="148">
        <v>87.261438031159059</v>
      </c>
      <c r="E77" s="149">
        <f t="shared" si="7"/>
        <v>199.90421995297493</v>
      </c>
      <c r="F77" s="148">
        <v>10.868878415486074</v>
      </c>
      <c r="G77" s="148">
        <v>28.10528045492352</v>
      </c>
      <c r="H77" s="148">
        <v>160.93006108256535</v>
      </c>
      <c r="I77" s="149">
        <f t="shared" si="8"/>
        <v>199.90421995297496</v>
      </c>
    </row>
    <row r="78" spans="1:9">
      <c r="A78" s="18"/>
      <c r="B78" s="18"/>
      <c r="C78" s="153"/>
      <c r="D78" s="153"/>
      <c r="E78" s="153"/>
      <c r="F78" s="153"/>
      <c r="G78" s="153"/>
      <c r="H78" s="153"/>
      <c r="I78" s="163"/>
    </row>
    <row r="79" spans="1:9">
      <c r="A79" s="85" t="s">
        <v>189</v>
      </c>
      <c r="B79" s="85"/>
      <c r="C79" s="154">
        <f t="shared" ref="C79:I79" si="11">SUM(C45:C77)</f>
        <v>1857.6293666298304</v>
      </c>
      <c r="D79" s="154">
        <f t="shared" si="11"/>
        <v>2950.0070376146059</v>
      </c>
      <c r="E79" s="154">
        <f t="shared" si="11"/>
        <v>4807.6364042444366</v>
      </c>
      <c r="F79" s="154">
        <f t="shared" si="11"/>
        <v>1781.9724483651473</v>
      </c>
      <c r="G79" s="154">
        <f t="shared" si="11"/>
        <v>1745.1657550092646</v>
      </c>
      <c r="H79" s="154">
        <f t="shared" si="11"/>
        <v>1280.4982008700242</v>
      </c>
      <c r="I79" s="154">
        <f t="shared" si="11"/>
        <v>4807.6364042444366</v>
      </c>
    </row>
    <row r="82" spans="1:8">
      <c r="A82" s="114" t="s">
        <v>549</v>
      </c>
      <c r="B82" s="72"/>
      <c r="C82" s="495" t="s">
        <v>550</v>
      </c>
      <c r="D82" s="496"/>
      <c r="F82" s="497" t="s">
        <v>195</v>
      </c>
      <c r="G82" s="498"/>
    </row>
    <row r="83" spans="1:8" ht="17" thickBot="1">
      <c r="A83" s="75" t="s">
        <v>5</v>
      </c>
      <c r="B83" s="76" t="s">
        <v>83</v>
      </c>
      <c r="C83" s="383" t="s">
        <v>163</v>
      </c>
      <c r="D83" s="384" t="s">
        <v>167</v>
      </c>
      <c r="E83" s="384" t="s">
        <v>26</v>
      </c>
      <c r="F83" s="386" t="s">
        <v>196</v>
      </c>
      <c r="G83" s="387" t="s">
        <v>197</v>
      </c>
      <c r="H83" s="387" t="s">
        <v>26</v>
      </c>
    </row>
    <row r="84" spans="1:8">
      <c r="A84" s="324" t="s">
        <v>582</v>
      </c>
      <c r="B84" s="83"/>
      <c r="C84" s="148" cm="1">
        <f t="array" ref="C84:C116">ETotal_21*Coef_trabajo_Formal</f>
        <v>-49.904367150322244</v>
      </c>
      <c r="D84" s="148" cm="1">
        <f t="array" ref="D84:D116">ETotal_21*Coef_trabajo_Informal</f>
        <v>-489.78040116548971</v>
      </c>
      <c r="E84" s="149">
        <f t="shared" ref="E84:E116" si="12">D84+C84</f>
        <v>-539.68476831581199</v>
      </c>
      <c r="F84" s="148" cm="1">
        <f t="array" ref="F84:F116">ETotal_21*Coef_trabajo_Urbano</f>
        <v>-56.970436192294663</v>
      </c>
      <c r="G84" s="148" cm="1">
        <f t="array" ref="G84:G116">ETotal_21*Coef_trabajo_Rural</f>
        <v>-482.71433212351735</v>
      </c>
      <c r="H84" s="149">
        <f t="shared" ref="H84:H116" si="13">G84+F84</f>
        <v>-539.68476831581199</v>
      </c>
    </row>
    <row r="85" spans="1:8">
      <c r="A85" s="324" t="s">
        <v>583</v>
      </c>
      <c r="B85" s="83"/>
      <c r="C85" s="148">
        <v>161.44247437165751</v>
      </c>
      <c r="D85" s="148">
        <v>1584.4577213998216</v>
      </c>
      <c r="E85" s="149">
        <f>D85+C85</f>
        <v>1745.900195771479</v>
      </c>
      <c r="F85" s="148">
        <v>184.30146919230674</v>
      </c>
      <c r="G85" s="148">
        <v>1561.5987265791719</v>
      </c>
      <c r="H85" s="149">
        <f>G85+F85</f>
        <v>1745.9001957714786</v>
      </c>
    </row>
    <row r="86" spans="1:8">
      <c r="A86" s="324" t="s">
        <v>584</v>
      </c>
      <c r="B86" s="83"/>
      <c r="C86" s="148">
        <v>2.1277798764158407</v>
      </c>
      <c r="D86" s="148">
        <v>20.882839337961176</v>
      </c>
      <c r="E86" s="149">
        <f>D86+C86</f>
        <v>23.010619214377016</v>
      </c>
      <c r="F86" s="148">
        <v>2.4290569062915068</v>
      </c>
      <c r="G86" s="148">
        <v>20.581562308085505</v>
      </c>
      <c r="H86" s="149">
        <f>G86+F86</f>
        <v>23.010619214377012</v>
      </c>
    </row>
    <row r="87" spans="1:8">
      <c r="A87" s="324" t="s">
        <v>585</v>
      </c>
      <c r="B87" s="83"/>
      <c r="C87" s="148">
        <v>0.31735721443074233</v>
      </c>
      <c r="D87" s="148">
        <v>3.1146641601214577</v>
      </c>
      <c r="E87" s="149">
        <f>D87+C87</f>
        <v>3.4320213745522001</v>
      </c>
      <c r="F87" s="148">
        <v>0.36229252001994849</v>
      </c>
      <c r="G87" s="148">
        <v>3.0697288545322516</v>
      </c>
      <c r="H87" s="149">
        <f>G87+F87</f>
        <v>3.4320213745522001</v>
      </c>
    </row>
    <row r="88" spans="1:8">
      <c r="A88" s="325" t="s">
        <v>10</v>
      </c>
      <c r="B88" s="84"/>
      <c r="C88" s="151">
        <v>0.47399728508031119</v>
      </c>
      <c r="D88" s="151">
        <v>0.63859024282087939</v>
      </c>
      <c r="E88" s="152">
        <f t="shared" si="12"/>
        <v>1.1125875279011905</v>
      </c>
      <c r="F88" s="151">
        <v>0.76970666678370492</v>
      </c>
      <c r="G88" s="151">
        <v>0.34288086111748567</v>
      </c>
      <c r="H88" s="152">
        <f t="shared" si="13"/>
        <v>1.1125875279011905</v>
      </c>
    </row>
    <row r="89" spans="1:8">
      <c r="A89" s="324" t="s">
        <v>586</v>
      </c>
      <c r="B89" s="83"/>
      <c r="C89" s="148">
        <v>250.45281141278278</v>
      </c>
      <c r="D89" s="148">
        <v>450.85258224739778</v>
      </c>
      <c r="E89" s="149">
        <f t="shared" si="12"/>
        <v>701.30539366018058</v>
      </c>
      <c r="F89" s="148">
        <v>485.22299023039182</v>
      </c>
      <c r="G89" s="148">
        <v>216.08240342978829</v>
      </c>
      <c r="H89" s="149">
        <f t="shared" si="13"/>
        <v>701.30539366018013</v>
      </c>
    </row>
    <row r="90" spans="1:8">
      <c r="A90" s="324" t="s">
        <v>587</v>
      </c>
      <c r="B90" s="83"/>
      <c r="C90" s="148">
        <v>-141.68466484084411</v>
      </c>
      <c r="D90" s="148">
        <v>-3.6204336452453183</v>
      </c>
      <c r="E90" s="149">
        <f t="shared" ref="E90:E95" si="14">D90+C90</f>
        <v>-145.30509848608943</v>
      </c>
      <c r="F90" s="148">
        <v>-100.53448186840228</v>
      </c>
      <c r="G90" s="148">
        <v>-44.77061661768758</v>
      </c>
      <c r="H90" s="149">
        <f t="shared" ref="H90:H95" si="15">G90+F90</f>
        <v>-145.30509848608986</v>
      </c>
    </row>
    <row r="91" spans="1:8">
      <c r="A91" s="324" t="s">
        <v>588</v>
      </c>
      <c r="B91" s="83"/>
      <c r="C91" s="148">
        <v>2.0263520420756942</v>
      </c>
      <c r="D91" s="148">
        <v>3.647737254609579</v>
      </c>
      <c r="E91" s="149">
        <f t="shared" si="14"/>
        <v>5.6740892966852732</v>
      </c>
      <c r="F91" s="148">
        <v>3.9258197644861692</v>
      </c>
      <c r="G91" s="148">
        <v>1.7482695321991026</v>
      </c>
      <c r="H91" s="149">
        <f t="shared" si="15"/>
        <v>5.6740892966852723</v>
      </c>
    </row>
    <row r="92" spans="1:8">
      <c r="A92" s="324" t="s">
        <v>589</v>
      </c>
      <c r="B92" s="83"/>
      <c r="C92" s="148">
        <v>8.2678944544366679</v>
      </c>
      <c r="D92" s="148">
        <v>29.801335316204945</v>
      </c>
      <c r="E92" s="149">
        <f t="shared" si="14"/>
        <v>38.069229770641613</v>
      </c>
      <c r="F92" s="148">
        <v>26.33954575576707</v>
      </c>
      <c r="G92" s="148">
        <v>11.729684014874492</v>
      </c>
      <c r="H92" s="149">
        <f t="shared" si="15"/>
        <v>38.069229770641563</v>
      </c>
    </row>
    <row r="93" spans="1:8">
      <c r="A93" s="324" t="s">
        <v>590</v>
      </c>
      <c r="B93" s="83"/>
      <c r="C93" s="148">
        <v>1.1472737409771525</v>
      </c>
      <c r="D93" s="148">
        <v>2.56305222234317</v>
      </c>
      <c r="E93" s="149">
        <f t="shared" si="14"/>
        <v>3.7103259633203223</v>
      </c>
      <c r="F93" s="148">
        <v>2.5671205083075455</v>
      </c>
      <c r="G93" s="148">
        <v>1.1432054550127744</v>
      </c>
      <c r="H93" s="149">
        <f t="shared" si="15"/>
        <v>3.7103259633203196</v>
      </c>
    </row>
    <row r="94" spans="1:8">
      <c r="A94" s="324" t="s">
        <v>591</v>
      </c>
      <c r="B94" s="83"/>
      <c r="C94" s="148">
        <v>17.015533725317194</v>
      </c>
      <c r="D94" s="148">
        <v>0.43479377856555429</v>
      </c>
      <c r="E94" s="149">
        <f t="shared" si="14"/>
        <v>17.45032750388275</v>
      </c>
      <c r="F94" s="148">
        <v>12.073627507328881</v>
      </c>
      <c r="G94" s="148">
        <v>5.3766999965539162</v>
      </c>
      <c r="H94" s="149">
        <f t="shared" si="15"/>
        <v>17.450327503882797</v>
      </c>
    </row>
    <row r="95" spans="1:8">
      <c r="A95" s="324" t="s">
        <v>592</v>
      </c>
      <c r="B95" s="83"/>
      <c r="C95" s="148">
        <v>3.807449801637282</v>
      </c>
      <c r="D95" s="148">
        <v>5.3986655702331809</v>
      </c>
      <c r="E95" s="149">
        <f t="shared" si="14"/>
        <v>9.2061153718704638</v>
      </c>
      <c r="F95" s="148">
        <v>6.3695771764012266</v>
      </c>
      <c r="G95" s="148">
        <v>2.8365381954692341</v>
      </c>
      <c r="H95" s="149">
        <f t="shared" si="15"/>
        <v>9.2061153718704603</v>
      </c>
    </row>
    <row r="96" spans="1:8" ht="17" customHeight="1">
      <c r="A96" s="325" t="s">
        <v>593</v>
      </c>
      <c r="B96" s="84"/>
      <c r="C96" s="151">
        <v>44.769060878177072</v>
      </c>
      <c r="D96" s="151">
        <v>53.00921076199986</v>
      </c>
      <c r="E96" s="152">
        <f t="shared" si="12"/>
        <v>97.778271640176939</v>
      </c>
      <c r="F96" s="151">
        <v>67.651250925541675</v>
      </c>
      <c r="G96" s="151">
        <v>30.127020714635261</v>
      </c>
      <c r="H96" s="152">
        <f t="shared" si="13"/>
        <v>97.778271640176939</v>
      </c>
    </row>
    <row r="97" spans="1:8" ht="17" customHeight="1">
      <c r="A97" s="325" t="s">
        <v>594</v>
      </c>
      <c r="B97" s="84"/>
      <c r="C97" s="151">
        <v>1.987698561307006</v>
      </c>
      <c r="D97" s="151">
        <v>6.1662509982203133</v>
      </c>
      <c r="E97" s="152">
        <f>D97+C97</f>
        <v>8.1539495595273195</v>
      </c>
      <c r="F97" s="151">
        <v>5.641589674603444</v>
      </c>
      <c r="G97" s="151">
        <v>2.5123598849238786</v>
      </c>
      <c r="H97" s="152">
        <f>G97+F97</f>
        <v>8.153949559527323</v>
      </c>
    </row>
    <row r="98" spans="1:8">
      <c r="A98" s="324" t="s">
        <v>595</v>
      </c>
      <c r="B98" s="83"/>
      <c r="C98" s="148">
        <v>4.8027063171730164</v>
      </c>
      <c r="D98" s="148">
        <v>15.831849695629408</v>
      </c>
      <c r="E98" s="149">
        <f t="shared" si="12"/>
        <v>20.634556012802424</v>
      </c>
      <c r="F98" s="148">
        <v>14.276961164361909</v>
      </c>
      <c r="G98" s="148">
        <v>6.3575948484405584</v>
      </c>
      <c r="H98" s="149">
        <f t="shared" si="13"/>
        <v>20.634556012802467</v>
      </c>
    </row>
    <row r="99" spans="1:8">
      <c r="A99" s="324" t="s">
        <v>596</v>
      </c>
      <c r="B99" s="83"/>
      <c r="C99" s="148">
        <v>13.699093435872431</v>
      </c>
      <c r="D99" s="148">
        <v>6.9843413994500247</v>
      </c>
      <c r="E99" s="149">
        <f>D99+C99</f>
        <v>20.683434835322455</v>
      </c>
      <c r="F99" s="148">
        <v>14.310780212876642</v>
      </c>
      <c r="G99" s="148">
        <v>6.3726546224457667</v>
      </c>
      <c r="H99" s="149">
        <f>G99+F99</f>
        <v>20.683434835322409</v>
      </c>
    </row>
    <row r="100" spans="1:8">
      <c r="A100" s="325" t="s">
        <v>11</v>
      </c>
      <c r="B100" s="84"/>
      <c r="C100" s="151">
        <v>9.1457442795389721</v>
      </c>
      <c r="D100" s="151">
        <v>12.319297901984282</v>
      </c>
      <c r="E100" s="152">
        <f t="shared" si="12"/>
        <v>21.465042181523252</v>
      </c>
      <c r="F100" s="151">
        <v>14.851479411820218</v>
      </c>
      <c r="G100" s="151">
        <v>6.6135627697030346</v>
      </c>
      <c r="H100" s="152">
        <f t="shared" si="13"/>
        <v>21.465042181523252</v>
      </c>
    </row>
    <row r="101" spans="1:8">
      <c r="A101" s="324" t="s">
        <v>12</v>
      </c>
      <c r="B101" s="83"/>
      <c r="C101" s="148">
        <v>3.5479971870940563</v>
      </c>
      <c r="D101" s="148">
        <v>4.7796240268270722</v>
      </c>
      <c r="E101" s="149">
        <f t="shared" si="12"/>
        <v>8.3276212139211285</v>
      </c>
      <c r="F101" s="148">
        <v>5.761635773690112</v>
      </c>
      <c r="G101" s="148">
        <v>2.5659854402310165</v>
      </c>
      <c r="H101" s="149">
        <f t="shared" si="13"/>
        <v>8.3276212139211285</v>
      </c>
    </row>
    <row r="102" spans="1:8">
      <c r="A102" s="325" t="s">
        <v>13</v>
      </c>
      <c r="B102" s="84"/>
      <c r="C102" s="151">
        <v>1.0160621046345153</v>
      </c>
      <c r="D102" s="151">
        <v>1.3689971385760717</v>
      </c>
      <c r="E102" s="152">
        <f t="shared" si="12"/>
        <v>2.3850592432105868</v>
      </c>
      <c r="F102" s="151">
        <v>1.6498796915399399</v>
      </c>
      <c r="G102" s="151">
        <v>0.73517955167064675</v>
      </c>
      <c r="H102" s="152">
        <f t="shared" si="13"/>
        <v>2.3850592432105868</v>
      </c>
    </row>
    <row r="103" spans="1:8">
      <c r="A103" s="324" t="s">
        <v>14</v>
      </c>
      <c r="B103" s="83"/>
      <c r="C103" s="148">
        <v>4.3075786365312911</v>
      </c>
      <c r="D103" s="148">
        <v>5.8032109261594931</v>
      </c>
      <c r="E103" s="149">
        <f t="shared" si="12"/>
        <v>10.110789562690783</v>
      </c>
      <c r="F103" s="148">
        <v>6.9953815918051614</v>
      </c>
      <c r="G103" s="148">
        <v>3.1154079708856228</v>
      </c>
      <c r="H103" s="149">
        <f t="shared" si="13"/>
        <v>10.110789562690783</v>
      </c>
    </row>
    <row r="104" spans="1:8">
      <c r="A104" s="325" t="s">
        <v>15</v>
      </c>
      <c r="B104" s="84"/>
      <c r="C104" s="151">
        <v>1.47862105155669</v>
      </c>
      <c r="D104" s="151">
        <v>1.9921893074762558</v>
      </c>
      <c r="E104" s="152">
        <f t="shared" si="12"/>
        <v>3.4708103590329458</v>
      </c>
      <c r="F104" s="151">
        <v>2.4014275314350515</v>
      </c>
      <c r="G104" s="151">
        <v>1.0693828275978943</v>
      </c>
      <c r="H104" s="152">
        <f t="shared" si="13"/>
        <v>3.4708103590329458</v>
      </c>
    </row>
    <row r="105" spans="1:8">
      <c r="A105" s="324" t="s">
        <v>16</v>
      </c>
      <c r="B105" s="83"/>
      <c r="C105" s="148">
        <v>38.274596050180975</v>
      </c>
      <c r="D105" s="148">
        <v>51.561657124329493</v>
      </c>
      <c r="E105" s="149">
        <f t="shared" si="12"/>
        <v>89.83625317451046</v>
      </c>
      <c r="F105" s="148">
        <v>62.155886759313354</v>
      </c>
      <c r="G105" s="148">
        <v>27.68036641519712</v>
      </c>
      <c r="H105" s="149">
        <f t="shared" si="13"/>
        <v>89.836253174510475</v>
      </c>
    </row>
    <row r="106" spans="1:8">
      <c r="A106" s="325" t="s">
        <v>17</v>
      </c>
      <c r="B106" s="84"/>
      <c r="C106" s="151">
        <v>16.338718932157931</v>
      </c>
      <c r="D106" s="151">
        <v>5.4692159675509906</v>
      </c>
      <c r="E106" s="152">
        <f t="shared" si="12"/>
        <v>21.807934899708922</v>
      </c>
      <c r="F106" s="151">
        <v>18.604014234106074</v>
      </c>
      <c r="G106" s="151">
        <v>3.2039206656028436</v>
      </c>
      <c r="H106" s="152">
        <f t="shared" si="13"/>
        <v>21.807934899708918</v>
      </c>
    </row>
    <row r="107" spans="1:8">
      <c r="A107" s="324" t="s">
        <v>18</v>
      </c>
      <c r="B107" s="83"/>
      <c r="C107" s="148">
        <v>2.6646026985146909</v>
      </c>
      <c r="D107" s="148">
        <v>15.815863514292458</v>
      </c>
      <c r="E107" s="149">
        <f t="shared" si="12"/>
        <v>18.480466212807148</v>
      </c>
      <c r="F107" s="148">
        <v>11.880169197080587</v>
      </c>
      <c r="G107" s="148">
        <v>6.6002970157265617</v>
      </c>
      <c r="H107" s="149">
        <f t="shared" si="13"/>
        <v>18.480466212807148</v>
      </c>
    </row>
    <row r="108" spans="1:8">
      <c r="A108" s="325" t="s">
        <v>19</v>
      </c>
      <c r="B108" s="84"/>
      <c r="C108" s="151">
        <v>451.05886511211304</v>
      </c>
      <c r="D108" s="151">
        <v>926.91197950031824</v>
      </c>
      <c r="E108" s="152">
        <f t="shared" si="12"/>
        <v>1377.9708446124314</v>
      </c>
      <c r="F108" s="151">
        <v>1013.3337719656666</v>
      </c>
      <c r="G108" s="151">
        <v>364.63707264676464</v>
      </c>
      <c r="H108" s="152">
        <f t="shared" si="13"/>
        <v>1377.9708446124314</v>
      </c>
    </row>
    <row r="109" spans="1:8">
      <c r="A109" s="324" t="s">
        <v>20</v>
      </c>
      <c r="B109" s="83"/>
      <c r="C109" s="148">
        <v>60.817179454210766</v>
      </c>
      <c r="D109" s="148">
        <v>77.509380408058419</v>
      </c>
      <c r="E109" s="149">
        <f t="shared" si="12"/>
        <v>138.32655986226919</v>
      </c>
      <c r="F109" s="148">
        <v>110.96919888632834</v>
      </c>
      <c r="G109" s="148">
        <v>27.357360975940836</v>
      </c>
      <c r="H109" s="149">
        <f t="shared" si="13"/>
        <v>138.32655986226916</v>
      </c>
    </row>
    <row r="110" spans="1:8">
      <c r="A110" s="325" t="s">
        <v>21</v>
      </c>
      <c r="B110" s="84"/>
      <c r="C110" s="151">
        <v>22.216939186607796</v>
      </c>
      <c r="D110" s="151">
        <v>45.654656900147536</v>
      </c>
      <c r="E110" s="152">
        <f t="shared" si="12"/>
        <v>67.871596086755332</v>
      </c>
      <c r="F110" s="151">
        <v>49.91169919910115</v>
      </c>
      <c r="G110" s="151">
        <v>17.959896887654189</v>
      </c>
      <c r="H110" s="152">
        <f t="shared" si="13"/>
        <v>67.871596086755346</v>
      </c>
    </row>
    <row r="111" spans="1:8">
      <c r="A111" s="324" t="s">
        <v>22</v>
      </c>
      <c r="B111" s="83"/>
      <c r="C111" s="148">
        <v>29.890630521411481</v>
      </c>
      <c r="D111" s="148">
        <v>38.094681130995056</v>
      </c>
      <c r="E111" s="149">
        <f t="shared" si="12"/>
        <v>67.985311652406537</v>
      </c>
      <c r="F111" s="148">
        <v>54.540130076761223</v>
      </c>
      <c r="G111" s="148">
        <v>13.445181575645314</v>
      </c>
      <c r="H111" s="149">
        <f t="shared" si="13"/>
        <v>67.985311652406537</v>
      </c>
    </row>
    <row r="112" spans="1:8">
      <c r="A112" s="325" t="s">
        <v>23</v>
      </c>
      <c r="B112" s="84"/>
      <c r="C112" s="151">
        <v>55.006401733025314</v>
      </c>
      <c r="D112" s="151">
        <v>35.109714249204032</v>
      </c>
      <c r="E112" s="152">
        <f t="shared" si="12"/>
        <v>90.116115982229346</v>
      </c>
      <c r="F112" s="151">
        <v>79.639973352540125</v>
      </c>
      <c r="G112" s="151">
        <v>10.476142629689228</v>
      </c>
      <c r="H112" s="152">
        <f t="shared" si="13"/>
        <v>90.11611598222936</v>
      </c>
    </row>
    <row r="113" spans="1:8">
      <c r="A113" s="324" t="s">
        <v>24</v>
      </c>
      <c r="B113" s="83"/>
      <c r="C113" s="148">
        <v>13.735538096607092</v>
      </c>
      <c r="D113" s="148">
        <v>8.7679704326528167</v>
      </c>
      <c r="E113" s="149">
        <f t="shared" si="12"/>
        <v>22.503508529259911</v>
      </c>
      <c r="F113" s="148">
        <v>19.886876660424395</v>
      </c>
      <c r="G113" s="148">
        <v>2.6166318688355132</v>
      </c>
      <c r="H113" s="149">
        <f t="shared" si="13"/>
        <v>22.503508529259907</v>
      </c>
    </row>
    <row r="114" spans="1:8">
      <c r="A114" s="325" t="s">
        <v>25</v>
      </c>
      <c r="B114" s="84"/>
      <c r="C114" s="151">
        <v>167.57805406410077</v>
      </c>
      <c r="D114" s="151">
        <v>106.9655066889393</v>
      </c>
      <c r="E114" s="152">
        <f t="shared" si="12"/>
        <v>274.54356075304008</v>
      </c>
      <c r="F114" s="151">
        <v>242.6268536719854</v>
      </c>
      <c r="G114" s="151">
        <v>31.916707081054678</v>
      </c>
      <c r="H114" s="152">
        <f t="shared" si="13"/>
        <v>274.54356075304008</v>
      </c>
    </row>
    <row r="115" spans="1:8">
      <c r="A115" s="324" t="s">
        <v>597</v>
      </c>
      <c r="B115" s="83"/>
      <c r="C115" s="148">
        <v>58.535584476106841</v>
      </c>
      <c r="D115" s="148">
        <v>322.86387478874059</v>
      </c>
      <c r="E115" s="149">
        <f>D115+C115</f>
        <v>381.39945926484745</v>
      </c>
      <c r="F115" s="148">
        <v>273.51346435281346</v>
      </c>
      <c r="G115" s="148">
        <v>107.88599491203406</v>
      </c>
      <c r="H115" s="149">
        <f>G115+F115</f>
        <v>381.39945926484751</v>
      </c>
    </row>
    <row r="116" spans="1:8">
      <c r="A116" s="324" t="s">
        <v>598</v>
      </c>
      <c r="B116" s="83"/>
      <c r="C116" s="148">
        <v>152.31464672976315</v>
      </c>
      <c r="D116" s="148">
        <v>47.58957322321173</v>
      </c>
      <c r="E116" s="149">
        <f t="shared" si="12"/>
        <v>199.90421995297487</v>
      </c>
      <c r="F116" s="148">
        <v>155.38894125008372</v>
      </c>
      <c r="G116" s="148">
        <v>44.515278702891202</v>
      </c>
      <c r="H116" s="149">
        <f t="shared" si="13"/>
        <v>199.90421995297493</v>
      </c>
    </row>
    <row r="117" spans="1:8">
      <c r="A117" s="18"/>
      <c r="B117" s="18"/>
      <c r="C117" s="153"/>
      <c r="D117" s="153"/>
      <c r="E117" s="153"/>
    </row>
    <row r="118" spans="1:8">
      <c r="A118" s="85" t="s">
        <v>189</v>
      </c>
      <c r="B118" s="85"/>
      <c r="C118" s="154">
        <f t="shared" ref="C118:H118" si="16">SUM(C84:C116)</f>
        <v>1408.6762114403296</v>
      </c>
      <c r="D118" s="154">
        <f t="shared" si="16"/>
        <v>3398.9601928041084</v>
      </c>
      <c r="E118" s="154">
        <f t="shared" si="16"/>
        <v>4807.6364042444384</v>
      </c>
      <c r="F118" s="154">
        <f t="shared" si="16"/>
        <v>2792.847653751267</v>
      </c>
      <c r="G118" s="154">
        <f t="shared" si="16"/>
        <v>2014.78875049317</v>
      </c>
      <c r="H118" s="154">
        <f t="shared" si="16"/>
        <v>4807.6364042444366</v>
      </c>
    </row>
    <row r="122" spans="1:8" ht="34" customHeight="1">
      <c r="A122" s="392" t="s">
        <v>548</v>
      </c>
      <c r="C122" s="494" t="s">
        <v>558</v>
      </c>
      <c r="D122" s="494"/>
      <c r="E122" s="494"/>
    </row>
    <row r="123" spans="1:8" ht="30" customHeight="1">
      <c r="A123" s="340" t="s">
        <v>5</v>
      </c>
      <c r="B123" s="339" t="s">
        <v>486</v>
      </c>
      <c r="C123" s="393" t="s">
        <v>559</v>
      </c>
      <c r="D123" s="393" t="s">
        <v>560</v>
      </c>
      <c r="E123" s="393" t="s">
        <v>26</v>
      </c>
      <c r="F123" s="393" t="s">
        <v>514</v>
      </c>
      <c r="G123" s="393" t="s">
        <v>515</v>
      </c>
    </row>
    <row r="124" spans="1:8">
      <c r="A124" s="332" t="s">
        <v>582</v>
      </c>
      <c r="B124" s="342">
        <f>INDEX(EIDirecto_21,1)+INDEX(EIIndirecto_21,1)</f>
        <v>0</v>
      </c>
      <c r="C124" s="148">
        <f>INDEX(EIDirecto_21,1)*INDEX(Coef_trabajo,1)</f>
        <v>0</v>
      </c>
      <c r="D124" s="148">
        <f>INDEX(EIIndirecto_21,1)*INDEX(Coef_trabajo,1)</f>
        <v>0</v>
      </c>
      <c r="E124" s="149">
        <f t="shared" ref="E124:E156" si="17">C124+D124</f>
        <v>0</v>
      </c>
      <c r="F124" s="178" t="str">
        <f>IFERROR(E124/$E$157,"")</f>
        <v/>
      </c>
      <c r="G124" s="361">
        <f>INDEX(EInducido21,1)*INDEX(Coef_trabajo,1)</f>
        <v>84.941348517316328</v>
      </c>
    </row>
    <row r="125" spans="1:8">
      <c r="A125" s="332" t="s">
        <v>583</v>
      </c>
      <c r="B125" s="342">
        <f>INDEX(EIDirecto_21,2)+INDEX(EIIndirecto_21,2)</f>
        <v>0</v>
      </c>
      <c r="C125" s="148">
        <f>INDEX(EIDirecto_21,2)*INDEX(Coef_trabajo,2)</f>
        <v>0</v>
      </c>
      <c r="D125" s="148">
        <f>INDEX(EIIndirecto_21,2)*INDEX(Coef_trabajo,2)</f>
        <v>0</v>
      </c>
      <c r="E125" s="149">
        <f>C125+D125</f>
        <v>0</v>
      </c>
      <c r="F125" s="178" t="str">
        <f>IFERROR(E125/$E$157,"")</f>
        <v/>
      </c>
      <c r="G125" s="361">
        <f>INDEX(EInducido21,2)*INDEX(Coef_trabajo,2)</f>
        <v>40.511238661609184</v>
      </c>
    </row>
    <row r="126" spans="1:8">
      <c r="A126" s="332" t="s">
        <v>584</v>
      </c>
      <c r="B126" s="342">
        <f>INDEX(EIDirecto_21,3)+INDEX(EIIndirecto_21,3)</f>
        <v>0</v>
      </c>
      <c r="C126" s="148">
        <f>INDEX(EIDirecto_21,3)*INDEX(Coef_trabajo,3)</f>
        <v>0</v>
      </c>
      <c r="D126" s="148">
        <f>INDEX(EIIndirecto_21,3)*INDEX(Coef_trabajo,3)</f>
        <v>0</v>
      </c>
      <c r="E126" s="149">
        <f>C126+D126</f>
        <v>0</v>
      </c>
      <c r="F126" s="178" t="str">
        <f>IFERROR(E126/$E$157,"")</f>
        <v/>
      </c>
      <c r="G126" s="361">
        <f>INDEX(EInducido21,3)*INDEX(Coef_trabajo,3)</f>
        <v>3.7733859210746004</v>
      </c>
    </row>
    <row r="127" spans="1:8">
      <c r="A127" s="332" t="s">
        <v>585</v>
      </c>
      <c r="B127" s="342">
        <f>INDEX(EIDirecto_21,4)+INDEX(EIIndirecto_21,4)</f>
        <v>0</v>
      </c>
      <c r="C127" s="148">
        <f>INDEX(EIDirecto_21,4)*INDEX(Coef_trabajo,4)</f>
        <v>0</v>
      </c>
      <c r="D127" s="148">
        <f>INDEX(EIIndirecto_21,4)*INDEX(Coef_trabajo,4)</f>
        <v>0</v>
      </c>
      <c r="E127" s="149">
        <f>C127+D127</f>
        <v>0</v>
      </c>
      <c r="F127" s="178" t="str">
        <f>IFERROR(E127/$E$157,"")</f>
        <v/>
      </c>
      <c r="G127" s="361">
        <f>INDEX(EInducido21,4)*INDEX(Coef_trabajo,4)</f>
        <v>3.4168688342755953</v>
      </c>
    </row>
    <row r="128" spans="1:8">
      <c r="A128" s="334" t="s">
        <v>10</v>
      </c>
      <c r="B128" s="347">
        <f>INDEX(EIDirecto_21,5)+INDEX(EIIndirecto_21,5)</f>
        <v>0</v>
      </c>
      <c r="C128" s="151">
        <f>INDEX(EIDirecto_21,5)*INDEX(Coef_trabajo,5)</f>
        <v>0</v>
      </c>
      <c r="D128" s="151">
        <f>INDEX(EIIndirecto_21,5)*INDEX(Coef_trabajo,5)</f>
        <v>0</v>
      </c>
      <c r="E128" s="152">
        <f t="shared" si="17"/>
        <v>0</v>
      </c>
      <c r="F128" s="179" t="str">
        <f t="shared" ref="F128:F156" si="18">IFERROR(E128/$E$157,"")</f>
        <v/>
      </c>
      <c r="G128" s="362">
        <f>INDEX(EInducido21,5)*INDEX(Coef_trabajo,5)</f>
        <v>0.80810964197233692</v>
      </c>
    </row>
    <row r="129" spans="1:7">
      <c r="A129" s="332" t="s">
        <v>586</v>
      </c>
      <c r="B129" s="342">
        <f>INDEX(EIDirecto_21,6)+INDEX(EIIndirecto_21,6)</f>
        <v>0</v>
      </c>
      <c r="C129" s="148">
        <f>INDEX(EIDirecto_21,6)*INDEX(Coef_trabajo,6)</f>
        <v>0</v>
      </c>
      <c r="D129" s="148">
        <f>INDEX(EIIndirecto_21,6)*INDEX(Coef_trabajo,6)</f>
        <v>0</v>
      </c>
      <c r="E129" s="149">
        <f t="shared" si="17"/>
        <v>0</v>
      </c>
      <c r="F129" s="179" t="str">
        <f t="shared" si="18"/>
        <v/>
      </c>
      <c r="G129" s="361">
        <f>INDEX(EInducido21,6)*INDEX(Coef_trabajo,6)</f>
        <v>10.029952510797134</v>
      </c>
    </row>
    <row r="130" spans="1:7">
      <c r="A130" s="332" t="s">
        <v>587</v>
      </c>
      <c r="B130" s="342">
        <f>INDEX(EIDirecto_21,7)+INDEX(EIIndirecto_21,7)</f>
        <v>0</v>
      </c>
      <c r="C130" s="148">
        <f>INDEX(EIDirecto_21,7)*INDEX(Coef_trabajo,7)</f>
        <v>0</v>
      </c>
      <c r="D130" s="148">
        <f>INDEX(EIIndirecto_21,7)*INDEX(Coef_trabajo,7)</f>
        <v>0</v>
      </c>
      <c r="E130" s="149">
        <f t="shared" ref="E130:E135" si="19">C130+D130</f>
        <v>0</v>
      </c>
      <c r="F130" s="179" t="str">
        <f t="shared" ref="F130:F135" si="20">IFERROR(E130/$E$157,"")</f>
        <v/>
      </c>
      <c r="G130" s="361">
        <f>INDEX(EInducido21,7)*INDEX(Coef_trabajo,7)</f>
        <v>0.8139139261927284</v>
      </c>
    </row>
    <row r="131" spans="1:7">
      <c r="A131" s="332" t="s">
        <v>588</v>
      </c>
      <c r="B131" s="342">
        <f>INDEX(EIDirecto_21,8)+INDEX(EIIndirecto_21,8)</f>
        <v>0</v>
      </c>
      <c r="C131" s="148">
        <f>INDEX(EIDirecto_21,8)*INDEX(Coef_trabajo,8)</f>
        <v>0</v>
      </c>
      <c r="D131" s="148">
        <f>INDEX(EIIndirecto_21,8)*INDEX(Coef_trabajo,8)</f>
        <v>0</v>
      </c>
      <c r="E131" s="149">
        <f t="shared" si="19"/>
        <v>0</v>
      </c>
      <c r="F131" s="179" t="str">
        <f t="shared" si="20"/>
        <v/>
      </c>
      <c r="G131" s="361">
        <f>INDEX(EInducido21,8)*INDEX(Coef_trabajo,8)</f>
        <v>4.7465425032533286</v>
      </c>
    </row>
    <row r="132" spans="1:7">
      <c r="A132" s="332" t="s">
        <v>589</v>
      </c>
      <c r="B132" s="342">
        <f>INDEX(EIDirecto_21,9)+INDEX(EIIndirecto_21,9)</f>
        <v>0</v>
      </c>
      <c r="C132" s="148">
        <f>INDEX(EIDirecto_21,9)*INDEX(Coef_trabajo,9)</f>
        <v>0</v>
      </c>
      <c r="D132" s="148">
        <f>INDEX(EIIndirecto_21,9)*INDEX(Coef_trabajo,9)</f>
        <v>0</v>
      </c>
      <c r="E132" s="149">
        <f t="shared" si="19"/>
        <v>0</v>
      </c>
      <c r="F132" s="179" t="str">
        <f t="shared" si="20"/>
        <v/>
      </c>
      <c r="G132" s="361">
        <f>INDEX(EInducido21,9)*INDEX(Coef_trabajo,9)</f>
        <v>13.279342202993112</v>
      </c>
    </row>
    <row r="133" spans="1:7">
      <c r="A133" s="332" t="s">
        <v>590</v>
      </c>
      <c r="B133" s="342">
        <f>INDEX(EIDirecto_21,10)+INDEX(EIIndirecto_21,10)</f>
        <v>0</v>
      </c>
      <c r="C133" s="148">
        <f>INDEX(EIDirecto_21,10)*INDEX(Coef_trabajo,10)</f>
        <v>0</v>
      </c>
      <c r="D133" s="148">
        <f>INDEX(EIIndirecto_21,10)*INDEX(Coef_trabajo,10)</f>
        <v>0</v>
      </c>
      <c r="E133" s="149">
        <f t="shared" si="19"/>
        <v>0</v>
      </c>
      <c r="F133" s="179" t="str">
        <f t="shared" si="20"/>
        <v/>
      </c>
      <c r="G133" s="361">
        <f>INDEX(EInducido21,10)*INDEX(Coef_trabajo,10)</f>
        <v>3.1063794621486105</v>
      </c>
    </row>
    <row r="134" spans="1:7">
      <c r="A134" s="332" t="s">
        <v>591</v>
      </c>
      <c r="B134" s="342">
        <f>INDEX(EIDirecto_21,11)+INDEX(EIIndirecto_21,11)</f>
        <v>0</v>
      </c>
      <c r="C134" s="148">
        <f>INDEX(EIDirecto_21,11)*INDEX(Coef_trabajo,11)</f>
        <v>0</v>
      </c>
      <c r="D134" s="148">
        <f>INDEX(EIIndirecto_21,11)*INDEX(Coef_trabajo,11)</f>
        <v>0</v>
      </c>
      <c r="E134" s="149">
        <f t="shared" si="19"/>
        <v>0</v>
      </c>
      <c r="F134" s="179" t="str">
        <f t="shared" si="20"/>
        <v/>
      </c>
      <c r="G134" s="361">
        <f>INDEX(EInducido21,11)*INDEX(Coef_trabajo,11)</f>
        <v>5.3118682682230292</v>
      </c>
    </row>
    <row r="135" spans="1:7">
      <c r="A135" s="332" t="s">
        <v>592</v>
      </c>
      <c r="B135" s="342">
        <f>INDEX(EIDirecto_21,12)+INDEX(EIIndirecto_21,12)</f>
        <v>0</v>
      </c>
      <c r="C135" s="148">
        <f>INDEX(EIDirecto_21,12)*INDEX(Coef_trabajo,12)</f>
        <v>0</v>
      </c>
      <c r="D135" s="148">
        <f>INDEX(EIIndirecto_21,12)*INDEX(Coef_trabajo,12)</f>
        <v>0</v>
      </c>
      <c r="E135" s="149">
        <f t="shared" si="19"/>
        <v>0</v>
      </c>
      <c r="F135" s="179" t="str">
        <f t="shared" si="20"/>
        <v/>
      </c>
      <c r="G135" s="361">
        <f>INDEX(EInducido21,12)*INDEX(Coef_trabajo,12)</f>
        <v>8.7519495768522511</v>
      </c>
    </row>
    <row r="136" spans="1:7">
      <c r="A136" s="334" t="s">
        <v>593</v>
      </c>
      <c r="B136" s="347">
        <f>INDEX(EIDirecto_21,13)+INDEX(EIIndirecto_21,13)</f>
        <v>0</v>
      </c>
      <c r="C136" s="151">
        <f>INDEX(EIDirecto_21,13)*INDEX(Coef_trabajo,13)</f>
        <v>0</v>
      </c>
      <c r="D136" s="151">
        <f>INDEX(EIIndirecto_21,13)*INDEX(Coef_trabajo,13)</f>
        <v>0</v>
      </c>
      <c r="E136" s="152">
        <f t="shared" si="17"/>
        <v>0</v>
      </c>
      <c r="F136" s="179" t="str">
        <f t="shared" si="18"/>
        <v/>
      </c>
      <c r="G136" s="362">
        <f>INDEX(EInducido21,13)*INDEX(Coef_trabajo,13)</f>
        <v>29.975353485036916</v>
      </c>
    </row>
    <row r="137" spans="1:7">
      <c r="A137" s="334" t="s">
        <v>594</v>
      </c>
      <c r="B137" s="347">
        <f>INDEX(EIDirecto_21,14)+INDEX(EIIndirecto_21,14)</f>
        <v>0</v>
      </c>
      <c r="C137" s="151">
        <f>INDEX(EIDirecto_21,14)*INDEX(Coef_trabajo,14)</f>
        <v>0</v>
      </c>
      <c r="D137" s="151">
        <f>INDEX(EIIndirecto_21,14)*INDEX(Coef_trabajo,14)</f>
        <v>0</v>
      </c>
      <c r="E137" s="152">
        <f>C137+D137</f>
        <v>0</v>
      </c>
      <c r="F137" s="179" t="str">
        <f>IFERROR(E137/$E$157,"")</f>
        <v/>
      </c>
      <c r="G137" s="362">
        <f>INDEX(EInducido21,14)*INDEX(Coef_trabajo,14)</f>
        <v>6.6145814261861808</v>
      </c>
    </row>
    <row r="138" spans="1:7">
      <c r="A138" s="332" t="s">
        <v>595</v>
      </c>
      <c r="B138" s="342">
        <f>INDEX(EIDirecto_21,15)+INDEX(EIIndirecto_21,15)</f>
        <v>0</v>
      </c>
      <c r="C138" s="148">
        <f>INDEX(EIDirecto_21,15)*INDEX(Coef_trabajo,15)</f>
        <v>0</v>
      </c>
      <c r="D138" s="148">
        <f>INDEX(EIIndirecto_21,15)*INDEX(Coef_trabajo,15)</f>
        <v>0</v>
      </c>
      <c r="E138" s="149">
        <f t="shared" si="17"/>
        <v>0</v>
      </c>
      <c r="F138" s="178" t="str">
        <f t="shared" si="18"/>
        <v/>
      </c>
      <c r="G138" s="361">
        <f>INDEX(EInducido21,15)*INDEX(Coef_trabajo,15)</f>
        <v>2.4635106311950103</v>
      </c>
    </row>
    <row r="139" spans="1:7">
      <c r="A139" s="332" t="s">
        <v>596</v>
      </c>
      <c r="B139" s="342">
        <f>INDEX(EIDirecto_21,16)+INDEX(EIIndirecto_21,16)</f>
        <v>0</v>
      </c>
      <c r="C139" s="148">
        <f>INDEX(EIDirecto_21,16)*INDEX(Coef_trabajo,16)</f>
        <v>0</v>
      </c>
      <c r="D139" s="148">
        <f>INDEX(EIIndirecto_21,16)*INDEX(Coef_trabajo,16)</f>
        <v>0</v>
      </c>
      <c r="E139" s="149">
        <f>C139+D139</f>
        <v>0</v>
      </c>
      <c r="F139" s="178" t="str">
        <f>IFERROR(E139/$E$157,"")</f>
        <v/>
      </c>
      <c r="G139" s="361">
        <f>INDEX(EInducido21,16)*INDEX(Coef_trabajo,16)</f>
        <v>7.350830935511766</v>
      </c>
    </row>
    <row r="140" spans="1:7">
      <c r="A140" s="334" t="s">
        <v>11</v>
      </c>
      <c r="B140" s="347">
        <f>INDEX(EIDirecto_21,17)+INDEX(EIIndirecto_21,17)</f>
        <v>0</v>
      </c>
      <c r="C140" s="151">
        <f>INDEX(EIDirecto_21,17)*INDEX(Coef_trabajo,17)</f>
        <v>0</v>
      </c>
      <c r="D140" s="151">
        <f>INDEX(EIIndirecto_21,17)*INDEX(Coef_trabajo,17)</f>
        <v>0</v>
      </c>
      <c r="E140" s="152">
        <f t="shared" si="17"/>
        <v>0</v>
      </c>
      <c r="F140" s="179" t="str">
        <f t="shared" si="18"/>
        <v/>
      </c>
      <c r="G140" s="362">
        <f>INDEX(EInducido21,17)*INDEX(Coef_trabajo,17)</f>
        <v>12.254762793332096</v>
      </c>
    </row>
    <row r="141" spans="1:7">
      <c r="A141" s="332" t="s">
        <v>12</v>
      </c>
      <c r="B141" s="342">
        <f>INDEX(EIDirecto_21,18)+INDEX(EIIndirecto_21,18)</f>
        <v>0</v>
      </c>
      <c r="C141" s="148">
        <f>INDEX(EIDirecto_21,18)*INDEX(Coef_trabajo,18)</f>
        <v>0</v>
      </c>
      <c r="D141" s="148">
        <f>INDEX(EIIndirecto_21,18)*INDEX(Coef_trabajo,18)</f>
        <v>0</v>
      </c>
      <c r="E141" s="149">
        <f t="shared" si="17"/>
        <v>0</v>
      </c>
      <c r="F141" s="178" t="str">
        <f t="shared" si="18"/>
        <v/>
      </c>
      <c r="G141" s="361">
        <f>INDEX(EInducido21,18)*INDEX(Coef_trabajo,18)</f>
        <v>5.6047605689391053</v>
      </c>
    </row>
    <row r="142" spans="1:7">
      <c r="A142" s="334" t="s">
        <v>13</v>
      </c>
      <c r="B142" s="347">
        <f>INDEX(EIDirecto_21,19)+INDEX(EIIndirecto_21,19)</f>
        <v>0</v>
      </c>
      <c r="C142" s="151">
        <f>INDEX(EIDirecto_21,19)*INDEX(Coef_trabajo,19)</f>
        <v>0</v>
      </c>
      <c r="D142" s="151">
        <f>INDEX(EIIndirecto_21,19)*INDEX(Coef_trabajo,19)</f>
        <v>0</v>
      </c>
      <c r="E142" s="152">
        <f t="shared" si="17"/>
        <v>0</v>
      </c>
      <c r="F142" s="179" t="str">
        <f t="shared" si="18"/>
        <v/>
      </c>
      <c r="G142" s="362">
        <f>INDEX(EInducido21,19)*INDEX(Coef_trabajo,19)</f>
        <v>0.94544624829414947</v>
      </c>
    </row>
    <row r="143" spans="1:7">
      <c r="A143" s="332" t="s">
        <v>14</v>
      </c>
      <c r="B143" s="342">
        <f>INDEX(EIDirecto_21,20)+INDEX(EIIndirecto_21,20)</f>
        <v>0</v>
      </c>
      <c r="C143" s="148">
        <f>INDEX(EIDirecto_21,20)*INDEX(Coef_trabajo,20)</f>
        <v>0</v>
      </c>
      <c r="D143" s="148">
        <f>INDEX(EIIndirecto_21,20)*INDEX(Coef_trabajo,20)</f>
        <v>0</v>
      </c>
      <c r="E143" s="149">
        <f t="shared" si="17"/>
        <v>0</v>
      </c>
      <c r="F143" s="178" t="str">
        <f t="shared" si="18"/>
        <v/>
      </c>
      <c r="G143" s="361">
        <f>INDEX(EInducido21,20)*INDEX(Coef_trabajo,20)</f>
        <v>3.5152960462730309</v>
      </c>
    </row>
    <row r="144" spans="1:7">
      <c r="A144" s="334" t="s">
        <v>15</v>
      </c>
      <c r="B144" s="347">
        <f>INDEX(EIDirecto_21,21)+INDEX(EIIndirecto_21,21)</f>
        <v>0</v>
      </c>
      <c r="C144" s="151">
        <f>INDEX(EIDirecto_21,21)*INDEX(Coef_trabajo,21)</f>
        <v>0</v>
      </c>
      <c r="D144" s="151">
        <f>INDEX(EIIndirecto_21,21)*INDEX(Coef_trabajo,21)</f>
        <v>0</v>
      </c>
      <c r="E144" s="152">
        <f t="shared" si="17"/>
        <v>0</v>
      </c>
      <c r="F144" s="179" t="str">
        <f t="shared" si="18"/>
        <v/>
      </c>
      <c r="G144" s="362">
        <f>INDEX(EInducido21,21)*INDEX(Coef_trabajo,21)</f>
        <v>2.1548551565128657</v>
      </c>
    </row>
    <row r="145" spans="1:7">
      <c r="A145" s="332" t="s">
        <v>16</v>
      </c>
      <c r="B145" s="342">
        <f>INDEX(EIDirecto_21,22)+INDEX(EIIndirecto_21,22)</f>
        <v>0</v>
      </c>
      <c r="C145" s="148">
        <f>INDEX(EIDirecto_21,22)*INDEX(Coef_trabajo,22)</f>
        <v>0</v>
      </c>
      <c r="D145" s="148">
        <f>INDEX(EIIndirecto_21,22)*INDEX(Coef_trabajo,22)</f>
        <v>0</v>
      </c>
      <c r="E145" s="149">
        <f t="shared" si="17"/>
        <v>0</v>
      </c>
      <c r="F145" s="178" t="str">
        <f t="shared" si="18"/>
        <v/>
      </c>
      <c r="G145" s="361">
        <f>INDEX(EInducido21,22)*INDEX(Coef_trabajo,22)</f>
        <v>16.217957851902451</v>
      </c>
    </row>
    <row r="146" spans="1:7">
      <c r="A146" s="334" t="s">
        <v>17</v>
      </c>
      <c r="B146" s="347">
        <f>INDEX(EIDirecto_21,23)+INDEX(EIIndirecto_21,23)</f>
        <v>0</v>
      </c>
      <c r="C146" s="151">
        <f>INDEX(EIDirecto_21,23)*INDEX(Coef_trabajo,23)</f>
        <v>0</v>
      </c>
      <c r="D146" s="151">
        <f>INDEX(EIIndirecto_21,23)*INDEX(Coef_trabajo,23)</f>
        <v>0</v>
      </c>
      <c r="E146" s="152">
        <f t="shared" si="17"/>
        <v>0</v>
      </c>
      <c r="F146" s="179" t="str">
        <f t="shared" si="18"/>
        <v/>
      </c>
      <c r="G146" s="362">
        <f>INDEX(EInducido21,23)*INDEX(Coef_trabajo,23)</f>
        <v>7.4999260319346286</v>
      </c>
    </row>
    <row r="147" spans="1:7">
      <c r="A147" s="332" t="s">
        <v>18</v>
      </c>
      <c r="B147" s="342">
        <f>INDEX(EIDirecto_21,24)+INDEX(EIIndirecto_21,24)</f>
        <v>0</v>
      </c>
      <c r="C147" s="148">
        <f>INDEX(EIDirecto_21,24)*INDEX(Coef_trabajo,24)</f>
        <v>0</v>
      </c>
      <c r="D147" s="148">
        <f>INDEX(EIIndirecto_21,24)*INDEX(Coef_trabajo,24)</f>
        <v>0</v>
      </c>
      <c r="E147" s="149">
        <f t="shared" si="17"/>
        <v>0</v>
      </c>
      <c r="F147" s="178" t="str">
        <f t="shared" si="18"/>
        <v/>
      </c>
      <c r="G147" s="361">
        <f>INDEX(EInducido21,24)*INDEX(Coef_trabajo,24)</f>
        <v>9.3550423496651423</v>
      </c>
    </row>
    <row r="148" spans="1:7">
      <c r="A148" s="334" t="s">
        <v>19</v>
      </c>
      <c r="B148" s="347">
        <f>INDEX(EIDirecto_21,25)+INDEX(EIIndirecto_21,25)</f>
        <v>0</v>
      </c>
      <c r="C148" s="151">
        <f>INDEX(EIDirecto_21,25)*INDEX(Coef_trabajo,25)</f>
        <v>0</v>
      </c>
      <c r="D148" s="151">
        <f>INDEX(EIIndirecto_21,25)*INDEX(Coef_trabajo,25)</f>
        <v>0</v>
      </c>
      <c r="E148" s="152">
        <f t="shared" si="17"/>
        <v>0</v>
      </c>
      <c r="F148" s="179" t="str">
        <f t="shared" si="18"/>
        <v/>
      </c>
      <c r="G148" s="362">
        <f>INDEX(EInducido21,25)*INDEX(Coef_trabajo,25)</f>
        <v>300.32388261890208</v>
      </c>
    </row>
    <row r="149" spans="1:7">
      <c r="A149" s="332" t="s">
        <v>20</v>
      </c>
      <c r="B149" s="342">
        <f>INDEX(EIDirecto_21,26)+INDEX(EIIndirecto_21,26)</f>
        <v>0</v>
      </c>
      <c r="C149" s="148">
        <f>INDEX(EIDirecto_21,26)*INDEX(Coef_trabajo,26)</f>
        <v>0</v>
      </c>
      <c r="D149" s="148">
        <f>INDEX(EIIndirecto_21,26)*INDEX(Coef_trabajo,26)</f>
        <v>0</v>
      </c>
      <c r="E149" s="149">
        <f t="shared" si="17"/>
        <v>0</v>
      </c>
      <c r="F149" s="178" t="str">
        <f t="shared" si="18"/>
        <v/>
      </c>
      <c r="G149" s="361">
        <f>INDEX(EInducido21,26)*INDEX(Coef_trabajo,26)</f>
        <v>39.789146221967258</v>
      </c>
    </row>
    <row r="150" spans="1:7">
      <c r="A150" s="334" t="s">
        <v>21</v>
      </c>
      <c r="B150" s="347">
        <f>INDEX(EIDirecto_21,27)+INDEX(EIIndirecto_21,27)</f>
        <v>0</v>
      </c>
      <c r="C150" s="151">
        <f>INDEX(EIDirecto_21,27)*INDEX(Coef_trabajo,27)</f>
        <v>0</v>
      </c>
      <c r="D150" s="151">
        <f>INDEX(EIIndirecto_21,27)*INDEX(Coef_trabajo,27)</f>
        <v>0</v>
      </c>
      <c r="E150" s="152">
        <f t="shared" si="17"/>
        <v>0</v>
      </c>
      <c r="F150" s="179" t="str">
        <f t="shared" si="18"/>
        <v/>
      </c>
      <c r="G150" s="362">
        <f>INDEX(EInducido21,27)*INDEX(Coef_trabajo,27)</f>
        <v>51.000391089747204</v>
      </c>
    </row>
    <row r="151" spans="1:7">
      <c r="A151" s="332" t="s">
        <v>22</v>
      </c>
      <c r="B151" s="342">
        <f>INDEX(EIDirecto_21,28)+INDEX(EIIndirecto_21,28)</f>
        <v>0</v>
      </c>
      <c r="C151" s="148">
        <f>INDEX(EIDirecto_21,28)*INDEX(Coef_trabajo,28)</f>
        <v>0</v>
      </c>
      <c r="D151" s="148">
        <f>INDEX(EIIndirecto_21,28)*INDEX(Coef_trabajo,28)</f>
        <v>0</v>
      </c>
      <c r="E151" s="149">
        <f t="shared" si="17"/>
        <v>0</v>
      </c>
      <c r="F151" s="178" t="str">
        <f t="shared" si="18"/>
        <v/>
      </c>
      <c r="G151" s="361">
        <f>INDEX(EInducido21,28)*INDEX(Coef_trabajo,28)</f>
        <v>26.119902635757331</v>
      </c>
    </row>
    <row r="152" spans="1:7">
      <c r="A152" s="334" t="s">
        <v>23</v>
      </c>
      <c r="B152" s="347">
        <f>INDEX(EIDirecto_21,29)+INDEX(EIIndirecto_21,29)</f>
        <v>0</v>
      </c>
      <c r="C152" s="151">
        <f>INDEX(EIDirecto_21,29)*INDEX(Coef_trabajo,29)</f>
        <v>0</v>
      </c>
      <c r="D152" s="151">
        <f>INDEX(EIIndirecto_21,29)*INDEX(Coef_trabajo,29)</f>
        <v>0</v>
      </c>
      <c r="E152" s="152">
        <f t="shared" si="17"/>
        <v>0</v>
      </c>
      <c r="F152" s="179" t="str">
        <f t="shared" si="18"/>
        <v/>
      </c>
      <c r="G152" s="362">
        <f>INDEX(EInducido21,29)*INDEX(Coef_trabajo,29)</f>
        <v>19.699377358271853</v>
      </c>
    </row>
    <row r="153" spans="1:7">
      <c r="A153" s="332" t="s">
        <v>24</v>
      </c>
      <c r="B153" s="342">
        <f>INDEX(EIDirecto_21,30)+INDEX(EIIndirecto_21,30)</f>
        <v>0</v>
      </c>
      <c r="C153" s="148">
        <f>INDEX(EIDirecto_21,30)*INDEX(Coef_trabajo,30)</f>
        <v>0</v>
      </c>
      <c r="D153" s="148">
        <f>INDEX(EIIndirecto_21,30)*INDEX(Coef_trabajo,30)</f>
        <v>0</v>
      </c>
      <c r="E153" s="149">
        <f t="shared" si="17"/>
        <v>0</v>
      </c>
      <c r="F153" s="178" t="str">
        <f t="shared" si="18"/>
        <v/>
      </c>
      <c r="G153" s="361">
        <f>INDEX(EInducido21,30)*INDEX(Coef_trabajo,30)</f>
        <v>11.133048889075891</v>
      </c>
    </row>
    <row r="154" spans="1:7">
      <c r="A154" s="334" t="s">
        <v>25</v>
      </c>
      <c r="B154" s="347">
        <f>INDEX(EIDirecto_21,31)+INDEX(EIIndirecto_21,31)</f>
        <v>0</v>
      </c>
      <c r="C154" s="151">
        <f>INDEX(EIDirecto_21,31)*INDEX(Coef_trabajo,31)</f>
        <v>0</v>
      </c>
      <c r="D154" s="151">
        <f>INDEX(EIIndirecto_21,31)*INDEX(Coef_trabajo,31)</f>
        <v>0</v>
      </c>
      <c r="E154" s="152">
        <f t="shared" si="17"/>
        <v>0</v>
      </c>
      <c r="F154" s="179" t="str">
        <f t="shared" si="18"/>
        <v/>
      </c>
      <c r="G154" s="362">
        <f>INDEX(EInducido21,31)*INDEX(Coef_trabajo,31)</f>
        <v>65.36842996253722</v>
      </c>
    </row>
    <row r="155" spans="1:7">
      <c r="A155" s="332" t="s">
        <v>597</v>
      </c>
      <c r="B155" s="342">
        <f>INDEX(EIDirecto_21,32)+INDEX(EIIndirecto_21,32)</f>
        <v>0</v>
      </c>
      <c r="C155" s="148">
        <f>INDEX(EIDirecto_21,32)*INDEX(Coef_trabajo,32)</f>
        <v>0</v>
      </c>
      <c r="D155" s="148">
        <f>INDEX(EIIndirecto_21,32)*INDEX(Coef_trabajo,32)</f>
        <v>0</v>
      </c>
      <c r="E155" s="149">
        <f>C155+D155</f>
        <v>0</v>
      </c>
      <c r="F155" s="178" t="str">
        <f>IFERROR(E155/$E$157,"")</f>
        <v/>
      </c>
      <c r="G155" s="361">
        <f>INDEX(EInducido21,32)*INDEX(Coef_trabajo,32)</f>
        <v>327.12378601632042</v>
      </c>
    </row>
    <row r="156" spans="1:7">
      <c r="A156" s="332" t="s">
        <v>598</v>
      </c>
      <c r="B156" s="342">
        <f>INDEX(EIDirecto_21,33)+INDEX(EIIndirecto_21,33)</f>
        <v>0</v>
      </c>
      <c r="C156" s="148">
        <f>INDEX(EIDirecto_21,33)*INDEX(Coef_trabajo,33)</f>
        <v>0</v>
      </c>
      <c r="D156" s="148">
        <f>INDEX(EIIndirecto_21,33)*INDEX(Coef_trabajo,33)</f>
        <v>0</v>
      </c>
      <c r="E156" s="149">
        <f t="shared" si="17"/>
        <v>0</v>
      </c>
      <c r="F156" s="178" t="str">
        <f t="shared" si="18"/>
        <v/>
      </c>
      <c r="G156" s="361">
        <f>INDEX(EInducido21,33)*INDEX(Coef_trabajo,33)</f>
        <v>199.36715116496146</v>
      </c>
    </row>
    <row r="157" spans="1:7">
      <c r="A157" s="352" t="s">
        <v>143</v>
      </c>
      <c r="B157" s="353">
        <f>SUM(B124:B156)</f>
        <v>0</v>
      </c>
      <c r="C157" s="354">
        <f>SUM(C124:C156)</f>
        <v>0</v>
      </c>
      <c r="D157" s="354">
        <f>SUM(D124:D156)</f>
        <v>0</v>
      </c>
      <c r="E157" s="354">
        <f>SUM(E124:E156)</f>
        <v>0</v>
      </c>
      <c r="F157" s="355" t="str">
        <f>IFERROR(E157/E157,"")</f>
        <v/>
      </c>
      <c r="G157" s="354">
        <f>SUM(G124:G156)</f>
        <v>1323.368339509032</v>
      </c>
    </row>
  </sheetData>
  <mergeCells count="6">
    <mergeCell ref="C122:E122"/>
    <mergeCell ref="A1:L1"/>
    <mergeCell ref="C82:D82"/>
    <mergeCell ref="F82:G82"/>
    <mergeCell ref="F43:H43"/>
    <mergeCell ref="C43:D43"/>
  </mergeCells>
  <conditionalFormatting sqref="K6:K38">
    <cfRule type="dataBar" priority="68">
      <dataBar>
        <cfvo type="min"/>
        <cfvo type="max"/>
        <color rgb="FF638EC6"/>
      </dataBar>
    </cfRule>
  </conditionalFormatting>
  <conditionalFormatting sqref="L6:L38">
    <cfRule type="dataBar" priority="69">
      <dataBar>
        <cfvo type="min"/>
        <cfvo type="max"/>
        <color rgb="FF63C384"/>
      </dataBar>
    </cfRule>
  </conditionalFormatting>
  <conditionalFormatting sqref="D6:E38">
    <cfRule type="colorScale" priority="7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G6:H38">
    <cfRule type="colorScale" priority="7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I6:I38">
    <cfRule type="dataBar" priority="42">
      <dataBar>
        <cfvo type="min"/>
        <cfvo type="max"/>
        <color rgb="FF638EC6"/>
      </dataBar>
    </cfRule>
  </conditionalFormatting>
  <conditionalFormatting sqref="F6:F38">
    <cfRule type="dataBar" priority="41">
      <dataBar>
        <cfvo type="min"/>
        <cfvo type="max"/>
        <color rgb="FF638EC6"/>
      </dataBar>
    </cfRule>
  </conditionalFormatting>
  <conditionalFormatting sqref="E45:E77">
    <cfRule type="dataBar" priority="39">
      <dataBar>
        <cfvo type="min"/>
        <cfvo type="max"/>
        <color rgb="FF638EC6"/>
      </dataBar>
    </cfRule>
  </conditionalFormatting>
  <conditionalFormatting sqref="I45:I77">
    <cfRule type="dataBar" priority="38">
      <dataBar>
        <cfvo type="min"/>
        <cfvo type="max"/>
        <color rgb="FF638EC6"/>
      </dataBar>
    </cfRule>
  </conditionalFormatting>
  <conditionalFormatting sqref="H84:H116">
    <cfRule type="dataBar" priority="37">
      <dataBar>
        <cfvo type="min"/>
        <cfvo type="max"/>
        <color rgb="FF638EC6"/>
      </dataBar>
    </cfRule>
  </conditionalFormatting>
  <conditionalFormatting sqref="E84:E116">
    <cfRule type="dataBar" priority="36">
      <dataBar>
        <cfvo type="min"/>
        <cfvo type="max"/>
        <color rgb="FF638EC6"/>
      </dataBar>
    </cfRule>
  </conditionalFormatting>
  <conditionalFormatting sqref="E124:E156">
    <cfRule type="dataBar" priority="34">
      <dataBar>
        <cfvo type="min"/>
        <cfvo type="max"/>
        <color rgb="FF638EC6"/>
      </dataBar>
    </cfRule>
  </conditionalFormatting>
  <conditionalFormatting sqref="F124:F156">
    <cfRule type="dataBar" priority="32">
      <dataBar>
        <cfvo type="min"/>
        <cfvo type="max"/>
        <color rgb="FF63C384"/>
      </dataBar>
    </cfRule>
  </conditionalFormatting>
  <conditionalFormatting sqref="A1:L1">
    <cfRule type="expression" dxfId="42" priority="31">
      <formula>"suma(DeltaF21c)&gt;0"</formula>
    </cfRule>
  </conditionalFormatting>
  <conditionalFormatting sqref="C6:H38">
    <cfRule type="cellIs" dxfId="41" priority="25" stopIfTrue="1" operator="equal">
      <formula>0</formula>
    </cfRule>
  </conditionalFormatting>
  <conditionalFormatting sqref="J6:J38">
    <cfRule type="colorScale" priority="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6:J38">
    <cfRule type="cellIs" dxfId="40" priority="27" stopIfTrue="1" operator="equal">
      <formula>0</formula>
    </cfRule>
  </conditionalFormatting>
  <conditionalFormatting sqref="C6:C38">
    <cfRule type="colorScale" priority="2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45:D77">
    <cfRule type="cellIs" dxfId="39" priority="21" stopIfTrue="1" operator="equal">
      <formula>0</formula>
    </cfRule>
  </conditionalFormatting>
  <conditionalFormatting sqref="D45:D77">
    <cfRule type="colorScale" priority="2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5:F77">
    <cfRule type="cellIs" dxfId="38" priority="19" stopIfTrue="1" operator="equal">
      <formula>0</formula>
    </cfRule>
  </conditionalFormatting>
  <conditionalFormatting sqref="F45:F77">
    <cfRule type="colorScale" priority="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G45:G77">
    <cfRule type="cellIs" dxfId="37" priority="17" stopIfTrue="1" operator="equal">
      <formula>0</formula>
    </cfRule>
  </conditionalFormatting>
  <conditionalFormatting sqref="G45:G77">
    <cfRule type="colorScale" priority="1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H45:H77">
    <cfRule type="cellIs" dxfId="36" priority="15" stopIfTrue="1" operator="equal">
      <formula>0</formula>
    </cfRule>
  </conditionalFormatting>
  <conditionalFormatting sqref="H45:H77">
    <cfRule type="colorScale" priority="1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84:C116">
    <cfRule type="cellIs" dxfId="35" priority="13" stopIfTrue="1" operator="equal">
      <formula>0</formula>
    </cfRule>
  </conditionalFormatting>
  <conditionalFormatting sqref="C84:C116">
    <cfRule type="colorScale" priority="1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84:D116">
    <cfRule type="cellIs" dxfId="34" priority="11" stopIfTrue="1" operator="equal">
      <formula>0</formula>
    </cfRule>
  </conditionalFormatting>
  <conditionalFormatting sqref="D84:D116"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84:F116">
    <cfRule type="cellIs" dxfId="33" priority="9" stopIfTrue="1" operator="equal">
      <formula>0</formula>
    </cfRule>
  </conditionalFormatting>
  <conditionalFormatting sqref="F84:F116">
    <cfRule type="colorScale" priority="1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G84:G116">
    <cfRule type="cellIs" dxfId="32" priority="7" stopIfTrue="1" operator="equal">
      <formula>0</formula>
    </cfRule>
  </conditionalFormatting>
  <conditionalFormatting sqref="G84:G116"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124:C156">
    <cfRule type="cellIs" dxfId="31" priority="5" stopIfTrue="1" operator="equal">
      <formula>0</formula>
    </cfRule>
  </conditionalFormatting>
  <conditionalFormatting sqref="C124:C156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124:D156">
    <cfRule type="cellIs" dxfId="30" priority="3" stopIfTrue="1" operator="equal">
      <formula>0</formula>
    </cfRule>
  </conditionalFormatting>
  <conditionalFormatting sqref="D124:D15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45:C77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45:C77">
    <cfRule type="cellIs" dxfId="29" priority="1" stopIfTrue="1" operator="equal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0" id="{7D876BE9-96CB-7248-B98E-B76DA24EFE63}">
            <xm:f>'Estimulos Nacionales'!$H$42&gt;0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A1:L1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AF9B8-BB21-9840-A6A2-35754DA4F806}">
  <sheetPr codeName="Hoja17">
    <tabColor rgb="FF27AE60"/>
  </sheetPr>
  <dimension ref="A1:L118"/>
  <sheetViews>
    <sheetView showGridLines="0" zoomScale="130" zoomScaleNormal="130" workbookViewId="0">
      <pane xSplit="2" ySplit="5" topLeftCell="C21" activePane="bottomRight" state="frozen"/>
      <selection pane="topRight"/>
      <selection pane="bottomLeft"/>
      <selection pane="bottomRight" activeCell="A85" sqref="A85:XFD87"/>
    </sheetView>
  </sheetViews>
  <sheetFormatPr baseColWidth="10" defaultRowHeight="16"/>
  <cols>
    <col min="1" max="1" width="30" bestFit="1" customWidth="1"/>
    <col min="2" max="2" width="6" hidden="1" customWidth="1"/>
    <col min="3" max="10" width="12" customWidth="1"/>
    <col min="11" max="11" width="13" customWidth="1"/>
    <col min="12" max="12" width="12" customWidth="1"/>
    <col min="13" max="13" width="10.1640625" customWidth="1"/>
    <col min="14" max="17" width="11.1640625" customWidth="1"/>
  </cols>
  <sheetData>
    <row r="1" spans="1:12" ht="26" customHeight="1">
      <c r="A1" s="493" t="str">
        <f>IF(SUM(DeltaF21c)=0,"Efectos sobre el Ingreso Laboral","Diferencias de Ingreso Laboral entre los proyectos en Empleo")&amp;" — Paraguay"</f>
        <v>Diferencias de Ingreso Laboral entre los proyectos en Empleo — Paraguay</v>
      </c>
      <c r="B1" s="493"/>
      <c r="C1" s="493"/>
      <c r="D1" s="493"/>
      <c r="E1" s="493"/>
      <c r="F1" s="493"/>
      <c r="G1" s="493"/>
      <c r="H1" s="493"/>
      <c r="I1" s="493"/>
      <c r="J1" s="493"/>
      <c r="K1" s="493"/>
      <c r="L1" s="493"/>
    </row>
    <row r="2" spans="1:12" ht="14" customHeight="1">
      <c r="A2" s="308" t="s">
        <v>555</v>
      </c>
    </row>
    <row r="3" spans="1:12" ht="8" customHeight="1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</row>
    <row r="4" spans="1:12" ht="20" customHeight="1">
      <c r="A4" s="114" t="s">
        <v>577</v>
      </c>
      <c r="B4" s="72"/>
      <c r="C4" s="73" t="s">
        <v>135</v>
      </c>
      <c r="D4" s="310" t="s">
        <v>182</v>
      </c>
      <c r="G4" s="309" t="s">
        <v>183</v>
      </c>
      <c r="J4" s="233" t="s">
        <v>184</v>
      </c>
      <c r="K4" s="74" t="s">
        <v>185</v>
      </c>
    </row>
    <row r="5" spans="1:12" ht="20" customHeight="1" thickBot="1">
      <c r="A5" s="75" t="s">
        <v>5</v>
      </c>
      <c r="B5" s="76" t="s">
        <v>83</v>
      </c>
      <c r="C5" s="77"/>
      <c r="D5" s="78" t="s">
        <v>187</v>
      </c>
      <c r="E5" s="79" t="s">
        <v>188</v>
      </c>
      <c r="F5" s="80" t="s">
        <v>26</v>
      </c>
      <c r="G5" s="81" t="s">
        <v>187</v>
      </c>
      <c r="H5" s="79" t="s">
        <v>188</v>
      </c>
      <c r="I5" s="82" t="s">
        <v>26</v>
      </c>
      <c r="J5" s="234"/>
      <c r="K5" s="77"/>
    </row>
    <row r="6" spans="1:12" ht="14" customHeight="1">
      <c r="A6" s="19" t="s">
        <v>582</v>
      </c>
      <c r="B6" s="83" t="s">
        <v>599</v>
      </c>
      <c r="C6" s="412" cm="1">
        <f t="array" ref="C6:C38">EInicial_21*Coef_IngresoTotal</f>
        <v>0</v>
      </c>
      <c r="D6" s="412" cm="1">
        <f t="array" ref="D6:D38">EDirecto_21*Coef_IngresoTotal</f>
        <v>-2.3060977638660587</v>
      </c>
      <c r="E6" s="412" cm="1">
        <f t="array" ref="E6:E38">EIDirecto_21*Coef_IngresoTotal</f>
        <v>0</v>
      </c>
      <c r="F6" s="157">
        <f t="shared" ref="F6:F38" si="0">E6+D6</f>
        <v>-2.3060977638660587</v>
      </c>
      <c r="G6" s="412" cm="1">
        <f t="array" ref="G6:G38">EIndirecto21*Coef_IngresoTotal</f>
        <v>0.42980596495666562</v>
      </c>
      <c r="H6" s="412" cm="1">
        <f t="array" ref="H6:H38">EIIndirecto_21*Coef_IngresoTotal</f>
        <v>0</v>
      </c>
      <c r="I6" s="157">
        <f t="shared" ref="I6:I38" si="1">H6+G6</f>
        <v>0.42980596495666562</v>
      </c>
      <c r="J6" s="412" cm="1">
        <f t="array" ref="J6:J38">EInducido21*Coef_IngresoTotal</f>
        <v>0.25515224438481632</v>
      </c>
      <c r="K6" s="157">
        <f t="shared" ref="K6:K38" si="2">J6+I6+F6+C6</f>
        <v>-1.6211395545245768</v>
      </c>
    </row>
    <row r="7" spans="1:12" ht="14" customHeight="1">
      <c r="A7" s="19" t="s">
        <v>583</v>
      </c>
      <c r="B7" s="83" t="s">
        <v>600</v>
      </c>
      <c r="C7" s="412">
        <v>0</v>
      </c>
      <c r="D7" s="412">
        <v>8.752913207084223</v>
      </c>
      <c r="E7" s="412">
        <v>0</v>
      </c>
      <c r="F7" s="157">
        <f>E7+D7</f>
        <v>8.752913207084223</v>
      </c>
      <c r="G7" s="412">
        <v>0.31287068685166802</v>
      </c>
      <c r="H7" s="412">
        <v>0</v>
      </c>
      <c r="I7" s="157">
        <f>H7+G7</f>
        <v>0.31287068685166802</v>
      </c>
      <c r="J7" s="412">
        <v>0.21535622911750127</v>
      </c>
      <c r="K7" s="157">
        <f>J7+I7+F7+C7</f>
        <v>9.2811401230533921</v>
      </c>
    </row>
    <row r="8" spans="1:12" ht="14" customHeight="1">
      <c r="A8" s="19" t="s">
        <v>584</v>
      </c>
      <c r="B8" s="83" t="s">
        <v>601</v>
      </c>
      <c r="C8" s="412">
        <v>0</v>
      </c>
      <c r="D8" s="412">
        <v>2.6526669119335385E-2</v>
      </c>
      <c r="E8" s="412">
        <v>0</v>
      </c>
      <c r="F8" s="157">
        <f>E8+D8</f>
        <v>2.6526669119335385E-2</v>
      </c>
      <c r="G8" s="412">
        <v>6.5523892408949347E-2</v>
      </c>
      <c r="H8" s="412">
        <v>0</v>
      </c>
      <c r="I8" s="157">
        <f>H8+G8</f>
        <v>6.5523892408949347E-2</v>
      </c>
      <c r="J8" s="412">
        <v>1.8055730135516465E-2</v>
      </c>
      <c r="K8" s="157">
        <f>J8+I8+F8+C8</f>
        <v>0.1101062916638012</v>
      </c>
    </row>
    <row r="9" spans="1:12" ht="14" customHeight="1">
      <c r="A9" s="19" t="s">
        <v>585</v>
      </c>
      <c r="B9" s="83" t="s">
        <v>602</v>
      </c>
      <c r="C9" s="412">
        <v>0</v>
      </c>
      <c r="D9" s="412">
        <v>0</v>
      </c>
      <c r="E9" s="412">
        <v>0</v>
      </c>
      <c r="F9" s="157">
        <f>E9+D9</f>
        <v>0</v>
      </c>
      <c r="G9" s="412">
        <v>2.9211986851663289E-5</v>
      </c>
      <c r="H9" s="412">
        <v>0</v>
      </c>
      <c r="I9" s="157">
        <f>H9+G9</f>
        <v>2.9211986851663289E-5</v>
      </c>
      <c r="J9" s="412">
        <v>6.5872471307551889E-3</v>
      </c>
      <c r="K9" s="157">
        <f>J9+I9+F9+C9</f>
        <v>6.6164591176068521E-3</v>
      </c>
    </row>
    <row r="10" spans="1:12" ht="14" customHeight="1">
      <c r="A10" s="21" t="s">
        <v>10</v>
      </c>
      <c r="B10" s="84" t="s">
        <v>91</v>
      </c>
      <c r="C10" s="413">
        <v>0</v>
      </c>
      <c r="D10" s="413">
        <v>2.8316487876860934E-4</v>
      </c>
      <c r="E10" s="413">
        <v>0</v>
      </c>
      <c r="F10" s="158">
        <f t="shared" si="0"/>
        <v>2.8316487876860934E-4</v>
      </c>
      <c r="G10" s="413">
        <v>3.2634090831562667E-3</v>
      </c>
      <c r="H10" s="413">
        <v>0</v>
      </c>
      <c r="I10" s="158">
        <f t="shared" si="1"/>
        <v>3.2634090831562667E-3</v>
      </c>
      <c r="J10" s="413">
        <v>9.4129023717315734E-3</v>
      </c>
      <c r="K10" s="158">
        <f t="shared" si="2"/>
        <v>1.2959476333656449E-2</v>
      </c>
    </row>
    <row r="11" spans="1:12" ht="14" customHeight="1">
      <c r="A11" s="19" t="s">
        <v>586</v>
      </c>
      <c r="B11" s="83" t="s">
        <v>603</v>
      </c>
      <c r="C11" s="412">
        <v>6.1972706197270613</v>
      </c>
      <c r="D11" s="412">
        <v>0.11701067827213446</v>
      </c>
      <c r="E11" s="412">
        <v>0</v>
      </c>
      <c r="F11" s="157">
        <f t="shared" si="0"/>
        <v>0.11701067827213446</v>
      </c>
      <c r="G11" s="412">
        <v>8.6126979101850878E-3</v>
      </c>
      <c r="H11" s="412">
        <v>0</v>
      </c>
      <c r="I11" s="157">
        <f t="shared" si="1"/>
        <v>8.6126979101850878E-3</v>
      </c>
      <c r="J11" s="412">
        <v>9.1741037992511085E-2</v>
      </c>
      <c r="K11" s="157">
        <f t="shared" si="2"/>
        <v>6.4146350339018916</v>
      </c>
    </row>
    <row r="12" spans="1:12" ht="14" customHeight="1">
      <c r="A12" s="19" t="s">
        <v>587</v>
      </c>
      <c r="B12" s="83" t="s">
        <v>604</v>
      </c>
      <c r="C12" s="412">
        <v>-1.5755061867266589</v>
      </c>
      <c r="D12" s="412">
        <v>2.0377482311685177E-3</v>
      </c>
      <c r="E12" s="412">
        <v>0</v>
      </c>
      <c r="F12" s="157">
        <f t="shared" ref="F12:F17" si="3">E12+D12</f>
        <v>2.0377482311685177E-3</v>
      </c>
      <c r="G12" s="412">
        <v>7.0088766129549705E-3</v>
      </c>
      <c r="H12" s="412">
        <v>0</v>
      </c>
      <c r="I12" s="157">
        <f t="shared" ref="I12:I17" si="4">H12+G12</f>
        <v>7.0088766129549705E-3</v>
      </c>
      <c r="J12" s="412">
        <v>8.7255123832659012E-3</v>
      </c>
      <c r="K12" s="157">
        <f t="shared" ref="K12:K17" si="5">J12+I12+F12+C12</f>
        <v>-1.5577340494992695</v>
      </c>
    </row>
    <row r="13" spans="1:12" ht="14" customHeight="1">
      <c r="A13" s="19" t="s">
        <v>588</v>
      </c>
      <c r="B13" s="83" t="s">
        <v>87</v>
      </c>
      <c r="C13" s="412">
        <v>0</v>
      </c>
      <c r="D13" s="412">
        <v>3.1690329869043626E-4</v>
      </c>
      <c r="E13" s="412">
        <v>0</v>
      </c>
      <c r="F13" s="157">
        <f t="shared" si="3"/>
        <v>3.1690329869043626E-4</v>
      </c>
      <c r="G13" s="412">
        <v>7.5047216648734573E-3</v>
      </c>
      <c r="H13" s="412">
        <v>0</v>
      </c>
      <c r="I13" s="157">
        <f t="shared" si="4"/>
        <v>7.5047216648734573E-3</v>
      </c>
      <c r="J13" s="412">
        <v>4.0025662960568809E-2</v>
      </c>
      <c r="K13" s="157">
        <f t="shared" si="5"/>
        <v>4.7847287924132696E-2</v>
      </c>
    </row>
    <row r="14" spans="1:12" ht="14" customHeight="1">
      <c r="A14" s="19" t="s">
        <v>589</v>
      </c>
      <c r="B14" s="83" t="s">
        <v>605</v>
      </c>
      <c r="C14" s="412">
        <v>0</v>
      </c>
      <c r="D14" s="412">
        <v>0.21701209617479919</v>
      </c>
      <c r="E14" s="412">
        <v>0</v>
      </c>
      <c r="F14" s="157">
        <f t="shared" si="3"/>
        <v>0.21701209617479919</v>
      </c>
      <c r="G14" s="412">
        <v>4.721026790156313E-2</v>
      </c>
      <c r="H14" s="412">
        <v>0</v>
      </c>
      <c r="I14" s="157">
        <f t="shared" si="4"/>
        <v>4.721026790156313E-2</v>
      </c>
      <c r="J14" s="412">
        <v>0.14153751930818784</v>
      </c>
      <c r="K14" s="157">
        <f t="shared" si="5"/>
        <v>0.40575988338455016</v>
      </c>
    </row>
    <row r="15" spans="1:12" ht="14" customHeight="1">
      <c r="A15" s="19" t="s">
        <v>590</v>
      </c>
      <c r="B15" s="83" t="s">
        <v>606</v>
      </c>
      <c r="C15" s="412">
        <v>0</v>
      </c>
      <c r="D15" s="412">
        <v>5.6820775318345304E-4</v>
      </c>
      <c r="E15" s="412">
        <v>0</v>
      </c>
      <c r="F15" s="157">
        <f t="shared" si="3"/>
        <v>5.6820775318345304E-4</v>
      </c>
      <c r="G15" s="412">
        <v>4.4332588650398529E-3</v>
      </c>
      <c r="H15" s="412">
        <v>0</v>
      </c>
      <c r="I15" s="157">
        <f t="shared" si="4"/>
        <v>4.4332588650398529E-3</v>
      </c>
      <c r="J15" s="412">
        <v>2.5724883169831497E-2</v>
      </c>
      <c r="K15" s="157">
        <f t="shared" si="5"/>
        <v>3.0726349788054802E-2</v>
      </c>
    </row>
    <row r="16" spans="1:12" ht="14" customHeight="1">
      <c r="A16" s="19" t="s">
        <v>591</v>
      </c>
      <c r="B16" s="83" t="s">
        <v>607</v>
      </c>
      <c r="C16" s="412">
        <v>0</v>
      </c>
      <c r="D16" s="412">
        <v>4.5342335106005854E-2</v>
      </c>
      <c r="E16" s="412">
        <v>0</v>
      </c>
      <c r="F16" s="157">
        <f t="shared" si="3"/>
        <v>4.5342335106005854E-2</v>
      </c>
      <c r="G16" s="412">
        <v>6.2662547867328056E-2</v>
      </c>
      <c r="H16" s="412">
        <v>0</v>
      </c>
      <c r="I16" s="157">
        <f t="shared" si="4"/>
        <v>6.2662547867328056E-2</v>
      </c>
      <c r="J16" s="412">
        <v>4.7263635321506361E-2</v>
      </c>
      <c r="K16" s="157">
        <f t="shared" si="5"/>
        <v>0.15526851829484029</v>
      </c>
    </row>
    <row r="17" spans="1:11" ht="14" customHeight="1">
      <c r="A17" s="19" t="s">
        <v>592</v>
      </c>
      <c r="B17" s="83" t="s">
        <v>608</v>
      </c>
      <c r="C17" s="412">
        <v>0</v>
      </c>
      <c r="D17" s="412">
        <v>1.2990058566714857E-3</v>
      </c>
      <c r="E17" s="412">
        <v>0</v>
      </c>
      <c r="F17" s="157">
        <f t="shared" si="3"/>
        <v>1.2990058566714857E-3</v>
      </c>
      <c r="G17" s="412">
        <v>2.2098002924178912E-3</v>
      </c>
      <c r="H17" s="412">
        <v>0</v>
      </c>
      <c r="I17" s="157">
        <f t="shared" si="4"/>
        <v>2.2098002924178912E-3</v>
      </c>
      <c r="J17" s="412">
        <v>6.7616044247779519E-2</v>
      </c>
      <c r="K17" s="157">
        <f t="shared" si="5"/>
        <v>7.1124850396868902E-2</v>
      </c>
    </row>
    <row r="18" spans="1:11" ht="14" customHeight="1">
      <c r="A18" s="21" t="s">
        <v>593</v>
      </c>
      <c r="B18" s="84" t="s">
        <v>609</v>
      </c>
      <c r="C18" s="413">
        <v>0</v>
      </c>
      <c r="D18" s="413">
        <v>4.8096336956308161E-2</v>
      </c>
      <c r="E18" s="413">
        <v>0</v>
      </c>
      <c r="F18" s="158">
        <f t="shared" si="0"/>
        <v>4.8096336956308161E-2</v>
      </c>
      <c r="G18" s="413">
        <v>0.18464802351226164</v>
      </c>
      <c r="H18" s="413">
        <v>0</v>
      </c>
      <c r="I18" s="158">
        <f t="shared" si="1"/>
        <v>0.18464802351226164</v>
      </c>
      <c r="J18" s="413">
        <v>0.10289519487540449</v>
      </c>
      <c r="K18" s="158">
        <f t="shared" si="2"/>
        <v>0.33563955534397433</v>
      </c>
    </row>
    <row r="19" spans="1:11" ht="14" customHeight="1">
      <c r="A19" s="21" t="s">
        <v>594</v>
      </c>
      <c r="B19" s="84" t="s">
        <v>610</v>
      </c>
      <c r="C19" s="413">
        <v>0</v>
      </c>
      <c r="D19" s="413">
        <v>2.1018228380279939E-3</v>
      </c>
      <c r="E19" s="413">
        <v>0</v>
      </c>
      <c r="F19" s="158">
        <f>E19+D19</f>
        <v>2.1018228380279939E-3</v>
      </c>
      <c r="G19" s="413">
        <v>3.7045917880224248E-3</v>
      </c>
      <c r="H19" s="413">
        <v>0</v>
      </c>
      <c r="I19" s="158">
        <f>H19+G19</f>
        <v>3.7045917880224248E-3</v>
      </c>
      <c r="J19" s="413">
        <v>2.4949848906413247E-2</v>
      </c>
      <c r="K19" s="158">
        <f>J19+I19+F19+C19</f>
        <v>3.0756263532463666E-2</v>
      </c>
    </row>
    <row r="20" spans="1:11" ht="14" customHeight="1">
      <c r="A20" s="19" t="s">
        <v>595</v>
      </c>
      <c r="B20" s="83" t="s">
        <v>92</v>
      </c>
      <c r="C20" s="412">
        <v>0</v>
      </c>
      <c r="D20" s="412">
        <v>8.1858173235904762E-4</v>
      </c>
      <c r="E20" s="412">
        <v>0</v>
      </c>
      <c r="F20" s="157">
        <f t="shared" si="0"/>
        <v>8.1858173235904762E-4</v>
      </c>
      <c r="G20" s="412">
        <v>7.5711278567935136E-2</v>
      </c>
      <c r="H20" s="412">
        <v>0</v>
      </c>
      <c r="I20" s="157">
        <f t="shared" si="1"/>
        <v>7.5711278567935136E-2</v>
      </c>
      <c r="J20" s="412">
        <v>1.0375414319556648E-2</v>
      </c>
      <c r="K20" s="157">
        <f t="shared" si="2"/>
        <v>8.6905274619850828E-2</v>
      </c>
    </row>
    <row r="21" spans="1:11" ht="14" customHeight="1">
      <c r="A21" s="19" t="s">
        <v>596</v>
      </c>
      <c r="B21" s="83" t="s">
        <v>611</v>
      </c>
      <c r="C21" s="412">
        <v>0</v>
      </c>
      <c r="D21" s="412">
        <v>4.153644719667738E-2</v>
      </c>
      <c r="E21" s="412">
        <v>0</v>
      </c>
      <c r="F21" s="157">
        <f>E21+D21</f>
        <v>4.153644719667738E-2</v>
      </c>
      <c r="G21" s="412">
        <v>5.1852956374551465E-2</v>
      </c>
      <c r="H21" s="412">
        <v>0</v>
      </c>
      <c r="I21" s="157">
        <f>H21+G21</f>
        <v>5.1852956374551465E-2</v>
      </c>
      <c r="J21" s="412">
        <v>5.148954562657726E-2</v>
      </c>
      <c r="K21" s="157">
        <f>J21+I21+F21+C21</f>
        <v>0.14487894919780611</v>
      </c>
    </row>
    <row r="22" spans="1:11" ht="14" customHeight="1">
      <c r="A22" s="21" t="s">
        <v>11</v>
      </c>
      <c r="B22" s="84" t="s">
        <v>93</v>
      </c>
      <c r="C22" s="413">
        <v>0</v>
      </c>
      <c r="D22" s="413">
        <v>3.7493726144855431E-2</v>
      </c>
      <c r="E22" s="413">
        <v>0</v>
      </c>
      <c r="F22" s="158">
        <f t="shared" si="0"/>
        <v>3.7493726144855431E-2</v>
      </c>
      <c r="G22" s="413">
        <v>4.700895655256164E-2</v>
      </c>
      <c r="H22" s="413">
        <v>0</v>
      </c>
      <c r="I22" s="158">
        <f t="shared" si="1"/>
        <v>4.700895655256164E-2</v>
      </c>
      <c r="J22" s="413">
        <v>0.11243527891073372</v>
      </c>
      <c r="K22" s="158">
        <f t="shared" si="2"/>
        <v>0.1969379616081508</v>
      </c>
    </row>
    <row r="23" spans="1:11" ht="14" customHeight="1">
      <c r="A23" s="19" t="s">
        <v>12</v>
      </c>
      <c r="B23" s="83" t="s">
        <v>94</v>
      </c>
      <c r="C23" s="412">
        <v>0</v>
      </c>
      <c r="D23" s="412">
        <v>2.0036625400196122E-3</v>
      </c>
      <c r="E23" s="412">
        <v>0</v>
      </c>
      <c r="F23" s="157">
        <f t="shared" si="0"/>
        <v>2.0036625400196122E-3</v>
      </c>
      <c r="G23" s="412">
        <v>8.6677470846067278E-3</v>
      </c>
      <c r="H23" s="412">
        <v>0</v>
      </c>
      <c r="I23" s="157">
        <f t="shared" si="1"/>
        <v>8.6677470846067278E-3</v>
      </c>
      <c r="J23" s="412">
        <v>2.196612448357519E-2</v>
      </c>
      <c r="K23" s="157">
        <f t="shared" si="2"/>
        <v>3.2637534108201527E-2</v>
      </c>
    </row>
    <row r="24" spans="1:11" ht="14" customHeight="1">
      <c r="A24" s="21" t="s">
        <v>13</v>
      </c>
      <c r="B24" s="84" t="s">
        <v>95</v>
      </c>
      <c r="C24" s="413">
        <v>0</v>
      </c>
      <c r="D24" s="413">
        <v>1.2045601204560118E-3</v>
      </c>
      <c r="E24" s="413">
        <v>0</v>
      </c>
      <c r="F24" s="158">
        <f t="shared" si="0"/>
        <v>1.2045601204560118E-3</v>
      </c>
      <c r="G24" s="413">
        <v>1.7371091426852857E-2</v>
      </c>
      <c r="H24" s="413">
        <v>0</v>
      </c>
      <c r="I24" s="158">
        <f t="shared" si="1"/>
        <v>1.7371091426852857E-2</v>
      </c>
      <c r="J24" s="413">
        <v>1.2199306429601927E-2</v>
      </c>
      <c r="K24" s="158">
        <f t="shared" si="2"/>
        <v>3.0774957976910794E-2</v>
      </c>
    </row>
    <row r="25" spans="1:11" ht="14" customHeight="1">
      <c r="A25" s="19" t="s">
        <v>14</v>
      </c>
      <c r="B25" s="83" t="s">
        <v>96</v>
      </c>
      <c r="C25" s="412">
        <v>0</v>
      </c>
      <c r="D25" s="412">
        <v>7.7652397879051076E-3</v>
      </c>
      <c r="E25" s="412">
        <v>0</v>
      </c>
      <c r="F25" s="157">
        <f t="shared" si="0"/>
        <v>7.7652397879051076E-3</v>
      </c>
      <c r="G25" s="412">
        <v>5.0239368461627368E-2</v>
      </c>
      <c r="H25" s="412">
        <v>0</v>
      </c>
      <c r="I25" s="157">
        <f t="shared" si="1"/>
        <v>5.0239368461627368E-2</v>
      </c>
      <c r="J25" s="412">
        <v>3.0915559167427505E-2</v>
      </c>
      <c r="K25" s="157">
        <f t="shared" si="2"/>
        <v>8.8920167416959989E-2</v>
      </c>
    </row>
    <row r="26" spans="1:11" ht="14" customHeight="1">
      <c r="A26" s="21" t="s">
        <v>15</v>
      </c>
      <c r="B26" s="84" t="s">
        <v>97</v>
      </c>
      <c r="C26" s="413">
        <v>0</v>
      </c>
      <c r="D26" s="413">
        <v>2.9180638005756668E-3</v>
      </c>
      <c r="E26" s="413">
        <v>0</v>
      </c>
      <c r="F26" s="158">
        <f t="shared" si="0"/>
        <v>2.9180638005756668E-3</v>
      </c>
      <c r="G26" s="413">
        <v>6.8039591816323819E-3</v>
      </c>
      <c r="H26" s="413">
        <v>0</v>
      </c>
      <c r="I26" s="158">
        <f t="shared" si="1"/>
        <v>6.8039591816323819E-3</v>
      </c>
      <c r="J26" s="413">
        <v>1.5919653887023499E-2</v>
      </c>
      <c r="K26" s="158">
        <f t="shared" si="2"/>
        <v>2.5641676869231547E-2</v>
      </c>
    </row>
    <row r="27" spans="1:11" ht="14" customHeight="1">
      <c r="A27" s="19" t="s">
        <v>16</v>
      </c>
      <c r="B27" s="83" t="s">
        <v>98</v>
      </c>
      <c r="C27" s="412">
        <v>0</v>
      </c>
      <c r="D27" s="412">
        <v>0.13912993443177671</v>
      </c>
      <c r="E27" s="412">
        <v>0</v>
      </c>
      <c r="F27" s="157">
        <f t="shared" si="0"/>
        <v>0.13912993443177671</v>
      </c>
      <c r="G27" s="412">
        <v>0.45349823752332719</v>
      </c>
      <c r="H27" s="412">
        <v>0</v>
      </c>
      <c r="I27" s="157">
        <f t="shared" si="1"/>
        <v>0.45349823752332719</v>
      </c>
      <c r="J27" s="412">
        <v>0.1305547577881267</v>
      </c>
      <c r="K27" s="157">
        <f t="shared" si="2"/>
        <v>0.72318292974323062</v>
      </c>
    </row>
    <row r="28" spans="1:11" ht="14" customHeight="1">
      <c r="A28" s="21" t="s">
        <v>17</v>
      </c>
      <c r="B28" s="84" t="s">
        <v>99</v>
      </c>
      <c r="C28" s="413">
        <v>0</v>
      </c>
      <c r="D28" s="413">
        <v>7.9250833420187086E-2</v>
      </c>
      <c r="E28" s="413">
        <v>0</v>
      </c>
      <c r="F28" s="158">
        <f t="shared" si="0"/>
        <v>7.9250833420187086E-2</v>
      </c>
      <c r="G28" s="413">
        <v>0.21492678676283372</v>
      </c>
      <c r="H28" s="413">
        <v>0</v>
      </c>
      <c r="I28" s="158">
        <f t="shared" si="1"/>
        <v>0.21492678676283372</v>
      </c>
      <c r="J28" s="413">
        <v>0.15420107801250069</v>
      </c>
      <c r="K28" s="158">
        <f t="shared" si="2"/>
        <v>0.44837869819552151</v>
      </c>
    </row>
    <row r="29" spans="1:11" ht="14" customHeight="1">
      <c r="A29" s="19" t="s">
        <v>18</v>
      </c>
      <c r="B29" s="83" t="s">
        <v>100</v>
      </c>
      <c r="C29" s="412">
        <v>0</v>
      </c>
      <c r="D29" s="412">
        <v>0</v>
      </c>
      <c r="E29" s="412">
        <v>0</v>
      </c>
      <c r="F29" s="157">
        <f t="shared" si="0"/>
        <v>0</v>
      </c>
      <c r="G29" s="412">
        <v>7.9559229522301544E-2</v>
      </c>
      <c r="H29" s="412">
        <v>0</v>
      </c>
      <c r="I29" s="157">
        <f t="shared" si="1"/>
        <v>7.9559229522301544E-2</v>
      </c>
      <c r="J29" s="412">
        <v>8.1561138709845576E-2</v>
      </c>
      <c r="K29" s="157">
        <f t="shared" si="2"/>
        <v>0.16112036823214712</v>
      </c>
    </row>
    <row r="30" spans="1:11" ht="14" customHeight="1">
      <c r="A30" s="21" t="s">
        <v>19</v>
      </c>
      <c r="B30" s="84" t="s">
        <v>101</v>
      </c>
      <c r="C30" s="413">
        <v>0</v>
      </c>
      <c r="D30" s="413">
        <v>3.2538968217767286</v>
      </c>
      <c r="E30" s="413">
        <v>0</v>
      </c>
      <c r="F30" s="158">
        <f t="shared" si="0"/>
        <v>3.2538968217767286</v>
      </c>
      <c r="G30" s="413">
        <v>1.4508713269046933</v>
      </c>
      <c r="H30" s="413">
        <v>0</v>
      </c>
      <c r="I30" s="158">
        <f t="shared" si="1"/>
        <v>1.4508713269046933</v>
      </c>
      <c r="J30" s="413">
        <v>1.3111476086936094</v>
      </c>
      <c r="K30" s="158">
        <f t="shared" si="2"/>
        <v>6.0159157573750317</v>
      </c>
    </row>
    <row r="31" spans="1:11" ht="14" customHeight="1">
      <c r="A31" s="19" t="s">
        <v>20</v>
      </c>
      <c r="B31" s="83" t="s">
        <v>102</v>
      </c>
      <c r="C31" s="412">
        <v>0</v>
      </c>
      <c r="D31" s="412">
        <v>0.38405102897287668</v>
      </c>
      <c r="E31" s="412">
        <v>0</v>
      </c>
      <c r="F31" s="157">
        <f t="shared" si="0"/>
        <v>0.38405102897287668</v>
      </c>
      <c r="G31" s="412">
        <v>0.45526299293605588</v>
      </c>
      <c r="H31" s="412">
        <v>0</v>
      </c>
      <c r="I31" s="157">
        <f t="shared" si="1"/>
        <v>0.45526299293605588</v>
      </c>
      <c r="J31" s="412">
        <v>0.33891277546403048</v>
      </c>
      <c r="K31" s="157">
        <f t="shared" si="2"/>
        <v>1.178226797372963</v>
      </c>
    </row>
    <row r="32" spans="1:11" ht="14" customHeight="1">
      <c r="A32" s="21" t="s">
        <v>21</v>
      </c>
      <c r="B32" s="84" t="s">
        <v>103</v>
      </c>
      <c r="C32" s="413">
        <v>0</v>
      </c>
      <c r="D32" s="413">
        <v>2.6198484626097664E-2</v>
      </c>
      <c r="E32" s="413">
        <v>0</v>
      </c>
      <c r="F32" s="158">
        <f t="shared" si="0"/>
        <v>2.6198484626097664E-2</v>
      </c>
      <c r="G32" s="413">
        <v>9.5183689781517866E-2</v>
      </c>
      <c r="H32" s="413">
        <v>0</v>
      </c>
      <c r="I32" s="158">
        <f t="shared" si="1"/>
        <v>9.5183689781517866E-2</v>
      </c>
      <c r="J32" s="413">
        <v>0.36692923636516206</v>
      </c>
      <c r="K32" s="158">
        <f t="shared" si="2"/>
        <v>0.48831141077277757</v>
      </c>
    </row>
    <row r="33" spans="1:11" ht="14" customHeight="1">
      <c r="A33" s="19" t="s">
        <v>22</v>
      </c>
      <c r="B33" s="83" t="s">
        <v>104</v>
      </c>
      <c r="C33" s="412">
        <v>0</v>
      </c>
      <c r="D33" s="412">
        <v>4.0329440009179297E-2</v>
      </c>
      <c r="E33" s="412">
        <v>0</v>
      </c>
      <c r="F33" s="157">
        <f t="shared" si="0"/>
        <v>4.0329440009179297E-2</v>
      </c>
      <c r="G33" s="412">
        <v>0.28378271142492972</v>
      </c>
      <c r="H33" s="412">
        <v>0</v>
      </c>
      <c r="I33" s="157">
        <f t="shared" si="1"/>
        <v>0.28378271142492972</v>
      </c>
      <c r="J33" s="412">
        <v>0.20221414378533978</v>
      </c>
      <c r="K33" s="157">
        <f t="shared" si="2"/>
        <v>0.52632629521944874</v>
      </c>
    </row>
    <row r="34" spans="1:11" ht="14" customHeight="1">
      <c r="A34" s="21" t="s">
        <v>23</v>
      </c>
      <c r="B34" s="84" t="s">
        <v>105</v>
      </c>
      <c r="C34" s="413">
        <v>0</v>
      </c>
      <c r="D34" s="413">
        <v>0.18914233707732575</v>
      </c>
      <c r="E34" s="413">
        <v>0</v>
      </c>
      <c r="F34" s="158">
        <f t="shared" si="0"/>
        <v>0.18914233707732575</v>
      </c>
      <c r="G34" s="413">
        <v>0.80205695647774089</v>
      </c>
      <c r="H34" s="413">
        <v>0</v>
      </c>
      <c r="I34" s="158">
        <f t="shared" si="1"/>
        <v>0.80205695647774089</v>
      </c>
      <c r="J34" s="413">
        <v>0.27729215102203714</v>
      </c>
      <c r="K34" s="158">
        <f t="shared" si="2"/>
        <v>1.2684914445771038</v>
      </c>
    </row>
    <row r="35" spans="1:11" ht="14" customHeight="1">
      <c r="A35" s="19" t="s">
        <v>24</v>
      </c>
      <c r="B35" s="83" t="s">
        <v>106</v>
      </c>
      <c r="C35" s="412">
        <v>0</v>
      </c>
      <c r="D35" s="412">
        <v>1.4298260400107924E-2</v>
      </c>
      <c r="E35" s="412">
        <v>0</v>
      </c>
      <c r="F35" s="157">
        <f t="shared" si="0"/>
        <v>1.4298260400107924E-2</v>
      </c>
      <c r="G35" s="412">
        <v>0.1034697829952199</v>
      </c>
      <c r="H35" s="412">
        <v>0</v>
      </c>
      <c r="I35" s="157">
        <f t="shared" si="1"/>
        <v>0.1034697829952199</v>
      </c>
      <c r="J35" s="412">
        <v>0.11530909269994793</v>
      </c>
      <c r="K35" s="157">
        <f t="shared" si="2"/>
        <v>0.23307713609527578</v>
      </c>
    </row>
    <row r="36" spans="1:11" ht="14" customHeight="1">
      <c r="A36" s="21" t="s">
        <v>25</v>
      </c>
      <c r="B36" s="84" t="s">
        <v>107</v>
      </c>
      <c r="C36" s="413">
        <v>0</v>
      </c>
      <c r="D36" s="413">
        <v>0.20571164185922891</v>
      </c>
      <c r="E36" s="413">
        <v>0</v>
      </c>
      <c r="F36" s="158">
        <f t="shared" si="0"/>
        <v>0.20571164185922891</v>
      </c>
      <c r="G36" s="413">
        <v>0.80180990131596508</v>
      </c>
      <c r="H36" s="413">
        <v>0</v>
      </c>
      <c r="I36" s="158">
        <f t="shared" si="1"/>
        <v>0.80180990131596508</v>
      </c>
      <c r="J36" s="413">
        <v>0.31485626987252407</v>
      </c>
      <c r="K36" s="158">
        <f t="shared" si="2"/>
        <v>1.322377813047718</v>
      </c>
    </row>
    <row r="37" spans="1:11" ht="14" customHeight="1">
      <c r="A37" s="19" t="s">
        <v>597</v>
      </c>
      <c r="B37" s="83" t="s">
        <v>612</v>
      </c>
      <c r="C37" s="412">
        <v>0</v>
      </c>
      <c r="D37" s="412">
        <v>9.7211656605748709E-2</v>
      </c>
      <c r="E37" s="412">
        <v>0</v>
      </c>
      <c r="F37" s="157">
        <f>E37+D37</f>
        <v>9.7211656605748709E-2</v>
      </c>
      <c r="G37" s="412">
        <v>0.11733114155767493</v>
      </c>
      <c r="H37" s="412">
        <v>0</v>
      </c>
      <c r="I37" s="157">
        <f>H37+G37</f>
        <v>0.11733114155767493</v>
      </c>
      <c r="J37" s="412">
        <v>1.2930664549547357</v>
      </c>
      <c r="K37" s="157">
        <f>J37+I37+F37+C37</f>
        <v>1.5076092531181593</v>
      </c>
    </row>
    <row r="38" spans="1:11" ht="14" customHeight="1">
      <c r="A38" s="19" t="s">
        <v>598</v>
      </c>
      <c r="B38" s="83" t="s">
        <v>613</v>
      </c>
      <c r="C38" s="412">
        <v>0</v>
      </c>
      <c r="D38" s="412">
        <v>1.7183384619366205E-3</v>
      </c>
      <c r="E38" s="412">
        <v>0</v>
      </c>
      <c r="F38" s="157">
        <f t="shared" si="0"/>
        <v>1.7183384619366205E-3</v>
      </c>
      <c r="G38" s="412">
        <v>5.656908055873551E-3</v>
      </c>
      <c r="H38" s="412">
        <v>0</v>
      </c>
      <c r="I38" s="157">
        <f t="shared" si="1"/>
        <v>5.656908055873551E-3</v>
      </c>
      <c r="J38" s="412">
        <v>2.7377906149299349</v>
      </c>
      <c r="K38" s="157">
        <f t="shared" si="2"/>
        <v>2.7451658614477452</v>
      </c>
    </row>
    <row r="39" spans="1:11">
      <c r="A39" s="164"/>
      <c r="B39" s="18"/>
      <c r="C39" s="153"/>
      <c r="D39" s="153"/>
      <c r="E39" s="153"/>
      <c r="F39" s="153"/>
      <c r="G39" s="153"/>
      <c r="H39" s="153"/>
      <c r="I39" s="153"/>
      <c r="J39" s="153"/>
      <c r="K39" s="153"/>
    </row>
    <row r="40" spans="1:11" ht="18" customHeight="1">
      <c r="A40" s="85" t="s">
        <v>189</v>
      </c>
      <c r="B40" s="85"/>
      <c r="C40" s="154">
        <f t="shared" ref="C40:K40" si="6">SUM(C6:C38)</f>
        <v>4.6217644330004024</v>
      </c>
      <c r="D40" s="155">
        <f t="shared" si="6"/>
        <v>11.432089470667304</v>
      </c>
      <c r="E40" s="154">
        <f t="shared" si="6"/>
        <v>0</v>
      </c>
      <c r="F40" s="154">
        <f t="shared" si="6"/>
        <v>11.432089470667304</v>
      </c>
      <c r="G40" s="155">
        <f t="shared" si="6"/>
        <v>6.2605529746098396</v>
      </c>
      <c r="H40" s="154">
        <f t="shared" si="6"/>
        <v>0</v>
      </c>
      <c r="I40" s="154">
        <f t="shared" si="6"/>
        <v>6.2605529746098396</v>
      </c>
      <c r="J40" s="155">
        <f t="shared" si="6"/>
        <v>8.6341798974280799</v>
      </c>
      <c r="K40" s="156">
        <f t="shared" si="6"/>
        <v>30.948586775705621</v>
      </c>
    </row>
    <row r="43" spans="1:11">
      <c r="A43" s="114" t="s">
        <v>536</v>
      </c>
      <c r="B43" s="72"/>
      <c r="C43" s="499" t="s">
        <v>537</v>
      </c>
      <c r="D43" s="500"/>
      <c r="E43" s="500"/>
      <c r="G43" s="501" t="s">
        <v>541</v>
      </c>
      <c r="H43" s="502"/>
      <c r="J43" s="311" t="s">
        <v>544</v>
      </c>
    </row>
    <row r="44" spans="1:11" ht="23" customHeight="1" thickBot="1">
      <c r="A44" s="75" t="s">
        <v>5</v>
      </c>
      <c r="B44" s="76" t="s">
        <v>83</v>
      </c>
      <c r="C44" s="78" t="s">
        <v>538</v>
      </c>
      <c r="D44" s="79" t="s">
        <v>539</v>
      </c>
      <c r="E44" s="80" t="s">
        <v>540</v>
      </c>
      <c r="G44" s="132" t="s">
        <v>542</v>
      </c>
      <c r="H44" s="133" t="s">
        <v>543</v>
      </c>
      <c r="J44" s="133" t="s">
        <v>545</v>
      </c>
    </row>
    <row r="45" spans="1:11">
      <c r="A45" s="19" t="s">
        <v>582</v>
      </c>
      <c r="B45" s="83"/>
      <c r="C45" s="412" cm="1">
        <f t="array" ref="C45:C77">ETotal_21*Coef_Sueldos</f>
        <v>-0.41475100214605248</v>
      </c>
      <c r="D45" s="412" cm="1">
        <f t="array" ref="D45:D77">ETotal_21*Coef_IMixtos</f>
        <v>-1.2063885523785243</v>
      </c>
      <c r="E45" s="412">
        <f>D45+C45</f>
        <v>-1.6211395545245768</v>
      </c>
      <c r="G45" s="412" cm="1">
        <f t="array" ref="G45:G77">ETotal_21*Coef_Contribuciones</f>
        <v>-4.0569057921035455E-3</v>
      </c>
      <c r="H45" s="412">
        <f t="shared" ref="H45:H77" si="7">E45</f>
        <v>-1.6211395545245768</v>
      </c>
      <c r="J45" s="381">
        <f>IFERROR(D45/E45,"")</f>
        <v>0.74416082749416079</v>
      </c>
    </row>
    <row r="46" spans="1:11">
      <c r="A46" s="19" t="s">
        <v>583</v>
      </c>
      <c r="B46" s="83"/>
      <c r="C46" s="412">
        <v>3.1872840346538354</v>
      </c>
      <c r="D46" s="412">
        <v>6.0938560883995576</v>
      </c>
      <c r="E46" s="412">
        <f>D46+C46</f>
        <v>9.2811401230533939</v>
      </c>
      <c r="G46" s="412">
        <v>0.22136144780182651</v>
      </c>
      <c r="H46" s="412">
        <f>E46</f>
        <v>9.2811401230533939</v>
      </c>
      <c r="J46" s="381">
        <f>IFERROR(D46/E46,"")</f>
        <v>0.65658486000691318</v>
      </c>
    </row>
    <row r="47" spans="1:11">
      <c r="A47" s="19" t="s">
        <v>584</v>
      </c>
      <c r="B47" s="83"/>
      <c r="C47" s="412">
        <v>4.9601022693958753E-2</v>
      </c>
      <c r="D47" s="412">
        <v>6.0505268969842443E-2</v>
      </c>
      <c r="E47" s="412">
        <f>D47+C47</f>
        <v>0.1101062916638012</v>
      </c>
      <c r="G47" s="412">
        <v>5.5851017510623801E-3</v>
      </c>
      <c r="H47" s="412">
        <f>E47</f>
        <v>0.1101062916638012</v>
      </c>
      <c r="J47" s="381">
        <f>IFERROR(D47/E47,"")</f>
        <v>0.54951690821256038</v>
      </c>
    </row>
    <row r="48" spans="1:11">
      <c r="A48" s="19" t="s">
        <v>585</v>
      </c>
      <c r="B48" s="83"/>
      <c r="C48" s="412">
        <v>4.2686833016818403E-4</v>
      </c>
      <c r="D48" s="412">
        <v>6.1895907874386681E-3</v>
      </c>
      <c r="E48" s="412">
        <f>D48+C48</f>
        <v>6.6164591176068521E-3</v>
      </c>
      <c r="G48" s="412">
        <v>0</v>
      </c>
      <c r="H48" s="412">
        <f>E48</f>
        <v>6.6164591176068521E-3</v>
      </c>
      <c r="J48" s="381">
        <f>IFERROR(D48/E48,"")</f>
        <v>0.93548387096774199</v>
      </c>
    </row>
    <row r="49" spans="1:10">
      <c r="A49" s="21" t="s">
        <v>10</v>
      </c>
      <c r="B49" s="84"/>
      <c r="C49" s="413">
        <v>7.126443932989163E-3</v>
      </c>
      <c r="D49" s="413">
        <v>5.833032400667286E-3</v>
      </c>
      <c r="E49" s="413">
        <f t="shared" ref="E49:E77" si="8">D49+C49</f>
        <v>1.2959476333656449E-2</v>
      </c>
      <c r="G49" s="413">
        <v>9.3835738619430257E-4</v>
      </c>
      <c r="H49" s="413">
        <f t="shared" si="7"/>
        <v>1.2959476333656449E-2</v>
      </c>
      <c r="J49" s="381">
        <f t="shared" ref="J49:J77" si="9">IFERROR(D49/E49,"")</f>
        <v>0.45009784735812131</v>
      </c>
    </row>
    <row r="50" spans="1:10">
      <c r="A50" s="19" t="s">
        <v>586</v>
      </c>
      <c r="B50" s="83"/>
      <c r="C50" s="412">
        <v>6.0732468215307147</v>
      </c>
      <c r="D50" s="412">
        <v>0.34138821237117667</v>
      </c>
      <c r="E50" s="412">
        <f t="shared" si="8"/>
        <v>6.4146350339018916</v>
      </c>
      <c r="G50" s="412">
        <v>0.60856159596601056</v>
      </c>
      <c r="H50" s="412">
        <f t="shared" si="7"/>
        <v>6.4146350339018916</v>
      </c>
      <c r="J50" s="381">
        <f t="shared" si="9"/>
        <v>5.3220208252988822E-2</v>
      </c>
    </row>
    <row r="51" spans="1:10">
      <c r="A51" s="19" t="s">
        <v>587</v>
      </c>
      <c r="B51" s="83"/>
      <c r="C51" s="412">
        <v>-1.4618093289143079</v>
      </c>
      <c r="D51" s="412">
        <v>-9.5924720584961709E-2</v>
      </c>
      <c r="E51" s="412">
        <f t="shared" ref="E51:E56" si="10">D51+C51</f>
        <v>-1.5577340494992695</v>
      </c>
      <c r="G51" s="412">
        <v>-0.51924468316642325</v>
      </c>
      <c r="H51" s="412">
        <f t="shared" ref="H51:H56" si="11">E51</f>
        <v>-1.5577340494992695</v>
      </c>
      <c r="J51" s="381">
        <f t="shared" ref="J51:J56" si="12">IFERROR(D51/E51,"")</f>
        <v>6.157965194109772E-2</v>
      </c>
    </row>
    <row r="52" spans="1:10">
      <c r="A52" s="19" t="s">
        <v>588</v>
      </c>
      <c r="B52" s="83"/>
      <c r="C52" s="412">
        <v>3.9015124021604196E-2</v>
      </c>
      <c r="D52" s="412">
        <v>8.832163902528509E-3</v>
      </c>
      <c r="E52" s="412">
        <f t="shared" si="10"/>
        <v>4.7847287924132703E-2</v>
      </c>
      <c r="G52" s="412">
        <v>6.9121282715440503E-3</v>
      </c>
      <c r="H52" s="412">
        <f t="shared" si="11"/>
        <v>4.7847287924132703E-2</v>
      </c>
      <c r="J52" s="381">
        <f t="shared" si="12"/>
        <v>0.18459069020866775</v>
      </c>
    </row>
    <row r="53" spans="1:10">
      <c r="A53" s="19" t="s">
        <v>589</v>
      </c>
      <c r="B53" s="83"/>
      <c r="C53" s="412">
        <v>0.27782278136365646</v>
      </c>
      <c r="D53" s="412">
        <v>0.12793710202089373</v>
      </c>
      <c r="E53" s="412">
        <f t="shared" si="10"/>
        <v>0.40575988338455016</v>
      </c>
      <c r="G53" s="412">
        <v>4.8517907764131264E-2</v>
      </c>
      <c r="H53" s="412">
        <f t="shared" si="11"/>
        <v>0.40575988338455016</v>
      </c>
      <c r="J53" s="381">
        <f t="shared" si="12"/>
        <v>0.3153024911032028</v>
      </c>
    </row>
    <row r="54" spans="1:10">
      <c r="A54" s="19" t="s">
        <v>590</v>
      </c>
      <c r="B54" s="83"/>
      <c r="C54" s="412">
        <v>3.0726349788054802E-2</v>
      </c>
      <c r="D54" s="412">
        <v>0</v>
      </c>
      <c r="E54" s="412">
        <f t="shared" si="10"/>
        <v>3.0726349788054802E-2</v>
      </c>
      <c r="G54" s="412">
        <v>5.1778327802487027E-3</v>
      </c>
      <c r="H54" s="412">
        <f t="shared" si="11"/>
        <v>3.0726349788054802E-2</v>
      </c>
      <c r="J54" s="381">
        <f t="shared" si="12"/>
        <v>0</v>
      </c>
    </row>
    <row r="55" spans="1:10">
      <c r="A55" s="19" t="s">
        <v>591</v>
      </c>
      <c r="B55" s="83"/>
      <c r="C55" s="412">
        <v>0.11104402738747905</v>
      </c>
      <c r="D55" s="412">
        <v>4.4224490907361226E-2</v>
      </c>
      <c r="E55" s="412">
        <f t="shared" si="10"/>
        <v>0.15526851829484029</v>
      </c>
      <c r="G55" s="412">
        <v>1.4870243667540676E-2</v>
      </c>
      <c r="H55" s="412">
        <f t="shared" si="11"/>
        <v>0.15526851829484029</v>
      </c>
      <c r="J55" s="381">
        <f t="shared" si="12"/>
        <v>0.28482587064676618</v>
      </c>
    </row>
    <row r="56" spans="1:10">
      <c r="A56" s="19" t="s">
        <v>592</v>
      </c>
      <c r="B56" s="83"/>
      <c r="C56" s="412">
        <v>6.9851352627900792E-2</v>
      </c>
      <c r="D56" s="412">
        <v>1.2734977689681092E-3</v>
      </c>
      <c r="E56" s="412">
        <f t="shared" si="10"/>
        <v>7.1124850396868902E-2</v>
      </c>
      <c r="G56" s="412">
        <v>1.1461479920712983E-2</v>
      </c>
      <c r="H56" s="412">
        <f t="shared" si="11"/>
        <v>7.1124850396868902E-2</v>
      </c>
      <c r="J56" s="381">
        <f t="shared" si="12"/>
        <v>1.7905102954341987E-2</v>
      </c>
    </row>
    <row r="57" spans="1:10">
      <c r="A57" s="21" t="s">
        <v>593</v>
      </c>
      <c r="B57" s="84"/>
      <c r="C57" s="413">
        <v>0.1453505283809364</v>
      </c>
      <c r="D57" s="413">
        <v>0.19028902696303793</v>
      </c>
      <c r="E57" s="413">
        <f t="shared" si="8"/>
        <v>0.33563955534397433</v>
      </c>
      <c r="G57" s="413">
        <v>1.8271697225689627E-2</v>
      </c>
      <c r="H57" s="413">
        <f t="shared" si="7"/>
        <v>0.33563955534397433</v>
      </c>
      <c r="J57" s="381">
        <f t="shared" si="9"/>
        <v>0.56694458067680242</v>
      </c>
    </row>
    <row r="58" spans="1:10">
      <c r="A58" s="21" t="s">
        <v>594</v>
      </c>
      <c r="B58" s="84"/>
      <c r="C58" s="413">
        <v>1.8406561807152166E-2</v>
      </c>
      <c r="D58" s="413">
        <v>1.2349701725311494E-2</v>
      </c>
      <c r="E58" s="413">
        <f>D58+C58</f>
        <v>3.0756263532463662E-2</v>
      </c>
      <c r="G58" s="413">
        <v>6.2928416434708263E-4</v>
      </c>
      <c r="H58" s="413">
        <f>E58</f>
        <v>3.0756263532463662E-2</v>
      </c>
      <c r="J58" s="381">
        <f>IFERROR(D58/E58,"")</f>
        <v>0.40153452685421986</v>
      </c>
    </row>
    <row r="59" spans="1:10">
      <c r="A59" s="19" t="s">
        <v>595</v>
      </c>
      <c r="B59" s="83"/>
      <c r="C59" s="412">
        <v>2.8443926929895464E-2</v>
      </c>
      <c r="D59" s="412">
        <v>5.8461347689955361E-2</v>
      </c>
      <c r="E59" s="412">
        <f t="shared" si="8"/>
        <v>8.6905274619850828E-2</v>
      </c>
      <c r="G59" s="412">
        <v>8.4726590855007755E-4</v>
      </c>
      <c r="H59" s="412">
        <f t="shared" si="7"/>
        <v>8.6905274619850828E-2</v>
      </c>
      <c r="J59" s="381">
        <f t="shared" si="9"/>
        <v>0.67270194986072418</v>
      </c>
    </row>
    <row r="60" spans="1:10">
      <c r="A60" s="19" t="s">
        <v>596</v>
      </c>
      <c r="B60" s="83"/>
      <c r="C60" s="412">
        <v>9.2977585616196956E-2</v>
      </c>
      <c r="D60" s="412">
        <v>5.1901363581609142E-2</v>
      </c>
      <c r="E60" s="412">
        <f>D60+C60</f>
        <v>0.14487894919780608</v>
      </c>
      <c r="G60" s="412">
        <v>1.023198310608866E-2</v>
      </c>
      <c r="H60" s="412">
        <f>E60</f>
        <v>0.14487894919780608</v>
      </c>
      <c r="J60" s="381">
        <f>IFERROR(D60/E60,"")</f>
        <v>0.35823950870010235</v>
      </c>
    </row>
    <row r="61" spans="1:10">
      <c r="A61" s="21" t="s">
        <v>11</v>
      </c>
      <c r="B61" s="84"/>
      <c r="C61" s="413">
        <v>0.16047113177004135</v>
      </c>
      <c r="D61" s="413">
        <v>3.6466829838109449E-2</v>
      </c>
      <c r="E61" s="413">
        <f t="shared" si="8"/>
        <v>0.1969379616081508</v>
      </c>
      <c r="G61" s="413">
        <v>1.7849104065959891E-2</v>
      </c>
      <c r="H61" s="413">
        <f t="shared" si="7"/>
        <v>0.1969379616081508</v>
      </c>
      <c r="J61" s="381">
        <f t="shared" si="9"/>
        <v>0.18516912402428448</v>
      </c>
    </row>
    <row r="62" spans="1:10">
      <c r="A62" s="19" t="s">
        <v>12</v>
      </c>
      <c r="B62" s="83"/>
      <c r="C62" s="412">
        <v>2.1296640293415318E-2</v>
      </c>
      <c r="D62" s="412">
        <v>1.1340893814786207E-2</v>
      </c>
      <c r="E62" s="412">
        <f t="shared" si="8"/>
        <v>3.2637534108201527E-2</v>
      </c>
      <c r="G62" s="412">
        <v>2.1065782404055804E-3</v>
      </c>
      <c r="H62" s="412">
        <f t="shared" si="7"/>
        <v>3.2637534108201527E-2</v>
      </c>
      <c r="J62" s="381">
        <f t="shared" si="9"/>
        <v>0.34748010610079577</v>
      </c>
    </row>
    <row r="63" spans="1:10">
      <c r="A63" s="21" t="s">
        <v>13</v>
      </c>
      <c r="B63" s="84"/>
      <c r="C63" s="413">
        <v>2.9065238089304644E-2</v>
      </c>
      <c r="D63" s="413">
        <v>1.7097198876061552E-3</v>
      </c>
      <c r="E63" s="413">
        <f t="shared" si="8"/>
        <v>3.0774957976910797E-2</v>
      </c>
      <c r="G63" s="413">
        <v>3.8468697471138497E-3</v>
      </c>
      <c r="H63" s="413">
        <f t="shared" si="7"/>
        <v>3.0774957976910797E-2</v>
      </c>
      <c r="J63" s="381">
        <f t="shared" si="9"/>
        <v>5.5555555555555546E-2</v>
      </c>
    </row>
    <row r="64" spans="1:10">
      <c r="A64" s="19" t="s">
        <v>14</v>
      </c>
      <c r="B64" s="83"/>
      <c r="C64" s="412">
        <v>3.4533538703207169E-2</v>
      </c>
      <c r="D64" s="412">
        <v>5.4386628713752806E-2</v>
      </c>
      <c r="E64" s="412">
        <f t="shared" si="8"/>
        <v>8.8920167416959975E-2</v>
      </c>
      <c r="G64" s="412">
        <v>1.6749505219815176E-3</v>
      </c>
      <c r="H64" s="412">
        <f t="shared" si="7"/>
        <v>8.8920167416959975E-2</v>
      </c>
      <c r="J64" s="381">
        <f t="shared" si="9"/>
        <v>0.61163434903047098</v>
      </c>
    </row>
    <row r="65" spans="1:10">
      <c r="A65" s="21" t="s">
        <v>15</v>
      </c>
      <c r="B65" s="84"/>
      <c r="C65" s="413">
        <v>1.8037340032654281E-2</v>
      </c>
      <c r="D65" s="413">
        <v>7.6043368365772629E-3</v>
      </c>
      <c r="E65" s="413">
        <f t="shared" si="8"/>
        <v>2.5641676869231543E-2</v>
      </c>
      <c r="G65" s="413">
        <v>1.5796448501102526E-3</v>
      </c>
      <c r="H65" s="413">
        <f t="shared" si="7"/>
        <v>2.5641676869231543E-2</v>
      </c>
      <c r="J65" s="381">
        <f t="shared" si="9"/>
        <v>0.29656160458452724</v>
      </c>
    </row>
    <row r="66" spans="1:10">
      <c r="A66" s="19" t="s">
        <v>16</v>
      </c>
      <c r="B66" s="83"/>
      <c r="C66" s="412">
        <v>0.27656106672501946</v>
      </c>
      <c r="D66" s="412">
        <v>0.44662186301821111</v>
      </c>
      <c r="E66" s="412">
        <f t="shared" si="8"/>
        <v>0.72318292974323062</v>
      </c>
      <c r="G66" s="412">
        <v>1.8680001875286397E-2</v>
      </c>
      <c r="H66" s="412">
        <f t="shared" si="7"/>
        <v>0.72318292974323062</v>
      </c>
      <c r="J66" s="381">
        <f t="shared" si="9"/>
        <v>0.61757799396175772</v>
      </c>
    </row>
    <row r="67" spans="1:10">
      <c r="A67" s="21" t="s">
        <v>17</v>
      </c>
      <c r="B67" s="84"/>
      <c r="C67" s="413">
        <v>0.44837869819552151</v>
      </c>
      <c r="D67" s="413">
        <v>0</v>
      </c>
      <c r="E67" s="413">
        <f t="shared" si="8"/>
        <v>0.44837869819552151</v>
      </c>
      <c r="G67" s="413">
        <v>0.10900989037549118</v>
      </c>
      <c r="H67" s="413">
        <f t="shared" si="7"/>
        <v>0.44837869819552151</v>
      </c>
      <c r="J67" s="381">
        <f t="shared" si="9"/>
        <v>0</v>
      </c>
    </row>
    <row r="68" spans="1:10">
      <c r="A68" s="19" t="s">
        <v>18</v>
      </c>
      <c r="B68" s="83"/>
      <c r="C68" s="412">
        <v>0.10916822876167782</v>
      </c>
      <c r="D68" s="412">
        <v>5.195213947046929E-2</v>
      </c>
      <c r="E68" s="412">
        <f t="shared" si="8"/>
        <v>0.16112036823214712</v>
      </c>
      <c r="G68" s="412">
        <v>1.2207143138011793E-2</v>
      </c>
      <c r="H68" s="412">
        <f t="shared" si="7"/>
        <v>0.16112036823214712</v>
      </c>
      <c r="J68" s="381">
        <f t="shared" si="9"/>
        <v>0.32244302840479527</v>
      </c>
    </row>
    <row r="69" spans="1:10">
      <c r="A69" s="21" t="s">
        <v>19</v>
      </c>
      <c r="B69" s="84"/>
      <c r="C69" s="413">
        <v>2.7600497341281258</v>
      </c>
      <c r="D69" s="413">
        <v>3.255866023246905</v>
      </c>
      <c r="E69" s="413">
        <f t="shared" si="8"/>
        <v>6.0159157573750308</v>
      </c>
      <c r="G69" s="413">
        <v>0.48448138261311952</v>
      </c>
      <c r="H69" s="413">
        <f t="shared" si="7"/>
        <v>6.0159157573750308</v>
      </c>
      <c r="J69" s="381">
        <f t="shared" si="9"/>
        <v>0.54120871278083871</v>
      </c>
    </row>
    <row r="70" spans="1:10">
      <c r="A70" s="19" t="s">
        <v>20</v>
      </c>
      <c r="B70" s="83"/>
      <c r="C70" s="412">
        <v>0.80255800519817233</v>
      </c>
      <c r="D70" s="412">
        <v>0.37566879217479054</v>
      </c>
      <c r="E70" s="412">
        <f t="shared" si="8"/>
        <v>1.1782267973729628</v>
      </c>
      <c r="G70" s="412">
        <v>0.11202503087437292</v>
      </c>
      <c r="H70" s="412">
        <f t="shared" si="7"/>
        <v>1.1782267973729628</v>
      </c>
      <c r="J70" s="381">
        <f t="shared" si="9"/>
        <v>0.31884251233497801</v>
      </c>
    </row>
    <row r="71" spans="1:10">
      <c r="A71" s="21" t="s">
        <v>21</v>
      </c>
      <c r="B71" s="84"/>
      <c r="C71" s="413">
        <v>0.21149911103873831</v>
      </c>
      <c r="D71" s="413">
        <v>0.27681229973403931</v>
      </c>
      <c r="E71" s="413">
        <f t="shared" si="8"/>
        <v>0.48831141077277762</v>
      </c>
      <c r="G71" s="413">
        <v>3.2902595058367255E-2</v>
      </c>
      <c r="H71" s="413">
        <f t="shared" si="7"/>
        <v>0.48831141077277762</v>
      </c>
      <c r="J71" s="381">
        <f t="shared" si="9"/>
        <v>0.56687657430730476</v>
      </c>
    </row>
    <row r="72" spans="1:10">
      <c r="A72" s="19" t="s">
        <v>22</v>
      </c>
      <c r="B72" s="83"/>
      <c r="C72" s="412">
        <v>0.28688587024576528</v>
      </c>
      <c r="D72" s="412">
        <v>0.23944042497368354</v>
      </c>
      <c r="E72" s="412">
        <f t="shared" si="8"/>
        <v>0.52632629521944885</v>
      </c>
      <c r="G72" s="412">
        <v>3.5549502725728863E-2</v>
      </c>
      <c r="H72" s="412">
        <f t="shared" si="7"/>
        <v>0.52632629521944885</v>
      </c>
      <c r="J72" s="381">
        <f t="shared" si="9"/>
        <v>0.45492772667542702</v>
      </c>
    </row>
    <row r="73" spans="1:10">
      <c r="A73" s="21" t="s">
        <v>23</v>
      </c>
      <c r="B73" s="84"/>
      <c r="C73" s="413">
        <v>1.2332309306456772</v>
      </c>
      <c r="D73" s="413">
        <v>3.5260513931426485E-2</v>
      </c>
      <c r="E73" s="413">
        <f t="shared" si="8"/>
        <v>1.2684914445771036</v>
      </c>
      <c r="G73" s="413">
        <v>0.23662244254611359</v>
      </c>
      <c r="H73" s="413">
        <f t="shared" si="7"/>
        <v>1.2684914445771036</v>
      </c>
      <c r="J73" s="381">
        <f t="shared" si="9"/>
        <v>2.77972027972028E-2</v>
      </c>
    </row>
    <row r="74" spans="1:10">
      <c r="A74" s="19" t="s">
        <v>24</v>
      </c>
      <c r="B74" s="83"/>
      <c r="C74" s="412">
        <v>0.15455445716648566</v>
      </c>
      <c r="D74" s="412">
        <v>7.8522678928790113E-2</v>
      </c>
      <c r="E74" s="412">
        <f t="shared" si="8"/>
        <v>0.23307713609527578</v>
      </c>
      <c r="G74" s="412">
        <v>2.0520277121874153E-2</v>
      </c>
      <c r="H74" s="412">
        <f t="shared" si="7"/>
        <v>0.23307713609527578</v>
      </c>
      <c r="J74" s="381">
        <f t="shared" si="9"/>
        <v>0.33689567430025447</v>
      </c>
    </row>
    <row r="75" spans="1:10">
      <c r="A75" s="21" t="s">
        <v>25</v>
      </c>
      <c r="B75" s="84"/>
      <c r="C75" s="413">
        <v>0.57611116085245828</v>
      </c>
      <c r="D75" s="413">
        <v>0.74626665219525989</v>
      </c>
      <c r="E75" s="413">
        <f t="shared" si="8"/>
        <v>1.3223778130477182</v>
      </c>
      <c r="G75" s="413">
        <v>8.2939179386764483E-2</v>
      </c>
      <c r="H75" s="413">
        <f t="shared" si="7"/>
        <v>1.3223778130477182</v>
      </c>
      <c r="J75" s="381">
        <f t="shared" si="9"/>
        <v>0.56433694276473068</v>
      </c>
    </row>
    <row r="76" spans="1:10">
      <c r="A76" s="19" t="s">
        <v>597</v>
      </c>
      <c r="B76" s="83"/>
      <c r="C76" s="412">
        <v>0.97687959450259365</v>
      </c>
      <c r="D76" s="412">
        <v>0.53072965861556565</v>
      </c>
      <c r="E76" s="412">
        <f>D76+C76</f>
        <v>1.5076092531181593</v>
      </c>
      <c r="G76" s="412">
        <v>3.588967161756916E-2</v>
      </c>
      <c r="H76" s="412">
        <f>E76</f>
        <v>1.5076092531181593</v>
      </c>
      <c r="J76" s="381">
        <f>IFERROR(D76/E76,"")</f>
        <v>0.35203396206136817</v>
      </c>
    </row>
    <row r="77" spans="1:10">
      <c r="A77" s="19" t="s">
        <v>598</v>
      </c>
      <c r="B77" s="83"/>
      <c r="C77" s="412">
        <v>2.7451658614477448</v>
      </c>
      <c r="D77" s="412">
        <v>0</v>
      </c>
      <c r="E77" s="412">
        <f t="shared" si="8"/>
        <v>2.7451658614477448</v>
      </c>
      <c r="G77" s="412">
        <v>0.10356539968442245</v>
      </c>
      <c r="H77" s="412">
        <f t="shared" si="7"/>
        <v>2.7451658614477448</v>
      </c>
      <c r="J77" s="381">
        <f t="shared" si="9"/>
        <v>0</v>
      </c>
    </row>
    <row r="78" spans="1:10">
      <c r="A78" s="18"/>
      <c r="B78" s="18"/>
      <c r="C78" s="153"/>
      <c r="D78" s="153"/>
      <c r="E78" s="153"/>
      <c r="G78" s="153"/>
      <c r="H78" s="153"/>
      <c r="J78" s="163"/>
    </row>
    <row r="79" spans="1:10">
      <c r="A79" s="85" t="s">
        <v>189</v>
      </c>
      <c r="B79" s="85"/>
      <c r="C79" s="154">
        <f t="shared" ref="C79:E79" si="13">SUM(C45:C77)</f>
        <v>19.099209705800785</v>
      </c>
      <c r="D79" s="154">
        <f t="shared" si="13"/>
        <v>11.849377069904836</v>
      </c>
      <c r="E79" s="154">
        <f t="shared" si="13"/>
        <v>30.948586775705621</v>
      </c>
      <c r="G79" s="154">
        <f>SUM(G45:G77)</f>
        <v>1.7415144011981127</v>
      </c>
      <c r="H79" s="154">
        <f>SUM(H45:H77)</f>
        <v>30.948586775705621</v>
      </c>
      <c r="J79" s="154"/>
    </row>
    <row r="82" spans="1:5" ht="25" customHeight="1">
      <c r="A82" s="114" t="s">
        <v>546</v>
      </c>
      <c r="B82" s="72"/>
      <c r="C82" s="503" t="s">
        <v>580</v>
      </c>
      <c r="D82" s="505" t="s">
        <v>552</v>
      </c>
      <c r="E82" s="503" t="s">
        <v>551</v>
      </c>
    </row>
    <row r="83" spans="1:5" ht="17" thickBot="1">
      <c r="A83" s="75" t="s">
        <v>5</v>
      </c>
      <c r="B83" s="76" t="s">
        <v>83</v>
      </c>
      <c r="C83" s="504"/>
      <c r="D83" s="506"/>
      <c r="E83" s="504"/>
    </row>
    <row r="84" spans="1:5">
      <c r="A84" s="324" t="s">
        <v>582</v>
      </c>
      <c r="B84" s="83"/>
      <c r="C84" s="412">
        <f t="shared" ref="C84:C115" si="14">K6</f>
        <v>-1.6211395545245768</v>
      </c>
      <c r="D84" s="148">
        <f>Empleo!K6</f>
        <v>-539.68476831581188</v>
      </c>
      <c r="E84" s="148">
        <f t="shared" ref="E84:E116" si="15">IFERROR(C84*1000000/D84,"")</f>
        <v>3003.8638288489196</v>
      </c>
    </row>
    <row r="85" spans="1:5">
      <c r="A85" s="324" t="s">
        <v>583</v>
      </c>
      <c r="B85" s="83"/>
      <c r="C85" s="412">
        <f t="shared" si="14"/>
        <v>9.2811401230533921</v>
      </c>
      <c r="D85" s="148">
        <f>Empleo!K7</f>
        <v>1745.9001957714781</v>
      </c>
      <c r="E85" s="148">
        <f>IFERROR(C85*1000000/D85,"")</f>
        <v>5315.9625879715559</v>
      </c>
    </row>
    <row r="86" spans="1:5">
      <c r="A86" s="324" t="s">
        <v>584</v>
      </c>
      <c r="B86" s="83"/>
      <c r="C86" s="412">
        <f t="shared" si="14"/>
        <v>0.1101062916638012</v>
      </c>
      <c r="D86" s="148">
        <f>Empleo!K8</f>
        <v>23.010619214377002</v>
      </c>
      <c r="E86" s="148">
        <f>IFERROR(C86*1000000/D86,"")</f>
        <v>4785.0208044382816</v>
      </c>
    </row>
    <row r="87" spans="1:5">
      <c r="A87" s="324" t="s">
        <v>585</v>
      </c>
      <c r="B87" s="83"/>
      <c r="C87" s="412">
        <f t="shared" si="14"/>
        <v>6.6164591176068521E-3</v>
      </c>
      <c r="D87" s="148">
        <f>Empleo!K9</f>
        <v>3.4320213745522001</v>
      </c>
      <c r="E87" s="148">
        <f>IFERROR(C87*1000000/D87,"")</f>
        <v>1927.8606965174126</v>
      </c>
    </row>
    <row r="88" spans="1:5">
      <c r="A88" s="325" t="s">
        <v>10</v>
      </c>
      <c r="B88" s="84"/>
      <c r="C88" s="413">
        <f t="shared" si="14"/>
        <v>1.2959476333656449E-2</v>
      </c>
      <c r="D88" s="151">
        <f>Empleo!K10</f>
        <v>1.1125875279011908</v>
      </c>
      <c r="E88" s="148">
        <f t="shared" si="15"/>
        <v>11648.05105994985</v>
      </c>
    </row>
    <row r="89" spans="1:5">
      <c r="A89" s="324" t="s">
        <v>586</v>
      </c>
      <c r="B89" s="83"/>
      <c r="C89" s="412">
        <f t="shared" si="14"/>
        <v>6.4146350339018916</v>
      </c>
      <c r="D89" s="148">
        <f>Empleo!K11</f>
        <v>701.30539366018024</v>
      </c>
      <c r="E89" s="148">
        <f t="shared" si="15"/>
        <v>9146.7071148894138</v>
      </c>
    </row>
    <row r="90" spans="1:5">
      <c r="A90" s="324" t="s">
        <v>587</v>
      </c>
      <c r="B90" s="83"/>
      <c r="C90" s="412">
        <f t="shared" si="14"/>
        <v>-1.5577340494992695</v>
      </c>
      <c r="D90" s="148">
        <f>Empleo!K12</f>
        <v>-145.30509848608986</v>
      </c>
      <c r="E90" s="148">
        <f t="shared" ref="E90:E95" si="16">IFERROR(C90*1000000/D90,"")</f>
        <v>10720.43628013777</v>
      </c>
    </row>
    <row r="91" spans="1:5">
      <c r="A91" s="324" t="s">
        <v>588</v>
      </c>
      <c r="B91" s="83"/>
      <c r="C91" s="412">
        <f t="shared" si="14"/>
        <v>4.7847287924132696E-2</v>
      </c>
      <c r="D91" s="148">
        <f>Empleo!K13</f>
        <v>5.6740892966852714</v>
      </c>
      <c r="E91" s="148">
        <f t="shared" si="16"/>
        <v>8432.5933946940968</v>
      </c>
    </row>
    <row r="92" spans="1:5">
      <c r="A92" s="324" t="s">
        <v>589</v>
      </c>
      <c r="B92" s="83"/>
      <c r="C92" s="412">
        <f t="shared" si="14"/>
        <v>0.40575988338455016</v>
      </c>
      <c r="D92" s="148">
        <f>Empleo!K14</f>
        <v>38.06922977064157</v>
      </c>
      <c r="E92" s="148">
        <f t="shared" si="16"/>
        <v>10658.473676225154</v>
      </c>
    </row>
    <row r="93" spans="1:5">
      <c r="A93" s="324" t="s">
        <v>590</v>
      </c>
      <c r="B93" s="83"/>
      <c r="C93" s="412">
        <f t="shared" si="14"/>
        <v>3.0726349788054802E-2</v>
      </c>
      <c r="D93" s="148">
        <f>Empleo!K15</f>
        <v>3.7103259633203209</v>
      </c>
      <c r="E93" s="148">
        <f t="shared" si="16"/>
        <v>8281.3073815644493</v>
      </c>
    </row>
    <row r="94" spans="1:5">
      <c r="A94" s="324" t="s">
        <v>591</v>
      </c>
      <c r="B94" s="83"/>
      <c r="C94" s="412">
        <f t="shared" si="14"/>
        <v>0.15526851829484029</v>
      </c>
      <c r="D94" s="148">
        <f>Empleo!K16</f>
        <v>17.450327503882797</v>
      </c>
      <c r="E94" s="148">
        <f t="shared" si="16"/>
        <v>8897.7423638778218</v>
      </c>
    </row>
    <row r="95" spans="1:5">
      <c r="A95" s="324" t="s">
        <v>592</v>
      </c>
      <c r="B95" s="83"/>
      <c r="C95" s="412">
        <f t="shared" si="14"/>
        <v>7.1124850396868902E-2</v>
      </c>
      <c r="D95" s="148">
        <f>Empleo!K17</f>
        <v>9.2061153718704638</v>
      </c>
      <c r="E95" s="148">
        <f t="shared" si="16"/>
        <v>7725.8265320237915</v>
      </c>
    </row>
    <row r="96" spans="1:5" ht="17" customHeight="1">
      <c r="A96" s="325" t="s">
        <v>593</v>
      </c>
      <c r="B96" s="84"/>
      <c r="C96" s="413">
        <f t="shared" si="14"/>
        <v>0.33563955534397433</v>
      </c>
      <c r="D96" s="151">
        <f>Empleo!K18</f>
        <v>97.778271640176925</v>
      </c>
      <c r="E96" s="148">
        <f t="shared" si="15"/>
        <v>3432.6599326599326</v>
      </c>
    </row>
    <row r="97" spans="1:5" ht="17" customHeight="1">
      <c r="A97" s="325" t="s">
        <v>594</v>
      </c>
      <c r="B97" s="84"/>
      <c r="C97" s="413">
        <f t="shared" si="14"/>
        <v>3.0756263532463666E-2</v>
      </c>
      <c r="D97" s="151">
        <f>Empleo!K19</f>
        <v>8.153949559527323</v>
      </c>
      <c r="E97" s="148">
        <f>IFERROR(C97*1000000/D97,"")</f>
        <v>3771.9467489870735</v>
      </c>
    </row>
    <row r="98" spans="1:5">
      <c r="A98" s="324" t="s">
        <v>595</v>
      </c>
      <c r="B98" s="83"/>
      <c r="C98" s="412">
        <f t="shared" si="14"/>
        <v>8.6905274619850828E-2</v>
      </c>
      <c r="D98" s="148">
        <f>Empleo!K20</f>
        <v>20.634556012802463</v>
      </c>
      <c r="E98" s="148">
        <f t="shared" si="15"/>
        <v>4211.6377287658379</v>
      </c>
    </row>
    <row r="99" spans="1:5">
      <c r="A99" s="324" t="s">
        <v>596</v>
      </c>
      <c r="B99" s="83"/>
      <c r="C99" s="412">
        <f t="shared" si="14"/>
        <v>0.14487894919780611</v>
      </c>
      <c r="D99" s="148">
        <f>Empleo!K21</f>
        <v>20.683434835322409</v>
      </c>
      <c r="E99" s="148">
        <f>IFERROR(C99*1000000/D99,"")</f>
        <v>7004.5884714654439</v>
      </c>
    </row>
    <row r="100" spans="1:5">
      <c r="A100" s="325" t="s">
        <v>11</v>
      </c>
      <c r="B100" s="84"/>
      <c r="C100" s="413">
        <f t="shared" si="14"/>
        <v>0.1969379616081508</v>
      </c>
      <c r="D100" s="151">
        <f>Empleo!K22</f>
        <v>21.465042181523252</v>
      </c>
      <c r="E100" s="148">
        <f t="shared" si="15"/>
        <v>9174.8229489933965</v>
      </c>
    </row>
    <row r="101" spans="1:5">
      <c r="A101" s="324" t="s">
        <v>12</v>
      </c>
      <c r="B101" s="83"/>
      <c r="C101" s="412">
        <f t="shared" si="14"/>
        <v>3.2637534108201527E-2</v>
      </c>
      <c r="D101" s="148">
        <f>Empleo!K23</f>
        <v>8.3276212139211303</v>
      </c>
      <c r="E101" s="148">
        <f t="shared" si="15"/>
        <v>3919.1905190934913</v>
      </c>
    </row>
    <row r="102" spans="1:5">
      <c r="A102" s="325" t="s">
        <v>13</v>
      </c>
      <c r="B102" s="84"/>
      <c r="C102" s="413">
        <f t="shared" si="14"/>
        <v>3.0774957976910794E-2</v>
      </c>
      <c r="D102" s="151">
        <f>Empleo!K24</f>
        <v>2.3850592432105868</v>
      </c>
      <c r="E102" s="148">
        <f t="shared" si="15"/>
        <v>12903.225806451612</v>
      </c>
    </row>
    <row r="103" spans="1:5">
      <c r="A103" s="324" t="s">
        <v>14</v>
      </c>
      <c r="B103" s="83"/>
      <c r="C103" s="412">
        <f t="shared" si="14"/>
        <v>8.8920167416959989E-2</v>
      </c>
      <c r="D103" s="148">
        <f>Empleo!K25</f>
        <v>10.110789562690783</v>
      </c>
      <c r="E103" s="148">
        <f t="shared" si="15"/>
        <v>8794.581952835706</v>
      </c>
    </row>
    <row r="104" spans="1:5">
      <c r="A104" s="325" t="s">
        <v>15</v>
      </c>
      <c r="B104" s="84"/>
      <c r="C104" s="413">
        <f t="shared" si="14"/>
        <v>2.5641676869231547E-2</v>
      </c>
      <c r="D104" s="151">
        <f>Empleo!K26</f>
        <v>3.4708103590329467</v>
      </c>
      <c r="E104" s="148">
        <f t="shared" si="15"/>
        <v>7387.8069432684151</v>
      </c>
    </row>
    <row r="105" spans="1:5">
      <c r="A105" s="324" t="s">
        <v>16</v>
      </c>
      <c r="B105" s="83"/>
      <c r="C105" s="412">
        <f t="shared" si="14"/>
        <v>0.72318292974323062</v>
      </c>
      <c r="D105" s="148">
        <f>Empleo!K27</f>
        <v>89.836253174510475</v>
      </c>
      <c r="E105" s="148">
        <f t="shared" si="15"/>
        <v>8050.0121519807726</v>
      </c>
    </row>
    <row r="106" spans="1:5">
      <c r="A106" s="325" t="s">
        <v>17</v>
      </c>
      <c r="B106" s="84"/>
      <c r="C106" s="413">
        <f t="shared" si="14"/>
        <v>0.44837869819552151</v>
      </c>
      <c r="D106" s="151">
        <f>Empleo!K28</f>
        <v>21.807934899708918</v>
      </c>
      <c r="E106" s="148">
        <f t="shared" si="15"/>
        <v>20560.346509540719</v>
      </c>
    </row>
    <row r="107" spans="1:5">
      <c r="A107" s="324" t="s">
        <v>18</v>
      </c>
      <c r="B107" s="83"/>
      <c r="C107" s="412">
        <f t="shared" si="14"/>
        <v>0.16112036823214712</v>
      </c>
      <c r="D107" s="148">
        <f>Empleo!K29</f>
        <v>18.480466212807151</v>
      </c>
      <c r="E107" s="148">
        <f t="shared" si="15"/>
        <v>8718.4146967293</v>
      </c>
    </row>
    <row r="108" spans="1:5">
      <c r="A108" s="325" t="s">
        <v>19</v>
      </c>
      <c r="B108" s="84"/>
      <c r="C108" s="413">
        <f t="shared" si="14"/>
        <v>6.0159157573750317</v>
      </c>
      <c r="D108" s="151">
        <f>Empleo!K30</f>
        <v>1377.9708446124312</v>
      </c>
      <c r="E108" s="148">
        <f t="shared" si="15"/>
        <v>4365.7786961864722</v>
      </c>
    </row>
    <row r="109" spans="1:5">
      <c r="A109" s="324" t="s">
        <v>20</v>
      </c>
      <c r="B109" s="83"/>
      <c r="C109" s="412">
        <f t="shared" si="14"/>
        <v>1.178226797372963</v>
      </c>
      <c r="D109" s="148">
        <f>Empleo!K31</f>
        <v>138.32655986226919</v>
      </c>
      <c r="E109" s="148">
        <f t="shared" si="15"/>
        <v>8517.7192185370277</v>
      </c>
    </row>
    <row r="110" spans="1:5">
      <c r="A110" s="325" t="s">
        <v>21</v>
      </c>
      <c r="B110" s="84"/>
      <c r="C110" s="413">
        <f t="shared" si="14"/>
        <v>0.48831141077277757</v>
      </c>
      <c r="D110" s="151">
        <f>Empleo!K32</f>
        <v>67.871596086755332</v>
      </c>
      <c r="E110" s="148">
        <f t="shared" si="15"/>
        <v>7194.6357375860816</v>
      </c>
    </row>
    <row r="111" spans="1:5">
      <c r="A111" s="324" t="s">
        <v>22</v>
      </c>
      <c r="B111" s="83"/>
      <c r="C111" s="412">
        <f t="shared" si="14"/>
        <v>0.52632629521944874</v>
      </c>
      <c r="D111" s="148">
        <f>Empleo!K33</f>
        <v>67.985311652406537</v>
      </c>
      <c r="E111" s="148">
        <f t="shared" si="15"/>
        <v>7741.7648375348426</v>
      </c>
    </row>
    <row r="112" spans="1:5">
      <c r="A112" s="325" t="s">
        <v>23</v>
      </c>
      <c r="B112" s="84"/>
      <c r="C112" s="413">
        <f t="shared" si="14"/>
        <v>1.2684914445771038</v>
      </c>
      <c r="D112" s="151">
        <f>Empleo!K34</f>
        <v>90.116115982229346</v>
      </c>
      <c r="E112" s="148">
        <f t="shared" si="15"/>
        <v>14076.188601240283</v>
      </c>
    </row>
    <row r="113" spans="1:6">
      <c r="A113" s="324" t="s">
        <v>24</v>
      </c>
      <c r="B113" s="83"/>
      <c r="C113" s="412">
        <f t="shared" si="14"/>
        <v>0.23307713609527578</v>
      </c>
      <c r="D113" s="148">
        <f>Empleo!K35</f>
        <v>22.503508529259911</v>
      </c>
      <c r="E113" s="148">
        <f t="shared" si="15"/>
        <v>10357.368753953193</v>
      </c>
    </row>
    <row r="114" spans="1:6">
      <c r="A114" s="325" t="s">
        <v>25</v>
      </c>
      <c r="B114" s="84"/>
      <c r="C114" s="413">
        <f t="shared" si="14"/>
        <v>1.322377813047718</v>
      </c>
      <c r="D114" s="151">
        <f>Empleo!K36</f>
        <v>274.54356075304008</v>
      </c>
      <c r="E114" s="148">
        <f t="shared" si="15"/>
        <v>4816.6411531219092</v>
      </c>
    </row>
    <row r="115" spans="1:6">
      <c r="A115" s="324" t="s">
        <v>597</v>
      </c>
      <c r="B115" s="83"/>
      <c r="C115" s="412">
        <f t="shared" si="14"/>
        <v>1.5076092531181593</v>
      </c>
      <c r="D115" s="148">
        <f>Empleo!K37</f>
        <v>381.39945926484745</v>
      </c>
      <c r="E115" s="148">
        <f>IFERROR(C115*1000000/D115,"")</f>
        <v>3952.8353187078351</v>
      </c>
    </row>
    <row r="116" spans="1:6">
      <c r="A116" s="324" t="s">
        <v>598</v>
      </c>
      <c r="B116" s="83"/>
      <c r="C116" s="412">
        <f t="shared" ref="C116" si="17">K38</f>
        <v>2.7451658614477452</v>
      </c>
      <c r="D116" s="148">
        <f>Empleo!K38</f>
        <v>199.90421995297493</v>
      </c>
      <c r="E116" s="148">
        <f t="shared" si="15"/>
        <v>13732.405759585828</v>
      </c>
    </row>
    <row r="117" spans="1:6">
      <c r="A117" s="18"/>
      <c r="B117" s="18"/>
      <c r="C117" s="153"/>
      <c r="D117" s="153"/>
      <c r="E117" s="153"/>
    </row>
    <row r="118" spans="1:6">
      <c r="A118" s="85" t="s">
        <v>189</v>
      </c>
      <c r="B118" s="85"/>
      <c r="C118" s="154">
        <f t="shared" ref="C118:D118" si="18">SUM(C84:C116)</f>
        <v>30.948586775705621</v>
      </c>
      <c r="D118" s="154">
        <f t="shared" si="18"/>
        <v>4807.6364042444357</v>
      </c>
      <c r="E118" s="154">
        <f>IFERROR(C118*1000000/D118,"")</f>
        <v>6437.3809026786157</v>
      </c>
      <c r="F118" s="154" t="s">
        <v>553</v>
      </c>
    </row>
  </sheetData>
  <mergeCells count="6">
    <mergeCell ref="A1:L1"/>
    <mergeCell ref="C43:E43"/>
    <mergeCell ref="G43:H43"/>
    <mergeCell ref="E82:E83"/>
    <mergeCell ref="C82:C83"/>
    <mergeCell ref="D82:D83"/>
  </mergeCells>
  <conditionalFormatting sqref="K6:K38">
    <cfRule type="dataBar" priority="42">
      <dataBar>
        <cfvo type="min"/>
        <cfvo type="max"/>
        <color rgb="FF638EC6"/>
      </dataBar>
    </cfRule>
  </conditionalFormatting>
  <conditionalFormatting sqref="E84:E116">
    <cfRule type="colorScale" priority="7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5:J77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{98F2EF09-539D-F84C-B623-57716FDBE4E6}</x14:id>
        </ext>
      </extLst>
    </cfRule>
  </conditionalFormatting>
  <conditionalFormatting sqref="A1:L1">
    <cfRule type="expression" dxfId="27" priority="32">
      <formula>"suma(DeltaF21c)&gt;0"</formula>
    </cfRule>
  </conditionalFormatting>
  <conditionalFormatting sqref="C6:C38">
    <cfRule type="cellIs" dxfId="26" priority="29" stopIfTrue="1" operator="equal">
      <formula>0</formula>
    </cfRule>
  </conditionalFormatting>
  <conditionalFormatting sqref="C6:C38">
    <cfRule type="colorScale" priority="3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6:D38">
    <cfRule type="cellIs" dxfId="25" priority="27" stopIfTrue="1" operator="equal">
      <formula>0</formula>
    </cfRule>
  </conditionalFormatting>
  <conditionalFormatting sqref="D6:D38">
    <cfRule type="colorScale" priority="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6:E38">
    <cfRule type="cellIs" dxfId="24" priority="25" stopIfTrue="1" operator="equal">
      <formula>0</formula>
    </cfRule>
  </conditionalFormatting>
  <conditionalFormatting sqref="E6:E38">
    <cfRule type="colorScale" priority="2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6:F38">
    <cfRule type="dataBar" priority="22">
      <dataBar>
        <cfvo type="min"/>
        <cfvo type="max"/>
        <color rgb="FF638EC6"/>
      </dataBar>
    </cfRule>
  </conditionalFormatting>
  <conditionalFormatting sqref="I6:I38">
    <cfRule type="dataBar" priority="21">
      <dataBar>
        <cfvo type="min"/>
        <cfvo type="max"/>
        <color rgb="FF638EC6"/>
      </dataBar>
    </cfRule>
  </conditionalFormatting>
  <conditionalFormatting sqref="G6:G38">
    <cfRule type="cellIs" dxfId="23" priority="19" stopIfTrue="1" operator="equal">
      <formula>0</formula>
    </cfRule>
  </conditionalFormatting>
  <conditionalFormatting sqref="G6:G38">
    <cfRule type="colorScale" priority="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H6:H38">
    <cfRule type="cellIs" dxfId="22" priority="17" stopIfTrue="1" operator="equal">
      <formula>0</formula>
    </cfRule>
  </conditionalFormatting>
  <conditionalFormatting sqref="H6:H38">
    <cfRule type="colorScale" priority="1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6:J38">
    <cfRule type="cellIs" dxfId="21" priority="15" stopIfTrue="1" operator="equal">
      <formula>0</formula>
    </cfRule>
  </conditionalFormatting>
  <conditionalFormatting sqref="J6:J38">
    <cfRule type="colorScale" priority="1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45:C77">
    <cfRule type="cellIs" dxfId="20" priority="13" stopIfTrue="1" operator="equal">
      <formula>0</formula>
    </cfRule>
  </conditionalFormatting>
  <conditionalFormatting sqref="C45:C77">
    <cfRule type="colorScale" priority="1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45:D77">
    <cfRule type="cellIs" dxfId="19" priority="11" stopIfTrue="1" operator="equal">
      <formula>0</formula>
    </cfRule>
  </conditionalFormatting>
  <conditionalFormatting sqref="D45:D77"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5:E77">
    <cfRule type="cellIs" dxfId="18" priority="9" stopIfTrue="1" operator="equal">
      <formula>0</formula>
    </cfRule>
  </conditionalFormatting>
  <conditionalFormatting sqref="E45:E77">
    <cfRule type="colorScale" priority="1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G45:G77">
    <cfRule type="cellIs" dxfId="17" priority="7" stopIfTrue="1" operator="equal">
      <formula>0</formula>
    </cfRule>
  </conditionalFormatting>
  <conditionalFormatting sqref="G45:G77"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H45:H77">
    <cfRule type="cellIs" dxfId="16" priority="5" stopIfTrue="1" operator="equal">
      <formula>0</formula>
    </cfRule>
  </conditionalFormatting>
  <conditionalFormatting sqref="H45:H77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84:C116">
    <cfRule type="cellIs" dxfId="15" priority="3" stopIfTrue="1" operator="equal">
      <formula>0</formula>
    </cfRule>
  </conditionalFormatting>
  <conditionalFormatting sqref="C84:C11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84:D116">
    <cfRule type="cellIs" dxfId="14" priority="1" stopIfTrue="1" operator="equal">
      <formula>0</formula>
    </cfRule>
  </conditionalFormatting>
  <conditionalFormatting sqref="D84:D11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8F2EF09-539D-F84C-B623-57716FDBE4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J45:J77</xm:sqref>
        </x14:conditionalFormatting>
        <x14:conditionalFormatting xmlns:xm="http://schemas.microsoft.com/office/excel/2006/main">
          <x14:cfRule type="expression" priority="31" id="{FA0B8CC3-B46A-2545-BADA-E3584849EDCE}">
            <xm:f>'Estimulos Nacionales'!$H$42&gt;0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A1:L1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8">
    <tabColor rgb="FF27AE60"/>
  </sheetPr>
  <dimension ref="A1:X40"/>
  <sheetViews>
    <sheetView showGridLines="0" zoomScale="130" zoomScaleNormal="130" workbookViewId="0">
      <pane xSplit="2" ySplit="5" topLeftCell="C6" activePane="bottomRight" state="frozen"/>
      <selection pane="topRight"/>
      <selection pane="bottomLeft"/>
      <selection pane="bottomRight" activeCell="E13" sqref="E13"/>
    </sheetView>
  </sheetViews>
  <sheetFormatPr baseColWidth="10" defaultRowHeight="16"/>
  <cols>
    <col min="1" max="1" width="28.6640625" customWidth="1"/>
    <col min="2" max="2" width="6" hidden="1" customWidth="1"/>
    <col min="3" max="10" width="12" customWidth="1"/>
    <col min="11" max="11" width="13" customWidth="1"/>
    <col min="12" max="12" width="11" customWidth="1"/>
    <col min="13" max="17" width="10.1640625" customWidth="1"/>
    <col min="18" max="18" width="17.83203125" customWidth="1"/>
    <col min="19" max="23" width="9.83203125" customWidth="1"/>
    <col min="24" max="24" width="14.83203125" customWidth="1"/>
    <col min="25" max="29" width="11.1640625" customWidth="1"/>
  </cols>
  <sheetData>
    <row r="1" spans="1:24" ht="26" customHeight="1">
      <c r="A1" s="493" t="str">
        <f>IF(SUM(DeltaF21c)=0,"Efectos sobre el Valor Agregado","Diferencias entre los proyectos en Valor Agregado")&amp;" — Paraguay"</f>
        <v>Diferencias entre los proyectos en Valor Agregado — Paraguay</v>
      </c>
      <c r="B1" s="493"/>
      <c r="C1" s="493"/>
      <c r="D1" s="493"/>
      <c r="E1" s="493"/>
      <c r="F1" s="493"/>
      <c r="G1" s="493"/>
      <c r="H1" s="493"/>
      <c r="I1" s="493"/>
      <c r="J1" s="493"/>
      <c r="K1" s="493"/>
      <c r="L1" s="493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</row>
    <row r="2" spans="1:24" ht="19" customHeight="1">
      <c r="A2" s="308" t="s">
        <v>556</v>
      </c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</row>
    <row r="3" spans="1:24" ht="20" customHeight="1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</row>
    <row r="4" spans="1:24" ht="20" customHeight="1">
      <c r="A4" s="114" t="s">
        <v>557</v>
      </c>
      <c r="B4" s="72"/>
      <c r="C4" s="73" t="s">
        <v>135</v>
      </c>
      <c r="D4" s="310" t="s">
        <v>182</v>
      </c>
      <c r="G4" s="309" t="s">
        <v>183</v>
      </c>
      <c r="J4" s="233" t="s">
        <v>184</v>
      </c>
      <c r="K4" s="74" t="s">
        <v>185</v>
      </c>
      <c r="L4" s="74" t="s">
        <v>186</v>
      </c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</row>
    <row r="5" spans="1:24" ht="20" customHeight="1" thickBot="1">
      <c r="A5" s="75" t="s">
        <v>5</v>
      </c>
      <c r="B5" s="76" t="s">
        <v>83</v>
      </c>
      <c r="C5" s="77"/>
      <c r="D5" s="78" t="s">
        <v>187</v>
      </c>
      <c r="E5" s="79" t="s">
        <v>188</v>
      </c>
      <c r="F5" s="80" t="s">
        <v>26</v>
      </c>
      <c r="G5" s="81" t="s">
        <v>187</v>
      </c>
      <c r="H5" s="79" t="s">
        <v>188</v>
      </c>
      <c r="I5" s="82" t="s">
        <v>26</v>
      </c>
      <c r="J5" s="234"/>
      <c r="K5" s="77"/>
      <c r="L5" s="77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</row>
    <row r="6" spans="1:24" ht="14" customHeight="1">
      <c r="A6" s="19" t="s">
        <v>582</v>
      </c>
      <c r="B6" s="83" t="s">
        <v>599</v>
      </c>
      <c r="C6" s="148" cm="1">
        <f t="array" ref="C6:C38">EInicial_21*TRANSPOSE(ValorAgregado21/VBP_21)</f>
        <v>0</v>
      </c>
      <c r="D6" s="148" cm="1">
        <f t="array" ref="D6:D38">EDirecto_21*TRANSPOSE(ValorAgregado21/VBP_21)</f>
        <v>-6.8817435272392729</v>
      </c>
      <c r="E6" s="148" cm="1">
        <f t="array" ref="E6:E38">EIDirecto_21*TRANSPOSE(ValorAgregado21/VBP_21)</f>
        <v>0</v>
      </c>
      <c r="F6" s="157">
        <f t="shared" ref="F6:F38" si="0">E6+D6</f>
        <v>-6.8817435272392729</v>
      </c>
      <c r="G6" s="148" cm="1">
        <f t="array" ref="G6:G38">EIndirecto21*TRANSPOSE(ValorAgregado21/VBP_21)</f>
        <v>1.2826058216849983</v>
      </c>
      <c r="H6" s="148" cm="1">
        <f t="array" ref="H6:H38">EIIndirecto_21*TRANSPOSE(ValorAgregado21/VBP_21)</f>
        <v>0</v>
      </c>
      <c r="I6" s="157">
        <f t="shared" ref="I6:I38" si="1">G6+H6</f>
        <v>1.2826058216849983</v>
      </c>
      <c r="J6" s="148" cm="1">
        <f t="array" ref="J6:J38">EInducido21*TRANSPOSE(ValorAgregado21/VBP_21)</f>
        <v>0.76141277866386559</v>
      </c>
      <c r="K6" s="157">
        <f t="shared" ref="K6:K38" si="2">J6+I6+F6+C6</f>
        <v>-4.8377249268904094</v>
      </c>
      <c r="L6" s="178" cm="1">
        <f t="array" ref="L6:L38">K6:K38/TRANSPOSE(ValorAgregado21)</f>
        <v>-1.3523019307011823E-3</v>
      </c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</row>
    <row r="7" spans="1:24" ht="14" customHeight="1">
      <c r="A7" s="19" t="s">
        <v>583</v>
      </c>
      <c r="B7" s="83" t="s">
        <v>600</v>
      </c>
      <c r="C7" s="148">
        <v>0</v>
      </c>
      <c r="D7" s="148">
        <v>18.728148203197836</v>
      </c>
      <c r="E7" s="148">
        <v>0</v>
      </c>
      <c r="F7" s="157">
        <f>E7+D7</f>
        <v>18.728148203197836</v>
      </c>
      <c r="G7" s="148">
        <v>0.66943295942337544</v>
      </c>
      <c r="H7" s="148">
        <v>0</v>
      </c>
      <c r="I7" s="157">
        <f>G7+H7</f>
        <v>0.66943295942337544</v>
      </c>
      <c r="J7" s="148">
        <v>0.46078640104989038</v>
      </c>
      <c r="K7" s="157">
        <f>J7+I7+F7+C7</f>
        <v>19.858367563671102</v>
      </c>
      <c r="L7" s="178">
        <v>1.6040684623320763E-2</v>
      </c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</row>
    <row r="8" spans="1:24" ht="14" customHeight="1">
      <c r="A8" s="19" t="s">
        <v>584</v>
      </c>
      <c r="B8" s="83" t="s">
        <v>601</v>
      </c>
      <c r="C8" s="148">
        <v>0</v>
      </c>
      <c r="D8" s="148">
        <v>7.4742414318127365E-2</v>
      </c>
      <c r="E8" s="148">
        <v>0</v>
      </c>
      <c r="F8" s="157">
        <f>E8+D8</f>
        <v>7.4742414318127365E-2</v>
      </c>
      <c r="G8" s="148">
        <v>0.18462227172714835</v>
      </c>
      <c r="H8" s="148">
        <v>0</v>
      </c>
      <c r="I8" s="157">
        <f>G8+H8</f>
        <v>0.18462227172714835</v>
      </c>
      <c r="J8" s="148">
        <v>5.087441836492744E-2</v>
      </c>
      <c r="K8" s="157">
        <f>J8+I8+F8+C8</f>
        <v>0.31023910441020319</v>
      </c>
      <c r="L8" s="178">
        <v>1.3297861312053286E-3</v>
      </c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</row>
    <row r="9" spans="1:24" ht="14" customHeight="1">
      <c r="A9" s="19" t="s">
        <v>585</v>
      </c>
      <c r="B9" s="83" t="s">
        <v>602</v>
      </c>
      <c r="C9" s="148">
        <v>0</v>
      </c>
      <c r="D9" s="148">
        <v>0</v>
      </c>
      <c r="E9" s="148">
        <v>0</v>
      </c>
      <c r="F9" s="157">
        <f>E9+D9</f>
        <v>0</v>
      </c>
      <c r="G9" s="148">
        <v>1.165338400211514E-4</v>
      </c>
      <c r="H9" s="148">
        <v>0</v>
      </c>
      <c r="I9" s="157">
        <f>G9+H9</f>
        <v>1.165338400211514E-4</v>
      </c>
      <c r="J9" s="148">
        <v>2.6278157908711561E-2</v>
      </c>
      <c r="K9" s="157">
        <f>J9+I9+F9+C9</f>
        <v>2.6394691748732713E-2</v>
      </c>
      <c r="L9" s="178">
        <v>7.1144721694697344E-4</v>
      </c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</row>
    <row r="10" spans="1:24" ht="14" customHeight="1">
      <c r="A10" s="21" t="s">
        <v>10</v>
      </c>
      <c r="B10" s="84" t="s">
        <v>91</v>
      </c>
      <c r="C10" s="151">
        <v>0</v>
      </c>
      <c r="D10" s="151">
        <v>7.6803624652307739E-4</v>
      </c>
      <c r="E10" s="151">
        <v>0</v>
      </c>
      <c r="F10" s="158">
        <f t="shared" si="0"/>
        <v>7.6803624652307739E-4</v>
      </c>
      <c r="G10" s="151">
        <v>8.8514383351361754E-3</v>
      </c>
      <c r="H10" s="151">
        <v>0</v>
      </c>
      <c r="I10" s="158">
        <f t="shared" si="1"/>
        <v>8.8514383351361754E-3</v>
      </c>
      <c r="J10" s="151">
        <v>2.5530885884970569E-2</v>
      </c>
      <c r="K10" s="158">
        <f t="shared" si="2"/>
        <v>3.5150360466629824E-2</v>
      </c>
      <c r="L10" s="179">
        <v>2.5361010437683859E-4</v>
      </c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</row>
    <row r="11" spans="1:24" ht="14" customHeight="1">
      <c r="A11" s="19" t="s">
        <v>586</v>
      </c>
      <c r="B11" s="83" t="s">
        <v>603</v>
      </c>
      <c r="C11" s="148">
        <v>33.868693386869339</v>
      </c>
      <c r="D11" s="148">
        <v>0.63947486378496632</v>
      </c>
      <c r="E11" s="148">
        <v>0</v>
      </c>
      <c r="F11" s="157">
        <f t="shared" si="0"/>
        <v>0.63947486378496632</v>
      </c>
      <c r="G11" s="148">
        <v>4.7069241066422247E-2</v>
      </c>
      <c r="H11" s="148">
        <v>0</v>
      </c>
      <c r="I11" s="157">
        <f t="shared" si="1"/>
        <v>4.7069241066422247E-2</v>
      </c>
      <c r="J11" s="148">
        <v>0.50137379459771492</v>
      </c>
      <c r="K11" s="157">
        <f t="shared" si="2"/>
        <v>35.056611286318443</v>
      </c>
      <c r="L11" s="179">
        <v>2.4738276258780917E-2</v>
      </c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</row>
    <row r="12" spans="1:24" ht="14" customHeight="1">
      <c r="A12" s="19" t="s">
        <v>587</v>
      </c>
      <c r="B12" s="83" t="s">
        <v>604</v>
      </c>
      <c r="C12" s="148">
        <v>-14.133155230596174</v>
      </c>
      <c r="D12" s="148">
        <v>1.8279720076385862E-2</v>
      </c>
      <c r="E12" s="148">
        <v>0</v>
      </c>
      <c r="F12" s="157">
        <f t="shared" ref="F12:F17" si="3">E12+D12</f>
        <v>1.8279720076385862E-2</v>
      </c>
      <c r="G12" s="148">
        <v>6.2873470125048542E-2</v>
      </c>
      <c r="H12" s="148">
        <v>0</v>
      </c>
      <c r="I12" s="157">
        <f t="shared" ref="I12:I17" si="4">G12+H12</f>
        <v>6.2873470125048542E-2</v>
      </c>
      <c r="J12" s="148">
        <v>7.8272635181077396E-2</v>
      </c>
      <c r="K12" s="157">
        <f t="shared" ref="K12:K17" si="5">J12+I12+F12+C12</f>
        <v>-13.973729405213662</v>
      </c>
      <c r="L12" s="179">
        <v>-2.0853200127165589E-2</v>
      </c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</row>
    <row r="13" spans="1:24" ht="14" customHeight="1">
      <c r="A13" s="19" t="s">
        <v>588</v>
      </c>
      <c r="B13" s="83" t="s">
        <v>87</v>
      </c>
      <c r="C13" s="148">
        <v>0</v>
      </c>
      <c r="D13" s="148">
        <v>2.0011197063373614E-3</v>
      </c>
      <c r="E13" s="148">
        <v>0</v>
      </c>
      <c r="F13" s="157">
        <f t="shared" si="3"/>
        <v>2.0011197063373614E-3</v>
      </c>
      <c r="G13" s="148">
        <v>4.7389366018639127E-2</v>
      </c>
      <c r="H13" s="148">
        <v>0</v>
      </c>
      <c r="I13" s="157">
        <f t="shared" si="4"/>
        <v>4.7389366018639127E-2</v>
      </c>
      <c r="J13" s="148">
        <v>0.25274632116673784</v>
      </c>
      <c r="K13" s="157">
        <f t="shared" si="5"/>
        <v>0.30213680689171435</v>
      </c>
      <c r="L13" s="179">
        <v>7.6801425239378331E-4</v>
      </c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</row>
    <row r="14" spans="1:24" ht="14" customHeight="1">
      <c r="A14" s="19" t="s">
        <v>589</v>
      </c>
      <c r="B14" s="83" t="s">
        <v>605</v>
      </c>
      <c r="C14" s="148">
        <v>0</v>
      </c>
      <c r="D14" s="148">
        <v>0.38274446570900528</v>
      </c>
      <c r="E14" s="148">
        <v>0</v>
      </c>
      <c r="F14" s="157">
        <f t="shared" si="3"/>
        <v>0.38274446570900528</v>
      </c>
      <c r="G14" s="148">
        <v>8.3264799900408137E-2</v>
      </c>
      <c r="H14" s="148">
        <v>0</v>
      </c>
      <c r="I14" s="157">
        <f t="shared" si="4"/>
        <v>8.3264799900408137E-2</v>
      </c>
      <c r="J14" s="148">
        <v>0.24962987391152278</v>
      </c>
      <c r="K14" s="157">
        <f t="shared" si="5"/>
        <v>0.71563913952093627</v>
      </c>
      <c r="L14" s="179">
        <v>1.4439853501229546E-3</v>
      </c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</row>
    <row r="15" spans="1:24" ht="14" customHeight="1">
      <c r="A15" s="19" t="s">
        <v>590</v>
      </c>
      <c r="B15" s="83" t="s">
        <v>606</v>
      </c>
      <c r="C15" s="148">
        <v>0</v>
      </c>
      <c r="D15" s="148">
        <v>3.4130261715609187E-3</v>
      </c>
      <c r="E15" s="148">
        <v>0</v>
      </c>
      <c r="F15" s="157">
        <f t="shared" si="3"/>
        <v>3.4130261715609187E-3</v>
      </c>
      <c r="G15" s="148">
        <v>2.6629042717057568E-2</v>
      </c>
      <c r="H15" s="148">
        <v>0</v>
      </c>
      <c r="I15" s="157">
        <f t="shared" si="4"/>
        <v>2.6629042717057568E-2</v>
      </c>
      <c r="J15" s="148">
        <v>0.15452041797577279</v>
      </c>
      <c r="K15" s="157">
        <f t="shared" si="5"/>
        <v>0.18456248686439128</v>
      </c>
      <c r="L15" s="179">
        <v>6.8129378687482932E-4</v>
      </c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</row>
    <row r="16" spans="1:24" ht="14" customHeight="1">
      <c r="A16" s="19" t="s">
        <v>591</v>
      </c>
      <c r="B16" s="83" t="s">
        <v>607</v>
      </c>
      <c r="C16" s="148">
        <v>0</v>
      </c>
      <c r="D16" s="148">
        <v>0.35382812245656819</v>
      </c>
      <c r="E16" s="148">
        <v>0</v>
      </c>
      <c r="F16" s="157">
        <f t="shared" si="3"/>
        <v>0.35382812245656819</v>
      </c>
      <c r="G16" s="148">
        <v>0.48898610114380142</v>
      </c>
      <c r="H16" s="148">
        <v>0</v>
      </c>
      <c r="I16" s="157">
        <f t="shared" si="4"/>
        <v>0.48898610114380142</v>
      </c>
      <c r="J16" s="148">
        <v>0.36882095523274999</v>
      </c>
      <c r="K16" s="157">
        <f t="shared" si="5"/>
        <v>1.2116351788331197</v>
      </c>
      <c r="L16" s="179">
        <v>1.931200476303984E-3</v>
      </c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</row>
    <row r="17" spans="1:24" ht="14" customHeight="1">
      <c r="A17" s="19" t="s">
        <v>592</v>
      </c>
      <c r="B17" s="83" t="s">
        <v>608</v>
      </c>
      <c r="C17" s="148">
        <v>0</v>
      </c>
      <c r="D17" s="148">
        <v>7.4149161523163771E-3</v>
      </c>
      <c r="E17" s="148">
        <v>0</v>
      </c>
      <c r="F17" s="157">
        <f t="shared" si="3"/>
        <v>7.4149161523163771E-3</v>
      </c>
      <c r="G17" s="148">
        <v>1.2613864516075626E-2</v>
      </c>
      <c r="H17" s="148">
        <v>0</v>
      </c>
      <c r="I17" s="157">
        <f t="shared" si="4"/>
        <v>1.2613864516075626E-2</v>
      </c>
      <c r="J17" s="148">
        <v>0.38596230807864118</v>
      </c>
      <c r="K17" s="157">
        <f t="shared" si="5"/>
        <v>0.40599108874703316</v>
      </c>
      <c r="L17" s="179">
        <v>6.367488844840546E-4</v>
      </c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</row>
    <row r="18" spans="1:24" ht="14" customHeight="1">
      <c r="A18" s="21" t="s">
        <v>593</v>
      </c>
      <c r="B18" s="84" t="s">
        <v>609</v>
      </c>
      <c r="C18" s="151">
        <v>0</v>
      </c>
      <c r="D18" s="151">
        <v>0.11772869923930064</v>
      </c>
      <c r="E18" s="151">
        <v>0</v>
      </c>
      <c r="F18" s="158">
        <f t="shared" si="0"/>
        <v>0.11772869923930064</v>
      </c>
      <c r="G18" s="151">
        <v>0.45197561812148002</v>
      </c>
      <c r="H18" s="151">
        <v>0</v>
      </c>
      <c r="I18" s="158">
        <f t="shared" si="1"/>
        <v>0.45197561812148002</v>
      </c>
      <c r="J18" s="151">
        <v>0.25186361825558795</v>
      </c>
      <c r="K18" s="158">
        <f t="shared" si="2"/>
        <v>0.82156793561636865</v>
      </c>
      <c r="L18" s="179">
        <v>1.6460988491612276E-3</v>
      </c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</row>
    <row r="19" spans="1:24" ht="14" customHeight="1">
      <c r="A19" s="21" t="s">
        <v>594</v>
      </c>
      <c r="B19" s="84" t="s">
        <v>610</v>
      </c>
      <c r="C19" s="151">
        <v>0</v>
      </c>
      <c r="D19" s="151">
        <v>5.0637266327937846E-3</v>
      </c>
      <c r="E19" s="151">
        <v>0</v>
      </c>
      <c r="F19" s="158">
        <f>E19+D19</f>
        <v>5.0637266327937846E-3</v>
      </c>
      <c r="G19" s="151">
        <v>8.9251290647496765E-3</v>
      </c>
      <c r="H19" s="151">
        <v>0</v>
      </c>
      <c r="I19" s="158">
        <f>G19+H19</f>
        <v>8.9251290647496765E-3</v>
      </c>
      <c r="J19" s="151">
        <v>6.0109354654325507E-2</v>
      </c>
      <c r="K19" s="158">
        <f>J19+I19+F19+C19</f>
        <v>7.4098210351868962E-2</v>
      </c>
      <c r="L19" s="179">
        <v>7.8660520543385321E-4</v>
      </c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</row>
    <row r="20" spans="1:24" ht="14" customHeight="1">
      <c r="A20" s="19" t="s">
        <v>595</v>
      </c>
      <c r="B20" s="83" t="s">
        <v>92</v>
      </c>
      <c r="C20" s="148">
        <v>0</v>
      </c>
      <c r="D20" s="148">
        <v>2.3155146217565818E-3</v>
      </c>
      <c r="E20" s="148">
        <v>0</v>
      </c>
      <c r="F20" s="157">
        <f t="shared" si="0"/>
        <v>2.3155146217565818E-3</v>
      </c>
      <c r="G20" s="148">
        <v>0.21416379773186109</v>
      </c>
      <c r="H20" s="148">
        <v>0</v>
      </c>
      <c r="I20" s="157">
        <f t="shared" si="1"/>
        <v>0.21416379773186109</v>
      </c>
      <c r="J20" s="148">
        <v>2.9348839112840603E-2</v>
      </c>
      <c r="K20" s="157">
        <f t="shared" si="2"/>
        <v>0.24582815146645828</v>
      </c>
      <c r="L20" s="178">
        <v>1.2103798693572539E-3</v>
      </c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</row>
    <row r="21" spans="1:24" ht="14" customHeight="1">
      <c r="A21" s="19" t="s">
        <v>596</v>
      </c>
      <c r="B21" s="83" t="s">
        <v>611</v>
      </c>
      <c r="C21" s="148">
        <v>0</v>
      </c>
      <c r="D21" s="148">
        <v>0.20912772135154148</v>
      </c>
      <c r="E21" s="148">
        <v>0</v>
      </c>
      <c r="F21" s="157">
        <f>E21+D21</f>
        <v>0.20912772135154148</v>
      </c>
      <c r="G21" s="148">
        <v>0.26106928598405182</v>
      </c>
      <c r="H21" s="148">
        <v>0</v>
      </c>
      <c r="I21" s="157">
        <f>G21+H21</f>
        <v>0.26106928598405182</v>
      </c>
      <c r="J21" s="148">
        <v>0.25923958540136494</v>
      </c>
      <c r="K21" s="157">
        <f>J21+I21+F21+C21</f>
        <v>0.72943659273695816</v>
      </c>
      <c r="L21" s="178">
        <v>1.4828961023316898E-3</v>
      </c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</row>
    <row r="22" spans="1:24" ht="14" customHeight="1">
      <c r="A22" s="21" t="s">
        <v>11</v>
      </c>
      <c r="B22" s="84" t="s">
        <v>93</v>
      </c>
      <c r="C22" s="151">
        <v>0</v>
      </c>
      <c r="D22" s="151">
        <v>0.20371157626578215</v>
      </c>
      <c r="E22" s="151">
        <v>0</v>
      </c>
      <c r="F22" s="158">
        <f t="shared" si="0"/>
        <v>0.20371157626578215</v>
      </c>
      <c r="G22" s="151">
        <v>0.25540989446966378</v>
      </c>
      <c r="H22" s="151">
        <v>0</v>
      </c>
      <c r="I22" s="158">
        <f t="shared" si="1"/>
        <v>0.25540989446966378</v>
      </c>
      <c r="J22" s="151">
        <v>0.61088534669236016</v>
      </c>
      <c r="K22" s="158">
        <f t="shared" si="2"/>
        <v>1.0700068174278061</v>
      </c>
      <c r="L22" s="179">
        <v>8.5402411798851164E-4</v>
      </c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</row>
    <row r="23" spans="1:24" ht="14" customHeight="1">
      <c r="A23" s="19" t="s">
        <v>12</v>
      </c>
      <c r="B23" s="83" t="s">
        <v>94</v>
      </c>
      <c r="C23" s="148">
        <v>0</v>
      </c>
      <c r="D23" s="148">
        <v>5.5716345608856589E-3</v>
      </c>
      <c r="E23" s="148">
        <v>0</v>
      </c>
      <c r="F23" s="157">
        <f t="shared" si="0"/>
        <v>5.5716345608856589E-3</v>
      </c>
      <c r="G23" s="148">
        <v>2.4102621203437802E-2</v>
      </c>
      <c r="H23" s="148">
        <v>0</v>
      </c>
      <c r="I23" s="157">
        <f t="shared" si="1"/>
        <v>2.4102621203437802E-2</v>
      </c>
      <c r="J23" s="148">
        <v>6.1081751990136136E-2</v>
      </c>
      <c r="K23" s="157">
        <f t="shared" si="2"/>
        <v>9.0756007754459606E-2</v>
      </c>
      <c r="L23" s="178">
        <v>2.8857236169939463E-4</v>
      </c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</row>
    <row r="24" spans="1:24" ht="14" customHeight="1">
      <c r="A24" s="21" t="s">
        <v>13</v>
      </c>
      <c r="B24" s="84" t="s">
        <v>95</v>
      </c>
      <c r="C24" s="151">
        <v>0</v>
      </c>
      <c r="D24" s="151">
        <v>2.6600702660070255E-3</v>
      </c>
      <c r="E24" s="151">
        <v>0</v>
      </c>
      <c r="F24" s="158">
        <f t="shared" si="0"/>
        <v>2.6600702660070255E-3</v>
      </c>
      <c r="G24" s="151">
        <v>3.836116023430005E-2</v>
      </c>
      <c r="H24" s="151">
        <v>0</v>
      </c>
      <c r="I24" s="158">
        <f t="shared" si="1"/>
        <v>3.836116023430005E-2</v>
      </c>
      <c r="J24" s="151">
        <v>2.6940135032037585E-2</v>
      </c>
      <c r="K24" s="158">
        <f t="shared" si="2"/>
        <v>6.796136553234465E-2</v>
      </c>
      <c r="L24" s="179">
        <v>6.1061424557362675E-4</v>
      </c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</row>
    <row r="25" spans="1:24" ht="14" customHeight="1">
      <c r="A25" s="19" t="s">
        <v>14</v>
      </c>
      <c r="B25" s="83" t="s">
        <v>96</v>
      </c>
      <c r="C25" s="148">
        <v>0</v>
      </c>
      <c r="D25" s="148">
        <v>1.8821564582872492E-2</v>
      </c>
      <c r="E25" s="148">
        <v>0</v>
      </c>
      <c r="F25" s="157">
        <f t="shared" si="0"/>
        <v>1.8821564582872492E-2</v>
      </c>
      <c r="G25" s="148">
        <v>0.12177132244854279</v>
      </c>
      <c r="H25" s="148">
        <v>0</v>
      </c>
      <c r="I25" s="157">
        <f t="shared" si="1"/>
        <v>0.12177132244854279</v>
      </c>
      <c r="J25" s="148">
        <v>7.4933834547088823E-2</v>
      </c>
      <c r="K25" s="157">
        <f t="shared" si="2"/>
        <v>0.21552672157850411</v>
      </c>
      <c r="L25" s="178">
        <v>4.9263250646515227E-4</v>
      </c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</row>
    <row r="26" spans="1:24" ht="14" customHeight="1">
      <c r="A26" s="21" t="s">
        <v>15</v>
      </c>
      <c r="B26" s="84" t="s">
        <v>97</v>
      </c>
      <c r="C26" s="151">
        <v>0</v>
      </c>
      <c r="D26" s="151">
        <v>5.4807759921987088E-3</v>
      </c>
      <c r="E26" s="151">
        <v>0</v>
      </c>
      <c r="F26" s="158">
        <f t="shared" si="0"/>
        <v>5.4807759921987088E-3</v>
      </c>
      <c r="G26" s="151">
        <v>1.277935599873933E-2</v>
      </c>
      <c r="H26" s="151">
        <v>0</v>
      </c>
      <c r="I26" s="158">
        <f t="shared" si="1"/>
        <v>1.277935599873933E-2</v>
      </c>
      <c r="J26" s="151">
        <v>2.9900667974051297E-2</v>
      </c>
      <c r="K26" s="158">
        <f t="shared" si="2"/>
        <v>4.8160799964989329E-2</v>
      </c>
      <c r="L26" s="179">
        <v>3.6735926746750061E-4</v>
      </c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</row>
    <row r="27" spans="1:24" ht="14" customHeight="1">
      <c r="A27" s="19" t="s">
        <v>16</v>
      </c>
      <c r="B27" s="83" t="s">
        <v>98</v>
      </c>
      <c r="C27" s="148">
        <v>0</v>
      </c>
      <c r="D27" s="148">
        <v>0.28927451647371755</v>
      </c>
      <c r="E27" s="148">
        <v>0</v>
      </c>
      <c r="F27" s="157">
        <f t="shared" si="0"/>
        <v>0.28927451647371755</v>
      </c>
      <c r="G27" s="148">
        <v>0.94289905272377783</v>
      </c>
      <c r="H27" s="148">
        <v>0</v>
      </c>
      <c r="I27" s="157">
        <f t="shared" si="1"/>
        <v>0.94289905272377783</v>
      </c>
      <c r="J27" s="148">
        <v>0.27144528304958376</v>
      </c>
      <c r="K27" s="157">
        <f t="shared" si="2"/>
        <v>1.5036188522470793</v>
      </c>
      <c r="L27" s="178">
        <v>2.4259742695177141E-3</v>
      </c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</row>
    <row r="28" spans="1:24" ht="14" customHeight="1">
      <c r="A28" s="21" t="s">
        <v>17</v>
      </c>
      <c r="B28" s="84" t="s">
        <v>99</v>
      </c>
      <c r="C28" s="151">
        <v>0</v>
      </c>
      <c r="D28" s="151">
        <v>0.42358359665578077</v>
      </c>
      <c r="E28" s="151">
        <v>0</v>
      </c>
      <c r="F28" s="158">
        <f t="shared" si="0"/>
        <v>0.42358359665578077</v>
      </c>
      <c r="G28" s="151">
        <v>1.1487508386439407</v>
      </c>
      <c r="H28" s="151">
        <v>0</v>
      </c>
      <c r="I28" s="158">
        <f t="shared" si="1"/>
        <v>1.1487508386439407</v>
      </c>
      <c r="J28" s="151">
        <v>0.82418120307231812</v>
      </c>
      <c r="K28" s="158">
        <f t="shared" si="2"/>
        <v>2.3965156383720396</v>
      </c>
      <c r="L28" s="179">
        <v>8.5097494438322559E-4</v>
      </c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</row>
    <row r="29" spans="1:24" ht="14" customHeight="1">
      <c r="A29" s="19" t="s">
        <v>18</v>
      </c>
      <c r="B29" s="83" t="s">
        <v>100</v>
      </c>
      <c r="C29" s="148">
        <v>0</v>
      </c>
      <c r="D29" s="148">
        <v>0</v>
      </c>
      <c r="E29" s="148">
        <v>0</v>
      </c>
      <c r="F29" s="157">
        <f t="shared" si="0"/>
        <v>0</v>
      </c>
      <c r="G29" s="148">
        <v>0.12854155891984767</v>
      </c>
      <c r="H29" s="148">
        <v>0</v>
      </c>
      <c r="I29" s="157">
        <f t="shared" si="1"/>
        <v>0.12854155891984767</v>
      </c>
      <c r="J29" s="148">
        <v>0.1317759860168414</v>
      </c>
      <c r="K29" s="157">
        <f t="shared" si="2"/>
        <v>0.26031754493668907</v>
      </c>
      <c r="L29" s="178">
        <v>8.7007435053540924E-5</v>
      </c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</row>
    <row r="30" spans="1:24" ht="14" customHeight="1">
      <c r="A30" s="21" t="s">
        <v>19</v>
      </c>
      <c r="B30" s="84" t="s">
        <v>101</v>
      </c>
      <c r="C30" s="151">
        <v>0</v>
      </c>
      <c r="D30" s="151">
        <v>4.8595266303470774</v>
      </c>
      <c r="E30" s="151">
        <v>0</v>
      </c>
      <c r="F30" s="158">
        <f t="shared" si="0"/>
        <v>4.8595266303470774</v>
      </c>
      <c r="G30" s="151">
        <v>2.1668012959459912</v>
      </c>
      <c r="H30" s="151">
        <v>0</v>
      </c>
      <c r="I30" s="158">
        <f t="shared" si="1"/>
        <v>2.1668012959459912</v>
      </c>
      <c r="J30" s="151">
        <v>1.9581311485111617</v>
      </c>
      <c r="K30" s="158">
        <f t="shared" si="2"/>
        <v>8.9844590748042314</v>
      </c>
      <c r="L30" s="179">
        <v>1.7174100766150996E-3</v>
      </c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</row>
    <row r="31" spans="1:24" ht="14" customHeight="1">
      <c r="A31" s="19" t="s">
        <v>20</v>
      </c>
      <c r="B31" s="83" t="s">
        <v>102</v>
      </c>
      <c r="C31" s="148">
        <v>0</v>
      </c>
      <c r="D31" s="148">
        <v>0.93731189922144142</v>
      </c>
      <c r="E31" s="148">
        <v>0</v>
      </c>
      <c r="F31" s="157">
        <f t="shared" si="0"/>
        <v>0.93731189922144142</v>
      </c>
      <c r="G31" s="148">
        <v>1.111111254396012</v>
      </c>
      <c r="H31" s="148">
        <v>0</v>
      </c>
      <c r="I31" s="157">
        <f t="shared" si="1"/>
        <v>1.111111254396012</v>
      </c>
      <c r="J31" s="148">
        <v>0.82714783525039159</v>
      </c>
      <c r="K31" s="157">
        <f t="shared" si="2"/>
        <v>2.8755709888678451</v>
      </c>
      <c r="L31" s="178">
        <v>1.5711785536377692E-3</v>
      </c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</row>
    <row r="32" spans="1:24" ht="14" customHeight="1">
      <c r="A32" s="21" t="s">
        <v>21</v>
      </c>
      <c r="B32" s="84" t="s">
        <v>103</v>
      </c>
      <c r="C32" s="151">
        <v>0</v>
      </c>
      <c r="D32" s="151">
        <v>3.8241868616684119E-2</v>
      </c>
      <c r="E32" s="151">
        <v>0</v>
      </c>
      <c r="F32" s="158">
        <f t="shared" si="0"/>
        <v>3.8241868616684119E-2</v>
      </c>
      <c r="G32" s="151">
        <v>0.13893941619241715</v>
      </c>
      <c r="H32" s="151">
        <v>0</v>
      </c>
      <c r="I32" s="158">
        <f t="shared" si="1"/>
        <v>0.13893941619241715</v>
      </c>
      <c r="J32" s="151">
        <v>0.53560577449272395</v>
      </c>
      <c r="K32" s="158">
        <f t="shared" si="2"/>
        <v>0.71278705930182518</v>
      </c>
      <c r="L32" s="179">
        <v>6.1500177679191129E-4</v>
      </c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</row>
    <row r="33" spans="1:24" ht="14" customHeight="1">
      <c r="A33" s="19" t="s">
        <v>22</v>
      </c>
      <c r="B33" s="83" t="s">
        <v>104</v>
      </c>
      <c r="C33" s="148">
        <v>0</v>
      </c>
      <c r="D33" s="148">
        <v>0.11705606713833802</v>
      </c>
      <c r="E33" s="148">
        <v>0</v>
      </c>
      <c r="F33" s="157">
        <f t="shared" si="0"/>
        <v>0.11705606713833802</v>
      </c>
      <c r="G33" s="148">
        <v>0.82367838764176704</v>
      </c>
      <c r="H33" s="148">
        <v>0</v>
      </c>
      <c r="I33" s="157">
        <f t="shared" si="1"/>
        <v>0.82367838764176704</v>
      </c>
      <c r="J33" s="148">
        <v>0.58692588803292833</v>
      </c>
      <c r="K33" s="157">
        <f t="shared" si="2"/>
        <v>1.5276603428130333</v>
      </c>
      <c r="L33" s="178">
        <v>1.3832491332968428E-3</v>
      </c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</row>
    <row r="34" spans="1:24" ht="14" customHeight="1">
      <c r="A34" s="21" t="s">
        <v>23</v>
      </c>
      <c r="B34" s="84" t="s">
        <v>105</v>
      </c>
      <c r="C34" s="151">
        <v>0</v>
      </c>
      <c r="D34" s="151">
        <v>0.83814524788443612</v>
      </c>
      <c r="E34" s="151">
        <v>0</v>
      </c>
      <c r="F34" s="158">
        <f t="shared" si="0"/>
        <v>0.83814524788443612</v>
      </c>
      <c r="G34" s="151">
        <v>3.5541499433288979</v>
      </c>
      <c r="H34" s="151">
        <v>0</v>
      </c>
      <c r="I34" s="158">
        <f t="shared" si="1"/>
        <v>3.5541499433288979</v>
      </c>
      <c r="J34" s="151">
        <v>1.2287629636285968</v>
      </c>
      <c r="K34" s="158">
        <f t="shared" si="2"/>
        <v>5.6210581548419309</v>
      </c>
      <c r="L34" s="179">
        <v>2.2176423856243074E-3</v>
      </c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</row>
    <row r="35" spans="1:24" ht="14" customHeight="1">
      <c r="A35" s="19" t="s">
        <v>24</v>
      </c>
      <c r="B35" s="83" t="s">
        <v>106</v>
      </c>
      <c r="C35" s="148">
        <v>0</v>
      </c>
      <c r="D35" s="148">
        <v>0.18852601969791158</v>
      </c>
      <c r="E35" s="148">
        <v>0</v>
      </c>
      <c r="F35" s="157">
        <f t="shared" si="0"/>
        <v>0.18852601969791158</v>
      </c>
      <c r="G35" s="148">
        <v>1.3642741005715791</v>
      </c>
      <c r="H35" s="148">
        <v>0</v>
      </c>
      <c r="I35" s="157">
        <f t="shared" si="1"/>
        <v>1.3642741005715791</v>
      </c>
      <c r="J35" s="148">
        <v>1.5203782609480669</v>
      </c>
      <c r="K35" s="157">
        <f t="shared" si="2"/>
        <v>3.0731783812175579</v>
      </c>
      <c r="L35" s="178">
        <v>1.1861431862355003E-3</v>
      </c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</row>
    <row r="36" spans="1:24" ht="14" customHeight="1">
      <c r="A36" s="21" t="s">
        <v>25</v>
      </c>
      <c r="B36" s="84" t="s">
        <v>107</v>
      </c>
      <c r="C36" s="151">
        <v>0</v>
      </c>
      <c r="D36" s="151">
        <v>0.31989302990850138</v>
      </c>
      <c r="E36" s="151">
        <v>0</v>
      </c>
      <c r="F36" s="158">
        <f t="shared" si="0"/>
        <v>0.31989302990850138</v>
      </c>
      <c r="G36" s="151">
        <v>1.2468589352766057</v>
      </c>
      <c r="H36" s="151">
        <v>0</v>
      </c>
      <c r="I36" s="158">
        <f t="shared" si="1"/>
        <v>1.2468589352766057</v>
      </c>
      <c r="J36" s="151">
        <v>0.48961898920691488</v>
      </c>
      <c r="K36" s="158">
        <f t="shared" si="2"/>
        <v>2.0563709543920221</v>
      </c>
      <c r="L36" s="179">
        <v>1.8596228562054817E-3</v>
      </c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</row>
    <row r="37" spans="1:24" ht="14" customHeight="1">
      <c r="A37" s="19" t="s">
        <v>597</v>
      </c>
      <c r="B37" s="83" t="s">
        <v>612</v>
      </c>
      <c r="C37" s="148">
        <v>0</v>
      </c>
      <c r="D37" s="148">
        <v>0.12286103238812421</v>
      </c>
      <c r="E37" s="148">
        <v>0</v>
      </c>
      <c r="F37" s="157">
        <f>E37+D37</f>
        <v>0.12286103238812421</v>
      </c>
      <c r="G37" s="148">
        <v>0.14828906004056941</v>
      </c>
      <c r="H37" s="148">
        <v>0</v>
      </c>
      <c r="I37" s="157">
        <f>G37+H37</f>
        <v>0.14828906004056941</v>
      </c>
      <c r="J37" s="148">
        <v>1.6342431057058637</v>
      </c>
      <c r="K37" s="157">
        <f>J37+I37+F37+C37</f>
        <v>1.9053931981345575</v>
      </c>
      <c r="L37" s="178">
        <v>8.1015060084806232E-4</v>
      </c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</row>
    <row r="38" spans="1:24" ht="14" customHeight="1">
      <c r="A38" s="19" t="s">
        <v>598</v>
      </c>
      <c r="B38" s="83" t="s">
        <v>613</v>
      </c>
      <c r="C38" s="148">
        <v>0</v>
      </c>
      <c r="D38" s="148">
        <v>1.7935573829848462E-3</v>
      </c>
      <c r="E38" s="148">
        <v>0</v>
      </c>
      <c r="F38" s="157">
        <f t="shared" si="0"/>
        <v>1.7935573829848462E-3</v>
      </c>
      <c r="G38" s="148">
        <v>5.9045347777664341E-3</v>
      </c>
      <c r="H38" s="148">
        <v>0</v>
      </c>
      <c r="I38" s="157">
        <f t="shared" si="1"/>
        <v>5.9045347777664341E-3</v>
      </c>
      <c r="J38" s="148">
        <v>2.8576352559437281</v>
      </c>
      <c r="K38" s="157">
        <f t="shared" si="2"/>
        <v>2.8653333481044796</v>
      </c>
      <c r="L38" s="178">
        <v>7.1870506373645018E-4</v>
      </c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</row>
    <row r="39" spans="1:24">
      <c r="A39" s="18"/>
      <c r="B39" s="18"/>
      <c r="C39" s="153"/>
      <c r="D39" s="153"/>
      <c r="E39" s="153"/>
      <c r="F39" s="153"/>
      <c r="G39" s="153"/>
      <c r="H39" s="153"/>
      <c r="I39" s="153"/>
      <c r="J39" s="153"/>
      <c r="K39" s="153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</row>
    <row r="40" spans="1:24" ht="18" customHeight="1">
      <c r="A40" s="85" t="s">
        <v>189</v>
      </c>
      <c r="B40" s="85"/>
      <c r="C40" s="159">
        <f t="shared" ref="C40:K40" si="6">SUM(C6:C38)</f>
        <v>19.735538156273165</v>
      </c>
      <c r="D40" s="159">
        <f t="shared" si="6"/>
        <v>22.035766109808488</v>
      </c>
      <c r="E40" s="159">
        <f t="shared" si="6"/>
        <v>0</v>
      </c>
      <c r="F40" s="159">
        <f t="shared" si="6"/>
        <v>22.035766109808488</v>
      </c>
      <c r="G40" s="159">
        <f t="shared" si="6"/>
        <v>17.083211474214128</v>
      </c>
      <c r="H40" s="159">
        <f t="shared" si="6"/>
        <v>0</v>
      </c>
      <c r="I40" s="159">
        <f t="shared" si="6"/>
        <v>17.083211474214128</v>
      </c>
      <c r="J40" s="160">
        <f t="shared" si="6"/>
        <v>17.586363775535499</v>
      </c>
      <c r="K40" s="161">
        <f t="shared" si="6"/>
        <v>76.440879515831313</v>
      </c>
      <c r="L40" s="180">
        <f>K40/'Matrices Nacionales'!AJ50</f>
        <v>1.837737606492863E-3</v>
      </c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</row>
  </sheetData>
  <mergeCells count="1">
    <mergeCell ref="A1:L1"/>
  </mergeCells>
  <conditionalFormatting sqref="K6:K38">
    <cfRule type="dataBar" priority="31">
      <dataBar>
        <cfvo type="min"/>
        <cfvo type="max"/>
        <color rgb="FF638EC6"/>
      </dataBar>
    </cfRule>
  </conditionalFormatting>
  <conditionalFormatting sqref="L6:L38">
    <cfRule type="dataBar" priority="32">
      <dataBar>
        <cfvo type="min"/>
        <cfvo type="max"/>
        <color rgb="FF63C384"/>
      </dataBar>
    </cfRule>
  </conditionalFormatting>
  <conditionalFormatting sqref="C6:C38">
    <cfRule type="cellIs" dxfId="12" priority="13" stopIfTrue="1" operator="equal">
      <formula>0</formula>
    </cfRule>
  </conditionalFormatting>
  <conditionalFormatting sqref="C6:C38">
    <cfRule type="colorScale" priority="1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6:D38">
    <cfRule type="cellIs" dxfId="11" priority="11" stopIfTrue="1" operator="equal">
      <formula>0</formula>
    </cfRule>
  </conditionalFormatting>
  <conditionalFormatting sqref="D6:D38"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6:E38">
    <cfRule type="cellIs" dxfId="10" priority="9" stopIfTrue="1" operator="equal">
      <formula>0</formula>
    </cfRule>
  </conditionalFormatting>
  <conditionalFormatting sqref="E6:E38">
    <cfRule type="colorScale" priority="1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G6:G38">
    <cfRule type="cellIs" dxfId="9" priority="7" stopIfTrue="1" operator="equal">
      <formula>0</formula>
    </cfRule>
  </conditionalFormatting>
  <conditionalFormatting sqref="G6:G38"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H6:H38">
    <cfRule type="cellIs" dxfId="8" priority="5" stopIfTrue="1" operator="equal">
      <formula>0</formula>
    </cfRule>
  </conditionalFormatting>
  <conditionalFormatting sqref="H6:H38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6:F38">
    <cfRule type="dataBar" priority="4">
      <dataBar>
        <cfvo type="min"/>
        <cfvo type="max"/>
        <color rgb="FF638EC6"/>
      </dataBar>
    </cfRule>
  </conditionalFormatting>
  <conditionalFormatting sqref="I6:I38">
    <cfRule type="dataBar" priority="3">
      <dataBar>
        <cfvo type="min"/>
        <cfvo type="max"/>
        <color rgb="FF638EC6"/>
      </dataBar>
    </cfRule>
  </conditionalFormatting>
  <conditionalFormatting sqref="J6:J38">
    <cfRule type="cellIs" dxfId="7" priority="1" stopIfTrue="1" operator="equal">
      <formula>0</formula>
    </cfRule>
  </conditionalFormatting>
  <conditionalFormatting sqref="J6:J38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" id="{5EC5F423-7AD1-BC42-B844-5B0FDFB89393}">
            <xm:f>'Estimulos Nacionales'!$H$42&gt;0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A1:L1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theme="5" tint="0.39997558519241921"/>
  </sheetPr>
  <dimension ref="A1:F39"/>
  <sheetViews>
    <sheetView showGridLines="0" zoomScale="143" workbookViewId="0">
      <selection activeCell="H16" sqref="H16"/>
    </sheetView>
  </sheetViews>
  <sheetFormatPr baseColWidth="10" defaultRowHeight="16"/>
  <cols>
    <col min="1" max="1" width="32" bestFit="1" customWidth="1"/>
    <col min="2" max="2" width="7" hidden="1" customWidth="1"/>
    <col min="3" max="4" width="18" customWidth="1"/>
    <col min="5" max="5" width="10.33203125" style="222" customWidth="1"/>
    <col min="6" max="6" width="22" customWidth="1"/>
  </cols>
  <sheetData>
    <row r="1" spans="1:6" ht="24" customHeight="1">
      <c r="A1" s="306" t="s">
        <v>200</v>
      </c>
    </row>
    <row r="2" spans="1:6" ht="14" customHeight="1">
      <c r="A2" s="23" t="s">
        <v>201</v>
      </c>
      <c r="B2" s="18"/>
      <c r="C2" s="18"/>
      <c r="D2" s="18"/>
      <c r="E2" s="18"/>
      <c r="F2" s="18"/>
    </row>
    <row r="3" spans="1:6" ht="32" customHeight="1">
      <c r="A3" s="24" t="s">
        <v>5</v>
      </c>
      <c r="B3" s="24" t="s">
        <v>83</v>
      </c>
      <c r="C3" s="24" t="s">
        <v>202</v>
      </c>
      <c r="D3" s="24" t="s">
        <v>203</v>
      </c>
      <c r="E3" s="24" t="s">
        <v>204</v>
      </c>
      <c r="F3" s="24" t="s">
        <v>205</v>
      </c>
    </row>
    <row r="4" spans="1:6" ht="14" customHeight="1">
      <c r="A4" s="287" t="s">
        <v>582</v>
      </c>
      <c r="B4" s="28" t="s">
        <v>599</v>
      </c>
      <c r="C4" s="285">
        <f>SUM(INDEX(L_21x21,,1))/(SUM(L_21x21)/33)</f>
        <v>0.94717283590503376</v>
      </c>
      <c r="D4" s="285">
        <f>SUM(INDEX(L_21x21,1,))/( SUM(L_21x21)/33)</f>
        <v>1.5527332333640527</v>
      </c>
      <c r="E4" s="283" cm="1">
        <f t="array" ref="E4:E36">Coef_trabajo</f>
        <v>63.325875501816853</v>
      </c>
      <c r="F4" s="283" t="str">
        <f t="shared" ref="F4:F36" si="0">IF(AND(C4&gt;1,D4&gt;1),"Clave",IF(AND(C4&gt;1,D4&lt;1),"Dependiente sobre oferta",IF(AND(C4&lt;1,D4&lt;1),"Independientes","Dependiente en Demanda")))</f>
        <v>Dependiente en Demanda</v>
      </c>
    </row>
    <row r="5" spans="1:6" ht="14" customHeight="1">
      <c r="A5" s="287" t="s">
        <v>583</v>
      </c>
      <c r="B5" s="28" t="s">
        <v>600</v>
      </c>
      <c r="C5" s="285">
        <f>SUM(INDEX(L_21x21,,2))/(SUM(L_21x21)/33)</f>
        <v>1.0168452102594505</v>
      </c>
      <c r="D5" s="285">
        <f>SUM(INDEX(L_21x21,2,))/( SUM(L_21x21)/33)</f>
        <v>1.1717679443533806</v>
      </c>
      <c r="E5" s="283">
        <v>42.626302185321528</v>
      </c>
      <c r="F5" s="283" t="str">
        <f>IF(AND(C5&gt;1,D5&gt;1),"Clave",IF(AND(C5&gt;1,D5&lt;1),"Dependiente sobre oferta",IF(AND(C5&lt;1,D5&lt;1),"Independientes","Dependiente en Demanda")))</f>
        <v>Clave</v>
      </c>
    </row>
    <row r="6" spans="1:6" ht="14" customHeight="1">
      <c r="A6" s="287" t="s">
        <v>584</v>
      </c>
      <c r="B6" s="28" t="s">
        <v>601</v>
      </c>
      <c r="C6" s="285">
        <f>SUM(INDEX(L_21x21,,3))/(SUM(L_21x21)/33)</f>
        <v>0.83654679269711441</v>
      </c>
      <c r="D6" s="285">
        <f>SUM(INDEX(L_21x21,3,))/( SUM(L_21x21)/33)</f>
        <v>0.99172502540940788</v>
      </c>
      <c r="E6" s="283">
        <v>53.506493506493499</v>
      </c>
      <c r="F6" s="283" t="str">
        <f>IF(AND(C6&gt;1,D6&gt;1),"Clave",IF(AND(C6&gt;1,D6&lt;1),"Dependiente sobre oferta",IF(AND(C6&lt;1,D6&lt;1),"Independientes","Dependiente en Demanda")))</f>
        <v>Independientes</v>
      </c>
    </row>
    <row r="7" spans="1:6" ht="14" customHeight="1">
      <c r="A7" s="287" t="s">
        <v>585</v>
      </c>
      <c r="B7" s="28" t="s">
        <v>602</v>
      </c>
      <c r="C7" s="285">
        <f>SUM(INDEX(L_21x21,,4))/(SUM(L_21x21)/33)</f>
        <v>0.82824096196236874</v>
      </c>
      <c r="D7" s="285">
        <f>SUM(INDEX(L_21x21,4,))/( SUM(L_21x21)/33)</f>
        <v>0.63250469784954821</v>
      </c>
      <c r="E7" s="283">
        <v>87.233273056057868</v>
      </c>
      <c r="F7" s="283" t="str">
        <f>IF(AND(C7&gt;1,D7&gt;1),"Clave",IF(AND(C7&gt;1,D7&lt;1),"Dependiente sobre oferta",IF(AND(C7&lt;1,D7&lt;1),"Independientes","Dependiente en Demanda")))</f>
        <v>Independientes</v>
      </c>
    </row>
    <row r="8" spans="1:6" ht="14" customHeight="1">
      <c r="A8" s="288" t="s">
        <v>10</v>
      </c>
      <c r="B8" s="29" t="s">
        <v>91</v>
      </c>
      <c r="C8" s="286">
        <f>SUM(INDEX(L_21x21,,5))/(SUM(L_21x21)/33)</f>
        <v>1.0271231804429439</v>
      </c>
      <c r="D8" s="286">
        <f>SUM(INDEX(L_21x21,5,))/( SUM(L_21x21)/33)</f>
        <v>0.79533082315720838</v>
      </c>
      <c r="E8" s="380">
        <v>10.171574310224903</v>
      </c>
      <c r="F8" s="284" t="str">
        <f t="shared" si="0"/>
        <v>Dependiente sobre oferta</v>
      </c>
    </row>
    <row r="9" spans="1:6" ht="14" customHeight="1">
      <c r="A9" s="287" t="s">
        <v>586</v>
      </c>
      <c r="B9" s="28" t="s">
        <v>603</v>
      </c>
      <c r="C9" s="285">
        <f>SUM(INDEX(L_21x21,,6))/(SUM(L_21x21)/33)</f>
        <v>1.2608849700672846</v>
      </c>
      <c r="D9" s="285">
        <f>SUM(INDEX(L_21x21,6,))/( SUM(L_21x21)/33)</f>
        <v>0.82064121147694791</v>
      </c>
      <c r="E9" s="283">
        <v>6.7754116775411672</v>
      </c>
      <c r="F9" s="283" t="str">
        <f t="shared" si="0"/>
        <v>Dependiente sobre oferta</v>
      </c>
    </row>
    <row r="10" spans="1:6" ht="14" customHeight="1">
      <c r="A10" s="287" t="s">
        <v>587</v>
      </c>
      <c r="B10" s="28" t="s">
        <v>604</v>
      </c>
      <c r="C10" s="285">
        <f>SUM(INDEX(L_21x21,,7))/(SUM(L_21x21)/33)</f>
        <v>1.1012934879583904</v>
      </c>
      <c r="D10" s="285">
        <f>SUM(INDEX(L_21x21,7,))/( SUM(L_21x21)/33)</f>
        <v>0.6917138810051594</v>
      </c>
      <c r="E10" s="283">
        <v>4.8987626546681664</v>
      </c>
      <c r="F10" s="283" t="str">
        <f t="shared" ref="F10:F15" si="1">IF(AND(C10&gt;1,D10&gt;1),"Clave",IF(AND(C10&gt;1,D10&lt;1),"Dependiente sobre oferta",IF(AND(C10&lt;1,D10&lt;1),"Independientes","Dependiente en Demanda")))</f>
        <v>Dependiente sobre oferta</v>
      </c>
    </row>
    <row r="11" spans="1:6" ht="14" customHeight="1">
      <c r="A11" s="287" t="s">
        <v>588</v>
      </c>
      <c r="B11" s="28" t="s">
        <v>87</v>
      </c>
      <c r="C11" s="285">
        <f>SUM(INDEX(L_21x21,,8))/(SUM(L_21x21)/33)</f>
        <v>1.16976745525266</v>
      </c>
      <c r="D11" s="285">
        <f>SUM(INDEX(L_21x21,8,))/( SUM(L_21x21)/33)</f>
        <v>0.69722381128258737</v>
      </c>
      <c r="E11" s="283">
        <v>7.8620836437160806</v>
      </c>
      <c r="F11" s="283" t="str">
        <f t="shared" si="1"/>
        <v>Dependiente sobre oferta</v>
      </c>
    </row>
    <row r="12" spans="1:6" ht="14" customHeight="1">
      <c r="A12" s="287" t="s">
        <v>589</v>
      </c>
      <c r="B12" s="28" t="s">
        <v>605</v>
      </c>
      <c r="C12" s="285">
        <f>SUM(INDEX(L_21x21,,9))/(SUM(L_21x21)/33)</f>
        <v>1.3332410334652451</v>
      </c>
      <c r="D12" s="285">
        <f>SUM(INDEX(L_21x21,9,))/( SUM(L_21x21)/33)</f>
        <v>0.78566686338907543</v>
      </c>
      <c r="E12" s="283">
        <v>12.637331032499283</v>
      </c>
      <c r="F12" s="283" t="str">
        <f t="shared" si="1"/>
        <v>Dependiente sobre oferta</v>
      </c>
    </row>
    <row r="13" spans="1:6" ht="14" customHeight="1">
      <c r="A13" s="287" t="s">
        <v>590</v>
      </c>
      <c r="B13" s="28" t="s">
        <v>606</v>
      </c>
      <c r="C13" s="285">
        <f>SUM(INDEX(L_21x21,,10))/(SUM(L_21x21)/33)</f>
        <v>0.84876904059441449</v>
      </c>
      <c r="D13" s="285">
        <f>SUM(INDEX(L_21x21,10,))/( SUM(L_21x21)/33)</f>
        <v>0.68055992805426335</v>
      </c>
      <c r="E13" s="283">
        <v>14.354243542435421</v>
      </c>
      <c r="F13" s="283" t="str">
        <f t="shared" si="1"/>
        <v>Independientes</v>
      </c>
    </row>
    <row r="14" spans="1:6" ht="14" customHeight="1">
      <c r="A14" s="287" t="s">
        <v>591</v>
      </c>
      <c r="B14" s="28" t="s">
        <v>607</v>
      </c>
      <c r="C14" s="285">
        <f>SUM(INDEX(L_21x21,,11))/(SUM(L_21x21)/33)</f>
        <v>1.1172851162273671</v>
      </c>
      <c r="D14" s="285">
        <f>SUM(INDEX(L_21x21,11,))/( SUM(L_21x21)/33)</f>
        <v>0.78050897109297346</v>
      </c>
      <c r="E14" s="283">
        <v>6.6192952897223654</v>
      </c>
      <c r="F14" s="283" t="str">
        <f t="shared" si="1"/>
        <v>Dependiente sobre oferta</v>
      </c>
    </row>
    <row r="15" spans="1:6" ht="14" customHeight="1">
      <c r="A15" s="287" t="s">
        <v>592</v>
      </c>
      <c r="B15" s="28" t="s">
        <v>608</v>
      </c>
      <c r="C15" s="285">
        <f>SUM(INDEX(L_21x21,,12))/(SUM(L_21x21)/33)</f>
        <v>1.0964817803045415</v>
      </c>
      <c r="D15" s="285">
        <f>SUM(INDEX(L_21x21,12,))/( SUM(L_21x21)/33)</f>
        <v>0.67941105219732978</v>
      </c>
      <c r="E15" s="283">
        <v>6.3279061624649851</v>
      </c>
      <c r="F15" s="283" t="str">
        <f t="shared" si="1"/>
        <v>Dependiente sobre oferta</v>
      </c>
    </row>
    <row r="16" spans="1:6" ht="14" customHeight="1">
      <c r="A16" s="288" t="s">
        <v>593</v>
      </c>
      <c r="B16" s="29" t="s">
        <v>609</v>
      </c>
      <c r="C16" s="286">
        <f>SUM(INDEX(L_21x21,,13))/(SUM(L_21x21)/33)</f>
        <v>0.92675608279539057</v>
      </c>
      <c r="D16" s="286">
        <f>SUM(INDEX(L_21x21,13,))/( SUM(L_21x21)/33)</f>
        <v>0.93867419310461697</v>
      </c>
      <c r="E16" s="380">
        <v>67.530695770804911</v>
      </c>
      <c r="F16" s="284" t="str">
        <f t="shared" si="0"/>
        <v>Independientes</v>
      </c>
    </row>
    <row r="17" spans="1:6" ht="14" customHeight="1">
      <c r="A17" s="288" t="s">
        <v>594</v>
      </c>
      <c r="B17" s="29" t="s">
        <v>610</v>
      </c>
      <c r="C17" s="286">
        <f>SUM(INDEX(L_21x21,,14))/(SUM(L_21x21)/33)</f>
        <v>1.1290527017328977</v>
      </c>
      <c r="D17" s="286">
        <f>SUM(INDEX(L_21x21,14,))/( SUM(L_21x21)/33)</f>
        <v>0.76795731835367353</v>
      </c>
      <c r="E17" s="380">
        <v>38.124310408238323</v>
      </c>
      <c r="F17" s="284" t="str">
        <f>IF(AND(C17&gt;1,D17&gt;1),"Clave",IF(AND(C17&gt;1,D17&lt;1),"Dependiente sobre oferta",IF(AND(C17&lt;1,D17&lt;1),"Independientes","Dependiente en Demanda")))</f>
        <v>Dependiente sobre oferta</v>
      </c>
    </row>
    <row r="18" spans="1:6" ht="14" customHeight="1">
      <c r="A18" s="287" t="s">
        <v>595</v>
      </c>
      <c r="B18" s="28" t="s">
        <v>92</v>
      </c>
      <c r="C18" s="285">
        <f>SUM(INDEX(L_21x21,,15))/(SUM(L_21x21)/33)</f>
        <v>1.237361018383228</v>
      </c>
      <c r="D18" s="285">
        <f>SUM(INDEX(L_21x21,15,))/( SUM(L_21x21)/33)</f>
        <v>0.93537523161055403</v>
      </c>
      <c r="E18" s="283">
        <v>27.107648274765459</v>
      </c>
      <c r="F18" s="283" t="str">
        <f t="shared" si="0"/>
        <v>Dependiente sobre oferta</v>
      </c>
    </row>
    <row r="19" spans="1:6" ht="14" customHeight="1">
      <c r="A19" s="287" t="s">
        <v>596</v>
      </c>
      <c r="B19" s="28" t="s">
        <v>611</v>
      </c>
      <c r="C19" s="285">
        <f>SUM(INDEX(L_21x21,,16))/(SUM(L_21x21)/33)</f>
        <v>1.0607715383421545</v>
      </c>
      <c r="D19" s="285">
        <f>SUM(INDEX(L_21x21,16,))/( SUM(L_21x21)/33)</f>
        <v>1.0360544392228486</v>
      </c>
      <c r="E19" s="283">
        <v>12.475849731663684</v>
      </c>
      <c r="F19" s="283" t="str">
        <f>IF(AND(C19&gt;1,D19&gt;1),"Clave",IF(AND(C19&gt;1,D19&lt;1),"Dependiente sobre oferta",IF(AND(C19&lt;1,D19&lt;1),"Independientes","Dependiente en Demanda")))</f>
        <v>Clave</v>
      </c>
    </row>
    <row r="20" spans="1:6" ht="14" customHeight="1">
      <c r="A20" s="288" t="s">
        <v>11</v>
      </c>
      <c r="B20" s="29" t="s">
        <v>93</v>
      </c>
      <c r="C20" s="286">
        <f>SUM(INDEX(L_21x21,,17))/(SUM(L_21x21)/33)</f>
        <v>1.006335235749936</v>
      </c>
      <c r="D20" s="286">
        <f>SUM(INDEX(L_21x21,17,))/( SUM(L_21x21)/33)</f>
        <v>1.2556126040333855</v>
      </c>
      <c r="E20" s="380">
        <v>6.7856371490280774</v>
      </c>
      <c r="F20" s="284" t="str">
        <f t="shared" si="0"/>
        <v>Clave</v>
      </c>
    </row>
    <row r="21" spans="1:6" ht="14" customHeight="1">
      <c r="A21" s="287" t="s">
        <v>12</v>
      </c>
      <c r="B21" s="28" t="s">
        <v>94</v>
      </c>
      <c r="C21" s="285">
        <f>SUM(INDEX(L_21x21,,18))/(SUM(L_21x21)/33)</f>
        <v>1.0698109388983992</v>
      </c>
      <c r="D21" s="285">
        <f>SUM(INDEX(L_21x21,18,))/( SUM(L_21x21)/33)</f>
        <v>0.80744746661635214</v>
      </c>
      <c r="E21" s="283">
        <v>34.96667878347268</v>
      </c>
      <c r="F21" s="283" t="str">
        <f t="shared" si="0"/>
        <v>Dependiente sobre oferta</v>
      </c>
    </row>
    <row r="22" spans="1:6" ht="14" customHeight="1">
      <c r="A22" s="288" t="s">
        <v>13</v>
      </c>
      <c r="B22" s="29" t="s">
        <v>95</v>
      </c>
      <c r="C22" s="286">
        <f>SUM(INDEX(L_21x21,,19))/(SUM(L_21x21)/33)</f>
        <v>0.83689868370365117</v>
      </c>
      <c r="D22" s="286">
        <f>SUM(INDEX(L_21x21,19,))/( SUM(L_21x21)/33)</f>
        <v>0.70496275778708417</v>
      </c>
      <c r="E22" s="380">
        <v>19.53</v>
      </c>
      <c r="F22" s="284" t="str">
        <f t="shared" si="0"/>
        <v>Independientes</v>
      </c>
    </row>
    <row r="23" spans="1:6" ht="14" customHeight="1">
      <c r="A23" s="287" t="s">
        <v>14</v>
      </c>
      <c r="B23" s="28" t="s">
        <v>96</v>
      </c>
      <c r="C23" s="285">
        <f>SUM(INDEX(L_21x21,,20))/(SUM(L_21x21)/33)</f>
        <v>0.94454083901325592</v>
      </c>
      <c r="D23" s="285">
        <f>SUM(INDEX(L_21x21,20,))/( SUM(L_21x21)/33)</f>
        <v>0.94770392584739416</v>
      </c>
      <c r="E23" s="283">
        <v>20.001949127765322</v>
      </c>
      <c r="F23" s="283" t="str">
        <f t="shared" si="0"/>
        <v>Independientes</v>
      </c>
    </row>
    <row r="24" spans="1:6" ht="14" customHeight="1">
      <c r="A24" s="288" t="s">
        <v>15</v>
      </c>
      <c r="B24" s="29" t="s">
        <v>97</v>
      </c>
      <c r="C24" s="286">
        <f>SUM(INDEX(L_21x21,,21))/(SUM(L_21x21)/33)</f>
        <v>1.0691750070958981</v>
      </c>
      <c r="D24" s="286">
        <f>SUM(INDEX(L_21x21,21,))/( SUM(L_21x21)/33)</f>
        <v>0.66851066472956566</v>
      </c>
      <c r="E24" s="380">
        <v>23.219464241828462</v>
      </c>
      <c r="F24" s="284" t="str">
        <f t="shared" si="0"/>
        <v>Dependiente sobre oferta</v>
      </c>
    </row>
    <row r="25" spans="1:6" ht="14" customHeight="1">
      <c r="A25" s="287" t="s">
        <v>16</v>
      </c>
      <c r="B25" s="28" t="s">
        <v>98</v>
      </c>
      <c r="C25" s="285">
        <f>SUM(INDEX(L_21x21,,22))/(SUM(L_21x21)/33)</f>
        <v>0.97525888368166003</v>
      </c>
      <c r="D25" s="285">
        <f>SUM(INDEX(L_21x21,22,))/( SUM(L_21x21)/33)</f>
        <v>1.1133068548995337</v>
      </c>
      <c r="E25" s="283">
        <v>25.473619041067625</v>
      </c>
      <c r="F25" s="283" t="str">
        <f t="shared" si="0"/>
        <v>Dependiente en Demanda</v>
      </c>
    </row>
    <row r="26" spans="1:6" ht="14" customHeight="1">
      <c r="A26" s="288" t="s">
        <v>17</v>
      </c>
      <c r="B26" s="29" t="s">
        <v>99</v>
      </c>
      <c r="C26" s="286">
        <f>SUM(INDEX(L_21x21,,23))/(SUM(L_21x21)/33)</f>
        <v>0.75820648504545685</v>
      </c>
      <c r="D26" s="286">
        <f>SUM(INDEX(L_21x21,23,))/( SUM(L_21x21)/33)</f>
        <v>1.2848320295112494</v>
      </c>
      <c r="E26" s="380">
        <v>7.5725429939128901</v>
      </c>
      <c r="F26" s="284" t="str">
        <f t="shared" si="0"/>
        <v>Dependiente en Demanda</v>
      </c>
    </row>
    <row r="27" spans="1:6" ht="14" customHeight="1">
      <c r="A27" s="287" t="s">
        <v>18</v>
      </c>
      <c r="B27" s="28" t="s">
        <v>100</v>
      </c>
      <c r="C27" s="285">
        <f>SUM(INDEX(L_21x21,,24))/(SUM(L_21x21)/33)</f>
        <v>1.0102511190338934</v>
      </c>
      <c r="D27" s="285">
        <f>SUM(INDEX(L_21x21,24,))/( SUM(L_21x21)/33)</f>
        <v>0.82667896651971828</v>
      </c>
      <c r="E27" s="283">
        <v>37.169431611367777</v>
      </c>
      <c r="F27" s="283" t="str">
        <f t="shared" si="0"/>
        <v>Dependiente sobre oferta</v>
      </c>
    </row>
    <row r="28" spans="1:6" ht="14" customHeight="1">
      <c r="A28" s="288" t="s">
        <v>19</v>
      </c>
      <c r="B28" s="29" t="s">
        <v>101</v>
      </c>
      <c r="C28" s="286">
        <f>SUM(INDEX(L_21x21,,25))/(SUM(L_21x21)/33)</f>
        <v>0.98473226013553106</v>
      </c>
      <c r="D28" s="286">
        <f>SUM(INDEX(L_21x21,25,))/( SUM(L_21x21)/33)</f>
        <v>2.6133267949469738</v>
      </c>
      <c r="E28" s="380">
        <v>82.254754216002866</v>
      </c>
      <c r="F28" s="284" t="str">
        <f t="shared" si="0"/>
        <v>Dependiente en Demanda</v>
      </c>
    </row>
    <row r="29" spans="1:6" ht="14" customHeight="1">
      <c r="A29" s="287" t="s">
        <v>20</v>
      </c>
      <c r="B29" s="28" t="s">
        <v>102</v>
      </c>
      <c r="C29" s="285">
        <f>SUM(INDEX(L_21x21,,26))/(SUM(L_21x21)/33)</f>
        <v>0.95308220005612654</v>
      </c>
      <c r="D29" s="285">
        <f>SUM(INDEX(L_21x21,26,))/( SUM(L_21x21)/33)</f>
        <v>1.2447382819014263</v>
      </c>
      <c r="E29" s="283">
        <v>22.018256846317374</v>
      </c>
      <c r="F29" s="283" t="str">
        <f t="shared" si="0"/>
        <v>Dependiente en Demanda</v>
      </c>
    </row>
    <row r="30" spans="1:6" ht="14" customHeight="1">
      <c r="A30" s="288" t="s">
        <v>21</v>
      </c>
      <c r="B30" s="29" t="s">
        <v>103</v>
      </c>
      <c r="C30" s="286">
        <f>SUM(INDEX(L_21x21,,27))/(SUM(L_21x21)/33)</f>
        <v>1.0818185543567476</v>
      </c>
      <c r="D30" s="286">
        <f>SUM(INDEX(L_21x21,27,))/( SUM(L_21x21)/33)</f>
        <v>0.75612525402859321</v>
      </c>
      <c r="E30" s="380">
        <v>48.145886048337843</v>
      </c>
      <c r="F30" s="284" t="str">
        <f t="shared" si="0"/>
        <v>Dependiente sobre oferta</v>
      </c>
    </row>
    <row r="31" spans="1:6" ht="14" customHeight="1">
      <c r="A31" s="287" t="s">
        <v>22</v>
      </c>
      <c r="B31" s="28" t="s">
        <v>104</v>
      </c>
      <c r="C31" s="285">
        <f>SUM(INDEX(L_21x21,,28))/(SUM(L_21x21)/33)</f>
        <v>1.0972679485587449</v>
      </c>
      <c r="D31" s="285">
        <f>SUM(INDEX(L_21x21,28,))/( SUM(L_21x21)/33)</f>
        <v>1.40412552155573</v>
      </c>
      <c r="E31" s="283">
        <v>18.092766427388185</v>
      </c>
      <c r="F31" s="283" t="str">
        <f t="shared" si="0"/>
        <v>Clave</v>
      </c>
    </row>
    <row r="32" spans="1:6" ht="14" customHeight="1">
      <c r="A32" s="288" t="s">
        <v>23</v>
      </c>
      <c r="B32" s="29" t="s">
        <v>105</v>
      </c>
      <c r="C32" s="286">
        <f>SUM(INDEX(L_21x21,,29))/(SUM(L_21x21)/33)</f>
        <v>0.82270502826132852</v>
      </c>
      <c r="D32" s="286">
        <f>SUM(INDEX(L_21x21,29,))/( SUM(L_21x21)/33)</f>
        <v>1.6510931281364831</v>
      </c>
      <c r="E32" s="380">
        <v>12.218046243122163</v>
      </c>
      <c r="F32" s="284" t="str">
        <f t="shared" si="0"/>
        <v>Dependiente en Demanda</v>
      </c>
    </row>
    <row r="33" spans="1:6" ht="14" customHeight="1">
      <c r="A33" s="287" t="s">
        <v>24</v>
      </c>
      <c r="B33" s="28" t="s">
        <v>106</v>
      </c>
      <c r="C33" s="285">
        <f>SUM(INDEX(L_21x21,,30))/(SUM(L_21x21)/33)</f>
        <v>0.72285062183887583</v>
      </c>
      <c r="D33" s="285">
        <f>SUM(INDEX(L_21x21,30,))/( SUM(L_21x21)/33)</f>
        <v>1.0090467471975035</v>
      </c>
      <c r="E33" s="283">
        <v>6.455915881171947</v>
      </c>
      <c r="F33" s="283" t="str">
        <f t="shared" si="0"/>
        <v>Dependiente en Demanda</v>
      </c>
    </row>
    <row r="34" spans="1:6" ht="14" customHeight="1">
      <c r="A34" s="288" t="s">
        <v>25</v>
      </c>
      <c r="B34" s="29" t="s">
        <v>107</v>
      </c>
      <c r="C34" s="286">
        <f>SUM(INDEX(L_21x21,,31))/(SUM(L_21x21)/33)</f>
        <v>1.023351363381181</v>
      </c>
      <c r="D34" s="286">
        <f>SUM(INDEX(L_21x21,31,))/( SUM(L_21x21)/33)</f>
        <v>1.3730611587662875</v>
      </c>
      <c r="E34" s="380">
        <v>69.094397903308845</v>
      </c>
      <c r="F34" s="284" t="str">
        <f t="shared" si="0"/>
        <v>Clave</v>
      </c>
    </row>
    <row r="35" spans="1:6" ht="14" customHeight="1">
      <c r="A35" s="287" t="s">
        <v>597</v>
      </c>
      <c r="B35" s="28" t="s">
        <v>612</v>
      </c>
      <c r="C35" s="285">
        <f>SUM(INDEX(L_21x21,,32))/(SUM(L_21x21)/33)</f>
        <v>0.89851901610006979</v>
      </c>
      <c r="D35" s="285">
        <f>SUM(INDEX(L_21x21,32,))/( SUM(L_21x21)/33)</f>
        <v>0.74854102544957635</v>
      </c>
      <c r="E35" s="283">
        <v>129.8656588783758</v>
      </c>
      <c r="F35" s="283" t="str">
        <f>IF(AND(C35&gt;1,D35&gt;1),"Clave",IF(AND(C35&gt;1,D35&lt;1),"Dependiente sobre oferta",IF(AND(C35&lt;1,D35&lt;1),"Independientes","Dependiente en Demanda")))</f>
        <v>Independientes</v>
      </c>
    </row>
    <row r="36" spans="1:6" ht="14" customHeight="1">
      <c r="A36" s="287" t="s">
        <v>598</v>
      </c>
      <c r="B36" s="28" t="s">
        <v>613</v>
      </c>
      <c r="C36" s="285">
        <f>SUM(INDEX(L_21x21,,33))/(SUM(L_21x21)/33)</f>
        <v>0.80760260869875444</v>
      </c>
      <c r="D36" s="285">
        <f>SUM(INDEX(L_21x21,33,))/( SUM(L_21x21)/33)</f>
        <v>0.63303819314951193</v>
      </c>
      <c r="E36" s="283">
        <v>52.355720362910823</v>
      </c>
      <c r="F36" s="283" t="str">
        <f t="shared" si="0"/>
        <v>Independientes</v>
      </c>
    </row>
    <row r="37" spans="1:6">
      <c r="A37" s="18"/>
      <c r="B37" s="18"/>
      <c r="C37" s="18"/>
      <c r="D37" s="18"/>
      <c r="E37" s="18"/>
      <c r="F37" s="30"/>
    </row>
    <row r="38" spans="1:6" ht="16" customHeight="1">
      <c r="A38" s="27" t="s">
        <v>189</v>
      </c>
      <c r="B38" s="27"/>
      <c r="C38" s="304">
        <f>SUM(C4:C36)</f>
        <v>32.999999999999993</v>
      </c>
      <c r="D38" s="304">
        <f>SUM(D4:D36)</f>
        <v>33</v>
      </c>
      <c r="E38" s="31"/>
      <c r="F38" s="31"/>
    </row>
    <row r="39" spans="1:6" ht="10" customHeight="1">
      <c r="A39" s="18"/>
      <c r="B39" s="18"/>
      <c r="C39" s="32"/>
      <c r="D39" s="32"/>
      <c r="E39" s="32"/>
      <c r="F39" s="18"/>
    </row>
  </sheetData>
  <conditionalFormatting sqref="E4:E36">
    <cfRule type="dataBar" priority="38">
      <dataBar>
        <cfvo type="min"/>
        <cfvo type="max"/>
        <color rgb="FF008AEF"/>
      </dataBar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2EB6-DF2C-D144-AA69-A74FE0B51BB9}">
  <sheetPr codeName="Hoja18">
    <tabColor theme="5" tint="0.39997558519241921"/>
  </sheetPr>
  <dimension ref="A1:J148"/>
  <sheetViews>
    <sheetView showGridLines="0" workbookViewId="0">
      <pane ySplit="1" topLeftCell="A49" activePane="bottomLeft" state="frozen"/>
      <selection pane="bottomLeft" activeCell="A100" sqref="A100:XFD102"/>
    </sheetView>
  </sheetViews>
  <sheetFormatPr baseColWidth="10" defaultColWidth="8.83203125" defaultRowHeight="16"/>
  <cols>
    <col min="1" max="1" width="13.83203125" style="222" customWidth="1"/>
    <col min="2" max="2" width="34" style="222" customWidth="1"/>
    <col min="3" max="3" width="13" style="222" customWidth="1"/>
    <col min="4" max="4" width="14" style="222" customWidth="1"/>
    <col min="5" max="8" width="12" style="222" customWidth="1"/>
    <col min="9" max="9" width="13" style="222" customWidth="1"/>
    <col min="10" max="10" width="10.5" style="222" bestFit="1" customWidth="1"/>
    <col min="11" max="16384" width="8.83203125" style="222"/>
  </cols>
  <sheetData>
    <row r="1" spans="1:9" ht="6" customHeight="1">
      <c r="A1" s="509"/>
      <c r="B1" s="434"/>
      <c r="C1" s="434"/>
      <c r="D1" s="434"/>
      <c r="E1" s="434"/>
      <c r="F1" s="434"/>
      <c r="G1" s="434"/>
      <c r="H1" s="434"/>
      <c r="I1" s="434"/>
    </row>
    <row r="2" spans="1:9" ht="22" customHeight="1">
      <c r="A2" s="510" t="s">
        <v>475</v>
      </c>
      <c r="B2" s="434"/>
      <c r="C2" s="434"/>
      <c r="D2" s="434"/>
      <c r="E2" s="434"/>
      <c r="F2" s="434"/>
      <c r="G2" s="434"/>
      <c r="H2" s="434"/>
      <c r="I2" s="434"/>
    </row>
    <row r="3" spans="1:9" ht="14" customHeight="1">
      <c r="A3" s="511" t="s">
        <v>476</v>
      </c>
      <c r="B3" s="434"/>
      <c r="C3" s="434"/>
      <c r="D3" s="434"/>
      <c r="E3" s="434"/>
      <c r="F3" s="434"/>
      <c r="G3" s="434"/>
      <c r="H3" s="434"/>
      <c r="I3" s="434"/>
    </row>
    <row r="5" spans="1:9" ht="16" customHeight="1">
      <c r="A5" s="512" t="s">
        <v>477</v>
      </c>
      <c r="B5" s="434"/>
      <c r="C5" s="434"/>
      <c r="D5" s="434"/>
      <c r="E5" s="434"/>
      <c r="F5" s="434"/>
      <c r="G5" s="434"/>
      <c r="H5" s="434"/>
      <c r="I5" s="434"/>
    </row>
    <row r="6" spans="1:9" ht="15" customHeight="1">
      <c r="A6" s="513" t="s">
        <v>478</v>
      </c>
      <c r="B6" s="508"/>
      <c r="C6" s="333">
        <f>SUM(Export_21)</f>
        <v>12419.2</v>
      </c>
    </row>
    <row r="7" spans="1:9" ht="15" customHeight="1">
      <c r="A7" s="507" t="s">
        <v>479</v>
      </c>
      <c r="B7" s="508"/>
      <c r="C7" s="335">
        <f>SUM(MMULT(L_21x21,Export_21))</f>
        <v>20236.751251729816</v>
      </c>
    </row>
    <row r="8" spans="1:9" ht="15" customHeight="1">
      <c r="A8" s="513" t="s">
        <v>480</v>
      </c>
      <c r="B8" s="508"/>
      <c r="C8" s="336">
        <f>SUMPRODUCT(Coef_trabajo,MMULT(L_21x21,Export_21))</f>
        <v>730521.00000057323</v>
      </c>
    </row>
    <row r="9" spans="1:9" ht="15" customHeight="1">
      <c r="A9" s="507" t="s">
        <v>481</v>
      </c>
      <c r="B9" s="508"/>
      <c r="C9" s="337">
        <f>$C$8/'Informacion Empleo'!C39</f>
        <v>0.23548413404789079</v>
      </c>
    </row>
    <row r="10" spans="1:9" ht="15" customHeight="1">
      <c r="A10" s="513" t="s">
        <v>482</v>
      </c>
      <c r="B10" s="508"/>
      <c r="C10" s="338">
        <f>$C$8/SUMPRODUCT(Coef_trabajo,Export_21)</f>
        <v>1.6950383675976399</v>
      </c>
    </row>
    <row r="11" spans="1:9" ht="15" customHeight="1">
      <c r="A11" s="507" t="s">
        <v>483</v>
      </c>
      <c r="B11" s="508"/>
      <c r="C11" s="335">
        <f>$C$8/$C$6</f>
        <v>58.821904792625382</v>
      </c>
    </row>
    <row r="13" spans="1:9" ht="16" customHeight="1">
      <c r="A13" s="512" t="s">
        <v>484</v>
      </c>
      <c r="B13" s="434"/>
      <c r="C13" s="434"/>
      <c r="D13" s="434"/>
      <c r="E13" s="434"/>
      <c r="F13" s="434"/>
      <c r="G13" s="434"/>
      <c r="H13" s="434"/>
      <c r="I13" s="434"/>
    </row>
    <row r="14" spans="1:9" ht="30" customHeight="1">
      <c r="A14" s="339" t="s">
        <v>83</v>
      </c>
      <c r="B14" s="340" t="s">
        <v>5</v>
      </c>
      <c r="C14" s="339" t="s">
        <v>485</v>
      </c>
      <c r="D14" s="339" t="s">
        <v>486</v>
      </c>
      <c r="E14" s="339" t="s">
        <v>487</v>
      </c>
      <c r="F14" s="339" t="s">
        <v>488</v>
      </c>
      <c r="G14" s="339" t="s">
        <v>489</v>
      </c>
      <c r="H14" s="339" t="s">
        <v>490</v>
      </c>
      <c r="I14" s="339" t="s">
        <v>491</v>
      </c>
    </row>
    <row r="15" spans="1:9" ht="16" customHeight="1">
      <c r="A15" s="341" t="s">
        <v>599</v>
      </c>
      <c r="B15" s="332" t="s">
        <v>582</v>
      </c>
      <c r="C15" s="342">
        <f>INDEX(Export_21,1)</f>
        <v>3055.9439607979398</v>
      </c>
      <c r="D15" s="342">
        <f>INDEX(MMULT(L_21x21,Export_21),1)</f>
        <v>4012.9802538178433</v>
      </c>
      <c r="E15" s="343">
        <f>INDEX(Coef_trabajo,1)*C15</f>
        <v>193520.32680201941</v>
      </c>
      <c r="F15" s="343">
        <f t="shared" ref="F15:F47" si="0">G15-E15</f>
        <v>60605.16114249872</v>
      </c>
      <c r="G15" s="344">
        <f>INDEX(Coef_trabajo,1)*D15</f>
        <v>254125.48794451813</v>
      </c>
      <c r="H15" s="345">
        <f>IFERROR(G15/$G$48,"")</f>
        <v>0.347868833263272</v>
      </c>
      <c r="I15" s="342">
        <f t="shared" ref="I15:I47" si="1">IFERROR(G15/C15,"")</f>
        <v>83.157770955382063</v>
      </c>
    </row>
    <row r="16" spans="1:9" ht="16" customHeight="1">
      <c r="A16" s="341" t="s">
        <v>600</v>
      </c>
      <c r="B16" s="332" t="s">
        <v>583</v>
      </c>
      <c r="C16" s="342">
        <f>INDEX(Export_21,2)</f>
        <v>76.88883773712476</v>
      </c>
      <c r="D16" s="342">
        <f>INDEX(MMULT(L_21x21,Export_21),2)</f>
        <v>939.28933960950576</v>
      </c>
      <c r="E16" s="343">
        <f>INDEX(Coef_trabajo,2)*C16</f>
        <v>3277.4868320608334</v>
      </c>
      <c r="F16" s="343">
        <f>G16-E16</f>
        <v>36760.944397585052</v>
      </c>
      <c r="G16" s="344">
        <f>INDEX(Coef_trabajo,2)*D16</f>
        <v>40038.431229645888</v>
      </c>
      <c r="H16" s="345">
        <f>IFERROR(G16/$G$48,"")</f>
        <v>5.4808049638017893E-2</v>
      </c>
      <c r="I16" s="342">
        <f>IFERROR(G16/C16,"")</f>
        <v>520.73138843031131</v>
      </c>
    </row>
    <row r="17" spans="1:9" ht="16" customHeight="1">
      <c r="A17" s="341" t="s">
        <v>601</v>
      </c>
      <c r="B17" s="332" t="s">
        <v>584</v>
      </c>
      <c r="C17" s="342">
        <f>INDEX(Export_21,3)</f>
        <v>43.217623835092468</v>
      </c>
      <c r="D17" s="342">
        <f>INDEX(MMULT(L_21x21,Export_21),3)</f>
        <v>96.235303107482864</v>
      </c>
      <c r="E17" s="343">
        <f>INDEX(Coef_trabajo,3)*C17</f>
        <v>2312.4235090984539</v>
      </c>
      <c r="F17" s="343">
        <f>G17-E17</f>
        <v>2836.7901117175115</v>
      </c>
      <c r="G17" s="344">
        <f>INDEX(Coef_trabajo,3)*D17</f>
        <v>5149.2136208159654</v>
      </c>
      <c r="H17" s="345">
        <f>IFERROR(G17/$G$48,"")</f>
        <v>7.0486866507765344E-3</v>
      </c>
      <c r="I17" s="342">
        <f>IFERROR(G17/C17,"")</f>
        <v>119.14615297833272</v>
      </c>
    </row>
    <row r="18" spans="1:9" ht="16" customHeight="1">
      <c r="A18" s="341" t="s">
        <v>602</v>
      </c>
      <c r="B18" s="332" t="s">
        <v>585</v>
      </c>
      <c r="C18" s="342">
        <f>INDEX(Export_21,4)</f>
        <v>4.9577629842812367E-2</v>
      </c>
      <c r="D18" s="342">
        <f>INDEX(MMULT(L_21x21,Export_21),4)</f>
        <v>0.21478533896163374</v>
      </c>
      <c r="E18" s="343">
        <f>INDEX(Coef_trabajo,4)*C18</f>
        <v>4.3248189215502144</v>
      </c>
      <c r="F18" s="343">
        <f>G18-E18</f>
        <v>14.411609200527927</v>
      </c>
      <c r="G18" s="344">
        <f>INDEX(Coef_trabajo,4)*D18</f>
        <v>18.736428122078141</v>
      </c>
      <c r="H18" s="345">
        <f>IFERROR(G18/$G$48,"")</f>
        <v>2.5648034925845306E-5</v>
      </c>
      <c r="I18" s="342">
        <f>IFERROR(G18/C18,"")</f>
        <v>377.92101359993711</v>
      </c>
    </row>
    <row r="19" spans="1:9" ht="14" customHeight="1">
      <c r="A19" s="346" t="s">
        <v>91</v>
      </c>
      <c r="B19" s="334" t="s">
        <v>10</v>
      </c>
      <c r="C19" s="347">
        <f>INDEX(Export_21,5)</f>
        <v>11.5</v>
      </c>
      <c r="D19" s="347">
        <f>INDEX(MMULT(L_21x21,Export_21),5)</f>
        <v>20.041164319649603</v>
      </c>
      <c r="E19" s="348">
        <f>INDEX(Coef_trabajo,5)*C19</f>
        <v>116.97310456758639</v>
      </c>
      <c r="F19" s="348">
        <f t="shared" si="0"/>
        <v>86.877087573157453</v>
      </c>
      <c r="G19" s="349">
        <f>INDEX(Coef_trabajo,5)*D19</f>
        <v>203.85019214074384</v>
      </c>
      <c r="H19" s="350">
        <f t="shared" ref="H19:H47" si="2">IFERROR(G19/$G$48,"")</f>
        <v>2.7904768259993056E-4</v>
      </c>
      <c r="I19" s="347">
        <f t="shared" si="1"/>
        <v>17.726103664412509</v>
      </c>
    </row>
    <row r="20" spans="1:9" ht="14" customHeight="1">
      <c r="A20" s="341" t="s">
        <v>603</v>
      </c>
      <c r="B20" s="332" t="s">
        <v>586</v>
      </c>
      <c r="C20" s="342">
        <f>INDEX(Export_21,6)</f>
        <v>1979.255839662841</v>
      </c>
      <c r="D20" s="342">
        <f>INDEX(MMULT(L_21x21,Export_21),6)</f>
        <v>2111.7028342867193</v>
      </c>
      <c r="E20" s="343">
        <f>INDEX(Coef_trabajo,6)*C20</f>
        <v>13410.273128893161</v>
      </c>
      <c r="F20" s="343">
        <f t="shared" si="0"/>
        <v>897.38291402985669</v>
      </c>
      <c r="G20" s="344">
        <f>INDEX(Coef_trabajo,6)*D20</f>
        <v>14307.656042923018</v>
      </c>
      <c r="H20" s="345">
        <f t="shared" si="2"/>
        <v>1.9585550645240576E-2</v>
      </c>
      <c r="I20" s="342">
        <f t="shared" si="1"/>
        <v>7.2288057744774799</v>
      </c>
    </row>
    <row r="21" spans="1:9" ht="14" customHeight="1">
      <c r="A21" s="341" t="s">
        <v>604</v>
      </c>
      <c r="B21" s="332" t="s">
        <v>587</v>
      </c>
      <c r="C21" s="342">
        <f>INDEX(Export_21,7)</f>
        <v>1111.485259213759</v>
      </c>
      <c r="D21" s="342">
        <f>INDEX(MMULT(L_21x21,Export_21),7)</f>
        <v>1141.2889429257868</v>
      </c>
      <c r="E21" s="343">
        <f>INDEX(Coef_trabajo,7)*C21</f>
        <v>5444.9024790505291</v>
      </c>
      <c r="F21" s="343">
        <f t="shared" ref="F21:F26" si="3">G21-E21</f>
        <v>146.00117274002423</v>
      </c>
      <c r="G21" s="344">
        <f>INDEX(Coef_trabajo,7)*D21</f>
        <v>5590.9036517905533</v>
      </c>
      <c r="H21" s="345">
        <f t="shared" ref="H21:H26" si="4">IFERROR(G21/$G$48,"")</f>
        <v>7.6533099688936611E-3</v>
      </c>
      <c r="I21" s="342">
        <f t="shared" ref="I21:I26" si="5">IFERROR(G21/C21,"")</f>
        <v>5.0301194779186176</v>
      </c>
    </row>
    <row r="22" spans="1:9" ht="14" customHeight="1">
      <c r="A22" s="341" t="s">
        <v>87</v>
      </c>
      <c r="B22" s="332" t="s">
        <v>588</v>
      </c>
      <c r="C22" s="342">
        <f>INDEX(Export_21,8)</f>
        <v>55.284533568544248</v>
      </c>
      <c r="D22" s="342">
        <f>INDEX(MMULT(L_21x21,Export_21),8)</f>
        <v>95.069174377903479</v>
      </c>
      <c r="E22" s="343">
        <f>INDEX(Coef_trabajo,8)*C22</f>
        <v>434.65162711972431</v>
      </c>
      <c r="F22" s="343">
        <f t="shared" si="3"/>
        <v>312.79017377838255</v>
      </c>
      <c r="G22" s="344">
        <f>INDEX(Coef_trabajo,8)*D22</f>
        <v>747.44180089810686</v>
      </c>
      <c r="H22" s="345">
        <f t="shared" si="4"/>
        <v>1.0231626481614086E-3</v>
      </c>
      <c r="I22" s="342">
        <f t="shared" si="5"/>
        <v>13.519907877515054</v>
      </c>
    </row>
    <row r="23" spans="1:9" ht="14" customHeight="1">
      <c r="A23" s="341" t="s">
        <v>605</v>
      </c>
      <c r="B23" s="332" t="s">
        <v>589</v>
      </c>
      <c r="C23" s="342">
        <f>INDEX(Export_21,9)</f>
        <v>474.17997671098698</v>
      </c>
      <c r="D23" s="342">
        <f>INDEX(MMULT(L_21x21,Export_21),9)</f>
        <v>597.17397895445424</v>
      </c>
      <c r="E23" s="343">
        <f>INDEX(Coef_trabajo,9)*C23</f>
        <v>5992.3693346795426</v>
      </c>
      <c r="F23" s="343">
        <f t="shared" si="3"/>
        <v>1554.3159213626559</v>
      </c>
      <c r="G23" s="344">
        <f>INDEX(Coef_trabajo,9)*D23</f>
        <v>7546.6852560421985</v>
      </c>
      <c r="H23" s="345">
        <f t="shared" si="4"/>
        <v>1.0330552107381276E-2</v>
      </c>
      <c r="I23" s="342">
        <f t="shared" si="5"/>
        <v>15.91523393372198</v>
      </c>
    </row>
    <row r="24" spans="1:9" ht="14" customHeight="1">
      <c r="A24" s="341" t="s">
        <v>606</v>
      </c>
      <c r="B24" s="332" t="s">
        <v>590</v>
      </c>
      <c r="C24" s="342">
        <f>INDEX(Export_21,10)</f>
        <v>48.240139121370341</v>
      </c>
      <c r="D24" s="342">
        <f>INDEX(MMULT(L_21x21,Export_21),10)</f>
        <v>72.618945208531827</v>
      </c>
      <c r="E24" s="343">
        <f>INDEX(Coef_trabajo,10)*C24</f>
        <v>692.45070546911654</v>
      </c>
      <c r="F24" s="343">
        <f t="shared" si="3"/>
        <v>349.93931984892322</v>
      </c>
      <c r="G24" s="344">
        <f>INDEX(Coef_trabajo,10)*D24</f>
        <v>1042.3900253180398</v>
      </c>
      <c r="H24" s="345">
        <f t="shared" si="4"/>
        <v>1.426913155565989E-3</v>
      </c>
      <c r="I24" s="342">
        <f t="shared" si="5"/>
        <v>21.608354459663278</v>
      </c>
    </row>
    <row r="25" spans="1:9" ht="14" customHeight="1">
      <c r="A25" s="341" t="s">
        <v>607</v>
      </c>
      <c r="B25" s="332" t="s">
        <v>591</v>
      </c>
      <c r="C25" s="342">
        <f>INDEX(Export_21,11)</f>
        <v>144.03835990648119</v>
      </c>
      <c r="D25" s="342">
        <f>INDEX(MMULT(L_21x21,Export_21),11)</f>
        <v>228.82232281927244</v>
      </c>
      <c r="E25" s="343">
        <f>INDEX(Coef_trabajo,11)*C25</f>
        <v>953.43243726830576</v>
      </c>
      <c r="F25" s="343">
        <f t="shared" si="3"/>
        <v>561.2100863526349</v>
      </c>
      <c r="G25" s="344">
        <f>INDEX(Coef_trabajo,11)*D25</f>
        <v>1514.6425236209407</v>
      </c>
      <c r="H25" s="345">
        <f t="shared" si="4"/>
        <v>2.0733730086058473E-3</v>
      </c>
      <c r="I25" s="342">
        <f t="shared" si="5"/>
        <v>10.515549639723352</v>
      </c>
    </row>
    <row r="26" spans="1:9" ht="14" customHeight="1">
      <c r="A26" s="341" t="s">
        <v>608</v>
      </c>
      <c r="B26" s="332" t="s">
        <v>592</v>
      </c>
      <c r="C26" s="342">
        <f>INDEX(Export_21,12)</f>
        <v>299.81589181601589</v>
      </c>
      <c r="D26" s="342">
        <f>INDEX(MMULT(L_21x21,Export_21),12)</f>
        <v>344.10794741093116</v>
      </c>
      <c r="E26" s="343">
        <f>INDEX(Coef_trabajo,12)*C26</f>
        <v>1897.2068294275023</v>
      </c>
      <c r="F26" s="343">
        <f t="shared" si="3"/>
        <v>280.2759715473062</v>
      </c>
      <c r="G26" s="344">
        <f>INDEX(Coef_trabajo,12)*D26</f>
        <v>2177.4828009748085</v>
      </c>
      <c r="H26" s="345">
        <f t="shared" si="4"/>
        <v>2.9807258120890432E-3</v>
      </c>
      <c r="I26" s="342">
        <f t="shared" si="5"/>
        <v>7.2627330985878356</v>
      </c>
    </row>
    <row r="27" spans="1:9" ht="14" customHeight="1">
      <c r="A27" s="346" t="s">
        <v>609</v>
      </c>
      <c r="B27" s="334" t="s">
        <v>593</v>
      </c>
      <c r="C27" s="347">
        <f>INDEX(Export_21,13)</f>
        <v>116.8301972795843</v>
      </c>
      <c r="D27" s="347">
        <f>INDEX(MMULT(L_21x21,Export_21),13)</f>
        <v>223.31618904198163</v>
      </c>
      <c r="E27" s="348">
        <f>INDEX(Coef_trabajo,13)*C27</f>
        <v>7889.6245093307271</v>
      </c>
      <c r="F27" s="348">
        <f t="shared" si="0"/>
        <v>7191.0731135588912</v>
      </c>
      <c r="G27" s="349">
        <f>INDEX(Coef_trabajo,13)*D27</f>
        <v>15080.697622889618</v>
      </c>
      <c r="H27" s="350">
        <f t="shared" si="2"/>
        <v>2.0643756473637014E-2</v>
      </c>
      <c r="I27" s="347">
        <f t="shared" si="1"/>
        <v>129.08218914327659</v>
      </c>
    </row>
    <row r="28" spans="1:9" ht="14" customHeight="1">
      <c r="A28" s="346" t="s">
        <v>610</v>
      </c>
      <c r="B28" s="334" t="s">
        <v>594</v>
      </c>
      <c r="C28" s="347">
        <f>INDEX(Export_21,14)</f>
        <v>23.969802720415711</v>
      </c>
      <c r="D28" s="347">
        <f>INDEX(MMULT(L_21x21,Export_21),14)</f>
        <v>36.940009220370477</v>
      </c>
      <c r="E28" s="348">
        <f>INDEX(Coef_trabajo,14)*C28</f>
        <v>913.83219933736393</v>
      </c>
      <c r="F28" s="348">
        <f>G28-E28</f>
        <v>494.48017866322596</v>
      </c>
      <c r="G28" s="349">
        <f>INDEX(Coef_trabajo,14)*D28</f>
        <v>1408.3123780005899</v>
      </c>
      <c r="H28" s="350">
        <f>IFERROR(G28/$G$48,"")</f>
        <v>1.9278191564643381E-3</v>
      </c>
      <c r="I28" s="347">
        <f>IFERROR(G28/C28,"")</f>
        <v>58.753607379550658</v>
      </c>
    </row>
    <row r="29" spans="1:9" ht="14" customHeight="1">
      <c r="A29" s="341" t="s">
        <v>92</v>
      </c>
      <c r="B29" s="332" t="s">
        <v>595</v>
      </c>
      <c r="C29" s="342">
        <f>INDEX(Export_21,15)</f>
        <v>7.8062663462338779</v>
      </c>
      <c r="D29" s="342">
        <f>INDEX(MMULT(L_21x21,Export_21),15)</f>
        <v>107.51130253832753</v>
      </c>
      <c r="E29" s="343">
        <f>INDEX(Coef_trabajo,15)*C29</f>
        <v>211.60952245284645</v>
      </c>
      <c r="F29" s="343">
        <f t="shared" si="0"/>
        <v>2702.7690523180354</v>
      </c>
      <c r="G29" s="344">
        <f>INDEX(Coef_trabajo,15)*D29</f>
        <v>2914.3785747708816</v>
      </c>
      <c r="H29" s="345">
        <f t="shared" si="2"/>
        <v>3.9894521509560915E-3</v>
      </c>
      <c r="I29" s="342">
        <f t="shared" si="1"/>
        <v>373.33834710583756</v>
      </c>
    </row>
    <row r="30" spans="1:9" ht="14" customHeight="1">
      <c r="A30" s="341" t="s">
        <v>611</v>
      </c>
      <c r="B30" s="332" t="s">
        <v>596</v>
      </c>
      <c r="C30" s="342">
        <f>INDEX(Export_21,16)</f>
        <v>10.89373365376612</v>
      </c>
      <c r="D30" s="342">
        <f>INDEX(MMULT(L_21x21,Export_21),16)</f>
        <v>194.05046254689827</v>
      </c>
      <c r="E30" s="343">
        <f>INDEX(Coef_trabajo,16)*C30</f>
        <v>135.90858408115369</v>
      </c>
      <c r="F30" s="343">
        <f>G30-E30</f>
        <v>2285.0358270137813</v>
      </c>
      <c r="G30" s="344">
        <f>INDEX(Coef_trabajo,16)*D30</f>
        <v>2420.9444110949348</v>
      </c>
      <c r="H30" s="345">
        <f>IFERROR(G30/$G$48,"")</f>
        <v>3.3139970118491258E-3</v>
      </c>
      <c r="I30" s="342">
        <f>IFERROR(G30/C30,"")</f>
        <v>222.23275215270016</v>
      </c>
    </row>
    <row r="31" spans="1:9" ht="14" customHeight="1">
      <c r="A31" s="346" t="s">
        <v>93</v>
      </c>
      <c r="B31" s="334" t="s">
        <v>11</v>
      </c>
      <c r="C31" s="347">
        <f>INDEX(Export_21,17)</f>
        <v>397.1</v>
      </c>
      <c r="D31" s="347">
        <f>INDEX(MMULT(L_21x21,Export_21),17)</f>
        <v>754.02591376178384</v>
      </c>
      <c r="E31" s="348">
        <f>INDEX(Coef_trabajo,17)*C31</f>
        <v>2694.5765118790496</v>
      </c>
      <c r="F31" s="348">
        <f t="shared" si="0"/>
        <v>2421.9697398727521</v>
      </c>
      <c r="G31" s="349">
        <f>INDEX(Coef_trabajo,17)*D31</f>
        <v>5116.5462517518017</v>
      </c>
      <c r="H31" s="350">
        <f t="shared" si="2"/>
        <v>7.0039687452486468E-3</v>
      </c>
      <c r="I31" s="347">
        <f t="shared" si="1"/>
        <v>12.884780286456312</v>
      </c>
    </row>
    <row r="32" spans="1:9" ht="14" customHeight="1">
      <c r="A32" s="341" t="s">
        <v>94</v>
      </c>
      <c r="B32" s="332" t="s">
        <v>12</v>
      </c>
      <c r="C32" s="342">
        <f>INDEX(Export_21,18)</f>
        <v>11.8</v>
      </c>
      <c r="D32" s="342">
        <f>INDEX(MMULT(L_21x21,Export_21),18)</f>
        <v>28.803843922012227</v>
      </c>
      <c r="E32" s="343">
        <f>INDEX(Coef_trabajo,18)*C32</f>
        <v>412.60680964497766</v>
      </c>
      <c r="F32" s="343">
        <f t="shared" si="0"/>
        <v>594.56794850530582</v>
      </c>
      <c r="G32" s="344">
        <f>INDEX(Coef_trabajo,18)*D32</f>
        <v>1007.1747581502834</v>
      </c>
      <c r="H32" s="345">
        <f t="shared" si="2"/>
        <v>1.3787074678886619E-3</v>
      </c>
      <c r="I32" s="342">
        <f t="shared" si="1"/>
        <v>85.353793063583339</v>
      </c>
    </row>
    <row r="33" spans="1:9" ht="14" customHeight="1">
      <c r="A33" s="346" t="s">
        <v>95</v>
      </c>
      <c r="B33" s="334" t="s">
        <v>13</v>
      </c>
      <c r="C33" s="347">
        <f>INDEX(Export_21,19)</f>
        <v>61.9</v>
      </c>
      <c r="D33" s="347">
        <f>INDEX(MMULT(L_21x21,Export_21),19)</f>
        <v>85.227299265557733</v>
      </c>
      <c r="E33" s="348">
        <f>INDEX(Coef_trabajo,19)*C33</f>
        <v>1208.9070000000002</v>
      </c>
      <c r="F33" s="348">
        <f t="shared" si="0"/>
        <v>455.58215465634248</v>
      </c>
      <c r="G33" s="349">
        <f>INDEX(Coef_trabajo,19)*D33</f>
        <v>1664.4891546563426</v>
      </c>
      <c r="H33" s="350">
        <f t="shared" si="2"/>
        <v>2.278495970211721E-3</v>
      </c>
      <c r="I33" s="347">
        <f t="shared" si="1"/>
        <v>26.889970188309253</v>
      </c>
    </row>
    <row r="34" spans="1:9" ht="14" customHeight="1">
      <c r="A34" s="341" t="s">
        <v>96</v>
      </c>
      <c r="B34" s="332" t="s">
        <v>14</v>
      </c>
      <c r="C34" s="342">
        <f>INDEX(Export_21,20)</f>
        <v>62.1</v>
      </c>
      <c r="D34" s="342">
        <f>INDEX(MMULT(L_21x21,Export_21),20)</f>
        <v>140.72189797812993</v>
      </c>
      <c r="E34" s="343">
        <f>INDEX(Coef_trabajo,20)*C34</f>
        <v>1242.1210408342265</v>
      </c>
      <c r="F34" s="343">
        <f t="shared" si="0"/>
        <v>1572.5912036869101</v>
      </c>
      <c r="G34" s="344">
        <f>INDEX(Coef_trabajo,20)*D34</f>
        <v>2814.7122445211367</v>
      </c>
      <c r="H34" s="345">
        <f t="shared" si="2"/>
        <v>3.8530203026592362E-3</v>
      </c>
      <c r="I34" s="342">
        <f t="shared" si="1"/>
        <v>45.325478977796081</v>
      </c>
    </row>
    <row r="35" spans="1:9" ht="14" customHeight="1">
      <c r="A35" s="346" t="s">
        <v>97</v>
      </c>
      <c r="B35" s="334" t="s">
        <v>15</v>
      </c>
      <c r="C35" s="347">
        <f>INDEX(Export_21,21)</f>
        <v>103.4</v>
      </c>
      <c r="D35" s="347">
        <f>INDEX(MMULT(L_21x21,Export_21),21)</f>
        <v>113.79440147141032</v>
      </c>
      <c r="E35" s="348">
        <f>INDEX(Coef_trabajo,21)*C35</f>
        <v>2400.8926026050631</v>
      </c>
      <c r="F35" s="348">
        <f t="shared" si="0"/>
        <v>241.35243328062097</v>
      </c>
      <c r="G35" s="349">
        <f>INDEX(Coef_trabajo,21)*D35</f>
        <v>2642.245035885684</v>
      </c>
      <c r="H35" s="350">
        <f t="shared" si="2"/>
        <v>3.6169323481236139E-3</v>
      </c>
      <c r="I35" s="347">
        <f t="shared" si="1"/>
        <v>25.553627039513383</v>
      </c>
    </row>
    <row r="36" spans="1:9" ht="14" customHeight="1">
      <c r="A36" s="341" t="s">
        <v>98</v>
      </c>
      <c r="B36" s="332" t="s">
        <v>16</v>
      </c>
      <c r="C36" s="342">
        <f>INDEX(Export_21,22)</f>
        <v>31.6</v>
      </c>
      <c r="D36" s="342">
        <f>INDEX(MMULT(L_21x21,Export_21),22)</f>
        <v>346.19337205424455</v>
      </c>
      <c r="E36" s="343">
        <f>INDEX(Coef_trabajo,22)*C36</f>
        <v>804.96636169773694</v>
      </c>
      <c r="F36" s="343">
        <f t="shared" si="0"/>
        <v>8013.8317125546755</v>
      </c>
      <c r="G36" s="344">
        <f>INDEX(Coef_trabajo,22)*D36</f>
        <v>8818.7980742524123</v>
      </c>
      <c r="H36" s="345">
        <f t="shared" si="2"/>
        <v>1.2071929587575842E-2</v>
      </c>
      <c r="I36" s="342">
        <f t="shared" si="1"/>
        <v>279.07588842570925</v>
      </c>
    </row>
    <row r="37" spans="1:9" ht="14" customHeight="1">
      <c r="A37" s="346" t="s">
        <v>99</v>
      </c>
      <c r="B37" s="334" t="s">
        <v>17</v>
      </c>
      <c r="C37" s="347">
        <f>INDEX(Export_21,23)</f>
        <v>1394.8</v>
      </c>
      <c r="D37" s="347">
        <f>INDEX(MMULT(L_21x21,Export_21),23)</f>
        <v>1847.1957220557522</v>
      </c>
      <c r="E37" s="348">
        <f>INDEX(Coef_trabajo,23)*C37</f>
        <v>10562.182967909699</v>
      </c>
      <c r="F37" s="348">
        <f t="shared" si="0"/>
        <v>3425.7860555294501</v>
      </c>
      <c r="G37" s="349">
        <f>INDEX(Coef_trabajo,23)*D37</f>
        <v>13987.969023439149</v>
      </c>
      <c r="H37" s="350">
        <f t="shared" si="2"/>
        <v>1.914793554658685E-2</v>
      </c>
      <c r="I37" s="347">
        <f t="shared" si="1"/>
        <v>10.028655738055026</v>
      </c>
    </row>
    <row r="38" spans="1:9" ht="14" customHeight="1">
      <c r="A38" s="341" t="s">
        <v>100</v>
      </c>
      <c r="B38" s="332" t="s">
        <v>18</v>
      </c>
      <c r="C38" s="342">
        <f>INDEX(Export_21,24)</f>
        <v>0</v>
      </c>
      <c r="D38" s="342">
        <f>INDEX(MMULT(L_21x21,Export_21),24)</f>
        <v>48.230853283965843</v>
      </c>
      <c r="E38" s="343">
        <f>INDEX(Coef_trabajo,24)*C38</f>
        <v>0</v>
      </c>
      <c r="F38" s="343">
        <f t="shared" si="0"/>
        <v>1792.7134026962813</v>
      </c>
      <c r="G38" s="344">
        <f>INDEX(Coef_trabajo,24)*D38</f>
        <v>1792.7134026962813</v>
      </c>
      <c r="H38" s="345">
        <f t="shared" si="2"/>
        <v>2.4540203535488706E-3</v>
      </c>
      <c r="I38" s="342" t="str">
        <f>IFERROR(G38/C38,"")</f>
        <v/>
      </c>
    </row>
    <row r="39" spans="1:9" ht="14" customHeight="1">
      <c r="A39" s="346" t="s">
        <v>101</v>
      </c>
      <c r="B39" s="334" t="s">
        <v>19</v>
      </c>
      <c r="C39" s="347">
        <f>INDEX(Export_21,25)</f>
        <v>1435.6</v>
      </c>
      <c r="D39" s="347">
        <f>INDEX(MMULT(L_21x21,Export_21),25)</f>
        <v>2523.7680405606625</v>
      </c>
      <c r="E39" s="348">
        <f>INDEX(Coef_trabajo,25)*C39</f>
        <v>118084.9251524937</v>
      </c>
      <c r="F39" s="348">
        <f t="shared" si="0"/>
        <v>89506.99472202675</v>
      </c>
      <c r="G39" s="349">
        <f>INDEX(Coef_trabajo,25)*D39</f>
        <v>207591.91987452045</v>
      </c>
      <c r="H39" s="350">
        <f t="shared" si="2"/>
        <v>0.2841696814661831</v>
      </c>
      <c r="I39" s="347">
        <f t="shared" si="1"/>
        <v>144.60289765569829</v>
      </c>
    </row>
    <row r="40" spans="1:9" ht="14" customHeight="1">
      <c r="A40" s="341" t="s">
        <v>102</v>
      </c>
      <c r="B40" s="332" t="s">
        <v>20</v>
      </c>
      <c r="C40" s="342">
        <f>INDEX(Export_21,26)</f>
        <v>593</v>
      </c>
      <c r="D40" s="342">
        <f>INDEX(MMULT(L_21x21,Export_21),26)</f>
        <v>1170.090456639414</v>
      </c>
      <c r="E40" s="343">
        <f>INDEX(Coef_trabajo,26)*C40</f>
        <v>13056.826309866203</v>
      </c>
      <c r="F40" s="343">
        <f t="shared" si="0"/>
        <v>12706.525897845197</v>
      </c>
      <c r="G40" s="344">
        <f>INDEX(Coef_trabajo,26)*D40</f>
        <v>25763.352207711399</v>
      </c>
      <c r="H40" s="345">
        <f t="shared" si="2"/>
        <v>3.5267093222085585E-2</v>
      </c>
      <c r="I40" s="342">
        <f t="shared" si="1"/>
        <v>43.445787871351435</v>
      </c>
    </row>
    <row r="41" spans="1:9" ht="14" customHeight="1">
      <c r="A41" s="346" t="s">
        <v>103</v>
      </c>
      <c r="B41" s="334" t="s">
        <v>21</v>
      </c>
      <c r="C41" s="347">
        <f>INDEX(Export_21,27)</f>
        <v>708.7</v>
      </c>
      <c r="D41" s="347">
        <f>INDEX(MMULT(L_21x21,Export_21),27)</f>
        <v>774.57835291776246</v>
      </c>
      <c r="E41" s="348">
        <f>INDEX(Coef_trabajo,27)*C41</f>
        <v>34120.98944245703</v>
      </c>
      <c r="F41" s="348">
        <f t="shared" si="0"/>
        <v>3171.7716726307772</v>
      </c>
      <c r="G41" s="349">
        <f>INDEX(Coef_trabajo,27)*D41</f>
        <v>37292.761115087807</v>
      </c>
      <c r="H41" s="350">
        <f t="shared" si="2"/>
        <v>5.1049540143347755E-2</v>
      </c>
      <c r="I41" s="347">
        <f t="shared" si="1"/>
        <v>52.621364632549465</v>
      </c>
    </row>
    <row r="42" spans="1:9" ht="14" customHeight="1">
      <c r="A42" s="341" t="s">
        <v>104</v>
      </c>
      <c r="B42" s="332" t="s">
        <v>22</v>
      </c>
      <c r="C42" s="342">
        <f>INDEX(Export_21,28)</f>
        <v>18.3</v>
      </c>
      <c r="D42" s="342">
        <f>INDEX(MMULT(L_21x21,Export_21),28)</f>
        <v>411.60420580619024</v>
      </c>
      <c r="E42" s="343">
        <f>INDEX(Coef_trabajo,28)*C42</f>
        <v>331.0976256212038</v>
      </c>
      <c r="F42" s="343">
        <f t="shared" si="0"/>
        <v>7115.9611305608123</v>
      </c>
      <c r="G42" s="344">
        <f>INDEX(Coef_trabajo,28)*D42</f>
        <v>7447.0587561820157</v>
      </c>
      <c r="H42" s="345">
        <f t="shared" si="2"/>
        <v>1.0194174782348724E-2</v>
      </c>
      <c r="I42" s="342">
        <f t="shared" si="1"/>
        <v>406.94310143071124</v>
      </c>
    </row>
    <row r="43" spans="1:9" ht="14" customHeight="1">
      <c r="A43" s="346" t="s">
        <v>105</v>
      </c>
      <c r="B43" s="334" t="s">
        <v>23</v>
      </c>
      <c r="C43" s="347">
        <f>INDEX(Export_21,29)</f>
        <v>18.8</v>
      </c>
      <c r="D43" s="347">
        <f>INDEX(MMULT(L_21x21,Export_21),29)</f>
        <v>721.72216528603212</v>
      </c>
      <c r="E43" s="348">
        <f>INDEX(Coef_trabajo,29)*C43</f>
        <v>229.69926937069667</v>
      </c>
      <c r="F43" s="348">
        <f t="shared" si="0"/>
        <v>8588.3355207803015</v>
      </c>
      <c r="G43" s="349">
        <f>INDEX(Coef_trabajo,29)*D43</f>
        <v>8818.0347901509977</v>
      </c>
      <c r="H43" s="350">
        <f t="shared" si="2"/>
        <v>1.2070884738623637E-2</v>
      </c>
      <c r="I43" s="347">
        <f t="shared" si="1"/>
        <v>469.04440373143603</v>
      </c>
    </row>
    <row r="44" spans="1:9" ht="14" customHeight="1">
      <c r="A44" s="341" t="s">
        <v>106</v>
      </c>
      <c r="B44" s="332" t="s">
        <v>24</v>
      </c>
      <c r="C44" s="342">
        <f>INDEX(Export_21,30)</f>
        <v>4.5</v>
      </c>
      <c r="D44" s="342">
        <f>INDEX(MMULT(L_21x21,Export_21),30)</f>
        <v>403.8730480844535</v>
      </c>
      <c r="E44" s="343">
        <f>INDEX(Coef_trabajo,30)*C44</f>
        <v>29.051621465273762</v>
      </c>
      <c r="F44" s="343">
        <f t="shared" si="0"/>
        <v>2578.3188036404708</v>
      </c>
      <c r="G44" s="344">
        <f>INDEX(Coef_trabajo,30)*D44</f>
        <v>2607.3704251057447</v>
      </c>
      <c r="H44" s="345">
        <f t="shared" si="2"/>
        <v>3.5691929802205533E-3</v>
      </c>
      <c r="I44" s="342">
        <f t="shared" si="1"/>
        <v>579.41565002349887</v>
      </c>
    </row>
    <row r="45" spans="1:9" ht="14" customHeight="1">
      <c r="A45" s="346" t="s">
        <v>107</v>
      </c>
      <c r="B45" s="334" t="s">
        <v>25</v>
      </c>
      <c r="C45" s="347">
        <f>INDEX(Export_21,31)</f>
        <v>110.1</v>
      </c>
      <c r="D45" s="347">
        <f>INDEX(MMULT(L_21x21,Export_21),31)</f>
        <v>572.95617335842064</v>
      </c>
      <c r="E45" s="348">
        <f>INDEX(Coef_trabajo,31)*C45</f>
        <v>7607.2932091543034</v>
      </c>
      <c r="F45" s="348">
        <f t="shared" si="0"/>
        <v>31980.768614029614</v>
      </c>
      <c r="G45" s="349">
        <f>INDEX(Coef_trabajo,31)*D45</f>
        <v>39588.061823183918</v>
      </c>
      <c r="H45" s="350">
        <f t="shared" si="2"/>
        <v>5.4191545243946246E-2</v>
      </c>
      <c r="I45" s="347">
        <f t="shared" si="1"/>
        <v>359.56459421602108</v>
      </c>
    </row>
    <row r="46" spans="1:9" ht="14" customHeight="1">
      <c r="A46" s="341" t="s">
        <v>612</v>
      </c>
      <c r="B46" s="332" t="s">
        <v>597</v>
      </c>
      <c r="C46" s="342">
        <f>INDEX(Export_21,32)</f>
        <v>7.2</v>
      </c>
      <c r="D46" s="342">
        <f>INDEX(MMULT(L_21x21,Export_21),32)</f>
        <v>70.692608868219395</v>
      </c>
      <c r="E46" s="343">
        <f>INDEX(Coef_trabajo,32)*C46</f>
        <v>935.03274392430581</v>
      </c>
      <c r="F46" s="343">
        <f>G46-E46</f>
        <v>8245.5094845783169</v>
      </c>
      <c r="G46" s="344">
        <f>INDEX(Coef_trabajo,32)*D46</f>
        <v>9180.5422285026234</v>
      </c>
      <c r="H46" s="345">
        <f>IFERROR(G46/$G$48,"")</f>
        <v>1.2567116110961108E-2</v>
      </c>
      <c r="I46" s="342">
        <f>IFERROR(G46/C46,"")</f>
        <v>1275.0753095142531</v>
      </c>
    </row>
    <row r="47" spans="1:9" ht="14" customHeight="1">
      <c r="A47" s="341" t="s">
        <v>613</v>
      </c>
      <c r="B47" s="332" t="s">
        <v>598</v>
      </c>
      <c r="C47" s="342">
        <f>INDEX(Export_21,33)</f>
        <v>0.9</v>
      </c>
      <c r="D47" s="342">
        <f>INDEX(MMULT(L_21x21,Export_21),33)</f>
        <v>1.9099408911867957</v>
      </c>
      <c r="E47" s="343">
        <f>INDEX(Coef_trabajo,33)*C47</f>
        <v>47.120148326619741</v>
      </c>
      <c r="F47" s="343">
        <f t="shared" si="0"/>
        <v>52.876182882044816</v>
      </c>
      <c r="G47" s="344">
        <f>INDEX(Coef_trabajo,33)*D47</f>
        <v>99.996331208664557</v>
      </c>
      <c r="H47" s="345">
        <f t="shared" si="2"/>
        <v>1.3688358200323618E-4</v>
      </c>
      <c r="I47" s="342">
        <f t="shared" si="1"/>
        <v>111.10703467629395</v>
      </c>
    </row>
    <row r="48" spans="1:9" ht="16" customHeight="1">
      <c r="A48" s="351"/>
      <c r="B48" s="352" t="s">
        <v>143</v>
      </c>
      <c r="C48" s="353">
        <f>SUM(C15:C47)</f>
        <v>12419.2</v>
      </c>
      <c r="D48" s="353">
        <f>SUM(D15:D47)</f>
        <v>20236.751251729816</v>
      </c>
      <c r="E48" s="354">
        <f>SUM(E15:E47)</f>
        <v>430976.08524102787</v>
      </c>
      <c r="F48" s="354">
        <f>SUM(F15:F47)</f>
        <v>299544.9147595453</v>
      </c>
      <c r="G48" s="354">
        <f>SUM(G15:G47)</f>
        <v>730521.00000057323</v>
      </c>
      <c r="H48" s="355">
        <v>1</v>
      </c>
      <c r="I48" s="353">
        <f>G48/C48</f>
        <v>58.821904792625382</v>
      </c>
    </row>
    <row r="51" spans="1:9" ht="16" customHeight="1">
      <c r="A51" s="512" t="s">
        <v>492</v>
      </c>
      <c r="B51" s="434"/>
      <c r="C51" s="434"/>
      <c r="D51" s="434"/>
      <c r="E51" s="434"/>
      <c r="F51" s="434"/>
      <c r="G51" s="434"/>
      <c r="H51" s="434"/>
      <c r="I51" s="434"/>
    </row>
    <row r="52" spans="1:9" ht="30" customHeight="1">
      <c r="A52" s="339" t="s">
        <v>493</v>
      </c>
      <c r="B52" s="339" t="s">
        <v>494</v>
      </c>
      <c r="C52" s="339" t="s">
        <v>495</v>
      </c>
      <c r="D52" s="339" t="s">
        <v>490</v>
      </c>
      <c r="E52" s="339" t="s">
        <v>496</v>
      </c>
      <c r="F52" s="339" t="s">
        <v>497</v>
      </c>
    </row>
    <row r="53" spans="1:9" ht="14" customHeight="1">
      <c r="A53" s="515" t="s">
        <v>158</v>
      </c>
      <c r="B53" s="332" t="s">
        <v>166</v>
      </c>
      <c r="C53" s="343">
        <f>SUMPRODUCT(Coef_trabajo_H,MMULT(L_21x21,Export_21))</f>
        <v>464275.41564467724</v>
      </c>
      <c r="D53" s="345">
        <f t="shared" ref="D53:D61" si="6">C53/$C$8</f>
        <v>0.63554013593628789</v>
      </c>
      <c r="E53" s="345">
        <f>'Informacion Empleo'!D77/'Informacion Empleo'!C77</f>
        <v>0.57918051298284545</v>
      </c>
      <c r="F53" s="356">
        <f t="shared" ref="F53:F61" si="7">(D53-E53)*100</f>
        <v>5.6359622953442434</v>
      </c>
    </row>
    <row r="54" spans="1:9" ht="14" customHeight="1">
      <c r="A54" s="516"/>
      <c r="B54" s="332" t="s">
        <v>162</v>
      </c>
      <c r="C54" s="343">
        <f>SUMPRODUCT(Coef_trabajo_M,MMULT(L_21x21,Export_21))</f>
        <v>266245.58435589605</v>
      </c>
      <c r="D54" s="345">
        <f t="shared" si="6"/>
        <v>0.36445986406371222</v>
      </c>
      <c r="E54" s="345">
        <f>'Informacion Empleo'!E77/'Informacion Empleo'!C77</f>
        <v>0.42081948701715455</v>
      </c>
      <c r="F54" s="356">
        <f t="shared" si="7"/>
        <v>-5.6359622953442319</v>
      </c>
    </row>
    <row r="55" spans="1:9" ht="14" customHeight="1">
      <c r="A55" s="517" t="s">
        <v>154</v>
      </c>
      <c r="B55" s="334" t="s">
        <v>498</v>
      </c>
      <c r="C55" s="348">
        <f>SUMPRODUCT(Coef_trabajo_Baja,MMULT(L_21x21,Export_21))</f>
        <v>320839.81831828103</v>
      </c>
      <c r="D55" s="350">
        <f t="shared" si="6"/>
        <v>0.4391931488869304</v>
      </c>
      <c r="E55" s="350">
        <f>'Informacion Empleo'!D115/'Informacion Empleo'!C115</f>
        <v>0.34015664321778449</v>
      </c>
      <c r="F55" s="357">
        <f t="shared" si="7"/>
        <v>9.9036505669145907</v>
      </c>
    </row>
    <row r="56" spans="1:9" ht="14" customHeight="1">
      <c r="A56" s="518"/>
      <c r="B56" s="334" t="s">
        <v>499</v>
      </c>
      <c r="C56" s="348">
        <f>SUMPRODUCT(Coef_trabajo_Media,MMULT(L_21x21,Export_21))</f>
        <v>251903.41255856279</v>
      </c>
      <c r="D56" s="350">
        <f t="shared" si="6"/>
        <v>0.34482706528404405</v>
      </c>
      <c r="E56" s="350">
        <f>'Informacion Empleo'!E115/'Informacion Empleo'!C115</f>
        <v>0.36053921576528208</v>
      </c>
      <c r="F56" s="357">
        <f t="shared" si="7"/>
        <v>-1.571215048123803</v>
      </c>
    </row>
    <row r="57" spans="1:9" ht="14" customHeight="1">
      <c r="A57" s="516"/>
      <c r="B57" s="334" t="s">
        <v>500</v>
      </c>
      <c r="C57" s="348">
        <f>SUMPRODUCT(Coef_trabajo_Alta,MMULT(L_21x21,Export_21))</f>
        <v>157777.76912372929</v>
      </c>
      <c r="D57" s="350">
        <f t="shared" si="6"/>
        <v>0.21597978582902544</v>
      </c>
      <c r="E57" s="350">
        <f>'Informacion Empleo'!F115/'Informacion Empleo'!C115</f>
        <v>0.29930414101693342</v>
      </c>
      <c r="F57" s="357">
        <f t="shared" si="7"/>
        <v>-8.332435518790799</v>
      </c>
    </row>
    <row r="58" spans="1:9" ht="14" customHeight="1">
      <c r="A58" s="515" t="s">
        <v>501</v>
      </c>
      <c r="B58" s="332" t="s">
        <v>163</v>
      </c>
      <c r="C58" s="343">
        <f>SUMPRODUCT(Coef_trabajo_Formal,MMULT(L_21x21,Export_21))</f>
        <v>199985.63990103087</v>
      </c>
      <c r="D58" s="345">
        <f t="shared" si="6"/>
        <v>0.27375755098193472</v>
      </c>
      <c r="E58" s="345">
        <f>'Informacion Empleo'!D153/'Informacion Empleo'!C153</f>
        <v>0.32504902151982668</v>
      </c>
      <c r="F58" s="356">
        <f t="shared" si="7"/>
        <v>-5.1291470537891959</v>
      </c>
    </row>
    <row r="59" spans="1:9" ht="14" customHeight="1">
      <c r="A59" s="516"/>
      <c r="B59" s="332" t="s">
        <v>167</v>
      </c>
      <c r="C59" s="343">
        <f>SUMPRODUCT(Coef_trabajo_Informal,MMULT(L_21x21,Export_21))</f>
        <v>530535.36009954254</v>
      </c>
      <c r="D59" s="345">
        <f t="shared" si="6"/>
        <v>0.72624244901806556</v>
      </c>
      <c r="E59" s="345">
        <f>'Informacion Empleo'!E153/'Informacion Empleo'!C153</f>
        <v>0.67495097848017327</v>
      </c>
      <c r="F59" s="356">
        <f t="shared" si="7"/>
        <v>5.1291470537892287</v>
      </c>
    </row>
    <row r="60" spans="1:9" ht="14" customHeight="1">
      <c r="A60" s="517" t="s">
        <v>502</v>
      </c>
      <c r="B60" s="334" t="s">
        <v>164</v>
      </c>
      <c r="C60" s="348">
        <f>SUMPRODUCT(Coef_trabajo_Urbano,MMULT(L_21x21,Export_21))</f>
        <v>356442.20621813956</v>
      </c>
      <c r="D60" s="350">
        <f t="shared" si="6"/>
        <v>0.48792876073084807</v>
      </c>
      <c r="E60" s="350">
        <f>'Informacion Empleo'!D191/'Informacion Empleo'!C191</f>
        <v>0.63166279254557001</v>
      </c>
      <c r="F60" s="357">
        <f t="shared" si="7"/>
        <v>-14.373403181472193</v>
      </c>
    </row>
    <row r="61" spans="1:9" ht="14" customHeight="1">
      <c r="A61" s="516"/>
      <c r="B61" s="334" t="s">
        <v>168</v>
      </c>
      <c r="C61" s="348">
        <f>SUMPRODUCT(Coef_trabajo_Rural,MMULT(L_21x21,Export_21))</f>
        <v>374078.79378243367</v>
      </c>
      <c r="D61" s="350">
        <f t="shared" si="6"/>
        <v>0.51207123926915188</v>
      </c>
      <c r="E61" s="350">
        <f>'Informacion Empleo'!E191/'Informacion Empleo'!C191</f>
        <v>0.36833720745443005</v>
      </c>
      <c r="F61" s="357">
        <f t="shared" si="7"/>
        <v>14.373403181472183</v>
      </c>
    </row>
    <row r="64" spans="1:9" ht="16" customHeight="1">
      <c r="A64" s="512" t="s">
        <v>503</v>
      </c>
      <c r="B64" s="434"/>
      <c r="C64" s="434"/>
      <c r="D64" s="434"/>
      <c r="E64" s="434"/>
      <c r="F64" s="434"/>
      <c r="G64" s="434"/>
      <c r="H64" s="434"/>
      <c r="I64" s="434"/>
    </row>
    <row r="65" spans="1:10" ht="26" customHeight="1">
      <c r="A65" s="514" t="s">
        <v>504</v>
      </c>
      <c r="B65" s="434"/>
      <c r="C65" s="434"/>
      <c r="D65" s="434"/>
      <c r="E65" s="434"/>
      <c r="F65" s="434"/>
      <c r="G65" s="434"/>
      <c r="H65" s="434"/>
      <c r="I65" s="434"/>
    </row>
    <row r="66" spans="1:10" ht="16" customHeight="1">
      <c r="A66" s="434"/>
      <c r="B66" s="434"/>
      <c r="C66" s="434"/>
      <c r="D66" s="434"/>
      <c r="E66" s="434"/>
      <c r="F66" s="434"/>
      <c r="G66" s="434"/>
      <c r="H66" s="434"/>
      <c r="I66" s="434"/>
    </row>
    <row r="67" spans="1:10" ht="26" customHeight="1">
      <c r="J67" s="369"/>
    </row>
    <row r="68" spans="1:10" ht="16" customHeight="1">
      <c r="A68" s="369"/>
      <c r="B68" s="369"/>
      <c r="C68" s="369"/>
      <c r="D68" s="369"/>
      <c r="E68" s="369"/>
      <c r="F68" s="369"/>
      <c r="G68" s="369"/>
      <c r="H68" s="369"/>
      <c r="I68" s="369"/>
      <c r="J68" s="369"/>
    </row>
    <row r="69" spans="1:10" ht="15" customHeight="1">
      <c r="A69" s="358" t="s">
        <v>523</v>
      </c>
      <c r="B69" s="369"/>
      <c r="C69" s="369"/>
      <c r="D69" s="369"/>
      <c r="E69" s="369"/>
      <c r="F69" s="369"/>
      <c r="G69" s="369"/>
      <c r="H69" s="369"/>
      <c r="I69" s="369"/>
      <c r="J69" s="369"/>
    </row>
    <row r="70" spans="1:10" ht="30" customHeight="1">
      <c r="A70" s="340" t="s">
        <v>111</v>
      </c>
      <c r="B70" s="339" t="s">
        <v>485</v>
      </c>
      <c r="C70" s="339" t="s">
        <v>486</v>
      </c>
      <c r="D70" s="339" t="s">
        <v>495</v>
      </c>
      <c r="E70" s="339" t="s">
        <v>524</v>
      </c>
      <c r="F70" s="339" t="s">
        <v>491</v>
      </c>
      <c r="G70" s="339" t="s">
        <v>525</v>
      </c>
      <c r="H70" s="369"/>
      <c r="I70" s="369"/>
      <c r="J70" s="369"/>
    </row>
    <row r="71" spans="1:10" ht="14" customHeight="1">
      <c r="A71" s="332" t="s">
        <v>68</v>
      </c>
      <c r="B71" s="342">
        <f>SUM(INDEX(Exp_Destino,0,1))</f>
        <v>2975.9070000000002</v>
      </c>
      <c r="C71" s="342">
        <f>SUM(MMULT(L_21x21,INDEX(Exp_Destino,0,1)))</f>
        <v>4576.0998785352467</v>
      </c>
      <c r="D71" s="344">
        <f>SUMPRODUCT(Coef_trabajo,MMULT(L_21x21,INDEX(Exp_Destino,0,1)))</f>
        <v>109609.06574691345</v>
      </c>
      <c r="E71" s="345">
        <f>IFERROR(D71/$D$81,"")</f>
        <v>0.21967840840111427</v>
      </c>
      <c r="F71" s="342">
        <f>IFERROR(D71/B71,"")</f>
        <v>36.83215427999378</v>
      </c>
      <c r="G71" s="345">
        <f>IFERROR(B71/$B$81,"")</f>
        <v>0.31252633019474346</v>
      </c>
      <c r="H71" s="369"/>
      <c r="I71" s="369"/>
      <c r="J71" s="369"/>
    </row>
    <row r="72" spans="1:10" ht="14" customHeight="1">
      <c r="A72" s="334" t="s">
        <v>69</v>
      </c>
      <c r="B72" s="342">
        <f>SUM(INDEX(Exp_Destino,0,2))</f>
        <v>452.35079999999994</v>
      </c>
      <c r="C72" s="342">
        <f>SUM(MMULT(L_21x21,INDEX(Exp_Destino,0,2)))</f>
        <v>747.60492175129832</v>
      </c>
      <c r="D72" s="344">
        <f>SUMPRODUCT(Coef_trabajo,MMULT(L_21x21,INDEX(Exp_Destino,0,2)))</f>
        <v>21306.789214041364</v>
      </c>
      <c r="E72" s="345">
        <f t="shared" ref="E72:E80" si="8">IFERROR(D72/$D$81,"")</f>
        <v>4.2703051164455719E-2</v>
      </c>
      <c r="F72" s="347">
        <f t="shared" ref="F72:F80" si="9">IFERROR(D72/B72,"")</f>
        <v>47.102357758715954</v>
      </c>
      <c r="G72" s="345">
        <f t="shared" ref="G72:G80" si="10">IFERROR(B72/$B$81,"")</f>
        <v>4.750536071344176E-2</v>
      </c>
      <c r="H72" s="369"/>
      <c r="I72" s="369"/>
      <c r="J72" s="369"/>
    </row>
    <row r="73" spans="1:10" ht="14" customHeight="1">
      <c r="A73" s="332" t="s">
        <v>70</v>
      </c>
      <c r="B73" s="342">
        <f>SUM(INDEX(Exp_Destino,0,3))</f>
        <v>0</v>
      </c>
      <c r="C73" s="342">
        <f>SUM(MMULT(L_21x21,INDEX(Exp_Destino,0,3)))</f>
        <v>0</v>
      </c>
      <c r="D73" s="344">
        <f>SUMPRODUCT(Coef_trabajo,MMULT(L_21x21,INDEX(Exp_Destino,0,3)))</f>
        <v>0</v>
      </c>
      <c r="E73" s="345">
        <f t="shared" si="8"/>
        <v>0</v>
      </c>
      <c r="F73" s="342" t="str">
        <f t="shared" si="9"/>
        <v/>
      </c>
      <c r="G73" s="345">
        <f t="shared" si="10"/>
        <v>0</v>
      </c>
      <c r="H73" s="369"/>
      <c r="I73" s="369"/>
      <c r="J73" s="369"/>
    </row>
    <row r="74" spans="1:10" ht="14" customHeight="1">
      <c r="A74" s="334" t="s">
        <v>71</v>
      </c>
      <c r="B74" s="342">
        <f>SUM(INDEX(Exp_Destino,0,4))</f>
        <v>312.97559999999999</v>
      </c>
      <c r="C74" s="342">
        <f>SUM(MMULT(L_21x21,INDEX(Exp_Destino,0,4)))</f>
        <v>576.35790864043179</v>
      </c>
      <c r="D74" s="344">
        <f>SUMPRODUCT(Coef_trabajo,MMULT(L_21x21,INDEX(Exp_Destino,0,4)))</f>
        <v>13191.698678064195</v>
      </c>
      <c r="E74" s="345">
        <f t="shared" si="8"/>
        <v>2.6438792721721838E-2</v>
      </c>
      <c r="F74" s="347">
        <f t="shared" si="9"/>
        <v>42.149287925525812</v>
      </c>
      <c r="G74" s="345">
        <f t="shared" si="10"/>
        <v>3.2868337521467554E-2</v>
      </c>
      <c r="H74" s="369"/>
      <c r="I74" s="369"/>
      <c r="J74" s="369"/>
    </row>
    <row r="75" spans="1:10" ht="14" customHeight="1">
      <c r="A75" s="332" t="s">
        <v>72</v>
      </c>
      <c r="B75" s="342">
        <f>SUM(INDEX(Exp_Destino,0,5))</f>
        <v>3019.8332</v>
      </c>
      <c r="C75" s="342">
        <f>SUM(MMULT(L_21x21,INDEX(Exp_Destino,0,5)))</f>
        <v>4489.2591142701676</v>
      </c>
      <c r="D75" s="344">
        <f>SUMPRODUCT(Coef_trabajo,MMULT(L_21x21,INDEX(Exp_Destino,0,5)))</f>
        <v>226739.51441526253</v>
      </c>
      <c r="E75" s="345">
        <f t="shared" si="8"/>
        <v>0.45443116688355684</v>
      </c>
      <c r="F75" s="342">
        <f t="shared" si="9"/>
        <v>75.083456402579628</v>
      </c>
      <c r="G75" s="345">
        <f t="shared" si="10"/>
        <v>0.31713940919398648</v>
      </c>
      <c r="H75" s="369"/>
      <c r="I75" s="369"/>
      <c r="J75" s="369"/>
    </row>
    <row r="76" spans="1:10" ht="14" customHeight="1">
      <c r="A76" s="334" t="s">
        <v>73</v>
      </c>
      <c r="B76" s="342">
        <f>SUM(INDEX(Exp_Destino,0,6))</f>
        <v>0</v>
      </c>
      <c r="C76" s="342">
        <f>SUM(MMULT(L_21x21,INDEX(Exp_Destino,0,6)))</f>
        <v>0</v>
      </c>
      <c r="D76" s="344">
        <f>SUMPRODUCT(Coef_trabajo,MMULT(L_21x21,INDEX(Exp_Destino,0,6)))</f>
        <v>0</v>
      </c>
      <c r="E76" s="345">
        <f t="shared" si="8"/>
        <v>0</v>
      </c>
      <c r="F76" s="347" t="str">
        <f t="shared" si="9"/>
        <v/>
      </c>
      <c r="G76" s="345">
        <f t="shared" si="10"/>
        <v>0</v>
      </c>
      <c r="H76" s="369"/>
      <c r="I76" s="369"/>
      <c r="J76" s="369"/>
    </row>
    <row r="77" spans="1:10" ht="14" customHeight="1">
      <c r="A77" s="332" t="s">
        <v>74</v>
      </c>
      <c r="B77" s="342">
        <f>SUM(INDEX(Exp_Destino,0,7))</f>
        <v>1588.3298000000007</v>
      </c>
      <c r="C77" s="342">
        <f>SUM(MMULT(L_21x21,INDEX(Exp_Destino,0,7)))</f>
        <v>3001.6409664089074</v>
      </c>
      <c r="D77" s="344">
        <f>SUMPRODUCT(Coef_trabajo,MMULT(L_21x21,INDEX(Exp_Destino,0,7)))</f>
        <v>73058.696494017568</v>
      </c>
      <c r="E77" s="345">
        <f t="shared" si="8"/>
        <v>0.14642418541112137</v>
      </c>
      <c r="F77" s="342">
        <f t="shared" si="9"/>
        <v>45.99718301200263</v>
      </c>
      <c r="G77" s="345">
        <f t="shared" si="10"/>
        <v>0.16680456866862808</v>
      </c>
      <c r="H77" s="369"/>
      <c r="I77" s="369"/>
      <c r="J77" s="369"/>
    </row>
    <row r="78" spans="1:10" ht="14" customHeight="1">
      <c r="A78" s="334" t="s">
        <v>75</v>
      </c>
      <c r="B78" s="342">
        <f>SUM(INDEX(Exp_Destino,0,8))</f>
        <v>29.175699999999999</v>
      </c>
      <c r="C78" s="342">
        <f>SUM(MMULT(L_21x21,INDEX(Exp_Destino,0,8)))</f>
        <v>45.871360638332497</v>
      </c>
      <c r="D78" s="344">
        <f>SUMPRODUCT(Coef_trabajo,MMULT(L_21x21,INDEX(Exp_Destino,0,8)))</f>
        <v>1283.157505015773</v>
      </c>
      <c r="E78" s="345">
        <f t="shared" si="8"/>
        <v>2.5717033213354208E-3</v>
      </c>
      <c r="F78" s="347">
        <f t="shared" si="9"/>
        <v>43.980350257775243</v>
      </c>
      <c r="G78" s="345">
        <f t="shared" si="10"/>
        <v>3.0639984555507868E-3</v>
      </c>
      <c r="H78" s="369"/>
      <c r="I78" s="369"/>
      <c r="J78" s="369"/>
    </row>
    <row r="79" spans="1:10" ht="14" customHeight="1">
      <c r="A79" s="332" t="s">
        <v>76</v>
      </c>
      <c r="B79" s="342">
        <f>SUM(INDEX(Exp_Destino,0,9))</f>
        <v>0</v>
      </c>
      <c r="C79" s="342">
        <f>SUM(MMULT(L_21x21,INDEX(Exp_Destino,0,9)))</f>
        <v>0</v>
      </c>
      <c r="D79" s="344">
        <f>SUMPRODUCT(Coef_trabajo,MMULT(L_21x21,INDEX(Exp_Destino,0,9)))</f>
        <v>0</v>
      </c>
      <c r="E79" s="345">
        <f t="shared" si="8"/>
        <v>0</v>
      </c>
      <c r="F79" s="342" t="str">
        <f t="shared" si="9"/>
        <v/>
      </c>
      <c r="G79" s="345">
        <f t="shared" si="10"/>
        <v>0</v>
      </c>
      <c r="H79" s="369"/>
      <c r="I79" s="369"/>
      <c r="J79" s="369"/>
    </row>
    <row r="80" spans="1:10" ht="14" customHeight="1">
      <c r="A80" s="334" t="s">
        <v>77</v>
      </c>
      <c r="B80" s="342">
        <f>SUM(INDEX(Exp_Destino,0,10))</f>
        <v>1143.5279999999998</v>
      </c>
      <c r="C80" s="342">
        <f>SUM(MMULT(L_21x21,INDEX(Exp_Destino,0,10)))</f>
        <v>2190.454151986728</v>
      </c>
      <c r="D80" s="344">
        <f>SUMPRODUCT(Coef_trabajo,MMULT(L_21x21,INDEX(Exp_Destino,0,10)))</f>
        <v>53763.462683452344</v>
      </c>
      <c r="E80" s="345">
        <f t="shared" si="8"/>
        <v>0.10775269209669452</v>
      </c>
      <c r="F80" s="347">
        <f t="shared" si="9"/>
        <v>47.015431789560338</v>
      </c>
      <c r="G80" s="345">
        <f t="shared" si="10"/>
        <v>0.12009199525218178</v>
      </c>
      <c r="H80" s="369"/>
      <c r="I80" s="369"/>
      <c r="J80" s="369"/>
    </row>
    <row r="81" spans="1:10" ht="16" customHeight="1">
      <c r="A81" s="352" t="s">
        <v>526</v>
      </c>
      <c r="B81" s="353">
        <f>SUM(B71:B80)</f>
        <v>9522.1001000000015</v>
      </c>
      <c r="C81" s="353">
        <f>SUM(C71:C80)</f>
        <v>15627.288302231111</v>
      </c>
      <c r="D81" s="354">
        <f>SUM(D71:D80)</f>
        <v>498952.38473676721</v>
      </c>
      <c r="E81" s="355">
        <v>1</v>
      </c>
      <c r="F81" s="353">
        <f>D81/B81</f>
        <v>52.399405540461302</v>
      </c>
      <c r="G81" s="355">
        <v>1</v>
      </c>
      <c r="H81" s="370"/>
      <c r="I81" s="370"/>
      <c r="J81" s="369"/>
    </row>
    <row r="83" spans="1:10" ht="26" customHeight="1">
      <c r="A83" s="519" t="s">
        <v>505</v>
      </c>
      <c r="B83" s="519"/>
      <c r="C83" s="519"/>
      <c r="D83" s="519"/>
      <c r="E83" s="519"/>
      <c r="F83" s="519"/>
      <c r="G83" s="519"/>
      <c r="H83" s="519"/>
      <c r="I83" s="519"/>
    </row>
    <row r="84" spans="1:10">
      <c r="A84" s="519"/>
      <c r="B84" s="519"/>
      <c r="C84" s="519"/>
      <c r="D84" s="519"/>
      <c r="E84" s="519"/>
      <c r="F84" s="519"/>
      <c r="G84" s="519"/>
      <c r="H84" s="519"/>
      <c r="I84" s="519"/>
    </row>
    <row r="86" spans="1:10" ht="16" customHeight="1">
      <c r="A86" s="512" t="s">
        <v>506</v>
      </c>
      <c r="B86" s="512"/>
      <c r="C86" s="512"/>
      <c r="D86" s="512"/>
      <c r="E86" s="512"/>
      <c r="F86" s="512"/>
      <c r="G86" s="512"/>
      <c r="H86" s="512"/>
      <c r="I86" s="512"/>
    </row>
    <row r="87" spans="1:10" ht="24" customHeight="1">
      <c r="A87" s="514" t="s">
        <v>507</v>
      </c>
      <c r="B87" s="514"/>
      <c r="C87" s="514"/>
      <c r="D87" s="514"/>
      <c r="E87" s="514"/>
      <c r="F87" s="514"/>
      <c r="G87" s="514"/>
      <c r="H87" s="514"/>
      <c r="I87" s="514"/>
    </row>
    <row r="88" spans="1:10" ht="12" customHeight="1">
      <c r="A88" s="514"/>
      <c r="B88" s="514"/>
      <c r="C88" s="514"/>
      <c r="D88" s="514"/>
      <c r="E88" s="514"/>
      <c r="F88" s="514"/>
      <c r="G88" s="514"/>
      <c r="H88" s="514"/>
      <c r="I88" s="514"/>
    </row>
    <row r="90" spans="1:10" ht="15" customHeight="1">
      <c r="A90" s="358" t="s">
        <v>508</v>
      </c>
    </row>
    <row r="91" spans="1:10" ht="15" customHeight="1">
      <c r="A91" s="507" t="s">
        <v>509</v>
      </c>
      <c r="B91" s="508"/>
      <c r="C91" s="335">
        <f>SUM(EIDirecto_21)+SUM(EIIndirecto_21)</f>
        <v>0</v>
      </c>
    </row>
    <row r="92" spans="1:10" ht="15" customHeight="1">
      <c r="A92" s="513" t="s">
        <v>510</v>
      </c>
      <c r="B92" s="508"/>
      <c r="C92" s="336">
        <f>SUMPRODUCT(EIDirecto_21*Coef_trabajo)</f>
        <v>0</v>
      </c>
    </row>
    <row r="93" spans="1:10" ht="15" customHeight="1">
      <c r="A93" s="507" t="s">
        <v>511</v>
      </c>
      <c r="B93" s="508"/>
      <c r="C93" s="359">
        <f>SUMPRODUCT(EIIndirecto_21*Coef_trabajo)</f>
        <v>0</v>
      </c>
    </row>
    <row r="94" spans="1:10" ht="15" customHeight="1">
      <c r="A94" s="520" t="s">
        <v>512</v>
      </c>
      <c r="B94" s="508"/>
      <c r="C94" s="360">
        <f>SUMPRODUCT((EIDirecto_21+EIIndirecto_21)*Coef_trabajo)</f>
        <v>0</v>
      </c>
    </row>
    <row r="95" spans="1:10" ht="15" customHeight="1">
      <c r="A95" s="507"/>
      <c r="B95" s="508"/>
      <c r="C95" s="359"/>
    </row>
    <row r="97" spans="1:8" ht="15" customHeight="1">
      <c r="A97" s="358" t="s">
        <v>513</v>
      </c>
    </row>
    <row r="98" spans="1:8" ht="30" customHeight="1">
      <c r="A98" s="339" t="s">
        <v>83</v>
      </c>
      <c r="B98" s="340" t="s">
        <v>5</v>
      </c>
      <c r="C98" s="339" t="s">
        <v>486</v>
      </c>
      <c r="D98" s="339" t="s">
        <v>487</v>
      </c>
      <c r="E98" s="339" t="s">
        <v>488</v>
      </c>
      <c r="F98" s="339" t="s">
        <v>489</v>
      </c>
      <c r="G98" s="339" t="s">
        <v>514</v>
      </c>
      <c r="H98" s="339" t="s">
        <v>515</v>
      </c>
    </row>
    <row r="99" spans="1:8" ht="14" customHeight="1">
      <c r="A99" s="341" t="s">
        <v>599</v>
      </c>
      <c r="B99" s="332" t="s">
        <v>582</v>
      </c>
      <c r="C99" s="342">
        <f>INDEX(EIDirecto_21,1)+INDEX(EIIndirecto_21,1)</f>
        <v>0</v>
      </c>
      <c r="D99" s="343">
        <f>INDEX(EIDirecto_21,1)*INDEX(Coef_trabajo,1)</f>
        <v>0</v>
      </c>
      <c r="E99" s="343">
        <f>INDEX(EIIndirecto_21,1)*INDEX(Coef_trabajo,1)</f>
        <v>0</v>
      </c>
      <c r="F99" s="344">
        <f t="shared" ref="F99:F131" si="11">D99+E99</f>
        <v>0</v>
      </c>
      <c r="G99" s="345" t="str">
        <f>IFERROR(F99/$F$132,"")</f>
        <v/>
      </c>
      <c r="H99" s="361">
        <f>INDEX(EInducido21,1)*INDEX(Coef_trabajo,1)</f>
        <v>84.941348517316328</v>
      </c>
    </row>
    <row r="100" spans="1:8" ht="14" customHeight="1">
      <c r="A100" s="341" t="s">
        <v>600</v>
      </c>
      <c r="B100" s="332" t="s">
        <v>583</v>
      </c>
      <c r="C100" s="342">
        <f>INDEX(EIDirecto_21,2)+INDEX(EIIndirecto_21,2)</f>
        <v>0</v>
      </c>
      <c r="D100" s="343">
        <f>INDEX(EIDirecto_21,2)*INDEX(Coef_trabajo,2)</f>
        <v>0</v>
      </c>
      <c r="E100" s="343">
        <f>INDEX(EIIndirecto_21,2)*INDEX(Coef_trabajo,2)</f>
        <v>0</v>
      </c>
      <c r="F100" s="344">
        <f>D100+E100</f>
        <v>0</v>
      </c>
      <c r="G100" s="345" t="str">
        <f>IFERROR(F100/$F$132,"")</f>
        <v/>
      </c>
      <c r="H100" s="361">
        <f>INDEX(EInducido21,2)*INDEX(Coef_trabajo,2)</f>
        <v>40.511238661609184</v>
      </c>
    </row>
    <row r="101" spans="1:8" ht="14" customHeight="1">
      <c r="A101" s="341" t="s">
        <v>601</v>
      </c>
      <c r="B101" s="332" t="s">
        <v>584</v>
      </c>
      <c r="C101" s="342">
        <f>INDEX(EIDirecto_21,3)+INDEX(EIIndirecto_21,3)</f>
        <v>0</v>
      </c>
      <c r="D101" s="343">
        <f>INDEX(EIDirecto_21,3)*INDEX(Coef_trabajo,3)</f>
        <v>0</v>
      </c>
      <c r="E101" s="343">
        <f>INDEX(EIIndirecto_21,3)*INDEX(Coef_trabajo,3)</f>
        <v>0</v>
      </c>
      <c r="F101" s="344">
        <f>D101+E101</f>
        <v>0</v>
      </c>
      <c r="G101" s="345" t="str">
        <f>IFERROR(F101/$F$132,"")</f>
        <v/>
      </c>
      <c r="H101" s="361">
        <f>INDEX(EInducido21,3)*INDEX(Coef_trabajo,3)</f>
        <v>3.7733859210746004</v>
      </c>
    </row>
    <row r="102" spans="1:8" ht="14" customHeight="1">
      <c r="A102" s="341" t="s">
        <v>602</v>
      </c>
      <c r="B102" s="332" t="s">
        <v>585</v>
      </c>
      <c r="C102" s="342">
        <f>INDEX(EIDirecto_21,4)+INDEX(EIIndirecto_21,4)</f>
        <v>0</v>
      </c>
      <c r="D102" s="343">
        <f>INDEX(EIDirecto_21,4)*INDEX(Coef_trabajo,4)</f>
        <v>0</v>
      </c>
      <c r="E102" s="343">
        <f>INDEX(EIIndirecto_21,4)*INDEX(Coef_trabajo,4)</f>
        <v>0</v>
      </c>
      <c r="F102" s="344">
        <f>D102+E102</f>
        <v>0</v>
      </c>
      <c r="G102" s="345" t="str">
        <f>IFERROR(F102/$F$132,"")</f>
        <v/>
      </c>
      <c r="H102" s="361">
        <f>INDEX(EInducido21,4)*INDEX(Coef_trabajo,4)</f>
        <v>3.4168688342755953</v>
      </c>
    </row>
    <row r="103" spans="1:8" ht="14" customHeight="1">
      <c r="A103" s="346" t="s">
        <v>91</v>
      </c>
      <c r="B103" s="334" t="s">
        <v>10</v>
      </c>
      <c r="C103" s="347">
        <f>INDEX(EIDirecto_21,5)+INDEX(EIIndirecto_21,5)</f>
        <v>0</v>
      </c>
      <c r="D103" s="348">
        <f>INDEX(EIDirecto_21,5)*INDEX(Coef_trabajo,5)</f>
        <v>0</v>
      </c>
      <c r="E103" s="348">
        <f>INDEX(EIIndirecto_21,5)*INDEX(Coef_trabajo,5)</f>
        <v>0</v>
      </c>
      <c r="F103" s="349">
        <f t="shared" si="11"/>
        <v>0</v>
      </c>
      <c r="G103" s="345" t="str">
        <f t="shared" ref="G103:G131" si="12">IFERROR(F103/$F$132,"")</f>
        <v/>
      </c>
      <c r="H103" s="362">
        <f>INDEX(EInducido21,5)*INDEX(Coef_trabajo,5)</f>
        <v>0.80810964197233692</v>
      </c>
    </row>
    <row r="104" spans="1:8" ht="14" customHeight="1">
      <c r="A104" s="341" t="s">
        <v>603</v>
      </c>
      <c r="B104" s="332" t="s">
        <v>586</v>
      </c>
      <c r="C104" s="342">
        <f>INDEX(EIDirecto_21,6)+INDEX(EIIndirecto_21,6)</f>
        <v>0</v>
      </c>
      <c r="D104" s="343">
        <f>INDEX(EIDirecto_21,6)*INDEX(Coef_trabajo,6)</f>
        <v>0</v>
      </c>
      <c r="E104" s="343">
        <f>INDEX(EIIndirecto_21,6)*INDEX(Coef_trabajo,6)</f>
        <v>0</v>
      </c>
      <c r="F104" s="344">
        <f t="shared" si="11"/>
        <v>0</v>
      </c>
      <c r="G104" s="345" t="str">
        <f t="shared" si="12"/>
        <v/>
      </c>
      <c r="H104" s="361">
        <f>INDEX(EInducido21,6)*INDEX(Coef_trabajo,6)</f>
        <v>10.029952510797134</v>
      </c>
    </row>
    <row r="105" spans="1:8" ht="14" customHeight="1">
      <c r="A105" s="341" t="s">
        <v>604</v>
      </c>
      <c r="B105" s="332" t="s">
        <v>587</v>
      </c>
      <c r="C105" s="342">
        <f>INDEX(EIDirecto_21,7)+INDEX(EIIndirecto_21,7)</f>
        <v>0</v>
      </c>
      <c r="D105" s="343">
        <f>INDEX(EIDirecto_21,7)*INDEX(Coef_trabajo,7)</f>
        <v>0</v>
      </c>
      <c r="E105" s="343">
        <f>INDEX(EIIndirecto_21,7)*INDEX(Coef_trabajo,7)</f>
        <v>0</v>
      </c>
      <c r="F105" s="344">
        <f t="shared" ref="F105:F110" si="13">D105+E105</f>
        <v>0</v>
      </c>
      <c r="G105" s="345" t="str">
        <f t="shared" ref="G105:G110" si="14">IFERROR(F105/$F$132,"")</f>
        <v/>
      </c>
      <c r="H105" s="361">
        <f>INDEX(EInducido21,7)*INDEX(Coef_trabajo,7)</f>
        <v>0.8139139261927284</v>
      </c>
    </row>
    <row r="106" spans="1:8" ht="14" customHeight="1">
      <c r="A106" s="341" t="s">
        <v>87</v>
      </c>
      <c r="B106" s="332" t="s">
        <v>588</v>
      </c>
      <c r="C106" s="342">
        <f>INDEX(EIDirecto_21,8)+INDEX(EIIndirecto_21,8)</f>
        <v>0</v>
      </c>
      <c r="D106" s="343">
        <f>INDEX(EIDirecto_21,8)*INDEX(Coef_trabajo,8)</f>
        <v>0</v>
      </c>
      <c r="E106" s="343">
        <f>INDEX(EIIndirecto_21,8)*INDEX(Coef_trabajo,8)</f>
        <v>0</v>
      </c>
      <c r="F106" s="344">
        <f t="shared" si="13"/>
        <v>0</v>
      </c>
      <c r="G106" s="345" t="str">
        <f t="shared" si="14"/>
        <v/>
      </c>
      <c r="H106" s="361">
        <f>INDEX(EInducido21,8)*INDEX(Coef_trabajo,8)</f>
        <v>4.7465425032533286</v>
      </c>
    </row>
    <row r="107" spans="1:8" ht="14" customHeight="1">
      <c r="A107" s="341" t="s">
        <v>605</v>
      </c>
      <c r="B107" s="332" t="s">
        <v>589</v>
      </c>
      <c r="C107" s="342">
        <f>INDEX(EIDirecto_21,9)+INDEX(EIIndirecto_21,9)</f>
        <v>0</v>
      </c>
      <c r="D107" s="343">
        <f>INDEX(EIDirecto_21,9)*INDEX(Coef_trabajo,9)</f>
        <v>0</v>
      </c>
      <c r="E107" s="343">
        <f>INDEX(EIIndirecto_21,9)*INDEX(Coef_trabajo,9)</f>
        <v>0</v>
      </c>
      <c r="F107" s="344">
        <f t="shared" si="13"/>
        <v>0</v>
      </c>
      <c r="G107" s="345" t="str">
        <f t="shared" si="14"/>
        <v/>
      </c>
      <c r="H107" s="361">
        <f>INDEX(EInducido21,9)*INDEX(Coef_trabajo,9)</f>
        <v>13.279342202993112</v>
      </c>
    </row>
    <row r="108" spans="1:8" ht="14" customHeight="1">
      <c r="A108" s="341" t="s">
        <v>606</v>
      </c>
      <c r="B108" s="332" t="s">
        <v>590</v>
      </c>
      <c r="C108" s="342">
        <f>INDEX(EIDirecto_21,10)+INDEX(EIIndirecto_21,10)</f>
        <v>0</v>
      </c>
      <c r="D108" s="343">
        <f>INDEX(EIDirecto_21,10)*INDEX(Coef_trabajo,10)</f>
        <v>0</v>
      </c>
      <c r="E108" s="343">
        <f>INDEX(EIIndirecto_21,10)*INDEX(Coef_trabajo,10)</f>
        <v>0</v>
      </c>
      <c r="F108" s="344">
        <f t="shared" si="13"/>
        <v>0</v>
      </c>
      <c r="G108" s="345" t="str">
        <f t="shared" si="14"/>
        <v/>
      </c>
      <c r="H108" s="361">
        <f>INDEX(EInducido21,10)*INDEX(Coef_trabajo,10)</f>
        <v>3.1063794621486105</v>
      </c>
    </row>
    <row r="109" spans="1:8" ht="14" customHeight="1">
      <c r="A109" s="341" t="s">
        <v>607</v>
      </c>
      <c r="B109" s="332" t="s">
        <v>591</v>
      </c>
      <c r="C109" s="342">
        <f>INDEX(EIDirecto_21,11)+INDEX(EIIndirecto_21,11)</f>
        <v>0</v>
      </c>
      <c r="D109" s="343">
        <f>INDEX(EIDirecto_21,11)*INDEX(Coef_trabajo,11)</f>
        <v>0</v>
      </c>
      <c r="E109" s="343">
        <f>INDEX(EIIndirecto_21,11)*INDEX(Coef_trabajo,11)</f>
        <v>0</v>
      </c>
      <c r="F109" s="344">
        <f t="shared" si="13"/>
        <v>0</v>
      </c>
      <c r="G109" s="345" t="str">
        <f t="shared" si="14"/>
        <v/>
      </c>
      <c r="H109" s="361">
        <f>INDEX(EInducido21,11)*INDEX(Coef_trabajo,11)</f>
        <v>5.3118682682230292</v>
      </c>
    </row>
    <row r="110" spans="1:8" ht="14" customHeight="1">
      <c r="A110" s="341" t="s">
        <v>608</v>
      </c>
      <c r="B110" s="332" t="s">
        <v>592</v>
      </c>
      <c r="C110" s="342">
        <f>INDEX(EIDirecto_21,12)+INDEX(EIIndirecto_21,12)</f>
        <v>0</v>
      </c>
      <c r="D110" s="343">
        <f>INDEX(EIDirecto_21,12)*INDEX(Coef_trabajo,12)</f>
        <v>0</v>
      </c>
      <c r="E110" s="343">
        <f>INDEX(EIIndirecto_21,12)*INDEX(Coef_trabajo,12)</f>
        <v>0</v>
      </c>
      <c r="F110" s="344">
        <f t="shared" si="13"/>
        <v>0</v>
      </c>
      <c r="G110" s="345" t="str">
        <f t="shared" si="14"/>
        <v/>
      </c>
      <c r="H110" s="361">
        <f>INDEX(EInducido21,12)*INDEX(Coef_trabajo,12)</f>
        <v>8.7519495768522511</v>
      </c>
    </row>
    <row r="111" spans="1:8" ht="14" customHeight="1">
      <c r="A111" s="346" t="s">
        <v>609</v>
      </c>
      <c r="B111" s="334" t="s">
        <v>593</v>
      </c>
      <c r="C111" s="347">
        <f>INDEX(EIDirecto_21,13)+INDEX(EIIndirecto_21,13)</f>
        <v>0</v>
      </c>
      <c r="D111" s="348">
        <f>INDEX(EIDirecto_21,13)*INDEX(Coef_trabajo,13)</f>
        <v>0</v>
      </c>
      <c r="E111" s="348">
        <f>INDEX(EIIndirecto_21,13)*INDEX(Coef_trabajo,13)</f>
        <v>0</v>
      </c>
      <c r="F111" s="349">
        <f t="shared" si="11"/>
        <v>0</v>
      </c>
      <c r="G111" s="345" t="str">
        <f t="shared" si="12"/>
        <v/>
      </c>
      <c r="H111" s="362">
        <f>INDEX(EInducido21,13)*INDEX(Coef_trabajo,13)</f>
        <v>29.975353485036916</v>
      </c>
    </row>
    <row r="112" spans="1:8" ht="14" customHeight="1">
      <c r="A112" s="346" t="s">
        <v>610</v>
      </c>
      <c r="B112" s="334" t="s">
        <v>594</v>
      </c>
      <c r="C112" s="347">
        <f>INDEX(EIDirecto_21,14)+INDEX(EIIndirecto_21,14)</f>
        <v>0</v>
      </c>
      <c r="D112" s="348">
        <f>INDEX(EIDirecto_21,14)*INDEX(Coef_trabajo,14)</f>
        <v>0</v>
      </c>
      <c r="E112" s="348">
        <f>INDEX(EIIndirecto_21,14)*INDEX(Coef_trabajo,14)</f>
        <v>0</v>
      </c>
      <c r="F112" s="349">
        <f>D112+E112</f>
        <v>0</v>
      </c>
      <c r="G112" s="345" t="str">
        <f>IFERROR(F112/$F$132,"")</f>
        <v/>
      </c>
      <c r="H112" s="362">
        <f>INDEX(EInducido21,14)*INDEX(Coef_trabajo,14)</f>
        <v>6.6145814261861808</v>
      </c>
    </row>
    <row r="113" spans="1:8" ht="14" customHeight="1">
      <c r="A113" s="341" t="s">
        <v>92</v>
      </c>
      <c r="B113" s="332" t="s">
        <v>595</v>
      </c>
      <c r="C113" s="342">
        <f>INDEX(EIDirecto_21,15)+INDEX(EIIndirecto_21,15)</f>
        <v>0</v>
      </c>
      <c r="D113" s="343">
        <f>INDEX(EIDirecto_21,15)*INDEX(Coef_trabajo,15)</f>
        <v>0</v>
      </c>
      <c r="E113" s="343">
        <f>INDEX(EIIndirecto_21,15)*INDEX(Coef_trabajo,15)</f>
        <v>0</v>
      </c>
      <c r="F113" s="344">
        <f t="shared" si="11"/>
        <v>0</v>
      </c>
      <c r="G113" s="345" t="str">
        <f t="shared" si="12"/>
        <v/>
      </c>
      <c r="H113" s="361">
        <f>INDEX(EInducido21,15)*INDEX(Coef_trabajo,15)</f>
        <v>2.4635106311950103</v>
      </c>
    </row>
    <row r="114" spans="1:8" ht="14" customHeight="1">
      <c r="A114" s="341" t="s">
        <v>611</v>
      </c>
      <c r="B114" s="332" t="s">
        <v>596</v>
      </c>
      <c r="C114" s="342">
        <f>INDEX(EIDirecto_21,16)+INDEX(EIIndirecto_21,16)</f>
        <v>0</v>
      </c>
      <c r="D114" s="343">
        <f>INDEX(EIDirecto_21,16)*INDEX(Coef_trabajo,16)</f>
        <v>0</v>
      </c>
      <c r="E114" s="343">
        <f>INDEX(EIIndirecto_21,16)*INDEX(Coef_trabajo,16)</f>
        <v>0</v>
      </c>
      <c r="F114" s="344">
        <f>D114+E114</f>
        <v>0</v>
      </c>
      <c r="G114" s="345" t="str">
        <f>IFERROR(F114/$F$132,"")</f>
        <v/>
      </c>
      <c r="H114" s="361">
        <f>INDEX(EInducido21,16)*INDEX(Coef_trabajo,16)</f>
        <v>7.350830935511766</v>
      </c>
    </row>
    <row r="115" spans="1:8" ht="14" customHeight="1">
      <c r="A115" s="346" t="s">
        <v>93</v>
      </c>
      <c r="B115" s="334" t="s">
        <v>11</v>
      </c>
      <c r="C115" s="347">
        <f>INDEX(EIDirecto_21,17)+INDEX(EIIndirecto_21,17)</f>
        <v>0</v>
      </c>
      <c r="D115" s="348">
        <f>INDEX(EIDirecto_21,17)*INDEX(Coef_trabajo,17)</f>
        <v>0</v>
      </c>
      <c r="E115" s="348">
        <f>INDEX(EIIndirecto_21,17)*INDEX(Coef_trabajo,17)</f>
        <v>0</v>
      </c>
      <c r="F115" s="349">
        <f t="shared" si="11"/>
        <v>0</v>
      </c>
      <c r="G115" s="345" t="str">
        <f t="shared" si="12"/>
        <v/>
      </c>
      <c r="H115" s="362">
        <f>INDEX(EInducido21,17)*INDEX(Coef_trabajo,17)</f>
        <v>12.254762793332096</v>
      </c>
    </row>
    <row r="116" spans="1:8" ht="14" customHeight="1">
      <c r="A116" s="341" t="s">
        <v>94</v>
      </c>
      <c r="B116" s="332" t="s">
        <v>12</v>
      </c>
      <c r="C116" s="342">
        <f>INDEX(EIDirecto_21,18)+INDEX(EIIndirecto_21,18)</f>
        <v>0</v>
      </c>
      <c r="D116" s="343">
        <f>INDEX(EIDirecto_21,18)*INDEX(Coef_trabajo,18)</f>
        <v>0</v>
      </c>
      <c r="E116" s="343">
        <f>INDEX(EIIndirecto_21,18)*INDEX(Coef_trabajo,18)</f>
        <v>0</v>
      </c>
      <c r="F116" s="344">
        <f t="shared" si="11"/>
        <v>0</v>
      </c>
      <c r="G116" s="345" t="str">
        <f t="shared" si="12"/>
        <v/>
      </c>
      <c r="H116" s="361">
        <f>INDEX(EInducido21,18)*INDEX(Coef_trabajo,18)</f>
        <v>5.6047605689391053</v>
      </c>
    </row>
    <row r="117" spans="1:8" ht="14" customHeight="1">
      <c r="A117" s="346" t="s">
        <v>95</v>
      </c>
      <c r="B117" s="334" t="s">
        <v>13</v>
      </c>
      <c r="C117" s="347">
        <f>INDEX(EIDirecto_21,19)+INDEX(EIIndirecto_21,19)</f>
        <v>0</v>
      </c>
      <c r="D117" s="348">
        <f>INDEX(EIDirecto_21,19)*INDEX(Coef_trabajo,19)</f>
        <v>0</v>
      </c>
      <c r="E117" s="348">
        <f>INDEX(EIIndirecto_21,19)*INDEX(Coef_trabajo,19)</f>
        <v>0</v>
      </c>
      <c r="F117" s="349">
        <f t="shared" si="11"/>
        <v>0</v>
      </c>
      <c r="G117" s="345" t="str">
        <f t="shared" si="12"/>
        <v/>
      </c>
      <c r="H117" s="362">
        <f>INDEX(EInducido21,19)*INDEX(Coef_trabajo,19)</f>
        <v>0.94544624829414947</v>
      </c>
    </row>
    <row r="118" spans="1:8" ht="14" customHeight="1">
      <c r="A118" s="341" t="s">
        <v>96</v>
      </c>
      <c r="B118" s="332" t="s">
        <v>14</v>
      </c>
      <c r="C118" s="342">
        <f>INDEX(EIDirecto_21,20)+INDEX(EIIndirecto_21,20)</f>
        <v>0</v>
      </c>
      <c r="D118" s="343">
        <f>INDEX(EIDirecto_21,20)*INDEX(Coef_trabajo,20)</f>
        <v>0</v>
      </c>
      <c r="E118" s="343">
        <f>INDEX(EIIndirecto_21,20)*INDEX(Coef_trabajo,20)</f>
        <v>0</v>
      </c>
      <c r="F118" s="344">
        <f t="shared" si="11"/>
        <v>0</v>
      </c>
      <c r="G118" s="345" t="str">
        <f t="shared" si="12"/>
        <v/>
      </c>
      <c r="H118" s="361">
        <f>INDEX(EInducido21,20)*INDEX(Coef_trabajo,20)</f>
        <v>3.5152960462730309</v>
      </c>
    </row>
    <row r="119" spans="1:8" ht="14" customHeight="1">
      <c r="A119" s="346" t="s">
        <v>97</v>
      </c>
      <c r="B119" s="334" t="s">
        <v>15</v>
      </c>
      <c r="C119" s="347">
        <f>INDEX(EIDirecto_21,21)+INDEX(EIIndirecto_21,21)</f>
        <v>0</v>
      </c>
      <c r="D119" s="348">
        <f>INDEX(EIDirecto_21,21)*INDEX(Coef_trabajo,21)</f>
        <v>0</v>
      </c>
      <c r="E119" s="348">
        <f>INDEX(EIIndirecto_21,21)*INDEX(Coef_trabajo,21)</f>
        <v>0</v>
      </c>
      <c r="F119" s="349">
        <f t="shared" si="11"/>
        <v>0</v>
      </c>
      <c r="G119" s="345" t="str">
        <f t="shared" si="12"/>
        <v/>
      </c>
      <c r="H119" s="362">
        <f>INDEX(EInducido21,21)*INDEX(Coef_trabajo,21)</f>
        <v>2.1548551565128657</v>
      </c>
    </row>
    <row r="120" spans="1:8" ht="14" customHeight="1">
      <c r="A120" s="341" t="s">
        <v>98</v>
      </c>
      <c r="B120" s="332" t="s">
        <v>16</v>
      </c>
      <c r="C120" s="342">
        <f>INDEX(EIDirecto_21,22)+INDEX(EIIndirecto_21,22)</f>
        <v>0</v>
      </c>
      <c r="D120" s="343">
        <f>INDEX(EIDirecto_21,22)*INDEX(Coef_trabajo,22)</f>
        <v>0</v>
      </c>
      <c r="E120" s="343">
        <f>INDEX(EIIndirecto_21,22)*INDEX(Coef_trabajo,22)</f>
        <v>0</v>
      </c>
      <c r="F120" s="344">
        <f t="shared" si="11"/>
        <v>0</v>
      </c>
      <c r="G120" s="345" t="str">
        <f t="shared" si="12"/>
        <v/>
      </c>
      <c r="H120" s="361">
        <f>INDEX(EInducido21,22)*INDEX(Coef_trabajo,22)</f>
        <v>16.217957851902451</v>
      </c>
    </row>
    <row r="121" spans="1:8" ht="14" customHeight="1">
      <c r="A121" s="346" t="s">
        <v>99</v>
      </c>
      <c r="B121" s="334" t="s">
        <v>17</v>
      </c>
      <c r="C121" s="347">
        <f>INDEX(EIDirecto_21,23)+INDEX(EIIndirecto_21,23)</f>
        <v>0</v>
      </c>
      <c r="D121" s="348">
        <f>INDEX(EIDirecto_21,23)*INDEX(Coef_trabajo,23)</f>
        <v>0</v>
      </c>
      <c r="E121" s="348">
        <f>INDEX(EIIndirecto_21,23)*INDEX(Coef_trabajo,23)</f>
        <v>0</v>
      </c>
      <c r="F121" s="349">
        <f t="shared" si="11"/>
        <v>0</v>
      </c>
      <c r="G121" s="345" t="str">
        <f t="shared" si="12"/>
        <v/>
      </c>
      <c r="H121" s="362">
        <f>INDEX(EInducido21,23)*INDEX(Coef_trabajo,23)</f>
        <v>7.4999260319346286</v>
      </c>
    </row>
    <row r="122" spans="1:8" ht="14" customHeight="1">
      <c r="A122" s="341" t="s">
        <v>100</v>
      </c>
      <c r="B122" s="332" t="s">
        <v>18</v>
      </c>
      <c r="C122" s="342">
        <f>INDEX(EIDirecto_21,24)+INDEX(EIIndirecto_21,24)</f>
        <v>0</v>
      </c>
      <c r="D122" s="343">
        <f>INDEX(EIDirecto_21,24)*INDEX(Coef_trabajo,24)</f>
        <v>0</v>
      </c>
      <c r="E122" s="343">
        <f>INDEX(EIIndirecto_21,24)*INDEX(Coef_trabajo,24)</f>
        <v>0</v>
      </c>
      <c r="F122" s="344">
        <f t="shared" si="11"/>
        <v>0</v>
      </c>
      <c r="G122" s="345" t="str">
        <f t="shared" si="12"/>
        <v/>
      </c>
      <c r="H122" s="361">
        <f>INDEX(EInducido21,24)*INDEX(Coef_trabajo,24)</f>
        <v>9.3550423496651423</v>
      </c>
    </row>
    <row r="123" spans="1:8" ht="14" customHeight="1">
      <c r="A123" s="346" t="s">
        <v>101</v>
      </c>
      <c r="B123" s="334" t="s">
        <v>19</v>
      </c>
      <c r="C123" s="347">
        <f>INDEX(EIDirecto_21,25)+INDEX(EIIndirecto_21,25)</f>
        <v>0</v>
      </c>
      <c r="D123" s="348">
        <f>INDEX(EIDirecto_21,25)*INDEX(Coef_trabajo,25)</f>
        <v>0</v>
      </c>
      <c r="E123" s="348">
        <f>INDEX(EIIndirecto_21,25)*INDEX(Coef_trabajo,25)</f>
        <v>0</v>
      </c>
      <c r="F123" s="349">
        <f t="shared" si="11"/>
        <v>0</v>
      </c>
      <c r="G123" s="345" t="str">
        <f t="shared" si="12"/>
        <v/>
      </c>
      <c r="H123" s="362">
        <f>INDEX(EInducido21,25)*INDEX(Coef_trabajo,25)</f>
        <v>300.32388261890208</v>
      </c>
    </row>
    <row r="124" spans="1:8" ht="14" customHeight="1">
      <c r="A124" s="341" t="s">
        <v>102</v>
      </c>
      <c r="B124" s="332" t="s">
        <v>20</v>
      </c>
      <c r="C124" s="342">
        <f>INDEX(EIDirecto_21,26)+INDEX(EIIndirecto_21,26)</f>
        <v>0</v>
      </c>
      <c r="D124" s="343">
        <f>INDEX(EIDirecto_21,26)*INDEX(Coef_trabajo,26)</f>
        <v>0</v>
      </c>
      <c r="E124" s="343">
        <f>INDEX(EIIndirecto_21,26)*INDEX(Coef_trabajo,26)</f>
        <v>0</v>
      </c>
      <c r="F124" s="344">
        <f t="shared" si="11"/>
        <v>0</v>
      </c>
      <c r="G124" s="345" t="str">
        <f t="shared" si="12"/>
        <v/>
      </c>
      <c r="H124" s="361">
        <f>INDEX(EInducido21,26)*INDEX(Coef_trabajo,26)</f>
        <v>39.789146221967258</v>
      </c>
    </row>
    <row r="125" spans="1:8" ht="14" customHeight="1">
      <c r="A125" s="346" t="s">
        <v>103</v>
      </c>
      <c r="B125" s="334" t="s">
        <v>21</v>
      </c>
      <c r="C125" s="347">
        <f>INDEX(EIDirecto_21,27)+INDEX(EIIndirecto_21,27)</f>
        <v>0</v>
      </c>
      <c r="D125" s="348">
        <f>INDEX(EIDirecto_21,27)*INDEX(Coef_trabajo,27)</f>
        <v>0</v>
      </c>
      <c r="E125" s="348">
        <f>INDEX(EIIndirecto_21,27)*INDEX(Coef_trabajo,27)</f>
        <v>0</v>
      </c>
      <c r="F125" s="349">
        <f t="shared" si="11"/>
        <v>0</v>
      </c>
      <c r="G125" s="345" t="str">
        <f t="shared" si="12"/>
        <v/>
      </c>
      <c r="H125" s="362">
        <f>INDEX(EInducido21,27)*INDEX(Coef_trabajo,27)</f>
        <v>51.000391089747204</v>
      </c>
    </row>
    <row r="126" spans="1:8" ht="14" customHeight="1">
      <c r="A126" s="341" t="s">
        <v>104</v>
      </c>
      <c r="B126" s="332" t="s">
        <v>22</v>
      </c>
      <c r="C126" s="342">
        <f>INDEX(EIDirecto_21,28)+INDEX(EIIndirecto_21,28)</f>
        <v>0</v>
      </c>
      <c r="D126" s="343">
        <f>INDEX(EIDirecto_21,28)*INDEX(Coef_trabajo,28)</f>
        <v>0</v>
      </c>
      <c r="E126" s="343">
        <f>INDEX(EIIndirecto_21,28)*INDEX(Coef_trabajo,28)</f>
        <v>0</v>
      </c>
      <c r="F126" s="344">
        <f t="shared" si="11"/>
        <v>0</v>
      </c>
      <c r="G126" s="345" t="str">
        <f t="shared" si="12"/>
        <v/>
      </c>
      <c r="H126" s="361">
        <f>INDEX(EInducido21,28)*INDEX(Coef_trabajo,28)</f>
        <v>26.119902635757331</v>
      </c>
    </row>
    <row r="127" spans="1:8" ht="14" customHeight="1">
      <c r="A127" s="346" t="s">
        <v>105</v>
      </c>
      <c r="B127" s="334" t="s">
        <v>23</v>
      </c>
      <c r="C127" s="347">
        <f>INDEX(EIDirecto_21,29)+INDEX(EIIndirecto_21,29)</f>
        <v>0</v>
      </c>
      <c r="D127" s="348">
        <f>INDEX(EIDirecto_21,29)*INDEX(Coef_trabajo,29)</f>
        <v>0</v>
      </c>
      <c r="E127" s="348">
        <f>INDEX(EIIndirecto_21,29)*INDEX(Coef_trabajo,29)</f>
        <v>0</v>
      </c>
      <c r="F127" s="349">
        <f t="shared" si="11"/>
        <v>0</v>
      </c>
      <c r="G127" s="345" t="str">
        <f t="shared" si="12"/>
        <v/>
      </c>
      <c r="H127" s="362">
        <f>INDEX(EInducido21,29)*INDEX(Coef_trabajo,29)</f>
        <v>19.699377358271853</v>
      </c>
    </row>
    <row r="128" spans="1:8" ht="14" customHeight="1">
      <c r="A128" s="341" t="s">
        <v>106</v>
      </c>
      <c r="B128" s="332" t="s">
        <v>24</v>
      </c>
      <c r="C128" s="342">
        <f>INDEX(EIDirecto_21,30)+INDEX(EIIndirecto_21,30)</f>
        <v>0</v>
      </c>
      <c r="D128" s="343">
        <f>INDEX(EIDirecto_21,30)*INDEX(Coef_trabajo,30)</f>
        <v>0</v>
      </c>
      <c r="E128" s="343">
        <f>INDEX(EIIndirecto_21,30)*INDEX(Coef_trabajo,30)</f>
        <v>0</v>
      </c>
      <c r="F128" s="344">
        <f t="shared" si="11"/>
        <v>0</v>
      </c>
      <c r="G128" s="345" t="str">
        <f t="shared" si="12"/>
        <v/>
      </c>
      <c r="H128" s="361">
        <f>INDEX(EInducido21,30)*INDEX(Coef_trabajo,30)</f>
        <v>11.133048889075891</v>
      </c>
    </row>
    <row r="129" spans="1:8" ht="14" customHeight="1">
      <c r="A129" s="346" t="s">
        <v>107</v>
      </c>
      <c r="B129" s="334" t="s">
        <v>25</v>
      </c>
      <c r="C129" s="347">
        <f>INDEX(EIDirecto_21,31)+INDEX(EIIndirecto_21,31)</f>
        <v>0</v>
      </c>
      <c r="D129" s="348">
        <f>INDEX(EIDirecto_21,31)*INDEX(Coef_trabajo,31)</f>
        <v>0</v>
      </c>
      <c r="E129" s="348">
        <f>INDEX(EIIndirecto_21,31)*INDEX(Coef_trabajo,31)</f>
        <v>0</v>
      </c>
      <c r="F129" s="349">
        <f t="shared" si="11"/>
        <v>0</v>
      </c>
      <c r="G129" s="345" t="str">
        <f t="shared" si="12"/>
        <v/>
      </c>
      <c r="H129" s="362">
        <f>INDEX(EInducido21,31)*INDEX(Coef_trabajo,31)</f>
        <v>65.36842996253722</v>
      </c>
    </row>
    <row r="130" spans="1:8" ht="14" customHeight="1">
      <c r="A130" s="341" t="s">
        <v>612</v>
      </c>
      <c r="B130" s="332" t="s">
        <v>597</v>
      </c>
      <c r="C130" s="342">
        <f>INDEX(EIDirecto_21,32)+INDEX(EIIndirecto_21,32)</f>
        <v>0</v>
      </c>
      <c r="D130" s="343">
        <f>INDEX(EIDirecto_21,32)*INDEX(Coef_trabajo,32)</f>
        <v>0</v>
      </c>
      <c r="E130" s="343">
        <f>INDEX(EIIndirecto_21,32)*INDEX(Coef_trabajo,32)</f>
        <v>0</v>
      </c>
      <c r="F130" s="344">
        <f>D130+E130</f>
        <v>0</v>
      </c>
      <c r="G130" s="345" t="str">
        <f>IFERROR(F130/$F$132,"")</f>
        <v/>
      </c>
      <c r="H130" s="361">
        <f>INDEX(EInducido21,32)*INDEX(Coef_trabajo,32)</f>
        <v>327.12378601632042</v>
      </c>
    </row>
    <row r="131" spans="1:8" ht="14" customHeight="1">
      <c r="A131" s="341" t="s">
        <v>613</v>
      </c>
      <c r="B131" s="332" t="s">
        <v>598</v>
      </c>
      <c r="C131" s="342">
        <f>INDEX(EIDirecto_21,33)+INDEX(EIIndirecto_21,33)</f>
        <v>0</v>
      </c>
      <c r="D131" s="343">
        <f>INDEX(EIDirecto_21,33)*INDEX(Coef_trabajo,33)</f>
        <v>0</v>
      </c>
      <c r="E131" s="343">
        <f>INDEX(EIIndirecto_21,33)*INDEX(Coef_trabajo,33)</f>
        <v>0</v>
      </c>
      <c r="F131" s="344">
        <f t="shared" si="11"/>
        <v>0</v>
      </c>
      <c r="G131" s="345" t="str">
        <f t="shared" si="12"/>
        <v/>
      </c>
      <c r="H131" s="361">
        <f>INDEX(EInducido21,33)*INDEX(Coef_trabajo,33)</f>
        <v>199.36715116496146</v>
      </c>
    </row>
    <row r="132" spans="1:8" ht="16" customHeight="1">
      <c r="A132" s="351"/>
      <c r="B132" s="352" t="s">
        <v>143</v>
      </c>
      <c r="C132" s="353">
        <f>SUM(C99:C131)</f>
        <v>0</v>
      </c>
      <c r="D132" s="354">
        <f>SUM(D99:D131)</f>
        <v>0</v>
      </c>
      <c r="E132" s="354">
        <f>SUM(E99:E131)</f>
        <v>0</v>
      </c>
      <c r="F132" s="354">
        <f>SUM(F99:F131)</f>
        <v>0</v>
      </c>
      <c r="G132" s="355" t="str">
        <f>IFERROR(F132/F132,"")</f>
        <v/>
      </c>
      <c r="H132" s="354">
        <f>SUM(H99:H131)</f>
        <v>1323.368339509032</v>
      </c>
    </row>
    <row r="134" spans="1:8" ht="15" customHeight="1">
      <c r="A134" s="358" t="s">
        <v>516</v>
      </c>
    </row>
    <row r="135" spans="1:8" ht="30" customHeight="1">
      <c r="A135" s="339" t="s">
        <v>493</v>
      </c>
      <c r="B135" s="339" t="s">
        <v>494</v>
      </c>
      <c r="C135" s="339" t="s">
        <v>517</v>
      </c>
      <c r="D135" s="339" t="s">
        <v>514</v>
      </c>
      <c r="E135" s="339" t="s">
        <v>518</v>
      </c>
      <c r="F135" s="339" t="s">
        <v>519</v>
      </c>
      <c r="G135" s="339" t="s">
        <v>520</v>
      </c>
    </row>
    <row r="136" spans="1:8" ht="14" customHeight="1">
      <c r="A136" s="515" t="s">
        <v>158</v>
      </c>
      <c r="B136" s="332" t="s">
        <v>166</v>
      </c>
      <c r="C136" s="343">
        <f>SUMPRODUCT((EIDirecto_21+EIIndirecto_21)*Coef_trabajo_H)</f>
        <v>0</v>
      </c>
      <c r="D136" s="345" t="str">
        <f>IFERROR(C136/$C$94,"")</f>
        <v/>
      </c>
      <c r="E136" s="363">
        <f>$D$53</f>
        <v>0.63554013593628789</v>
      </c>
      <c r="F136" s="363">
        <f>$E$53</f>
        <v>0.57918051298284545</v>
      </c>
      <c r="G136" s="356" t="str">
        <f t="shared" ref="G136:G144" si="15">IFERROR((D136-E136)*100,"")</f>
        <v/>
      </c>
    </row>
    <row r="137" spans="1:8" ht="14" customHeight="1">
      <c r="A137" s="516"/>
      <c r="B137" s="332" t="s">
        <v>162</v>
      </c>
      <c r="C137" s="343">
        <f>SUMPRODUCT((EIDirecto_21+EIIndirecto_21)*Coef_trabajo_M)</f>
        <v>0</v>
      </c>
      <c r="D137" s="345" t="str">
        <f t="shared" ref="D137:D144" si="16">IFERROR(C137/$C$94,"")</f>
        <v/>
      </c>
      <c r="E137" s="363">
        <f>$D$54</f>
        <v>0.36445986406371222</v>
      </c>
      <c r="F137" s="363">
        <f>$E$54</f>
        <v>0.42081948701715455</v>
      </c>
      <c r="G137" s="356" t="str">
        <f t="shared" si="15"/>
        <v/>
      </c>
    </row>
    <row r="138" spans="1:8" ht="14" customHeight="1">
      <c r="A138" s="517" t="s">
        <v>154</v>
      </c>
      <c r="B138" s="334" t="s">
        <v>498</v>
      </c>
      <c r="C138" s="348">
        <f>SUMPRODUCT((EIDirecto_21+EIIndirecto_21)*Coef_trabajo_Baja)</f>
        <v>0</v>
      </c>
      <c r="D138" s="345" t="str">
        <f t="shared" si="16"/>
        <v/>
      </c>
      <c r="E138" s="364">
        <f>$D$55</f>
        <v>0.4391931488869304</v>
      </c>
      <c r="F138" s="364">
        <f>$E$55</f>
        <v>0.34015664321778449</v>
      </c>
      <c r="G138" s="357" t="str">
        <f t="shared" si="15"/>
        <v/>
      </c>
    </row>
    <row r="139" spans="1:8" ht="14" customHeight="1">
      <c r="A139" s="518"/>
      <c r="B139" s="334" t="s">
        <v>499</v>
      </c>
      <c r="C139" s="348">
        <f>SUMPRODUCT((EIDirecto_21+EIIndirecto_21)*Coef_trabajo_Media)</f>
        <v>0</v>
      </c>
      <c r="D139" s="345" t="str">
        <f t="shared" si="16"/>
        <v/>
      </c>
      <c r="E139" s="364">
        <f>$D$56</f>
        <v>0.34482706528404405</v>
      </c>
      <c r="F139" s="364">
        <f>$E$56</f>
        <v>0.36053921576528208</v>
      </c>
      <c r="G139" s="357" t="str">
        <f t="shared" si="15"/>
        <v/>
      </c>
    </row>
    <row r="140" spans="1:8" ht="14" customHeight="1">
      <c r="A140" s="516"/>
      <c r="B140" s="334" t="s">
        <v>500</v>
      </c>
      <c r="C140" s="348">
        <f>SUMPRODUCT((EIDirecto_21+EIIndirecto_21)*Coef_trabajo_Alta)</f>
        <v>0</v>
      </c>
      <c r="D140" s="345" t="str">
        <f t="shared" si="16"/>
        <v/>
      </c>
      <c r="E140" s="364">
        <f>$D$57</f>
        <v>0.21597978582902544</v>
      </c>
      <c r="F140" s="364">
        <f>$E$57</f>
        <v>0.29930414101693342</v>
      </c>
      <c r="G140" s="357" t="str">
        <f t="shared" si="15"/>
        <v/>
      </c>
    </row>
    <row r="141" spans="1:8" ht="14" customHeight="1">
      <c r="A141" s="515" t="s">
        <v>501</v>
      </c>
      <c r="B141" s="332" t="s">
        <v>163</v>
      </c>
      <c r="C141" s="343">
        <f>SUMPRODUCT((EIDirecto_21+EIIndirecto_21)*Coef_trabajo_Formal)</f>
        <v>0</v>
      </c>
      <c r="D141" s="345" t="str">
        <f t="shared" si="16"/>
        <v/>
      </c>
      <c r="E141" s="363">
        <f>$D$58</f>
        <v>0.27375755098193472</v>
      </c>
      <c r="F141" s="363">
        <f>$E$58</f>
        <v>0.32504902151982668</v>
      </c>
      <c r="G141" s="356" t="str">
        <f t="shared" si="15"/>
        <v/>
      </c>
    </row>
    <row r="142" spans="1:8" ht="14" customHeight="1">
      <c r="A142" s="516"/>
      <c r="B142" s="332" t="s">
        <v>167</v>
      </c>
      <c r="C142" s="343">
        <f>SUMPRODUCT((EIDirecto_21+EIIndirecto_21)*Coef_trabajo_Informal)</f>
        <v>0</v>
      </c>
      <c r="D142" s="345" t="str">
        <f t="shared" si="16"/>
        <v/>
      </c>
      <c r="E142" s="363">
        <f>$D$59</f>
        <v>0.72624244901806556</v>
      </c>
      <c r="F142" s="363">
        <f>$E$59</f>
        <v>0.67495097848017327</v>
      </c>
      <c r="G142" s="356" t="str">
        <f t="shared" si="15"/>
        <v/>
      </c>
    </row>
    <row r="143" spans="1:8" ht="14" customHeight="1">
      <c r="A143" s="517" t="s">
        <v>502</v>
      </c>
      <c r="B143" s="334" t="s">
        <v>164</v>
      </c>
      <c r="C143" s="348">
        <f>SUMPRODUCT((EIDirecto_21+EIIndirecto_21)*Coef_trabajo_Urbano)</f>
        <v>0</v>
      </c>
      <c r="D143" s="345" t="str">
        <f t="shared" si="16"/>
        <v/>
      </c>
      <c r="E143" s="364">
        <f>$D$60</f>
        <v>0.48792876073084807</v>
      </c>
      <c r="F143" s="364">
        <f>$E$60</f>
        <v>0.63166279254557001</v>
      </c>
      <c r="G143" s="357" t="str">
        <f t="shared" si="15"/>
        <v/>
      </c>
    </row>
    <row r="144" spans="1:8" ht="14" customHeight="1">
      <c r="A144" s="516"/>
      <c r="B144" s="334" t="s">
        <v>168</v>
      </c>
      <c r="C144" s="348">
        <f>SUMPRODUCT((EIDirecto_21+EIIndirecto_21)*Coef_trabajo_Rural)</f>
        <v>0</v>
      </c>
      <c r="D144" s="345" t="str">
        <f t="shared" si="16"/>
        <v/>
      </c>
      <c r="E144" s="364">
        <f>$D$61</f>
        <v>0.51207123926915188</v>
      </c>
      <c r="F144" s="364">
        <f>$E$61</f>
        <v>0.36833720745443005</v>
      </c>
      <c r="G144" s="357" t="str">
        <f t="shared" si="15"/>
        <v/>
      </c>
    </row>
    <row r="147" ht="30" customHeight="1"/>
    <row r="148" ht="14" customHeight="1"/>
  </sheetData>
  <mergeCells count="30">
    <mergeCell ref="A143:A144"/>
    <mergeCell ref="A93:B93"/>
    <mergeCell ref="A94:B94"/>
    <mergeCell ref="A95:B95"/>
    <mergeCell ref="A136:A137"/>
    <mergeCell ref="A138:A140"/>
    <mergeCell ref="A141:A142"/>
    <mergeCell ref="A83:I84"/>
    <mergeCell ref="A86:I86"/>
    <mergeCell ref="A87:I88"/>
    <mergeCell ref="A91:B91"/>
    <mergeCell ref="A92:B92"/>
    <mergeCell ref="A65:I66"/>
    <mergeCell ref="A8:B8"/>
    <mergeCell ref="A9:B9"/>
    <mergeCell ref="A10:B10"/>
    <mergeCell ref="A11:B11"/>
    <mergeCell ref="A13:I13"/>
    <mergeCell ref="A51:I51"/>
    <mergeCell ref="A53:A54"/>
    <mergeCell ref="A55:A57"/>
    <mergeCell ref="A58:A59"/>
    <mergeCell ref="A60:A61"/>
    <mergeCell ref="A64:I64"/>
    <mergeCell ref="A7:B7"/>
    <mergeCell ref="A1:I1"/>
    <mergeCell ref="A2:I2"/>
    <mergeCell ref="A3:I3"/>
    <mergeCell ref="A5:I5"/>
    <mergeCell ref="A6:B6"/>
  </mergeCells>
  <conditionalFormatting sqref="F53:F61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{4A8DE9A6-3048-184D-AAD2-EED60044477E}</x14:id>
        </ext>
      </extLst>
    </cfRule>
  </conditionalFormatting>
  <conditionalFormatting sqref="D136:D14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{E7914FA9-1A6F-744D-9767-BD58D8D88F91}</x14:id>
        </ext>
      </extLst>
    </cfRule>
  </conditionalFormatting>
  <pageMargins left="0.75" right="0.75" top="1" bottom="1" header="0.5" footer="0.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8DE9A6-3048-184D-AAD2-EED6004447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F53:F61</xm:sqref>
        </x14:conditionalFormatting>
        <x14:conditionalFormatting xmlns:xm="http://schemas.microsoft.com/office/excel/2006/main">
          <x14:cfRule type="dataBar" id="{E7914FA9-1A6F-744D-9767-BD58D8D88F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D136:D144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5">
    <tabColor theme="5" tint="0.39997558519241921"/>
  </sheetPr>
  <dimension ref="A1:L87"/>
  <sheetViews>
    <sheetView showGridLines="0" topLeftCell="A2" workbookViewId="0">
      <selection activeCell="A12" sqref="A12:XFD14"/>
    </sheetView>
  </sheetViews>
  <sheetFormatPr baseColWidth="10" defaultColWidth="8.83203125" defaultRowHeight="16"/>
  <cols>
    <col min="1" max="1" width="7" customWidth="1"/>
    <col min="2" max="2" width="30" customWidth="1"/>
    <col min="3" max="5" width="11" customWidth="1"/>
    <col min="6" max="6" width="19" customWidth="1"/>
    <col min="7" max="7" width="18" customWidth="1"/>
  </cols>
  <sheetData>
    <row r="1" spans="1:12" ht="6" customHeight="1">
      <c r="A1" s="186"/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</row>
    <row r="2" spans="1:12" ht="30" customHeight="1">
      <c r="A2" s="510" t="s">
        <v>206</v>
      </c>
      <c r="B2" s="419"/>
      <c r="C2" s="419"/>
      <c r="D2" s="419"/>
      <c r="E2" s="419"/>
      <c r="F2" s="419"/>
      <c r="G2" s="419"/>
      <c r="H2" s="186"/>
      <c r="I2" s="186"/>
      <c r="J2" s="186"/>
      <c r="K2" s="186"/>
      <c r="L2" s="186"/>
    </row>
    <row r="3" spans="1:12" ht="18" customHeight="1">
      <c r="A3" s="511" t="s">
        <v>207</v>
      </c>
      <c r="B3" s="419"/>
      <c r="C3" s="419"/>
      <c r="D3" s="419"/>
      <c r="E3" s="419"/>
      <c r="F3" s="419"/>
      <c r="G3" s="419"/>
      <c r="H3" s="186"/>
      <c r="I3" s="186"/>
      <c r="J3" s="186"/>
      <c r="K3" s="186"/>
      <c r="L3" s="186"/>
    </row>
    <row r="4" spans="1:12" ht="4" customHeight="1">
      <c r="A4" s="428"/>
      <c r="B4" s="419"/>
      <c r="C4" s="419"/>
      <c r="D4" s="419"/>
      <c r="E4" s="419"/>
      <c r="F4" s="419"/>
      <c r="G4" s="419"/>
      <c r="H4" s="186"/>
      <c r="I4" s="186"/>
      <c r="J4" s="186"/>
      <c r="K4" s="186"/>
      <c r="L4" s="186"/>
    </row>
    <row r="5" spans="1:12" ht="6" customHeight="1">
      <c r="A5" s="186"/>
      <c r="B5" s="186"/>
      <c r="C5" s="186"/>
      <c r="D5" s="186"/>
      <c r="E5" s="186"/>
      <c r="F5" s="186"/>
      <c r="G5" s="186"/>
      <c r="H5" s="186"/>
      <c r="I5" s="186"/>
      <c r="J5" s="186"/>
      <c r="K5" s="186"/>
      <c r="L5" s="186"/>
    </row>
    <row r="6" spans="1:12">
      <c r="A6" s="522" t="s">
        <v>208</v>
      </c>
      <c r="B6" s="419"/>
      <c r="C6" s="206">
        <v>0.55000000000000004</v>
      </c>
      <c r="D6" s="216" t="s">
        <v>209</v>
      </c>
      <c r="E6" s="186"/>
      <c r="F6" s="186"/>
      <c r="G6" s="186"/>
      <c r="H6" s="186"/>
      <c r="I6" s="186"/>
      <c r="J6" s="186"/>
      <c r="K6" s="186"/>
      <c r="L6" s="186"/>
    </row>
    <row r="7" spans="1:12">
      <c r="A7" s="522" t="s">
        <v>210</v>
      </c>
      <c r="B7" s="419"/>
      <c r="C7" s="207">
        <f>SUM(ValorAgregado21)/SUM(VBP_21)</f>
        <v>0.53299103418848337</v>
      </c>
      <c r="D7" s="186"/>
      <c r="E7" s="186"/>
      <c r="F7" s="186"/>
      <c r="G7" s="186"/>
      <c r="H7" s="186"/>
      <c r="I7" s="186"/>
      <c r="J7" s="186"/>
      <c r="K7" s="186"/>
      <c r="L7" s="186"/>
    </row>
    <row r="8" spans="1:12">
      <c r="A8" s="522" t="s">
        <v>211</v>
      </c>
      <c r="B8" s="419"/>
      <c r="C8" s="206">
        <v>0.1</v>
      </c>
      <c r="D8" s="186"/>
      <c r="E8" s="186"/>
      <c r="F8" s="186"/>
      <c r="G8" s="186"/>
      <c r="H8" s="186"/>
      <c r="I8" s="186"/>
      <c r="J8" s="186"/>
      <c r="K8" s="186"/>
      <c r="L8" s="186"/>
    </row>
    <row r="9" spans="1:12" ht="6" customHeight="1">
      <c r="A9" s="186"/>
      <c r="B9" s="186"/>
      <c r="C9" s="186"/>
      <c r="D9" s="186"/>
      <c r="E9" s="186"/>
      <c r="F9" s="186"/>
      <c r="G9" s="186"/>
      <c r="H9" s="186"/>
      <c r="I9" s="186"/>
      <c r="J9" s="186"/>
      <c r="K9" s="186"/>
      <c r="L9" s="186"/>
    </row>
    <row r="10" spans="1:12" ht="34" customHeight="1" thickBot="1">
      <c r="A10" s="217" t="s">
        <v>83</v>
      </c>
      <c r="B10" s="217" t="s">
        <v>5</v>
      </c>
      <c r="C10" s="217" t="s">
        <v>212</v>
      </c>
      <c r="D10" s="217" t="s">
        <v>213</v>
      </c>
      <c r="E10" s="217" t="s">
        <v>214</v>
      </c>
      <c r="F10" s="217" t="s">
        <v>215</v>
      </c>
      <c r="G10" s="217" t="s">
        <v>216</v>
      </c>
      <c r="H10" s="186"/>
      <c r="I10" s="186"/>
      <c r="J10" s="186"/>
      <c r="K10" s="186"/>
      <c r="L10" s="186"/>
    </row>
    <row r="11" spans="1:12">
      <c r="A11" s="208" t="str">
        <f>MRIO!A4</f>
        <v>AGRI</v>
      </c>
      <c r="B11" s="211" t="str">
        <f>MRIO!B4</f>
        <v>Agricultura</v>
      </c>
      <c r="C11" s="209" cm="1">
        <f t="array" ref="C11:C43">TRANSPOSE(ValorAgregado21/VBP_21)</f>
        <v>0.56765205249043971</v>
      </c>
      <c r="D11" s="210" cm="1">
        <f t="array" ref="D11:D43">TRANSPOSE((Importaciones/VBP_21))</f>
        <v>6.9627584455974986E-2</v>
      </c>
      <c r="E11" s="218" cm="1">
        <f t="array" ref="E11:E43">Coef_trabajo</f>
        <v>63.325875501816853</v>
      </c>
      <c r="F11" s="219" t="str">
        <f>'Encadenamientos Internos'!F4</f>
        <v>Dependiente en Demanda</v>
      </c>
      <c r="G11" s="211" t="str">
        <f t="shared" ref="G11:G43" si="0">IF(C11="","s/d",IF(C11&gt;=$C$6+$C$8,"● Alta retención",IF(C11&gt;=$C$6-$C$8,"● Media","● Baja / ensamblaje")))</f>
        <v>● Media</v>
      </c>
      <c r="H11" s="186"/>
      <c r="I11" s="186"/>
      <c r="J11" s="186"/>
      <c r="K11" s="186"/>
      <c r="L11" s="186"/>
    </row>
    <row r="12" spans="1:12">
      <c r="A12" s="208" t="str">
        <f>MRIO!A5</f>
        <v>GAN</v>
      </c>
      <c r="B12" s="211" t="str">
        <f>MRIO!B5</f>
        <v>Ganadería</v>
      </c>
      <c r="C12" s="209">
        <v>0.48484373776141615</v>
      </c>
      <c r="D12" s="210">
        <v>7.3470666562230752E-2</v>
      </c>
      <c r="E12" s="218">
        <v>42.626302185321528</v>
      </c>
      <c r="F12" s="219" t="str">
        <f>'Encadenamientos Internos'!F5</f>
        <v>Clave</v>
      </c>
      <c r="G12" s="211" t="str">
        <f>IF(C12="","s/d",IF(C12&gt;=$C$6+$C$8,"● Alta retención",IF(C12&gt;=$C$6-$C$8,"● Media","● Baja / ensamblaje")))</f>
        <v>● Media</v>
      </c>
      <c r="H12" s="186"/>
      <c r="I12" s="186"/>
      <c r="J12" s="186"/>
      <c r="K12" s="186"/>
      <c r="L12" s="186"/>
    </row>
    <row r="13" spans="1:12">
      <c r="A13" s="208" t="str">
        <f>MRIO!A6</f>
        <v>FOR</v>
      </c>
      <c r="B13" s="211" t="str">
        <f>MRIO!B6</f>
        <v>Forestal</v>
      </c>
      <c r="C13" s="209">
        <v>0.72139764996907851</v>
      </c>
      <c r="D13" s="210">
        <v>5.1638837353123059E-2</v>
      </c>
      <c r="E13" s="218">
        <v>53.506493506493499</v>
      </c>
      <c r="F13" s="219" t="str">
        <f>'Encadenamientos Internos'!F6</f>
        <v>Independientes</v>
      </c>
      <c r="G13" s="211" t="str">
        <f>IF(C13="","s/d",IF(C13&gt;=$C$6+$C$8,"● Alta retención",IF(C13&gt;=$C$6-$C$8,"● Media","● Baja / ensamblaje")))</f>
        <v>● Alta retención</v>
      </c>
      <c r="H13" s="186"/>
      <c r="I13" s="186"/>
      <c r="J13" s="186"/>
      <c r="K13" s="186"/>
      <c r="L13" s="186"/>
    </row>
    <row r="14" spans="1:12">
      <c r="A14" s="208" t="str">
        <f>MRIO!A7</f>
        <v>PES</v>
      </c>
      <c r="B14" s="211" t="str">
        <f>MRIO!B7</f>
        <v>Pesca</v>
      </c>
      <c r="C14" s="209">
        <v>0.670886075949367</v>
      </c>
      <c r="D14" s="210">
        <v>0.11573236889692584</v>
      </c>
      <c r="E14" s="218">
        <v>87.233273056057868</v>
      </c>
      <c r="F14" s="219" t="str">
        <f>'Encadenamientos Internos'!F7</f>
        <v>Independientes</v>
      </c>
      <c r="G14" s="211" t="str">
        <f>IF(C14="","s/d",IF(C14&gt;=$C$6+$C$8,"● Alta retención",IF(C14&gt;=$C$6-$C$8,"● Media","● Baja / ensamblaje")))</f>
        <v>● Alta retención</v>
      </c>
      <c r="H14" s="186"/>
      <c r="I14" s="186"/>
      <c r="J14" s="186"/>
      <c r="K14" s="186"/>
      <c r="L14" s="186"/>
    </row>
    <row r="15" spans="1:12">
      <c r="A15" s="212" t="str">
        <f>MRIO!A8</f>
        <v>MNE</v>
      </c>
      <c r="B15" s="215" t="str">
        <f>MRIO!B8</f>
        <v>Minería</v>
      </c>
      <c r="C15" s="209">
        <v>0.32135404590772088</v>
      </c>
      <c r="D15" s="214">
        <v>0.22420588917226988</v>
      </c>
      <c r="E15" s="220">
        <v>10.171574310224903</v>
      </c>
      <c r="F15" s="221" t="str">
        <f>'Encadenamientos Internos'!F8</f>
        <v>Dependiente sobre oferta</v>
      </c>
      <c r="G15" s="215" t="str">
        <f t="shared" si="0"/>
        <v>● Baja / ensamblaje</v>
      </c>
      <c r="H15" s="186"/>
      <c r="I15" s="186"/>
      <c r="J15" s="186"/>
      <c r="K15" s="186"/>
      <c r="L15" s="186"/>
    </row>
    <row r="16" spans="1:12">
      <c r="A16" s="208" t="str">
        <f>MRIO!A9</f>
        <v>CAR</v>
      </c>
      <c r="B16" s="211" t="str">
        <f>MRIO!B9</f>
        <v>Producción de carne</v>
      </c>
      <c r="C16" s="209">
        <v>0.33868693386869336</v>
      </c>
      <c r="D16" s="210">
        <v>2.258550225855022E-2</v>
      </c>
      <c r="E16" s="218">
        <v>6.7754116775411672</v>
      </c>
      <c r="F16" s="219" t="str">
        <f>'Encadenamientos Internos'!F9</f>
        <v>Dependiente sobre oferta</v>
      </c>
      <c r="G16" s="211" t="str">
        <f t="shared" si="0"/>
        <v>● Baja / ensamblaje</v>
      </c>
      <c r="H16" s="186"/>
      <c r="I16" s="186"/>
      <c r="J16" s="186"/>
      <c r="K16" s="186"/>
      <c r="L16" s="186"/>
    </row>
    <row r="17" spans="1:12">
      <c r="A17" s="208" t="str">
        <f>MRIO!A10</f>
        <v>ACE</v>
      </c>
      <c r="B17" s="211" t="str">
        <f>MRIO!B10</f>
        <v>Elaboración de aceites</v>
      </c>
      <c r="C17" s="209">
        <v>0.47110517435320581</v>
      </c>
      <c r="D17" s="210">
        <v>2.3622047244094488E-2</v>
      </c>
      <c r="E17" s="218">
        <v>4.8987626546681664</v>
      </c>
      <c r="F17" s="219" t="str">
        <f>'Encadenamientos Internos'!F10</f>
        <v>Dependiente sobre oferta</v>
      </c>
      <c r="G17" s="211" t="str">
        <f t="shared" ref="G17:G22" si="1">IF(C17="","s/d",IF(C17&gt;=$C$6+$C$8,"● Alta retención",IF(C17&gt;=$C$6-$C$8,"● Media","● Baja / ensamblaje")))</f>
        <v>● Media</v>
      </c>
      <c r="H17" s="186"/>
      <c r="I17" s="186"/>
      <c r="J17" s="186"/>
      <c r="K17" s="186"/>
      <c r="L17" s="186"/>
    </row>
    <row r="18" spans="1:12">
      <c r="A18" s="208" t="str">
        <f>MRIO!A11</f>
        <v>LAC</v>
      </c>
      <c r="B18" s="211" t="str">
        <f>MRIO!B11</f>
        <v>Producción de lácteos</v>
      </c>
      <c r="C18" s="209">
        <v>0.41864424816430779</v>
      </c>
      <c r="D18" s="210">
        <v>2.8838991167393854E-2</v>
      </c>
      <c r="E18" s="218">
        <v>7.8620836437160806</v>
      </c>
      <c r="F18" s="219" t="str">
        <f>'Encadenamientos Internos'!F11</f>
        <v>Dependiente sobre oferta</v>
      </c>
      <c r="G18" s="211" t="str">
        <f t="shared" si="1"/>
        <v>● Baja / ensamblaje</v>
      </c>
      <c r="H18" s="186"/>
      <c r="I18" s="186"/>
      <c r="J18" s="186"/>
      <c r="K18" s="186"/>
      <c r="L18" s="186"/>
    </row>
    <row r="19" spans="1:12">
      <c r="A19" s="208" t="str">
        <f>MRIO!A12</f>
        <v>MOL</v>
      </c>
      <c r="B19" s="211" t="str">
        <f>MRIO!B12</f>
        <v>Molinería y panadería</v>
      </c>
      <c r="C19" s="209">
        <v>0.23756111590451542</v>
      </c>
      <c r="D19" s="210">
        <v>5.0522481066053115E-2</v>
      </c>
      <c r="E19" s="218">
        <v>12.637331032499283</v>
      </c>
      <c r="F19" s="219" t="str">
        <f>'Encadenamientos Internos'!F12</f>
        <v>Dependiente sobre oferta</v>
      </c>
      <c r="G19" s="211" t="str">
        <f t="shared" si="1"/>
        <v>● Baja / ensamblaje</v>
      </c>
      <c r="H19" s="186"/>
      <c r="I19" s="186"/>
      <c r="J19" s="186"/>
      <c r="K19" s="186"/>
      <c r="L19" s="186"/>
    </row>
    <row r="20" spans="1:12">
      <c r="A20" s="208" t="str">
        <f>MRIO!A13</f>
        <v>AZU</v>
      </c>
      <c r="B20" s="211" t="str">
        <f>MRIO!B13</f>
        <v>Azúcar</v>
      </c>
      <c r="C20" s="209">
        <v>0.71402214022140209</v>
      </c>
      <c r="D20" s="210">
        <v>1.8977332630469156E-2</v>
      </c>
      <c r="E20" s="218">
        <v>14.354243542435421</v>
      </c>
      <c r="F20" s="219" t="str">
        <f>'Encadenamientos Internos'!F13</f>
        <v>Independientes</v>
      </c>
      <c r="G20" s="211" t="str">
        <f t="shared" si="1"/>
        <v>● Alta retención</v>
      </c>
      <c r="H20" s="186"/>
      <c r="I20" s="186"/>
      <c r="J20" s="186"/>
      <c r="K20" s="186"/>
      <c r="L20" s="186"/>
    </row>
    <row r="21" spans="1:12">
      <c r="A21" s="208" t="str">
        <f>MRIO!A14</f>
        <v>OAL</v>
      </c>
      <c r="B21" s="211" t="str">
        <f>MRIO!B14</f>
        <v>Otros alimentos</v>
      </c>
      <c r="C21" s="209">
        <v>0.45960002930188276</v>
      </c>
      <c r="D21" s="210">
        <v>5.8530510585305104E-2</v>
      </c>
      <c r="E21" s="218">
        <v>6.6192952897223654</v>
      </c>
      <c r="F21" s="219" t="str">
        <f>'Encadenamientos Internos'!F14</f>
        <v>Dependiente sobre oferta</v>
      </c>
      <c r="G21" s="211" t="str">
        <f t="shared" si="1"/>
        <v>● Media</v>
      </c>
      <c r="H21" s="186"/>
      <c r="I21" s="186"/>
      <c r="J21" s="186"/>
      <c r="K21" s="186"/>
      <c r="L21" s="186"/>
    </row>
    <row r="22" spans="1:12">
      <c r="A22" s="208" t="str">
        <f>MRIO!A15</f>
        <v>BEB</v>
      </c>
      <c r="B22" s="211" t="str">
        <f>MRIO!B15</f>
        <v>Bebidas y tabaco</v>
      </c>
      <c r="C22" s="209">
        <v>0.2790616246498599</v>
      </c>
      <c r="D22" s="210">
        <v>0.20632002801120444</v>
      </c>
      <c r="E22" s="218">
        <v>6.3279061624649851</v>
      </c>
      <c r="F22" s="219" t="str">
        <f>'Encadenamientos Internos'!F15</f>
        <v>Dependiente sobre oferta</v>
      </c>
      <c r="G22" s="211" t="str">
        <f t="shared" si="1"/>
        <v>● Baja / ensamblaje</v>
      </c>
      <c r="H22" s="186"/>
      <c r="I22" s="186"/>
      <c r="J22" s="186"/>
      <c r="K22" s="186"/>
      <c r="L22" s="186"/>
    </row>
    <row r="23" spans="1:12">
      <c r="A23" s="212" t="str">
        <f>MRIO!A16</f>
        <v>TXP</v>
      </c>
      <c r="B23" s="215" t="str">
        <f>MRIO!B16</f>
        <v>Textiles y prendas de vestir</v>
      </c>
      <c r="C23" s="209">
        <v>0.56741700773078663</v>
      </c>
      <c r="D23" s="214">
        <v>9.9931787175989092E-2</v>
      </c>
      <c r="E23" s="220">
        <v>67.530695770804911</v>
      </c>
      <c r="F23" s="221" t="str">
        <f>'Encadenamientos Internos'!F16</f>
        <v>Independientes</v>
      </c>
      <c r="G23" s="215" t="str">
        <f t="shared" si="0"/>
        <v>● Media</v>
      </c>
      <c r="H23" s="186"/>
      <c r="I23" s="186"/>
      <c r="J23" s="186"/>
      <c r="K23" s="186"/>
      <c r="L23" s="186"/>
    </row>
    <row r="24" spans="1:12">
      <c r="A24" s="212" t="str">
        <f>MRIO!A17</f>
        <v>CUE</v>
      </c>
      <c r="B24" s="215" t="str">
        <f>MRIO!B17</f>
        <v>Cuero y calzado</v>
      </c>
      <c r="C24" s="209">
        <v>0.34645090106656856</v>
      </c>
      <c r="D24" s="214">
        <v>0.17138653916881211</v>
      </c>
      <c r="E24" s="220">
        <v>38.124310408238323</v>
      </c>
      <c r="F24" s="221" t="str">
        <f>'Encadenamientos Internos'!F17</f>
        <v>Dependiente sobre oferta</v>
      </c>
      <c r="G24" s="215" t="str">
        <f>IF(C24="","s/d",IF(C24&gt;=$C$6+$C$8,"● Alta retención",IF(C24&gt;=$C$6-$C$8,"● Media","● Baja / ensamblaje")))</f>
        <v>● Baja / ensamblaje</v>
      </c>
      <c r="H24" s="186"/>
      <c r="I24" s="186"/>
      <c r="J24" s="186"/>
      <c r="K24" s="186"/>
      <c r="L24" s="186"/>
    </row>
    <row r="25" spans="1:12">
      <c r="A25" s="208" t="str">
        <f>MRIO!A18</f>
        <v>MAD</v>
      </c>
      <c r="B25" s="211" t="str">
        <f>MRIO!B18</f>
        <v>Industria de la madera</v>
      </c>
      <c r="C25" s="209">
        <v>0.32294482429639049</v>
      </c>
      <c r="D25" s="210">
        <v>3.3391636190173317E-2</v>
      </c>
      <c r="E25" s="218">
        <v>27.107648274765459</v>
      </c>
      <c r="F25" s="219" t="str">
        <f>'Encadenamientos Internos'!F18</f>
        <v>Dependiente sobre oferta</v>
      </c>
      <c r="G25" s="211" t="str">
        <f t="shared" si="0"/>
        <v>● Baja / ensamblaje</v>
      </c>
      <c r="H25" s="186"/>
      <c r="I25" s="186"/>
      <c r="J25" s="186"/>
      <c r="K25" s="186"/>
      <c r="L25" s="186"/>
    </row>
    <row r="26" spans="1:12">
      <c r="A26" s="208" t="str">
        <f>MRIO!A19</f>
        <v>PAP</v>
      </c>
      <c r="B26" s="211" t="str">
        <f>MRIO!B19</f>
        <v>Papel y productos del papel</v>
      </c>
      <c r="C26" s="209">
        <v>0.43998211091234346</v>
      </c>
      <c r="D26" s="210">
        <v>0.10644007155635063</v>
      </c>
      <c r="E26" s="218">
        <v>12.475849731663684</v>
      </c>
      <c r="F26" s="219" t="str">
        <f>'Encadenamientos Internos'!F19</f>
        <v>Clave</v>
      </c>
      <c r="G26" s="211" t="str">
        <f>IF(C26="","s/d",IF(C26&gt;=$C$6+$C$8,"● Alta retención",IF(C26&gt;=$C$6-$C$8,"● Media","● Baja / ensamblaje")))</f>
        <v>● Baja / ensamblaje</v>
      </c>
      <c r="H26" s="186"/>
      <c r="I26" s="186"/>
      <c r="J26" s="186"/>
      <c r="K26" s="186"/>
      <c r="L26" s="186"/>
    </row>
    <row r="27" spans="1:12">
      <c r="A27" s="212" t="str">
        <f>MRIO!A20</f>
        <v>QUI</v>
      </c>
      <c r="B27" s="215" t="str">
        <f>MRIO!B20</f>
        <v>Química, farmacia y caucho</v>
      </c>
      <c r="C27" s="209">
        <v>0.33825593952483796</v>
      </c>
      <c r="D27" s="214">
        <v>0.24306155507559396</v>
      </c>
      <c r="E27" s="220">
        <v>6.7856371490280774</v>
      </c>
      <c r="F27" s="221" t="str">
        <f>'Encadenamientos Internos'!F20</f>
        <v>Clave</v>
      </c>
      <c r="G27" s="215" t="str">
        <f t="shared" si="0"/>
        <v>● Baja / ensamblaje</v>
      </c>
      <c r="H27" s="186"/>
      <c r="I27" s="186"/>
      <c r="J27" s="186"/>
      <c r="K27" s="186"/>
      <c r="L27" s="186"/>
    </row>
    <row r="28" spans="1:12">
      <c r="A28" s="208" t="str">
        <f>MRIO!A21</f>
        <v>MNM</v>
      </c>
      <c r="B28" s="211" t="str">
        <f>MRIO!B21</f>
        <v>Minerales no metálicos</v>
      </c>
      <c r="C28" s="209">
        <v>0.38107354901248031</v>
      </c>
      <c r="D28" s="210">
        <v>0.15000605840300496</v>
      </c>
      <c r="E28" s="218">
        <v>34.96667878347268</v>
      </c>
      <c r="F28" s="219" t="str">
        <f>'Encadenamientos Internos'!F21</f>
        <v>Dependiente sobre oferta</v>
      </c>
      <c r="G28" s="211" t="str">
        <f t="shared" si="0"/>
        <v>● Baja / ensamblaje</v>
      </c>
      <c r="H28" s="186"/>
      <c r="I28" s="186"/>
      <c r="J28" s="186"/>
      <c r="K28" s="186"/>
      <c r="L28" s="186"/>
    </row>
    <row r="29" spans="1:12">
      <c r="A29" s="212" t="str">
        <f>MRIO!A22</f>
        <v>HIE</v>
      </c>
      <c r="B29" s="215" t="str">
        <f>MRIO!B22</f>
        <v>Hierro y acero</v>
      </c>
      <c r="C29" s="209">
        <v>0.55649999999999988</v>
      </c>
      <c r="D29" s="214">
        <v>0.193</v>
      </c>
      <c r="E29" s="220">
        <v>19.53</v>
      </c>
      <c r="F29" s="221" t="str">
        <f>'Encadenamientos Internos'!F22</f>
        <v>Independientes</v>
      </c>
      <c r="G29" s="215" t="str">
        <f t="shared" si="0"/>
        <v>● Media</v>
      </c>
      <c r="H29" s="186"/>
      <c r="I29" s="186"/>
      <c r="J29" s="186"/>
      <c r="K29" s="186"/>
      <c r="L29" s="186"/>
    </row>
    <row r="30" spans="1:12">
      <c r="A30" s="208" t="str">
        <f>MRIO!A23</f>
        <v>MET</v>
      </c>
      <c r="B30" s="211" t="str">
        <f>MRIO!B23</f>
        <v>Productos de metal</v>
      </c>
      <c r="C30" s="209">
        <v>0.42637169866484742</v>
      </c>
      <c r="D30" s="210">
        <v>0.22970470714355321</v>
      </c>
      <c r="E30" s="218">
        <v>20.001949127765322</v>
      </c>
      <c r="F30" s="219" t="str">
        <f>'Encadenamientos Internos'!F23</f>
        <v>Independientes</v>
      </c>
      <c r="G30" s="211" t="str">
        <f t="shared" si="0"/>
        <v>● Baja / ensamblaje</v>
      </c>
      <c r="H30" s="186"/>
      <c r="I30" s="186"/>
      <c r="J30" s="186"/>
      <c r="K30" s="186"/>
      <c r="L30" s="186"/>
    </row>
    <row r="31" spans="1:12">
      <c r="A31" s="212" t="str">
        <f>MRIO!A24</f>
        <v>MAQ</v>
      </c>
      <c r="B31" s="215" t="str">
        <f>MRIO!B24</f>
        <v>Maquinaria, equipo y vehículos</v>
      </c>
      <c r="C31" s="209">
        <v>0.32219218481199313</v>
      </c>
      <c r="D31" s="214">
        <v>0.20054067338412387</v>
      </c>
      <c r="E31" s="220">
        <v>23.219464241828462</v>
      </c>
      <c r="F31" s="221" t="str">
        <f>'Encadenamientos Internos'!F24</f>
        <v>Dependiente sobre oferta</v>
      </c>
      <c r="G31" s="215" t="str">
        <f t="shared" si="0"/>
        <v>● Baja / ensamblaje</v>
      </c>
      <c r="H31" s="186"/>
      <c r="I31" s="186"/>
      <c r="J31" s="186"/>
      <c r="K31" s="186"/>
      <c r="L31" s="186"/>
    </row>
    <row r="32" spans="1:12">
      <c r="A32" s="208" t="str">
        <f>MRIO!A25</f>
        <v>OMF</v>
      </c>
      <c r="B32" s="211" t="str">
        <f>MRIO!B25</f>
        <v>Otras manufacturas y reparación</v>
      </c>
      <c r="C32" s="209">
        <v>0.42636032193712597</v>
      </c>
      <c r="D32" s="210">
        <v>0.19027309623718791</v>
      </c>
      <c r="E32" s="218">
        <v>25.473619041067625</v>
      </c>
      <c r="F32" s="219" t="str">
        <f>'Encadenamientos Internos'!F25</f>
        <v>Dependiente en Demanda</v>
      </c>
      <c r="G32" s="211" t="str">
        <f t="shared" si="0"/>
        <v>● Baja / ensamblaje</v>
      </c>
      <c r="H32" s="186"/>
      <c r="I32" s="186"/>
      <c r="J32" s="186"/>
      <c r="K32" s="186"/>
      <c r="L32" s="186"/>
    </row>
    <row r="33" spans="1:12">
      <c r="A33" s="212" t="str">
        <f>MRIO!A26</f>
        <v>EGA</v>
      </c>
      <c r="B33" s="215" t="str">
        <f>MRIO!B26</f>
        <v>Electricidad, gas, y agua</v>
      </c>
      <c r="C33" s="209">
        <v>0.83216121978606461</v>
      </c>
      <c r="D33" s="214">
        <v>5.9393652857396145E-3</v>
      </c>
      <c r="E33" s="220">
        <v>7.5725429939128901</v>
      </c>
      <c r="F33" s="221" t="str">
        <f>'Encadenamientos Internos'!F26</f>
        <v>Dependiente en Demanda</v>
      </c>
      <c r="G33" s="215" t="str">
        <f t="shared" si="0"/>
        <v>● Alta retención</v>
      </c>
      <c r="H33" s="186"/>
      <c r="I33" s="186"/>
      <c r="J33" s="186"/>
      <c r="K33" s="186"/>
      <c r="L33" s="186"/>
    </row>
    <row r="34" spans="1:12">
      <c r="A34" s="208" t="str">
        <f>MRIO!A27</f>
        <v>CON</v>
      </c>
      <c r="B34" s="211" t="str">
        <f>MRIO!B27</f>
        <v>Construcción</v>
      </c>
      <c r="C34" s="209">
        <v>0.52357202855942875</v>
      </c>
      <c r="D34" s="210">
        <v>9.8138037239255238E-2</v>
      </c>
      <c r="E34" s="218">
        <v>37.169431611367777</v>
      </c>
      <c r="F34" s="219" t="str">
        <f>'Encadenamientos Internos'!F27</f>
        <v>Dependiente sobre oferta</v>
      </c>
      <c r="G34" s="211" t="str">
        <f t="shared" si="0"/>
        <v>● Media</v>
      </c>
      <c r="H34" s="186"/>
      <c r="I34" s="186"/>
      <c r="J34" s="186"/>
      <c r="K34" s="186"/>
      <c r="L34" s="186"/>
    </row>
    <row r="35" spans="1:12">
      <c r="A35" s="212" t="str">
        <f>MRIO!A28</f>
        <v>COM</v>
      </c>
      <c r="B35" s="215" t="str">
        <f>MRIO!B28</f>
        <v>Comercio al por mayor y menor</v>
      </c>
      <c r="C35" s="209">
        <v>0.53630632015992619</v>
      </c>
      <c r="D35" s="214">
        <v>5.5584601978573983E-2</v>
      </c>
      <c r="E35" s="220">
        <v>82.254754216002866</v>
      </c>
      <c r="F35" s="221" t="str">
        <f>'Encadenamientos Internos'!F28</f>
        <v>Dependiente en Demanda</v>
      </c>
      <c r="G35" s="215" t="str">
        <f t="shared" si="0"/>
        <v>● Media</v>
      </c>
      <c r="H35" s="186"/>
      <c r="I35" s="186"/>
      <c r="J35" s="186"/>
      <c r="K35" s="186"/>
      <c r="L35" s="186"/>
    </row>
    <row r="36" spans="1:12">
      <c r="A36" s="208" t="str">
        <f>MRIO!A29</f>
        <v>TRA</v>
      </c>
      <c r="B36" s="211" t="str">
        <f>MRIO!B29</f>
        <v>Transporte</v>
      </c>
      <c r="C36" s="209">
        <v>0.45772164561710654</v>
      </c>
      <c r="D36" s="210">
        <v>0.16128548205577095</v>
      </c>
      <c r="E36" s="218">
        <v>22.018256846317374</v>
      </c>
      <c r="F36" s="219" t="str">
        <f>'Encadenamientos Internos'!F29</f>
        <v>Dependiente en Demanda</v>
      </c>
      <c r="G36" s="211" t="str">
        <f t="shared" si="0"/>
        <v>● Media</v>
      </c>
      <c r="H36" s="186"/>
      <c r="I36" s="186"/>
      <c r="J36" s="186"/>
      <c r="K36" s="186"/>
      <c r="L36" s="186"/>
    </row>
    <row r="37" spans="1:12">
      <c r="A37" s="212" t="str">
        <f>MRIO!A30</f>
        <v>TUR</v>
      </c>
      <c r="B37" s="215" t="str">
        <f>MRIO!B30</f>
        <v>Turismo (aloj., alimentación y recreación)</v>
      </c>
      <c r="C37" s="209">
        <v>0.50562778117092755</v>
      </c>
      <c r="D37" s="214">
        <v>5.3223976965360791E-2</v>
      </c>
      <c r="E37" s="220">
        <v>48.145886048337843</v>
      </c>
      <c r="F37" s="221" t="str">
        <f>'Encadenamientos Internos'!F30</f>
        <v>Dependiente sobre oferta</v>
      </c>
      <c r="G37" s="215" t="str">
        <f t="shared" si="0"/>
        <v>● Media</v>
      </c>
      <c r="H37" s="186"/>
      <c r="I37" s="186"/>
      <c r="J37" s="186"/>
      <c r="K37" s="186"/>
      <c r="L37" s="186"/>
    </row>
    <row r="38" spans="1:12">
      <c r="A38" s="208" t="str">
        <f>MRIO!A31</f>
        <v>TIC</v>
      </c>
      <c r="B38" s="211" t="str">
        <f>MRIO!B31</f>
        <v>Telecomunicaciones, edición y servicios de info.</v>
      </c>
      <c r="C38" s="209">
        <v>0.40655254923614947</v>
      </c>
      <c r="D38" s="210">
        <v>0.1139701822197681</v>
      </c>
      <c r="E38" s="218">
        <v>18.092766427388185</v>
      </c>
      <c r="F38" s="219" t="str">
        <f>'Encadenamientos Internos'!F31</f>
        <v>Clave</v>
      </c>
      <c r="G38" s="211" t="str">
        <f t="shared" si="0"/>
        <v>● Baja / ensamblaje</v>
      </c>
      <c r="H38" s="186"/>
      <c r="I38" s="186"/>
      <c r="J38" s="186"/>
      <c r="K38" s="186"/>
      <c r="L38" s="186"/>
    </row>
    <row r="39" spans="1:12">
      <c r="A39" s="212" t="str">
        <f>MRIO!A32</f>
        <v>FIN</v>
      </c>
      <c r="B39" s="215" t="str">
        <f>MRIO!B32</f>
        <v>Finanzas y seguros</v>
      </c>
      <c r="C39" s="209">
        <v>0.76210950419435342</v>
      </c>
      <c r="D39" s="214">
        <v>1.2688294897621698E-2</v>
      </c>
      <c r="E39" s="220">
        <v>12.218046243122163</v>
      </c>
      <c r="F39" s="221" t="str">
        <f>'Encadenamientos Internos'!F32</f>
        <v>Dependiente en Demanda</v>
      </c>
      <c r="G39" s="215" t="str">
        <f t="shared" si="0"/>
        <v>● Alta retención</v>
      </c>
      <c r="H39" s="186"/>
      <c r="I39" s="186"/>
      <c r="J39" s="186"/>
      <c r="K39" s="186"/>
      <c r="L39" s="186"/>
    </row>
    <row r="40" spans="1:12">
      <c r="A40" s="208" t="str">
        <f>MRIO!A33</f>
        <v>INM</v>
      </c>
      <c r="B40" s="211" t="str">
        <f>MRIO!B33</f>
        <v>Servicios inmobiliarios</v>
      </c>
      <c r="C40" s="209">
        <v>0.88164834790893942</v>
      </c>
      <c r="D40" s="210">
        <v>9.5280225950250125E-3</v>
      </c>
      <c r="E40" s="218">
        <v>6.455915881171947</v>
      </c>
      <c r="F40" s="219" t="str">
        <f>'Encadenamientos Internos'!F33</f>
        <v>Dependiente en Demanda</v>
      </c>
      <c r="G40" s="211" t="str">
        <f t="shared" si="0"/>
        <v>● Alta retención</v>
      </c>
      <c r="H40" s="186"/>
      <c r="I40" s="186"/>
      <c r="J40" s="186"/>
      <c r="K40" s="186"/>
      <c r="L40" s="186"/>
    </row>
    <row r="41" spans="1:12">
      <c r="A41" s="212" t="str">
        <f>MRIO!A34</f>
        <v>SEM</v>
      </c>
      <c r="B41" s="215" t="str">
        <f>MRIO!B34</f>
        <v>Servicios a las empresas</v>
      </c>
      <c r="C41" s="209">
        <v>0.517527027659475</v>
      </c>
      <c r="D41" s="214">
        <v>4.7269153367342165E-2</v>
      </c>
      <c r="E41" s="220">
        <v>69.094397903308845</v>
      </c>
      <c r="F41" s="221" t="str">
        <f>'Encadenamientos Internos'!F34</f>
        <v>Clave</v>
      </c>
      <c r="G41" s="215" t="str">
        <f t="shared" si="0"/>
        <v>● Media</v>
      </c>
      <c r="H41" s="186"/>
      <c r="I41" s="186"/>
      <c r="J41" s="186"/>
      <c r="K41" s="186"/>
      <c r="L41" s="186"/>
    </row>
    <row r="42" spans="1:12">
      <c r="A42" s="208" t="str">
        <f>MRIO!A35</f>
        <v>SHO</v>
      </c>
      <c r="B42" s="211" t="str">
        <f>MRIO!B35</f>
        <v>Servicios a los hogares</v>
      </c>
      <c r="C42" s="209">
        <v>0.64878210256268787</v>
      </c>
      <c r="D42" s="210">
        <v>4.2426415823011786E-2</v>
      </c>
      <c r="E42" s="218">
        <v>129.8656588783758</v>
      </c>
      <c r="F42" s="219" t="str">
        <f>'Encadenamientos Internos'!F35</f>
        <v>Independientes</v>
      </c>
      <c r="G42" s="211" t="str">
        <f>IF(C42="","s/d",IF(C42&gt;=$C$6+$C$8,"● Alta retención",IF(C42&gt;=$C$6-$C$8,"● Media","● Baja / ensamblaje")))</f>
        <v>● Media</v>
      </c>
      <c r="H42" s="186"/>
      <c r="I42" s="186"/>
      <c r="J42" s="186"/>
      <c r="K42" s="186"/>
      <c r="L42" s="186"/>
    </row>
    <row r="43" spans="1:12">
      <c r="A43" s="208" t="str">
        <f>MRIO!A36</f>
        <v>GOB</v>
      </c>
      <c r="B43" s="211" t="str">
        <f>MRIO!B36</f>
        <v>Servicios gubernamentales</v>
      </c>
      <c r="C43" s="209">
        <v>0.75044234461468962</v>
      </c>
      <c r="D43" s="210">
        <v>5.1594322930391907E-2</v>
      </c>
      <c r="E43" s="218">
        <v>52.355720362910823</v>
      </c>
      <c r="F43" s="219" t="str">
        <f>'Encadenamientos Internos'!F36</f>
        <v>Independientes</v>
      </c>
      <c r="G43" s="211" t="str">
        <f t="shared" si="0"/>
        <v>● Alta retención</v>
      </c>
      <c r="H43" s="186"/>
      <c r="I43" s="186"/>
      <c r="J43" s="186"/>
      <c r="K43" s="186"/>
      <c r="L43" s="186"/>
    </row>
    <row r="44" spans="1:12">
      <c r="A44" s="212"/>
      <c r="B44" s="215"/>
      <c r="C44" s="213"/>
      <c r="D44" s="214"/>
      <c r="E44" s="220"/>
      <c r="F44" s="221"/>
      <c r="G44" s="215"/>
      <c r="H44" s="186"/>
      <c r="I44" s="186"/>
      <c r="J44" s="186"/>
      <c r="K44" s="186"/>
      <c r="L44" s="186"/>
    </row>
    <row r="45" spans="1:12" ht="17" thickBot="1">
      <c r="A45" s="523" t="s">
        <v>217</v>
      </c>
      <c r="B45" s="524"/>
      <c r="C45" s="524"/>
      <c r="D45" s="524"/>
      <c r="E45" s="524"/>
      <c r="F45" s="524"/>
      <c r="G45" s="524"/>
      <c r="H45" s="186"/>
      <c r="I45" s="186"/>
      <c r="J45" s="186"/>
      <c r="K45" s="186"/>
      <c r="L45" s="186"/>
    </row>
    <row r="46" spans="1:12" ht="24" customHeight="1">
      <c r="A46" s="521"/>
      <c r="B46" s="419"/>
      <c r="C46" s="419"/>
      <c r="D46" s="419"/>
      <c r="E46" s="419"/>
      <c r="F46" s="419"/>
      <c r="G46" s="419"/>
      <c r="H46" s="186"/>
      <c r="I46" s="186"/>
      <c r="J46" s="186"/>
      <c r="K46" s="186"/>
      <c r="L46" s="186"/>
    </row>
    <row r="47" spans="1:12" ht="24" customHeight="1">
      <c r="A47" s="521"/>
      <c r="B47" s="419"/>
      <c r="C47" s="419"/>
      <c r="D47" s="419"/>
      <c r="E47" s="419"/>
      <c r="F47" s="419"/>
      <c r="G47" s="419"/>
      <c r="H47" s="186"/>
      <c r="I47" s="186"/>
      <c r="J47" s="186"/>
      <c r="K47" s="186"/>
      <c r="L47" s="186"/>
    </row>
    <row r="48" spans="1:12" ht="24" customHeight="1">
      <c r="A48" s="521"/>
      <c r="B48" s="419"/>
      <c r="C48" s="419"/>
      <c r="D48" s="419"/>
      <c r="E48" s="419"/>
      <c r="F48" s="419"/>
      <c r="G48" s="419"/>
      <c r="H48" s="186"/>
      <c r="I48" s="186"/>
      <c r="J48" s="186"/>
      <c r="K48" s="186"/>
      <c r="L48" s="186"/>
    </row>
    <row r="49" spans="1:12" ht="34" customHeight="1">
      <c r="A49" s="521"/>
      <c r="B49" s="419"/>
      <c r="C49" s="419"/>
      <c r="D49" s="419"/>
      <c r="E49" s="419"/>
      <c r="F49" s="419"/>
      <c r="G49" s="419"/>
      <c r="H49" s="186"/>
      <c r="I49" s="186"/>
      <c r="J49" s="186"/>
      <c r="K49" s="186"/>
      <c r="L49" s="186"/>
    </row>
    <row r="50" spans="1:12" ht="24" customHeight="1">
      <c r="A50" s="521"/>
      <c r="B50" s="419"/>
      <c r="C50" s="419"/>
      <c r="D50" s="419"/>
      <c r="E50" s="419"/>
      <c r="F50" s="419"/>
      <c r="G50" s="419"/>
      <c r="H50" s="186"/>
      <c r="I50" s="186"/>
      <c r="J50" s="186"/>
      <c r="K50" s="186"/>
      <c r="L50" s="186"/>
    </row>
    <row r="51" spans="1:12">
      <c r="A51" s="186"/>
      <c r="B51" s="186"/>
      <c r="C51" s="186"/>
      <c r="D51" s="186"/>
      <c r="E51" s="186"/>
      <c r="F51" s="186"/>
      <c r="G51" s="186"/>
      <c r="H51" s="186"/>
      <c r="I51" s="186"/>
      <c r="J51" s="186"/>
      <c r="K51" s="186"/>
      <c r="L51" s="186"/>
    </row>
    <row r="52" spans="1:12">
      <c r="A52" s="186"/>
      <c r="B52" s="186"/>
      <c r="C52" s="186"/>
      <c r="D52" s="186"/>
      <c r="E52" s="186"/>
      <c r="F52" s="186"/>
      <c r="G52" s="186"/>
      <c r="H52" s="186"/>
      <c r="I52" s="186"/>
      <c r="J52" s="186"/>
      <c r="K52" s="186"/>
      <c r="L52" s="186"/>
    </row>
    <row r="53" spans="1:12">
      <c r="A53" s="186"/>
      <c r="B53" s="186"/>
      <c r="C53" s="186"/>
      <c r="D53" s="186"/>
      <c r="E53" s="186"/>
      <c r="F53" s="186"/>
      <c r="G53" s="186"/>
      <c r="H53" s="186"/>
      <c r="I53" s="186"/>
      <c r="J53" s="186"/>
      <c r="K53" s="186"/>
      <c r="L53" s="186"/>
    </row>
    <row r="54" spans="1:12">
      <c r="A54" s="186"/>
      <c r="B54" s="186"/>
      <c r="C54" s="186"/>
      <c r="D54" s="186"/>
      <c r="E54" s="186"/>
      <c r="F54" s="186"/>
      <c r="G54" s="186"/>
      <c r="H54" s="186"/>
      <c r="I54" s="186"/>
      <c r="J54" s="186"/>
      <c r="K54" s="186"/>
      <c r="L54" s="186"/>
    </row>
    <row r="55" spans="1:12">
      <c r="A55" s="186"/>
      <c r="B55" s="186"/>
      <c r="C55" s="186"/>
      <c r="D55" s="186"/>
      <c r="E55" s="186"/>
      <c r="F55" s="186"/>
      <c r="G55" s="186"/>
      <c r="H55" s="186"/>
      <c r="I55" s="186"/>
      <c r="J55" s="186"/>
      <c r="K55" s="186"/>
      <c r="L55" s="186"/>
    </row>
    <row r="56" spans="1:12">
      <c r="A56" s="186"/>
      <c r="B56" s="186"/>
      <c r="C56" s="186"/>
      <c r="D56" s="186"/>
      <c r="E56" s="186"/>
      <c r="F56" s="186"/>
      <c r="G56" s="186"/>
      <c r="H56" s="186"/>
      <c r="I56" s="186"/>
      <c r="J56" s="186"/>
      <c r="K56" s="186"/>
      <c r="L56" s="186"/>
    </row>
    <row r="57" spans="1:12">
      <c r="A57" s="186"/>
      <c r="B57" s="186"/>
      <c r="C57" s="186"/>
      <c r="D57" s="186"/>
      <c r="E57" s="186"/>
      <c r="F57" s="186"/>
      <c r="G57" s="186"/>
      <c r="H57" s="186"/>
      <c r="I57" s="186"/>
      <c r="J57" s="186"/>
      <c r="K57" s="186"/>
      <c r="L57" s="186"/>
    </row>
    <row r="58" spans="1:12">
      <c r="A58" s="186"/>
      <c r="B58" s="186"/>
      <c r="C58" s="186"/>
      <c r="D58" s="186"/>
      <c r="E58" s="186"/>
      <c r="F58" s="186"/>
      <c r="G58" s="186"/>
      <c r="H58" s="186"/>
      <c r="I58" s="186"/>
      <c r="J58" s="186"/>
      <c r="K58" s="186"/>
      <c r="L58" s="186"/>
    </row>
    <row r="59" spans="1:12">
      <c r="A59" s="186"/>
      <c r="B59" s="186"/>
      <c r="C59" s="186"/>
      <c r="D59" s="186"/>
      <c r="E59" s="186"/>
      <c r="F59" s="186"/>
      <c r="G59" s="186"/>
      <c r="H59" s="186"/>
      <c r="I59" s="186"/>
      <c r="J59" s="186"/>
      <c r="K59" s="186"/>
      <c r="L59" s="186"/>
    </row>
    <row r="60" spans="1:12">
      <c r="A60" s="186"/>
      <c r="B60" s="186"/>
      <c r="C60" s="186"/>
      <c r="D60" s="186"/>
      <c r="E60" s="186"/>
      <c r="F60" s="186"/>
      <c r="G60" s="186"/>
      <c r="H60" s="186"/>
      <c r="I60" s="186"/>
      <c r="J60" s="186"/>
      <c r="K60" s="186"/>
      <c r="L60" s="186"/>
    </row>
    <row r="61" spans="1:12">
      <c r="A61" s="186"/>
      <c r="B61" s="186"/>
      <c r="C61" s="186"/>
      <c r="D61" s="186"/>
      <c r="E61" s="186"/>
      <c r="F61" s="186"/>
      <c r="G61" s="186"/>
      <c r="H61" s="186"/>
      <c r="I61" s="186"/>
      <c r="J61" s="186"/>
      <c r="K61" s="186"/>
      <c r="L61" s="186"/>
    </row>
    <row r="62" spans="1:12">
      <c r="A62" s="186"/>
      <c r="B62" s="186"/>
      <c r="C62" s="186"/>
      <c r="D62" s="186"/>
      <c r="E62" s="186"/>
      <c r="F62" s="186"/>
      <c r="G62" s="186"/>
      <c r="H62" s="186"/>
      <c r="I62" s="186"/>
      <c r="J62" s="186"/>
      <c r="K62" s="186"/>
      <c r="L62" s="186"/>
    </row>
    <row r="63" spans="1:12">
      <c r="A63" s="186"/>
      <c r="B63" s="186"/>
      <c r="C63" s="186"/>
      <c r="D63" s="186"/>
      <c r="E63" s="186"/>
      <c r="F63" s="186"/>
      <c r="G63" s="186"/>
      <c r="H63" s="186"/>
      <c r="I63" s="186"/>
      <c r="J63" s="186"/>
      <c r="K63" s="186"/>
      <c r="L63" s="186"/>
    </row>
    <row r="64" spans="1:12">
      <c r="A64" s="186"/>
      <c r="B64" s="186"/>
      <c r="C64" s="186"/>
      <c r="D64" s="186"/>
      <c r="E64" s="186"/>
      <c r="F64" s="186"/>
      <c r="G64" s="186"/>
      <c r="H64" s="186"/>
      <c r="I64" s="186"/>
      <c r="J64" s="186"/>
      <c r="K64" s="186"/>
      <c r="L64" s="186"/>
    </row>
    <row r="65" spans="1:12">
      <c r="A65" s="186"/>
      <c r="B65" s="186"/>
      <c r="C65" s="186"/>
      <c r="D65" s="186"/>
      <c r="E65" s="186"/>
      <c r="F65" s="186"/>
      <c r="G65" s="186"/>
      <c r="H65" s="186"/>
      <c r="I65" s="186"/>
      <c r="J65" s="186"/>
      <c r="K65" s="186"/>
      <c r="L65" s="186"/>
    </row>
    <row r="66" spans="1:12">
      <c r="A66" s="186"/>
      <c r="B66" s="186"/>
      <c r="C66" s="186"/>
      <c r="D66" s="186"/>
      <c r="E66" s="186"/>
      <c r="F66" s="186"/>
      <c r="G66" s="186"/>
      <c r="H66" s="186"/>
      <c r="I66" s="186"/>
      <c r="J66" s="186"/>
      <c r="K66" s="186"/>
      <c r="L66" s="186"/>
    </row>
    <row r="67" spans="1:12">
      <c r="A67" s="186"/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</row>
    <row r="68" spans="1:12">
      <c r="A68" s="186"/>
      <c r="B68" s="186"/>
      <c r="C68" s="186"/>
      <c r="D68" s="186"/>
      <c r="E68" s="186"/>
      <c r="F68" s="186"/>
      <c r="G68" s="186"/>
      <c r="H68" s="186"/>
      <c r="I68" s="186"/>
      <c r="J68" s="186"/>
      <c r="K68" s="186"/>
      <c r="L68" s="186"/>
    </row>
    <row r="69" spans="1:12">
      <c r="A69" s="186"/>
      <c r="B69" s="186"/>
      <c r="C69" s="186"/>
      <c r="D69" s="186"/>
      <c r="E69" s="186"/>
      <c r="F69" s="186"/>
      <c r="G69" s="186"/>
      <c r="H69" s="186"/>
      <c r="I69" s="186"/>
      <c r="J69" s="186"/>
      <c r="K69" s="186"/>
      <c r="L69" s="186"/>
    </row>
    <row r="70" spans="1:12">
      <c r="A70" s="186"/>
      <c r="B70" s="186"/>
      <c r="C70" s="186"/>
      <c r="D70" s="186"/>
      <c r="E70" s="186"/>
      <c r="F70" s="186"/>
      <c r="G70" s="186"/>
      <c r="H70" s="186"/>
      <c r="I70" s="186"/>
      <c r="J70" s="186"/>
      <c r="K70" s="186"/>
      <c r="L70" s="186"/>
    </row>
    <row r="71" spans="1:12">
      <c r="A71" s="186"/>
      <c r="B71" s="186"/>
      <c r="C71" s="186"/>
      <c r="D71" s="186"/>
      <c r="E71" s="186"/>
      <c r="F71" s="186"/>
      <c r="G71" s="186"/>
      <c r="H71" s="186"/>
      <c r="I71" s="186"/>
      <c r="J71" s="186"/>
      <c r="K71" s="186"/>
      <c r="L71" s="186"/>
    </row>
    <row r="72" spans="1:12">
      <c r="A72" s="186"/>
      <c r="B72" s="186"/>
      <c r="C72" s="186"/>
      <c r="D72" s="186"/>
      <c r="E72" s="186"/>
      <c r="F72" s="186"/>
      <c r="G72" s="186"/>
      <c r="H72" s="186"/>
      <c r="I72" s="186"/>
      <c r="J72" s="186"/>
      <c r="K72" s="186"/>
      <c r="L72" s="186"/>
    </row>
    <row r="73" spans="1:12">
      <c r="A73" s="186"/>
      <c r="B73" s="186"/>
      <c r="C73" s="186"/>
      <c r="D73" s="186"/>
      <c r="E73" s="186"/>
      <c r="F73" s="186"/>
      <c r="G73" s="186"/>
      <c r="H73" s="186"/>
      <c r="I73" s="186"/>
      <c r="J73" s="186"/>
      <c r="K73" s="186"/>
      <c r="L73" s="186"/>
    </row>
    <row r="74" spans="1:12">
      <c r="A74" s="186"/>
      <c r="B74" s="186"/>
      <c r="C74" s="186"/>
      <c r="D74" s="186"/>
      <c r="E74" s="186"/>
      <c r="F74" s="186"/>
      <c r="G74" s="186"/>
      <c r="H74" s="186"/>
      <c r="I74" s="186"/>
      <c r="J74" s="186"/>
      <c r="K74" s="186"/>
      <c r="L74" s="186"/>
    </row>
    <row r="75" spans="1:12">
      <c r="A75" s="186"/>
      <c r="B75" s="186"/>
      <c r="C75" s="186"/>
      <c r="D75" s="186"/>
      <c r="E75" s="186"/>
      <c r="F75" s="186"/>
      <c r="G75" s="186"/>
      <c r="H75" s="186"/>
      <c r="I75" s="186"/>
      <c r="J75" s="186"/>
      <c r="K75" s="186"/>
      <c r="L75" s="186"/>
    </row>
    <row r="76" spans="1:12">
      <c r="A76" s="186"/>
      <c r="B76" s="186"/>
      <c r="C76" s="186"/>
      <c r="D76" s="186"/>
      <c r="E76" s="186"/>
      <c r="F76" s="186"/>
      <c r="G76" s="186"/>
      <c r="H76" s="186"/>
      <c r="I76" s="186"/>
      <c r="J76" s="186"/>
      <c r="K76" s="186"/>
      <c r="L76" s="186"/>
    </row>
    <row r="77" spans="1:12">
      <c r="A77" s="186"/>
      <c r="B77" s="186"/>
      <c r="C77" s="186"/>
      <c r="D77" s="186"/>
      <c r="E77" s="186"/>
      <c r="F77" s="186"/>
      <c r="G77" s="186"/>
      <c r="H77" s="186"/>
      <c r="I77" s="186"/>
      <c r="J77" s="186"/>
      <c r="K77" s="186"/>
      <c r="L77" s="186"/>
    </row>
    <row r="78" spans="1:12">
      <c r="A78" s="186"/>
      <c r="B78" s="186"/>
      <c r="C78" s="186"/>
      <c r="D78" s="186"/>
      <c r="E78" s="186"/>
      <c r="F78" s="186"/>
      <c r="G78" s="186"/>
      <c r="H78" s="186"/>
      <c r="I78" s="186"/>
      <c r="J78" s="186"/>
      <c r="K78" s="186"/>
      <c r="L78" s="186"/>
    </row>
    <row r="79" spans="1:12">
      <c r="A79" s="186"/>
      <c r="B79" s="186"/>
      <c r="C79" s="186"/>
      <c r="D79" s="186"/>
      <c r="E79" s="186"/>
      <c r="F79" s="186"/>
      <c r="G79" s="186"/>
      <c r="H79" s="186"/>
      <c r="I79" s="186"/>
      <c r="J79" s="186"/>
      <c r="K79" s="186"/>
      <c r="L79" s="186"/>
    </row>
    <row r="80" spans="1:12">
      <c r="A80" s="186"/>
      <c r="B80" s="186"/>
      <c r="C80" s="186"/>
      <c r="D80" s="186"/>
      <c r="E80" s="186"/>
      <c r="F80" s="186"/>
      <c r="G80" s="186"/>
      <c r="H80" s="186"/>
      <c r="I80" s="186"/>
      <c r="J80" s="186"/>
      <c r="K80" s="186"/>
      <c r="L80" s="186"/>
    </row>
    <row r="81" spans="1:12">
      <c r="A81" s="186"/>
      <c r="B81" s="186"/>
      <c r="C81" s="186"/>
      <c r="D81" s="186"/>
      <c r="E81" s="186"/>
      <c r="F81" s="186"/>
      <c r="G81" s="186"/>
      <c r="H81" s="186"/>
      <c r="I81" s="186"/>
      <c r="J81" s="186"/>
      <c r="K81" s="186"/>
      <c r="L81" s="186"/>
    </row>
    <row r="82" spans="1:12">
      <c r="A82" s="186"/>
      <c r="B82" s="186"/>
      <c r="C82" s="186"/>
      <c r="D82" s="186"/>
      <c r="E82" s="186"/>
      <c r="F82" s="186"/>
      <c r="G82" s="186"/>
      <c r="H82" s="186"/>
      <c r="I82" s="186"/>
      <c r="J82" s="186"/>
      <c r="K82" s="186"/>
      <c r="L82" s="186"/>
    </row>
    <row r="83" spans="1:12">
      <c r="A83" s="186"/>
      <c r="B83" s="186"/>
      <c r="C83" s="186"/>
      <c r="D83" s="186"/>
      <c r="E83" s="186"/>
      <c r="F83" s="186"/>
      <c r="G83" s="186"/>
      <c r="H83" s="186"/>
      <c r="I83" s="186"/>
      <c r="J83" s="186"/>
      <c r="K83" s="186"/>
      <c r="L83" s="186"/>
    </row>
    <row r="84" spans="1:12">
      <c r="A84" s="186"/>
      <c r="B84" s="186"/>
      <c r="C84" s="186"/>
      <c r="D84" s="186"/>
      <c r="E84" s="186"/>
      <c r="F84" s="186"/>
      <c r="G84" s="186"/>
      <c r="H84" s="186"/>
      <c r="I84" s="186"/>
      <c r="J84" s="186"/>
      <c r="K84" s="186"/>
      <c r="L84" s="186"/>
    </row>
    <row r="85" spans="1:12">
      <c r="A85" s="186"/>
      <c r="B85" s="186"/>
      <c r="C85" s="186"/>
      <c r="D85" s="186"/>
      <c r="E85" s="186"/>
      <c r="F85" s="186"/>
      <c r="G85" s="186"/>
      <c r="H85" s="186"/>
      <c r="I85" s="186"/>
      <c r="J85" s="186"/>
      <c r="K85" s="186"/>
      <c r="L85" s="186"/>
    </row>
    <row r="86" spans="1:12">
      <c r="A86" s="186"/>
      <c r="B86" s="186"/>
      <c r="C86" s="186"/>
      <c r="D86" s="186"/>
      <c r="E86" s="186"/>
      <c r="F86" s="186"/>
      <c r="G86" s="186"/>
      <c r="H86" s="186"/>
      <c r="I86" s="186"/>
      <c r="J86" s="186"/>
      <c r="K86" s="186"/>
      <c r="L86" s="186"/>
    </row>
    <row r="87" spans="1:12">
      <c r="A87" s="186"/>
      <c r="B87" s="186"/>
      <c r="C87" s="186"/>
      <c r="D87" s="186"/>
      <c r="E87" s="186"/>
      <c r="F87" s="186"/>
      <c r="G87" s="186"/>
      <c r="H87" s="186"/>
      <c r="I87" s="186"/>
      <c r="J87" s="186"/>
      <c r="K87" s="186"/>
      <c r="L87" s="186"/>
    </row>
  </sheetData>
  <mergeCells count="12">
    <mergeCell ref="A50:G50"/>
    <mergeCell ref="A49:G49"/>
    <mergeCell ref="A2:G2"/>
    <mergeCell ref="A7:B7"/>
    <mergeCell ref="A45:G45"/>
    <mergeCell ref="A48:G48"/>
    <mergeCell ref="A3:G3"/>
    <mergeCell ref="A47:G47"/>
    <mergeCell ref="A4:G4"/>
    <mergeCell ref="A8:B8"/>
    <mergeCell ref="A46:G46"/>
    <mergeCell ref="A6:B6"/>
  </mergeCells>
  <conditionalFormatting sqref="C44">
    <cfRule type="expression" dxfId="5" priority="10" stopIfTrue="1">
      <formula>AND($C44&lt;&gt;"",$C44&gt;=$C$6+$C$8)</formula>
    </cfRule>
    <cfRule type="expression" dxfId="4" priority="11" stopIfTrue="1">
      <formula>AND($C44&lt;&gt;"",$C44&lt;$C$6-$C$8)</formula>
    </cfRule>
    <cfRule type="expression" dxfId="3" priority="12" stopIfTrue="1">
      <formula>$C44&lt;&gt;""</formula>
    </cfRule>
  </conditionalFormatting>
  <conditionalFormatting sqref="C11:C43">
    <cfRule type="expression" dxfId="2" priority="1" stopIfTrue="1">
      <formula>AND($C11&lt;&gt;"",$C11&gt;=$C$6+$C$8)</formula>
    </cfRule>
    <cfRule type="expression" dxfId="1" priority="2" stopIfTrue="1">
      <formula>AND($C11&lt;&gt;"",$C11&lt;$C$6-$C$8)</formula>
    </cfRule>
    <cfRule type="expression" dxfId="0" priority="3" stopIfTrue="1">
      <formula>$C11&lt;&gt;""</formula>
    </cfRule>
  </conditionalFormatting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6">
    <tabColor rgb="FF717D7E"/>
  </sheetPr>
  <dimension ref="A1:N191"/>
  <sheetViews>
    <sheetView showGridLines="0" topLeftCell="A110" zoomScale="126" zoomScaleNormal="126" workbookViewId="0">
      <selection activeCell="H120" sqref="H120"/>
    </sheetView>
  </sheetViews>
  <sheetFormatPr baseColWidth="10" defaultRowHeight="16"/>
  <cols>
    <col min="2" max="2" width="32" customWidth="1"/>
    <col min="3" max="3" width="14.1640625" customWidth="1"/>
    <col min="4" max="4" width="12.1640625" customWidth="1"/>
    <col min="5" max="5" width="15.1640625" customWidth="1"/>
    <col min="6" max="6" width="13.83203125" customWidth="1"/>
    <col min="8" max="8" width="14.6640625" bestFit="1" customWidth="1"/>
    <col min="9" max="9" width="14.6640625" customWidth="1"/>
    <col min="10" max="10" width="12.1640625" customWidth="1"/>
  </cols>
  <sheetData>
    <row r="1" spans="1:14" ht="22" customHeight="1">
      <c r="A1" s="18"/>
      <c r="B1" s="493" t="s">
        <v>218</v>
      </c>
      <c r="C1" s="419"/>
      <c r="D1" s="419"/>
      <c r="E1" s="419"/>
      <c r="F1" s="419"/>
      <c r="G1" s="419"/>
      <c r="H1" s="419"/>
      <c r="I1" s="419"/>
      <c r="J1" s="419"/>
      <c r="K1" s="419"/>
      <c r="L1" s="419"/>
      <c r="M1" s="419"/>
      <c r="N1" s="419"/>
    </row>
    <row r="2" spans="1:14" ht="20" customHeight="1">
      <c r="A2" s="18"/>
      <c r="B2" s="23" t="s">
        <v>219</v>
      </c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ht="20" customHeight="1">
      <c r="A3" s="18"/>
      <c r="B3" s="18" t="s">
        <v>220</v>
      </c>
      <c r="C3" s="18"/>
      <c r="D3" s="18"/>
      <c r="E3" s="18"/>
      <c r="F3" s="18"/>
      <c r="G3" s="18" t="s">
        <v>532</v>
      </c>
      <c r="H3" s="18"/>
      <c r="I3" s="18"/>
      <c r="J3" s="18"/>
      <c r="K3" s="18"/>
      <c r="L3" s="18"/>
      <c r="M3" s="18"/>
      <c r="N3" s="18"/>
    </row>
    <row r="4" spans="1:14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</row>
    <row r="5" spans="1:14" ht="37" customHeight="1">
      <c r="A5" s="18"/>
      <c r="B5" s="71" t="s">
        <v>5</v>
      </c>
      <c r="C5" s="68" t="s">
        <v>221</v>
      </c>
      <c r="D5" s="68" t="s">
        <v>222</v>
      </c>
      <c r="E5" s="68" t="s">
        <v>223</v>
      </c>
      <c r="G5" s="527" t="s">
        <v>5</v>
      </c>
      <c r="H5" s="528"/>
      <c r="I5" s="68" t="s">
        <v>533</v>
      </c>
      <c r="J5" s="68" t="s">
        <v>534</v>
      </c>
      <c r="K5" s="68" t="s">
        <v>535</v>
      </c>
      <c r="L5" s="68" t="s">
        <v>531</v>
      </c>
      <c r="M5" s="18"/>
      <c r="N5" s="18"/>
    </row>
    <row r="6" spans="1:14" ht="14" customHeight="1">
      <c r="A6" s="18"/>
      <c r="B6" s="20" t="s">
        <v>582</v>
      </c>
      <c r="C6" s="117">
        <v>399086</v>
      </c>
      <c r="D6" s="123">
        <f t="shared" ref="D6:D38" si="0">C6/$C$39</f>
        <v>0.12864574888410163</v>
      </c>
      <c r="E6" s="129" cm="1">
        <f t="array" ref="E6:E38">C6:C38/TRANSPOSE(VBP_21)</f>
        <v>63.325875501816853</v>
      </c>
      <c r="G6" s="20" t="s">
        <v>582</v>
      </c>
      <c r="I6" s="378" cm="1">
        <f t="array" ref="I6:I38">TRANSPOSE(SalariosNetos21/VBP_21)</f>
        <v>4.8666317576680787E-2</v>
      </c>
      <c r="J6" s="379" cm="1">
        <f t="array" ref="J6:J38">TRANSPOSE(Contribuciones21/VBP_21)</f>
        <v>4.7603179892416811E-4</v>
      </c>
      <c r="K6" s="379" cm="1">
        <f t="array" ref="K6:K38">TRANSPOSE(IngresoMixto/VBP_21)</f>
        <v>0.14155598927341678</v>
      </c>
      <c r="L6" s="379">
        <f>K6+I6</f>
        <v>0.19022230685009756</v>
      </c>
      <c r="M6" s="18"/>
      <c r="N6" s="18"/>
    </row>
    <row r="7" spans="1:14" ht="14" customHeight="1">
      <c r="A7" s="18"/>
      <c r="B7" s="20" t="s">
        <v>583</v>
      </c>
      <c r="C7" s="117">
        <v>108842</v>
      </c>
      <c r="D7" s="123">
        <f t="shared" si="0"/>
        <v>3.5085321459643756E-2</v>
      </c>
      <c r="E7" s="129">
        <v>42.626302185321528</v>
      </c>
      <c r="G7" s="20" t="s">
        <v>583</v>
      </c>
      <c r="I7" s="378">
        <v>7.7817811545390456E-2</v>
      </c>
      <c r="J7" s="379">
        <v>5.4045586277120701E-3</v>
      </c>
      <c r="K7" s="379">
        <v>0.14878201613534894</v>
      </c>
      <c r="L7" s="379">
        <f>K7+I7</f>
        <v>0.22659982768073939</v>
      </c>
      <c r="M7" s="18"/>
      <c r="N7" s="18"/>
    </row>
    <row r="8" spans="1:14" ht="14" customHeight="1">
      <c r="A8" s="18"/>
      <c r="B8" s="20" t="s">
        <v>584</v>
      </c>
      <c r="C8" s="117">
        <v>17304</v>
      </c>
      <c r="D8" s="123">
        <f t="shared" si="0"/>
        <v>5.5779607370103042E-3</v>
      </c>
      <c r="E8" s="129">
        <v>53.506493506493499</v>
      </c>
      <c r="G8" s="20" t="s">
        <v>584</v>
      </c>
      <c r="I8" s="378">
        <v>0.11533704390847246</v>
      </c>
      <c r="J8" s="379">
        <v>1.2987012987012986E-2</v>
      </c>
      <c r="K8" s="379">
        <v>0.14069264069264067</v>
      </c>
      <c r="L8" s="379">
        <f>K8+I8</f>
        <v>0.25602968460111314</v>
      </c>
      <c r="M8" s="18"/>
      <c r="N8" s="18"/>
    </row>
    <row r="9" spans="1:14" ht="14" customHeight="1">
      <c r="A9" s="18"/>
      <c r="B9" s="20" t="s">
        <v>585</v>
      </c>
      <c r="C9" s="117">
        <v>4824</v>
      </c>
      <c r="D9" s="123">
        <f t="shared" si="0"/>
        <v>1.5550209544231224E-3</v>
      </c>
      <c r="E9" s="129">
        <v>87.233273056057868</v>
      </c>
      <c r="G9" s="20" t="s">
        <v>585</v>
      </c>
      <c r="I9" s="378">
        <v>1.0849909584086799E-2</v>
      </c>
      <c r="J9" s="379">
        <v>0</v>
      </c>
      <c r="K9" s="379">
        <v>0.15732368896925858</v>
      </c>
      <c r="L9" s="379">
        <f>K9+I9</f>
        <v>0.16817359855334538</v>
      </c>
      <c r="M9" s="18"/>
      <c r="N9" s="18"/>
    </row>
    <row r="10" spans="1:14" ht="14" customHeight="1">
      <c r="A10" s="18"/>
      <c r="B10" s="22" t="s">
        <v>10</v>
      </c>
      <c r="C10" s="118">
        <v>4387</v>
      </c>
      <c r="D10" s="124">
        <f t="shared" si="0"/>
        <v>1.4141535918437474E-3</v>
      </c>
      <c r="E10" s="130">
        <v>10.171574310224903</v>
      </c>
      <c r="G10" s="22" t="s">
        <v>10</v>
      </c>
      <c r="I10" s="379">
        <v>6.5151866450266646E-2</v>
      </c>
      <c r="J10" s="379">
        <v>8.5787155112450747E-3</v>
      </c>
      <c r="K10" s="379">
        <v>5.3327150475307214E-2</v>
      </c>
      <c r="L10" s="379">
        <f t="shared" ref="L10:L38" si="1">K10+I10</f>
        <v>0.11847901692557386</v>
      </c>
      <c r="M10" s="18"/>
      <c r="N10" s="18"/>
    </row>
    <row r="11" spans="1:14" ht="14" customHeight="1">
      <c r="A11" s="18"/>
      <c r="B11" s="20" t="s">
        <v>586</v>
      </c>
      <c r="C11" s="117">
        <v>28349</v>
      </c>
      <c r="D11" s="123">
        <f t="shared" si="0"/>
        <v>9.1383269147887851E-3</v>
      </c>
      <c r="E11" s="129">
        <v>6.7754116775411672</v>
      </c>
      <c r="G11" s="20" t="s">
        <v>586</v>
      </c>
      <c r="I11" s="378">
        <v>5.8674505867450578E-2</v>
      </c>
      <c r="J11" s="378">
        <v>5.8794005879400585E-3</v>
      </c>
      <c r="K11" s="378">
        <v>3.2982003298200327E-3</v>
      </c>
      <c r="L11" s="378">
        <f t="shared" si="1"/>
        <v>6.1972706197270612E-2</v>
      </c>
      <c r="M11" s="18"/>
      <c r="N11" s="18"/>
    </row>
    <row r="12" spans="1:14" ht="14" customHeight="1">
      <c r="A12" s="18"/>
      <c r="B12" s="20" t="s">
        <v>587</v>
      </c>
      <c r="C12" s="117">
        <v>6968</v>
      </c>
      <c r="D12" s="123">
        <f t="shared" si="0"/>
        <v>2.2461413786111768E-3</v>
      </c>
      <c r="E12" s="129">
        <v>4.8987626546681664</v>
      </c>
      <c r="G12" s="20" t="s">
        <v>587</v>
      </c>
      <c r="I12" s="378">
        <v>4.928290213723284E-2</v>
      </c>
      <c r="J12" s="378">
        <v>1.7505624296962879E-2</v>
      </c>
      <c r="K12" s="378">
        <v>3.2339707536557924E-3</v>
      </c>
      <c r="L12" s="378">
        <f t="shared" ref="L12:L17" si="2">K12+I12</f>
        <v>5.2516872890888633E-2</v>
      </c>
      <c r="M12" s="18"/>
      <c r="N12" s="18"/>
    </row>
    <row r="13" spans="1:14" ht="14" customHeight="1">
      <c r="A13" s="18"/>
      <c r="B13" s="20" t="s">
        <v>588</v>
      </c>
      <c r="C13" s="117">
        <v>7388</v>
      </c>
      <c r="D13" s="123">
        <f t="shared" si="0"/>
        <v>2.3815287751405533E-3</v>
      </c>
      <c r="E13" s="129">
        <v>7.8620836437160806</v>
      </c>
      <c r="G13" s="20" t="s">
        <v>588</v>
      </c>
      <c r="I13" s="378">
        <v>5.4059806321166332E-2</v>
      </c>
      <c r="J13" s="378">
        <v>9.577524741938917E-3</v>
      </c>
      <c r="K13" s="378">
        <v>1.2237948281366394E-2</v>
      </c>
      <c r="L13" s="378">
        <f t="shared" si="2"/>
        <v>6.6297754602532732E-2</v>
      </c>
      <c r="M13" s="18"/>
      <c r="N13" s="18"/>
    </row>
    <row r="14" spans="1:14" ht="14" customHeight="1">
      <c r="A14" s="18"/>
      <c r="B14" s="20" t="s">
        <v>589</v>
      </c>
      <c r="C14" s="117">
        <v>26364</v>
      </c>
      <c r="D14" s="123">
        <f t="shared" si="0"/>
        <v>8.4984602907154233E-3</v>
      </c>
      <c r="E14" s="129">
        <v>12.637331032499283</v>
      </c>
      <c r="G14" s="20" t="s">
        <v>589</v>
      </c>
      <c r="I14" s="378">
        <v>9.2225098264787669E-2</v>
      </c>
      <c r="J14" s="378">
        <v>1.6105838366407825E-2</v>
      </c>
      <c r="K14" s="378">
        <v>4.2469561882849199E-2</v>
      </c>
      <c r="L14" s="378">
        <f t="shared" si="2"/>
        <v>0.13469466014763687</v>
      </c>
      <c r="M14" s="18"/>
      <c r="N14" s="18"/>
    </row>
    <row r="15" spans="1:14" ht="14" customHeight="1">
      <c r="A15" s="18"/>
      <c r="B15" s="20" t="s">
        <v>590</v>
      </c>
      <c r="C15" s="117">
        <v>5446</v>
      </c>
      <c r="D15" s="123">
        <f t="shared" si="0"/>
        <v>1.7555232416642463E-3</v>
      </c>
      <c r="E15" s="129">
        <v>14.354243542435421</v>
      </c>
      <c r="G15" s="20" t="s">
        <v>590</v>
      </c>
      <c r="I15" s="378">
        <v>0.1188719030047443</v>
      </c>
      <c r="J15" s="378">
        <v>2.0031628887717444E-2</v>
      </c>
      <c r="K15" s="378">
        <v>0</v>
      </c>
      <c r="L15" s="378">
        <f t="shared" si="2"/>
        <v>0.1188719030047443</v>
      </c>
      <c r="M15" s="18"/>
      <c r="N15" s="18"/>
    </row>
    <row r="16" spans="1:14" ht="14" customHeight="1">
      <c r="A16" s="18"/>
      <c r="B16" s="20" t="s">
        <v>591</v>
      </c>
      <c r="C16" s="117">
        <v>9036</v>
      </c>
      <c r="D16" s="123">
        <f t="shared" si="0"/>
        <v>2.9127631310462963E-3</v>
      </c>
      <c r="E16" s="129">
        <v>6.6192952897223654</v>
      </c>
      <c r="G16" s="20" t="s">
        <v>591</v>
      </c>
      <c r="I16" s="378">
        <v>4.2121456303567506E-2</v>
      </c>
      <c r="J16" s="378">
        <v>5.6406124093473014E-3</v>
      </c>
      <c r="K16" s="378">
        <v>1.6775327814812103E-2</v>
      </c>
      <c r="L16" s="378">
        <f t="shared" si="2"/>
        <v>5.8896784118379605E-2</v>
      </c>
      <c r="M16" s="18"/>
      <c r="N16" s="18"/>
    </row>
    <row r="17" spans="1:14" ht="14" customHeight="1">
      <c r="A17" s="18"/>
      <c r="B17" s="20" t="s">
        <v>592</v>
      </c>
      <c r="C17" s="117">
        <v>14458</v>
      </c>
      <c r="D17" s="123">
        <f t="shared" si="0"/>
        <v>4.6605499500517213E-3</v>
      </c>
      <c r="E17" s="129">
        <v>6.3279061624649851</v>
      </c>
      <c r="G17" s="20" t="s">
        <v>592</v>
      </c>
      <c r="I17" s="378">
        <v>4.8012955182072825E-2</v>
      </c>
      <c r="J17" s="378">
        <v>7.8781512605042014E-3</v>
      </c>
      <c r="K17" s="378">
        <v>8.7535014005602233E-4</v>
      </c>
      <c r="L17" s="378">
        <f t="shared" si="2"/>
        <v>4.8888305322128844E-2</v>
      </c>
      <c r="M17" s="18"/>
      <c r="N17" s="18"/>
    </row>
    <row r="18" spans="1:14" ht="14" customHeight="1">
      <c r="A18" s="18"/>
      <c r="B18" s="22" t="s">
        <v>593</v>
      </c>
      <c r="C18" s="118">
        <v>59400</v>
      </c>
      <c r="D18" s="124">
        <f t="shared" si="0"/>
        <v>1.9147646080583221E-2</v>
      </c>
      <c r="E18" s="130">
        <v>67.530695770804911</v>
      </c>
      <c r="G18" s="22" t="s">
        <v>593</v>
      </c>
      <c r="I18" s="379">
        <v>0.10038653933606184</v>
      </c>
      <c r="J18" s="379">
        <v>1.2619372442019099E-2</v>
      </c>
      <c r="K18" s="379">
        <v>0.13142337426102774</v>
      </c>
      <c r="L18" s="379">
        <f t="shared" si="1"/>
        <v>0.23180991359708958</v>
      </c>
      <c r="M18" s="18"/>
      <c r="N18" s="18"/>
    </row>
    <row r="19" spans="1:14" ht="14" customHeight="1">
      <c r="A19" s="18"/>
      <c r="B19" s="22" t="s">
        <v>594</v>
      </c>
      <c r="C19" s="118">
        <v>10366</v>
      </c>
      <c r="D19" s="124">
        <f t="shared" si="0"/>
        <v>3.3414898867226549E-3</v>
      </c>
      <c r="E19" s="130">
        <v>38.124310408238323</v>
      </c>
      <c r="G19" s="22" t="s">
        <v>594</v>
      </c>
      <c r="I19" s="379">
        <v>8.606105185730048E-2</v>
      </c>
      <c r="J19" s="379">
        <v>2.9422581831555724E-3</v>
      </c>
      <c r="K19" s="379">
        <v>5.7741816844428098E-2</v>
      </c>
      <c r="L19" s="379">
        <f>K19+I19</f>
        <v>0.14380286870172859</v>
      </c>
      <c r="M19" s="18"/>
      <c r="N19" s="18"/>
    </row>
    <row r="20" spans="1:14" ht="14" customHeight="1">
      <c r="A20" s="18"/>
      <c r="B20" s="20" t="s">
        <v>595</v>
      </c>
      <c r="C20" s="117">
        <v>17048</v>
      </c>
      <c r="D20" s="123">
        <f t="shared" si="0"/>
        <v>5.4954388953162084E-3</v>
      </c>
      <c r="E20" s="129">
        <v>27.107648274765459</v>
      </c>
      <c r="G20" s="20" t="s">
        <v>595</v>
      </c>
      <c r="I20" s="378">
        <v>3.7366830974717755E-2</v>
      </c>
      <c r="J20" s="378">
        <v>1.1130545396724437E-3</v>
      </c>
      <c r="K20" s="378">
        <v>7.6800763237398623E-2</v>
      </c>
      <c r="L20" s="378">
        <f t="shared" si="1"/>
        <v>0.11416759421211638</v>
      </c>
      <c r="M20" s="18"/>
      <c r="N20" s="18"/>
    </row>
    <row r="21" spans="1:14" ht="14" customHeight="1">
      <c r="A21" s="18"/>
      <c r="B21" s="20" t="s">
        <v>596</v>
      </c>
      <c r="C21" s="117">
        <v>13948</v>
      </c>
      <c r="D21" s="123">
        <f t="shared" si="0"/>
        <v>4.4961509685517639E-3</v>
      </c>
      <c r="E21" s="129">
        <v>12.475849731663684</v>
      </c>
      <c r="G21" s="20" t="s">
        <v>596</v>
      </c>
      <c r="I21" s="378">
        <v>5.608228980322004E-2</v>
      </c>
      <c r="J21" s="378">
        <v>6.1717352415026835E-3</v>
      </c>
      <c r="K21" s="378">
        <v>3.1305903398926652E-2</v>
      </c>
      <c r="L21" s="378">
        <f>K21+I21</f>
        <v>8.7388193202146691E-2</v>
      </c>
      <c r="M21" s="18"/>
      <c r="N21" s="18"/>
    </row>
    <row r="22" spans="1:14" ht="14" customHeight="1">
      <c r="A22" s="18"/>
      <c r="B22" s="22" t="s">
        <v>11</v>
      </c>
      <c r="C22" s="118">
        <v>25134</v>
      </c>
      <c r="D22" s="124">
        <f t="shared" si="0"/>
        <v>8.1019686294508206E-3</v>
      </c>
      <c r="E22" s="130">
        <v>6.7856371490280774</v>
      </c>
      <c r="G22" s="22" t="s">
        <v>11</v>
      </c>
      <c r="I22" s="379">
        <v>5.0728941684665227E-2</v>
      </c>
      <c r="J22" s="379">
        <v>5.6425485961123104E-3</v>
      </c>
      <c r="K22" s="379">
        <v>1.1528077753779698E-2</v>
      </c>
      <c r="L22" s="379">
        <f t="shared" si="1"/>
        <v>6.2257019438444923E-2</v>
      </c>
      <c r="M22" s="18"/>
      <c r="N22" s="18"/>
    </row>
    <row r="23" spans="1:14" ht="14" customHeight="1">
      <c r="A23" s="18"/>
      <c r="B23" s="20" t="s">
        <v>12</v>
      </c>
      <c r="C23" s="117">
        <v>28858</v>
      </c>
      <c r="D23" s="123">
        <f t="shared" si="0"/>
        <v>9.3024035453446244E-3</v>
      </c>
      <c r="E23" s="129">
        <v>34.96667878347268</v>
      </c>
      <c r="G23" s="20" t="s">
        <v>12</v>
      </c>
      <c r="I23" s="378">
        <v>8.9422028353326063E-2</v>
      </c>
      <c r="J23" s="378">
        <v>8.8452683872531201E-3</v>
      </c>
      <c r="K23" s="378">
        <v>4.7619047619047616E-2</v>
      </c>
      <c r="L23" s="378">
        <f t="shared" si="1"/>
        <v>0.13704107597237369</v>
      </c>
      <c r="M23" s="18"/>
      <c r="N23" s="18"/>
    </row>
    <row r="24" spans="1:14" ht="14" customHeight="1">
      <c r="A24" s="18"/>
      <c r="B24" s="22" t="s">
        <v>13</v>
      </c>
      <c r="C24" s="118">
        <v>3906</v>
      </c>
      <c r="D24" s="124">
        <f t="shared" si="0"/>
        <v>1.2591027877231998E-3</v>
      </c>
      <c r="E24" s="130">
        <v>19.53</v>
      </c>
      <c r="G24" s="22" t="s">
        <v>13</v>
      </c>
      <c r="I24" s="379">
        <v>0.23800000000000002</v>
      </c>
      <c r="J24" s="379">
        <v>3.15E-2</v>
      </c>
      <c r="K24" s="379">
        <v>1.3999999999999999E-2</v>
      </c>
      <c r="L24" s="379">
        <f t="shared" si="1"/>
        <v>0.252</v>
      </c>
      <c r="M24" s="18"/>
      <c r="N24" s="18"/>
    </row>
    <row r="25" spans="1:14" ht="14" customHeight="1">
      <c r="A25" s="18"/>
      <c r="B25" s="20" t="s">
        <v>14</v>
      </c>
      <c r="C25" s="117">
        <v>20524</v>
      </c>
      <c r="D25" s="123">
        <f t="shared" si="0"/>
        <v>6.6159307770688562E-3</v>
      </c>
      <c r="E25" s="129">
        <v>20.001949127765322</v>
      </c>
      <c r="G25" s="20" t="s">
        <v>14</v>
      </c>
      <c r="I25" s="378">
        <v>6.8316928174641828E-2</v>
      </c>
      <c r="J25" s="378">
        <v>3.3135172010525286E-3</v>
      </c>
      <c r="K25" s="378">
        <v>0.10759185264594093</v>
      </c>
      <c r="L25" s="378">
        <f t="shared" si="1"/>
        <v>0.17590878082058276</v>
      </c>
      <c r="M25" s="18"/>
      <c r="N25" s="18"/>
    </row>
    <row r="26" spans="1:14" ht="14" customHeight="1">
      <c r="A26" s="18"/>
      <c r="B26" s="22" t="s">
        <v>15</v>
      </c>
      <c r="C26" s="118">
        <v>9448</v>
      </c>
      <c r="D26" s="124">
        <f t="shared" si="0"/>
        <v>3.0455717200227324E-3</v>
      </c>
      <c r="E26" s="130">
        <v>23.219464241828462</v>
      </c>
      <c r="G26" s="22" t="s">
        <v>15</v>
      </c>
      <c r="I26" s="379">
        <v>0.12066846891128043</v>
      </c>
      <c r="J26" s="379">
        <v>1.0567707053330056E-2</v>
      </c>
      <c r="K26" s="379">
        <v>5.0872450233472602E-2</v>
      </c>
      <c r="L26" s="379">
        <f t="shared" si="1"/>
        <v>0.17154091914475303</v>
      </c>
      <c r="M26" s="18"/>
      <c r="N26" s="18"/>
    </row>
    <row r="27" spans="1:14" ht="14" customHeight="1">
      <c r="A27" s="18"/>
      <c r="B27" s="20" t="s">
        <v>16</v>
      </c>
      <c r="C27" s="117">
        <v>37031</v>
      </c>
      <c r="D27" s="123">
        <f t="shared" si="0"/>
        <v>1.1936977811617464E-2</v>
      </c>
      <c r="E27" s="129">
        <v>25.473619041067625</v>
      </c>
      <c r="G27" s="20" t="s">
        <v>16</v>
      </c>
      <c r="I27" s="378">
        <v>7.8420581963266164E-2</v>
      </c>
      <c r="J27" s="378">
        <v>5.2968287817293808E-3</v>
      </c>
      <c r="K27" s="378">
        <v>0.126642360872257</v>
      </c>
      <c r="L27" s="378">
        <f t="shared" si="1"/>
        <v>0.20506294283552318</v>
      </c>
      <c r="M27" s="18"/>
      <c r="N27" s="18"/>
    </row>
    <row r="28" spans="1:14" ht="14" customHeight="1">
      <c r="A28" s="18"/>
      <c r="B28" s="22" t="s">
        <v>17</v>
      </c>
      <c r="C28" s="118">
        <v>25627</v>
      </c>
      <c r="D28" s="124">
        <f t="shared" si="0"/>
        <v>8.2608876449007784E-3</v>
      </c>
      <c r="E28" s="130">
        <v>7.5725429939128901</v>
      </c>
      <c r="G28" s="22" t="s">
        <v>17</v>
      </c>
      <c r="I28" s="379">
        <v>0.1556941079132439</v>
      </c>
      <c r="J28" s="379">
        <v>3.7852372791206193E-2</v>
      </c>
      <c r="K28" s="379">
        <v>0</v>
      </c>
      <c r="L28" s="379">
        <f t="shared" si="1"/>
        <v>0.1556941079132439</v>
      </c>
      <c r="M28" s="18"/>
      <c r="N28" s="18"/>
    </row>
    <row r="29" spans="1:14" ht="14" customHeight="1">
      <c r="A29" s="18"/>
      <c r="B29" s="20" t="s">
        <v>18</v>
      </c>
      <c r="C29" s="117">
        <v>212401</v>
      </c>
      <c r="D29" s="123">
        <f t="shared" si="0"/>
        <v>6.8467662881514429E-2</v>
      </c>
      <c r="E29" s="129">
        <v>37.169431611367777</v>
      </c>
      <c r="G29" s="20" t="s">
        <v>18</v>
      </c>
      <c r="I29" s="378">
        <v>0.21956810863782728</v>
      </c>
      <c r="J29" s="378">
        <v>2.4552008959820806E-2</v>
      </c>
      <c r="K29" s="378">
        <v>0.10449041019179617</v>
      </c>
      <c r="L29" s="378">
        <f t="shared" si="1"/>
        <v>0.32405851882962344</v>
      </c>
      <c r="M29" s="18"/>
      <c r="N29" s="18"/>
    </row>
    <row r="30" spans="1:14" ht="14" customHeight="1">
      <c r="A30" s="18"/>
      <c r="B30" s="22" t="s">
        <v>19</v>
      </c>
      <c r="C30" s="118">
        <v>802354</v>
      </c>
      <c r="D30" s="124">
        <f t="shared" si="0"/>
        <v>0.2586395694165029</v>
      </c>
      <c r="E30" s="130">
        <v>82.254754216002866</v>
      </c>
      <c r="G30" s="22" t="s">
        <v>19</v>
      </c>
      <c r="I30" s="379">
        <v>0.16475472858680609</v>
      </c>
      <c r="J30" s="379">
        <v>2.8919985647649804E-2</v>
      </c>
      <c r="K30" s="379">
        <v>0.19435132502947358</v>
      </c>
      <c r="L30" s="379">
        <f t="shared" si="1"/>
        <v>0.35910605361627967</v>
      </c>
      <c r="M30" s="18"/>
      <c r="N30" s="18"/>
    </row>
    <row r="31" spans="1:14" ht="14" customHeight="1">
      <c r="A31" s="18"/>
      <c r="B31" s="20" t="s">
        <v>20</v>
      </c>
      <c r="C31" s="117">
        <v>88040</v>
      </c>
      <c r="D31" s="123">
        <f t="shared" si="0"/>
        <v>2.8379777120110219E-2</v>
      </c>
      <c r="E31" s="129">
        <v>22.018256846317374</v>
      </c>
      <c r="G31" s="20" t="s">
        <v>20</v>
      </c>
      <c r="I31" s="378">
        <v>0.12774790546454923</v>
      </c>
      <c r="J31" s="378">
        <v>1.7831686882580969E-2</v>
      </c>
      <c r="K31" s="378">
        <v>5.9797424034012767E-2</v>
      </c>
      <c r="L31" s="378">
        <f t="shared" si="1"/>
        <v>0.18754532949856201</v>
      </c>
      <c r="M31" s="18"/>
      <c r="N31" s="18"/>
    </row>
    <row r="32" spans="1:14" ht="14" customHeight="1">
      <c r="A32" s="18"/>
      <c r="B32" s="22" t="s">
        <v>21</v>
      </c>
      <c r="C32" s="118">
        <v>110360</v>
      </c>
      <c r="D32" s="124">
        <f t="shared" si="0"/>
        <v>3.5574650192814215E-2</v>
      </c>
      <c r="E32" s="130">
        <v>48.145886048337843</v>
      </c>
      <c r="G32" s="22" t="s">
        <v>21</v>
      </c>
      <c r="I32" s="379">
        <v>0.15003053834743915</v>
      </c>
      <c r="J32" s="379">
        <v>2.3340022685629527E-2</v>
      </c>
      <c r="K32" s="379">
        <v>0.19636157403367946</v>
      </c>
      <c r="L32" s="379">
        <f t="shared" si="1"/>
        <v>0.34639211238111861</v>
      </c>
      <c r="M32" s="33"/>
      <c r="N32" s="33"/>
    </row>
    <row r="33" spans="1:14" ht="14" customHeight="1">
      <c r="A33" s="18"/>
      <c r="B33" s="20" t="s">
        <v>22</v>
      </c>
      <c r="C33" s="117">
        <v>49149</v>
      </c>
      <c r="D33" s="123">
        <f t="shared" si="0"/>
        <v>1.5843226552434087E-2</v>
      </c>
      <c r="E33" s="129">
        <v>18.092766427388185</v>
      </c>
      <c r="G33" s="20" t="s">
        <v>22</v>
      </c>
      <c r="I33" s="378">
        <v>7.6348242223449297E-2</v>
      </c>
      <c r="J33" s="378">
        <v>9.4607031106202829E-3</v>
      </c>
      <c r="K33" s="378">
        <v>6.372170071783545E-2</v>
      </c>
      <c r="L33" s="378">
        <f t="shared" si="1"/>
        <v>0.14006994294128475</v>
      </c>
      <c r="M33" s="30"/>
      <c r="N33" s="30"/>
    </row>
    <row r="34" spans="1:14" ht="14" customHeight="1">
      <c r="A34" s="18"/>
      <c r="B34" s="22" t="s">
        <v>23</v>
      </c>
      <c r="C34" s="118">
        <v>40636</v>
      </c>
      <c r="D34" s="124">
        <f t="shared" si="0"/>
        <v>1.3099052965161277E-2</v>
      </c>
      <c r="E34" s="130">
        <v>12.218046243122163</v>
      </c>
      <c r="G34" s="22" t="s">
        <v>23</v>
      </c>
      <c r="I34" s="379">
        <v>0.16720286238311438</v>
      </c>
      <c r="J34" s="379">
        <v>3.2081541838299414E-2</v>
      </c>
      <c r="K34" s="379">
        <v>4.7806608737484598E-3</v>
      </c>
      <c r="L34" s="379">
        <f t="shared" si="1"/>
        <v>0.17198352325686284</v>
      </c>
      <c r="M34" s="30"/>
      <c r="N34" s="30"/>
    </row>
    <row r="35" spans="1:14" ht="14" customHeight="1">
      <c r="A35" s="18"/>
      <c r="B35" s="20" t="s">
        <v>24</v>
      </c>
      <c r="C35" s="117">
        <v>18972</v>
      </c>
      <c r="D35" s="123">
        <f t="shared" si="0"/>
        <v>6.1156421117983988E-3</v>
      </c>
      <c r="E35" s="129">
        <v>6.455915881171947</v>
      </c>
      <c r="G35" s="20" t="s">
        <v>24</v>
      </c>
      <c r="I35" s="378">
        <v>4.4339333718991396E-2</v>
      </c>
      <c r="J35" s="378">
        <v>5.8869568176404541E-3</v>
      </c>
      <c r="K35" s="378">
        <v>2.2526967706809134E-2</v>
      </c>
      <c r="L35" s="378">
        <f t="shared" si="1"/>
        <v>6.6866301425800523E-2</v>
      </c>
      <c r="M35" s="30"/>
      <c r="N35" s="30"/>
    </row>
    <row r="36" spans="1:14" ht="14" customHeight="1">
      <c r="A36" s="18"/>
      <c r="B36" s="22" t="s">
        <v>25</v>
      </c>
      <c r="C36" s="118">
        <v>147634</v>
      </c>
      <c r="D36" s="124">
        <f t="shared" si="0"/>
        <v>4.7589959283852248E-2</v>
      </c>
      <c r="E36" s="130">
        <v>69.094397903308845</v>
      </c>
      <c r="G36" s="22" t="s">
        <v>25</v>
      </c>
      <c r="I36" s="379">
        <v>0.14498993775448124</v>
      </c>
      <c r="J36" s="379">
        <v>2.0873309308747135E-2</v>
      </c>
      <c r="K36" s="379">
        <v>0.18781298263677637</v>
      </c>
      <c r="L36" s="379">
        <f t="shared" si="1"/>
        <v>0.33280292039125758</v>
      </c>
      <c r="M36" s="30"/>
      <c r="N36" s="30"/>
    </row>
    <row r="37" spans="1:14" ht="14" customHeight="1">
      <c r="A37" s="18"/>
      <c r="B37" s="20" t="s">
        <v>597</v>
      </c>
      <c r="C37" s="117">
        <v>470776</v>
      </c>
      <c r="D37" s="123">
        <f t="shared" si="0"/>
        <v>0.15175508806788968</v>
      </c>
      <c r="E37" s="129">
        <v>129.8656588783758</v>
      </c>
      <c r="G37" s="20" t="s">
        <v>597</v>
      </c>
      <c r="I37" s="378">
        <v>0.33262530688808589</v>
      </c>
      <c r="J37" s="378">
        <v>1.2220352541998842E-2</v>
      </c>
      <c r="K37" s="378">
        <v>0.18071225621362172</v>
      </c>
      <c r="L37" s="378">
        <f>K37+I37</f>
        <v>0.51333756310170764</v>
      </c>
      <c r="M37" s="30"/>
      <c r="N37" s="30"/>
    </row>
    <row r="38" spans="1:14" ht="14" customHeight="1">
      <c r="A38" s="18"/>
      <c r="B38" s="20" t="s">
        <v>598</v>
      </c>
      <c r="C38" s="117">
        <v>278145</v>
      </c>
      <c r="D38" s="123">
        <f t="shared" si="0"/>
        <v>8.9660303351579471E-2</v>
      </c>
      <c r="E38" s="129">
        <v>52.355720362910823</v>
      </c>
      <c r="G38" s="20" t="s">
        <v>598</v>
      </c>
      <c r="I38" s="378">
        <v>0.71896999585890153</v>
      </c>
      <c r="J38" s="378">
        <v>2.7124195309264767E-2</v>
      </c>
      <c r="K38" s="378">
        <v>0</v>
      </c>
      <c r="L38" s="378">
        <f t="shared" si="1"/>
        <v>0.71896999585890153</v>
      </c>
      <c r="M38" s="30"/>
      <c r="N38" s="30"/>
    </row>
    <row r="39" spans="1:14">
      <c r="A39" s="18"/>
      <c r="B39" s="119"/>
      <c r="C39" s="120">
        <f>SUM(C6:C38)</f>
        <v>3102209</v>
      </c>
      <c r="D39" s="120"/>
      <c r="E39" s="120"/>
      <c r="G39" s="119"/>
      <c r="H39" s="119"/>
      <c r="I39" s="120"/>
      <c r="J39" s="120"/>
      <c r="K39" s="120"/>
      <c r="L39" s="120"/>
      <c r="M39" s="30"/>
      <c r="N39" s="30"/>
    </row>
    <row r="42" spans="1:14">
      <c r="B42" s="67"/>
      <c r="C42" s="115" t="s">
        <v>26</v>
      </c>
      <c r="D42" s="525" t="s">
        <v>224</v>
      </c>
      <c r="E42" s="526"/>
      <c r="F42" s="525" t="s">
        <v>225</v>
      </c>
      <c r="G42" s="526"/>
      <c r="H42" s="525" t="s">
        <v>226</v>
      </c>
      <c r="I42" s="526"/>
    </row>
    <row r="43" spans="1:14" ht="36" customHeight="1">
      <c r="B43" s="71" t="s">
        <v>5</v>
      </c>
      <c r="C43" s="68" t="s">
        <v>221</v>
      </c>
      <c r="D43" s="70" t="s">
        <v>166</v>
      </c>
      <c r="E43" s="116" t="s">
        <v>162</v>
      </c>
      <c r="F43" s="70" t="s">
        <v>227</v>
      </c>
      <c r="G43" s="116" t="s">
        <v>228</v>
      </c>
      <c r="H43" s="70" t="s">
        <v>229</v>
      </c>
      <c r="I43" s="116" t="s">
        <v>230</v>
      </c>
    </row>
    <row r="44" spans="1:14">
      <c r="B44" s="20" t="s">
        <v>582</v>
      </c>
      <c r="C44" s="117">
        <v>399086</v>
      </c>
      <c r="D44" s="330">
        <v>286732.57253195893</v>
      </c>
      <c r="E44" s="330">
        <v>112353.4274680411</v>
      </c>
      <c r="F44" s="122">
        <f t="shared" ref="F44:F76" si="3">D44/C44</f>
        <v>0.71847314246041938</v>
      </c>
      <c r="G44" s="122">
        <f t="shared" ref="G44:G76" si="4">E44/C44</f>
        <v>0.28152685753958068</v>
      </c>
      <c r="H44" s="127" cm="1">
        <f t="array" ref="H44:H76">D44:D76/TRANSPOSE(VBP_21)</f>
        <v>45.497940770847642</v>
      </c>
      <c r="I44" s="127" cm="1">
        <f t="array" ref="I44:I76">E44:E76/TRANSPOSE(VBP_21)</f>
        <v>17.827934730969215</v>
      </c>
    </row>
    <row r="45" spans="1:14">
      <c r="B45" s="20" t="s">
        <v>583</v>
      </c>
      <c r="C45" s="117">
        <v>108842</v>
      </c>
      <c r="D45" s="330">
        <v>78200.053771676947</v>
      </c>
      <c r="E45" s="330">
        <v>30641.94622832305</v>
      </c>
      <c r="F45" s="122">
        <f>D45/C45</f>
        <v>0.71847314246041916</v>
      </c>
      <c r="G45" s="122">
        <f>E45/C45</f>
        <v>0.28152685753958079</v>
      </c>
      <c r="H45" s="127">
        <v>30.625853282555394</v>
      </c>
      <c r="I45" s="127">
        <v>12.000448902766134</v>
      </c>
    </row>
    <row r="46" spans="1:14">
      <c r="B46" s="20" t="s">
        <v>584</v>
      </c>
      <c r="C46" s="117">
        <v>17304</v>
      </c>
      <c r="D46" s="330">
        <v>12432.45925713509</v>
      </c>
      <c r="E46" s="330">
        <v>4871.540742864905</v>
      </c>
      <c r="F46" s="122">
        <f>D46/C46</f>
        <v>0.71847314246041893</v>
      </c>
      <c r="G46" s="122">
        <f>E46/C46</f>
        <v>0.28152685753958073</v>
      </c>
      <c r="H46" s="127">
        <v>38.442978531648386</v>
      </c>
      <c r="I46" s="127">
        <v>15.063514974845097</v>
      </c>
    </row>
    <row r="47" spans="1:14">
      <c r="B47" s="20" t="s">
        <v>585</v>
      </c>
      <c r="C47" s="117">
        <v>4824</v>
      </c>
      <c r="D47" s="330">
        <v>3465.9144392290632</v>
      </c>
      <c r="E47" s="330">
        <v>1358.085560770937</v>
      </c>
      <c r="F47" s="122">
        <f>D47/C47</f>
        <v>0.71847314246041938</v>
      </c>
      <c r="G47" s="122">
        <f>E47/C47</f>
        <v>0.28152685753958062</v>
      </c>
      <c r="H47" s="127">
        <v>62.67476381969373</v>
      </c>
      <c r="I47" s="127">
        <v>24.558509236364142</v>
      </c>
    </row>
    <row r="48" spans="1:14">
      <c r="B48" s="22" t="s">
        <v>10</v>
      </c>
      <c r="C48" s="118">
        <v>4387</v>
      </c>
      <c r="D48" s="331">
        <v>3018</v>
      </c>
      <c r="E48" s="331">
        <v>1369</v>
      </c>
      <c r="F48" s="125">
        <f t="shared" si="3"/>
        <v>0.68794164577159789</v>
      </c>
      <c r="G48" s="125">
        <f t="shared" si="4"/>
        <v>0.31205835422840211</v>
      </c>
      <c r="H48" s="128">
        <v>6.9974495710642248</v>
      </c>
      <c r="I48" s="128">
        <v>3.1741247391606775</v>
      </c>
    </row>
    <row r="49" spans="2:9">
      <c r="B49" s="20" t="s">
        <v>586</v>
      </c>
      <c r="C49" s="117">
        <v>28349</v>
      </c>
      <c r="D49" s="330">
        <v>20848.73973089557</v>
      </c>
      <c r="E49" s="330">
        <v>7500.2602691044294</v>
      </c>
      <c r="F49" s="126">
        <f t="shared" si="3"/>
        <v>0.73543122264967264</v>
      </c>
      <c r="G49" s="126">
        <f t="shared" si="4"/>
        <v>0.26456877735032736</v>
      </c>
      <c r="H49" s="127">
        <v>4.9828492939689699</v>
      </c>
      <c r="I49" s="127">
        <v>1.7925623835721969</v>
      </c>
    </row>
    <row r="50" spans="2:9">
      <c r="B50" s="20" t="s">
        <v>587</v>
      </c>
      <c r="C50" s="117">
        <v>6968</v>
      </c>
      <c r="D50" s="330">
        <v>2839.3270854216612</v>
      </c>
      <c r="E50" s="330">
        <v>4128.6729145783311</v>
      </c>
      <c r="F50" s="126">
        <f t="shared" ref="F50:F55" si="5">D50/C50</f>
        <v>0.40748092500310867</v>
      </c>
      <c r="G50" s="126">
        <f t="shared" ref="G50:G55" si="6">E50/C50</f>
        <v>0.59251907499689027</v>
      </c>
      <c r="H50" s="127">
        <v>1.9961523378948685</v>
      </c>
      <c r="I50" s="127">
        <v>2.9026103167732922</v>
      </c>
    </row>
    <row r="51" spans="2:9">
      <c r="B51" s="20" t="s">
        <v>588</v>
      </c>
      <c r="C51" s="117">
        <v>7388</v>
      </c>
      <c r="D51" s="330">
        <v>5433.3658729357821</v>
      </c>
      <c r="E51" s="330">
        <v>1954.6341270642181</v>
      </c>
      <c r="F51" s="126">
        <f t="shared" si="5"/>
        <v>0.73543122264967276</v>
      </c>
      <c r="G51" s="126">
        <f t="shared" si="6"/>
        <v>0.2645687773503273</v>
      </c>
      <c r="H51" s="127">
        <v>5.7820217866721109</v>
      </c>
      <c r="I51" s="127">
        <v>2.0800618570439697</v>
      </c>
    </row>
    <row r="52" spans="2:9">
      <c r="B52" s="20" t="s">
        <v>589</v>
      </c>
      <c r="C52" s="117">
        <v>26364</v>
      </c>
      <c r="D52" s="330">
        <v>17854.550227200009</v>
      </c>
      <c r="E52" s="330">
        <v>8509.4497727999842</v>
      </c>
      <c r="F52" s="126">
        <f t="shared" si="5"/>
        <v>0.67723221920801124</v>
      </c>
      <c r="G52" s="126">
        <f t="shared" si="6"/>
        <v>0.32276778079198848</v>
      </c>
      <c r="H52" s="127">
        <v>8.558407740005757</v>
      </c>
      <c r="I52" s="127">
        <v>4.0789232924935215</v>
      </c>
    </row>
    <row r="53" spans="2:9">
      <c r="B53" s="20" t="s">
        <v>590</v>
      </c>
      <c r="C53" s="117">
        <v>5446</v>
      </c>
      <c r="D53" s="330">
        <v>4682.8904072624973</v>
      </c>
      <c r="E53" s="330">
        <v>763.10959273750689</v>
      </c>
      <c r="F53" s="126">
        <f t="shared" si="5"/>
        <v>0.85987704870776671</v>
      </c>
      <c r="G53" s="126">
        <f t="shared" si="6"/>
        <v>0.14012295129223409</v>
      </c>
      <c r="H53" s="127">
        <v>12.342884573701888</v>
      </c>
      <c r="I53" s="127">
        <v>2.0113589687335445</v>
      </c>
    </row>
    <row r="54" spans="2:9">
      <c r="B54" s="20" t="s">
        <v>591</v>
      </c>
      <c r="C54" s="117">
        <v>9036</v>
      </c>
      <c r="D54" s="330">
        <v>3681.99763832809</v>
      </c>
      <c r="E54" s="330">
        <v>5354.0023616718981</v>
      </c>
      <c r="F54" s="126">
        <f t="shared" si="5"/>
        <v>0.40748092500310867</v>
      </c>
      <c r="G54" s="126">
        <f t="shared" si="6"/>
        <v>0.59251907499689005</v>
      </c>
      <c r="H54" s="127">
        <v>2.6972365675247896</v>
      </c>
      <c r="I54" s="127">
        <v>3.9220587221975669</v>
      </c>
    </row>
    <row r="55" spans="2:9">
      <c r="B55" s="20" t="s">
        <v>592</v>
      </c>
      <c r="C55" s="117">
        <v>14458</v>
      </c>
      <c r="D55" s="330">
        <v>12081.12903795638</v>
      </c>
      <c r="E55" s="330">
        <v>2376.870962043628</v>
      </c>
      <c r="F55" s="126">
        <f t="shared" si="5"/>
        <v>0.83560167643909111</v>
      </c>
      <c r="G55" s="126">
        <f t="shared" si="6"/>
        <v>0.16439832356090939</v>
      </c>
      <c r="H55" s="127">
        <v>5.2876089977049974</v>
      </c>
      <c r="I55" s="127">
        <v>1.0402971647599912</v>
      </c>
    </row>
    <row r="56" spans="2:9">
      <c r="B56" s="22" t="s">
        <v>593</v>
      </c>
      <c r="C56" s="118">
        <v>59400</v>
      </c>
      <c r="D56" s="331">
        <v>38256.236807263776</v>
      </c>
      <c r="E56" s="331">
        <v>21143.763192736202</v>
      </c>
      <c r="F56" s="125">
        <f t="shared" si="3"/>
        <v>0.64404439069467634</v>
      </c>
      <c r="G56" s="125">
        <f t="shared" si="4"/>
        <v>0.35595560930532327</v>
      </c>
      <c r="H56" s="128">
        <v>43.492765810895605</v>
      </c>
      <c r="I56" s="128">
        <v>24.037929959909277</v>
      </c>
    </row>
    <row r="57" spans="2:9">
      <c r="B57" s="22" t="s">
        <v>594</v>
      </c>
      <c r="C57" s="118">
        <v>10366</v>
      </c>
      <c r="D57" s="331">
        <v>9736.7631927362199</v>
      </c>
      <c r="E57" s="331">
        <v>629.23680726379916</v>
      </c>
      <c r="F57" s="125">
        <f>D57/C57</f>
        <v>0.93929801203320662</v>
      </c>
      <c r="G57" s="125">
        <f>E57/C57</f>
        <v>6.0701987966795212E-2</v>
      </c>
      <c r="H57" s="128">
        <v>35.810088976595146</v>
      </c>
      <c r="I57" s="128">
        <v>2.3142214316432481</v>
      </c>
    </row>
    <row r="58" spans="2:9">
      <c r="B58" s="20" t="s">
        <v>595</v>
      </c>
      <c r="C58" s="117">
        <v>17048</v>
      </c>
      <c r="D58" s="330">
        <v>12986.208525474231</v>
      </c>
      <c r="E58" s="330">
        <v>4061.7914745257531</v>
      </c>
      <c r="F58" s="126">
        <f t="shared" si="3"/>
        <v>0.76174381308506744</v>
      </c>
      <c r="G58" s="126">
        <f t="shared" si="4"/>
        <v>0.23825618691493156</v>
      </c>
      <c r="H58" s="127">
        <v>20.649083360588694</v>
      </c>
      <c r="I58" s="127">
        <v>6.4585649141767414</v>
      </c>
    </row>
    <row r="59" spans="2:9">
      <c r="B59" s="20" t="s">
        <v>596</v>
      </c>
      <c r="C59" s="117">
        <v>13948</v>
      </c>
      <c r="D59" s="330">
        <v>8336.7914745257676</v>
      </c>
      <c r="E59" s="330">
        <v>5611.2085254742469</v>
      </c>
      <c r="F59" s="126">
        <f>D59/C59</f>
        <v>0.5977051530345403</v>
      </c>
      <c r="G59" s="126">
        <f>E59/C59</f>
        <v>0.40229484696546075</v>
      </c>
      <c r="H59" s="127">
        <v>7.4568796730999711</v>
      </c>
      <c r="I59" s="127">
        <v>5.0189700585637267</v>
      </c>
    </row>
    <row r="60" spans="2:9">
      <c r="B60" s="22" t="s">
        <v>11</v>
      </c>
      <c r="C60" s="118">
        <v>25134</v>
      </c>
      <c r="D60" s="331">
        <v>17290</v>
      </c>
      <c r="E60" s="331">
        <v>7844</v>
      </c>
      <c r="F60" s="125">
        <f t="shared" si="3"/>
        <v>0.68791278745921858</v>
      </c>
      <c r="G60" s="125">
        <f t="shared" si="4"/>
        <v>0.31208721254078142</v>
      </c>
      <c r="H60" s="128">
        <v>4.6679265658747298</v>
      </c>
      <c r="I60" s="128">
        <v>2.1177105831533476</v>
      </c>
    </row>
    <row r="61" spans="2:9">
      <c r="B61" s="20" t="s">
        <v>12</v>
      </c>
      <c r="C61" s="117">
        <v>28858</v>
      </c>
      <c r="D61" s="330">
        <v>19852</v>
      </c>
      <c r="E61" s="330">
        <v>9006</v>
      </c>
      <c r="F61" s="126">
        <f t="shared" si="3"/>
        <v>0.68792016078730334</v>
      </c>
      <c r="G61" s="126">
        <f t="shared" si="4"/>
        <v>0.31207983921269666</v>
      </c>
      <c r="H61" s="127">
        <v>24.054283290924513</v>
      </c>
      <c r="I61" s="127">
        <v>10.912395492548164</v>
      </c>
    </row>
    <row r="62" spans="2:9">
      <c r="B62" s="22" t="s">
        <v>13</v>
      </c>
      <c r="C62" s="118">
        <v>3906</v>
      </c>
      <c r="D62" s="331">
        <v>2687</v>
      </c>
      <c r="E62" s="331">
        <v>1219</v>
      </c>
      <c r="F62" s="125">
        <f t="shared" si="3"/>
        <v>0.68791602662570406</v>
      </c>
      <c r="G62" s="125">
        <f t="shared" si="4"/>
        <v>0.31208397337429594</v>
      </c>
      <c r="H62" s="128">
        <v>13.435</v>
      </c>
      <c r="I62" s="128">
        <v>6.0949999999999998</v>
      </c>
    </row>
    <row r="63" spans="2:9">
      <c r="B63" s="20" t="s">
        <v>14</v>
      </c>
      <c r="C63" s="117">
        <v>20524</v>
      </c>
      <c r="D63" s="330">
        <v>14119</v>
      </c>
      <c r="E63" s="330">
        <v>6405</v>
      </c>
      <c r="F63" s="126">
        <f t="shared" si="3"/>
        <v>0.68792633015006821</v>
      </c>
      <c r="G63" s="126">
        <f t="shared" si="4"/>
        <v>0.31207366984993179</v>
      </c>
      <c r="H63" s="127">
        <v>13.759867459311955</v>
      </c>
      <c r="I63" s="127">
        <v>6.2420816684533662</v>
      </c>
    </row>
    <row r="64" spans="2:9">
      <c r="B64" s="22" t="s">
        <v>15</v>
      </c>
      <c r="C64" s="118">
        <v>9448</v>
      </c>
      <c r="D64" s="331">
        <v>6499</v>
      </c>
      <c r="E64" s="331">
        <v>2949</v>
      </c>
      <c r="F64" s="125">
        <f t="shared" si="3"/>
        <v>0.68787044877222692</v>
      </c>
      <c r="G64" s="125">
        <f t="shared" si="4"/>
        <v>0.31212955122777308</v>
      </c>
      <c r="H64" s="128">
        <v>15.971983288277219</v>
      </c>
      <c r="I64" s="128">
        <v>7.2474809535512419</v>
      </c>
    </row>
    <row r="65" spans="2:12">
      <c r="B65" s="20" t="s">
        <v>16</v>
      </c>
      <c r="C65" s="117">
        <v>37031</v>
      </c>
      <c r="D65" s="330">
        <v>25474</v>
      </c>
      <c r="E65" s="330">
        <v>11557</v>
      </c>
      <c r="F65" s="126">
        <f t="shared" si="3"/>
        <v>0.6879101293510842</v>
      </c>
      <c r="G65" s="126">
        <f t="shared" si="4"/>
        <v>0.31208987064891575</v>
      </c>
      <c r="H65" s="127">
        <v>17.523560569581072</v>
      </c>
      <c r="I65" s="127">
        <v>7.9500584714865523</v>
      </c>
    </row>
    <row r="66" spans="2:12">
      <c r="B66" s="22" t="s">
        <v>17</v>
      </c>
      <c r="C66" s="118">
        <v>25627</v>
      </c>
      <c r="D66" s="331">
        <v>19732</v>
      </c>
      <c r="E66" s="331">
        <v>5895</v>
      </c>
      <c r="F66" s="125">
        <f t="shared" si="3"/>
        <v>0.7699691731377063</v>
      </c>
      <c r="G66" s="125">
        <f t="shared" si="4"/>
        <v>0.23003082686229367</v>
      </c>
      <c r="H66" s="128">
        <v>5.830624667572839</v>
      </c>
      <c r="I66" s="128">
        <v>1.7419183263400508</v>
      </c>
    </row>
    <row r="67" spans="2:12">
      <c r="B67" s="20" t="s">
        <v>18</v>
      </c>
      <c r="C67" s="117">
        <v>212401</v>
      </c>
      <c r="D67" s="330">
        <v>207206</v>
      </c>
      <c r="E67" s="330">
        <v>5195</v>
      </c>
      <c r="F67" s="126">
        <f t="shared" si="3"/>
        <v>0.97554154641456492</v>
      </c>
      <c r="G67" s="126">
        <f t="shared" si="4"/>
        <v>2.4458453585435098E-2</v>
      </c>
      <c r="H67" s="127">
        <v>36.260324793504132</v>
      </c>
      <c r="I67" s="127">
        <v>0.90910681786364278</v>
      </c>
    </row>
    <row r="68" spans="2:12">
      <c r="B68" s="22" t="s">
        <v>19</v>
      </c>
      <c r="C68" s="118">
        <v>802354</v>
      </c>
      <c r="D68" s="331">
        <v>415686</v>
      </c>
      <c r="E68" s="331">
        <v>386668</v>
      </c>
      <c r="F68" s="125">
        <f t="shared" si="3"/>
        <v>0.51808304065287891</v>
      </c>
      <c r="G68" s="125">
        <f t="shared" si="4"/>
        <v>0.48191695934712109</v>
      </c>
      <c r="H68" s="128">
        <v>42.61479317238198</v>
      </c>
      <c r="I68" s="128">
        <v>39.639961043620893</v>
      </c>
    </row>
    <row r="69" spans="2:12">
      <c r="B69" s="20" t="s">
        <v>20</v>
      </c>
      <c r="C69" s="117">
        <v>88040</v>
      </c>
      <c r="D69" s="330">
        <v>74304</v>
      </c>
      <c r="E69" s="330">
        <v>13736</v>
      </c>
      <c r="F69" s="126">
        <f t="shared" si="3"/>
        <v>0.84398000908677873</v>
      </c>
      <c r="G69" s="126">
        <f t="shared" si="4"/>
        <v>0.15601999091322127</v>
      </c>
      <c r="H69" s="127">
        <v>18.582968613229966</v>
      </c>
      <c r="I69" s="127">
        <v>3.4352882330874084</v>
      </c>
    </row>
    <row r="70" spans="2:12">
      <c r="B70" s="22" t="s">
        <v>21</v>
      </c>
      <c r="C70" s="118">
        <v>110360</v>
      </c>
      <c r="D70" s="331">
        <v>57176</v>
      </c>
      <c r="E70" s="331">
        <v>53184</v>
      </c>
      <c r="F70" s="125">
        <f t="shared" si="3"/>
        <v>0.51808626313881845</v>
      </c>
      <c r="G70" s="125">
        <f t="shared" si="4"/>
        <v>0.48191373686118161</v>
      </c>
      <c r="H70" s="128">
        <v>24.943722188290728</v>
      </c>
      <c r="I70" s="128">
        <v>23.202163860047119</v>
      </c>
    </row>
    <row r="71" spans="2:12">
      <c r="B71" s="20" t="s">
        <v>22</v>
      </c>
      <c r="C71" s="117">
        <v>49149</v>
      </c>
      <c r="D71" s="330">
        <v>41481</v>
      </c>
      <c r="E71" s="330">
        <v>7668</v>
      </c>
      <c r="F71" s="126">
        <f t="shared" si="3"/>
        <v>0.84398461820179449</v>
      </c>
      <c r="G71" s="126">
        <f t="shared" si="4"/>
        <v>0.15601538179820545</v>
      </c>
      <c r="H71" s="127">
        <v>15.270016565433462</v>
      </c>
      <c r="I71" s="127">
        <v>2.8227498619547213</v>
      </c>
    </row>
    <row r="72" spans="2:12">
      <c r="B72" s="22" t="s">
        <v>23</v>
      </c>
      <c r="C72" s="118">
        <v>40636</v>
      </c>
      <c r="D72" s="331">
        <v>21626</v>
      </c>
      <c r="E72" s="331">
        <v>19010</v>
      </c>
      <c r="F72" s="125">
        <f t="shared" si="3"/>
        <v>0.53218820750073825</v>
      </c>
      <c r="G72" s="125">
        <f t="shared" si="4"/>
        <v>0.46781179249926175</v>
      </c>
      <c r="H72" s="128">
        <v>6.5023001292883134</v>
      </c>
      <c r="I72" s="128">
        <v>5.7157461138338501</v>
      </c>
    </row>
    <row r="73" spans="2:12">
      <c r="B73" s="20" t="s">
        <v>24</v>
      </c>
      <c r="C73" s="117">
        <v>18972</v>
      </c>
      <c r="D73" s="330">
        <v>10097</v>
      </c>
      <c r="E73" s="330">
        <v>8875</v>
      </c>
      <c r="F73" s="126">
        <f t="shared" si="3"/>
        <v>0.53220535526038371</v>
      </c>
      <c r="G73" s="126">
        <f t="shared" si="4"/>
        <v>0.46779464473961629</v>
      </c>
      <c r="H73" s="127">
        <v>3.4358730050702695</v>
      </c>
      <c r="I73" s="127">
        <v>3.020042876101678</v>
      </c>
    </row>
    <row r="74" spans="2:12">
      <c r="B74" s="22" t="s">
        <v>25</v>
      </c>
      <c r="C74" s="118">
        <v>147634</v>
      </c>
      <c r="D74" s="331">
        <v>78569</v>
      </c>
      <c r="E74" s="331">
        <v>69065</v>
      </c>
      <c r="F74" s="125">
        <f t="shared" si="3"/>
        <v>0.53218770743866584</v>
      </c>
      <c r="G74" s="125">
        <f t="shared" si="4"/>
        <v>0.46781229256133411</v>
      </c>
      <c r="H74" s="128">
        <v>36.771189217016897</v>
      </c>
      <c r="I74" s="128">
        <v>32.323208686291949</v>
      </c>
    </row>
    <row r="75" spans="2:12">
      <c r="B75" s="20" t="s">
        <v>597</v>
      </c>
      <c r="C75" s="117">
        <v>470776</v>
      </c>
      <c r="D75" s="330">
        <v>142939.191013545</v>
      </c>
      <c r="E75" s="330">
        <v>327836.80898645503</v>
      </c>
      <c r="F75" s="126">
        <f>D75/C75</f>
        <v>0.30362463467454798</v>
      </c>
      <c r="G75" s="126">
        <f>E75/C75</f>
        <v>0.69637536532545208</v>
      </c>
      <c r="H75" s="127">
        <v>39.430413233716315</v>
      </c>
      <c r="I75" s="127">
        <v>90.435245644659474</v>
      </c>
    </row>
    <row r="76" spans="2:12">
      <c r="B76" s="20" t="s">
        <v>598</v>
      </c>
      <c r="C76" s="117">
        <v>278145</v>
      </c>
      <c r="D76" s="330">
        <v>121414.808986455</v>
      </c>
      <c r="E76" s="330">
        <v>156730.191013545</v>
      </c>
      <c r="F76" s="126">
        <f t="shared" si="3"/>
        <v>0.43651623788475435</v>
      </c>
      <c r="G76" s="126">
        <f t="shared" si="4"/>
        <v>0.56348376211524565</v>
      </c>
      <c r="H76" s="127">
        <v>22.854122084564057</v>
      </c>
      <c r="I76" s="127">
        <v>29.501598278346766</v>
      </c>
    </row>
    <row r="77" spans="2:12">
      <c r="B77" s="119"/>
      <c r="C77" s="120">
        <f>SUM(EmpleoTotal21)</f>
        <v>3102209</v>
      </c>
      <c r="D77" s="120">
        <f>SUM(D44:D76)</f>
        <v>1796739</v>
      </c>
      <c r="E77" s="120">
        <f>SUM(E44:E76)</f>
        <v>1305470</v>
      </c>
      <c r="F77" s="131"/>
      <c r="G77" s="131"/>
      <c r="H77" s="121"/>
      <c r="I77" s="121"/>
    </row>
    <row r="80" spans="2:12">
      <c r="B80" s="67"/>
      <c r="C80" s="115" t="s">
        <v>26</v>
      </c>
      <c r="D80" s="525" t="s">
        <v>231</v>
      </c>
      <c r="E80" s="526"/>
      <c r="F80" s="526"/>
      <c r="G80" s="525" t="s">
        <v>225</v>
      </c>
      <c r="H80" s="526"/>
      <c r="I80" s="526"/>
      <c r="J80" s="525" t="s">
        <v>226</v>
      </c>
      <c r="K80" s="526"/>
      <c r="L80" s="526"/>
    </row>
    <row r="81" spans="2:12" ht="26" customHeight="1">
      <c r="B81" s="71" t="s">
        <v>5</v>
      </c>
      <c r="C81" s="68" t="s">
        <v>221</v>
      </c>
      <c r="D81" s="70" t="s">
        <v>232</v>
      </c>
      <c r="E81" s="69" t="s">
        <v>233</v>
      </c>
      <c r="F81" s="116" t="s">
        <v>234</v>
      </c>
      <c r="G81" s="70" t="s">
        <v>235</v>
      </c>
      <c r="H81" s="69" t="s">
        <v>236</v>
      </c>
      <c r="I81" s="116" t="s">
        <v>237</v>
      </c>
      <c r="J81" s="70" t="s">
        <v>238</v>
      </c>
      <c r="K81" s="69" t="s">
        <v>239</v>
      </c>
      <c r="L81" s="116" t="s">
        <v>240</v>
      </c>
    </row>
    <row r="82" spans="2:12">
      <c r="B82" s="20" t="s">
        <v>582</v>
      </c>
      <c r="C82" s="117">
        <v>399086</v>
      </c>
      <c r="D82" s="330">
        <v>281806.26342876977</v>
      </c>
      <c r="E82" s="330">
        <v>91593.360082708226</v>
      </c>
      <c r="F82" s="330">
        <v>25686.376488521972</v>
      </c>
      <c r="G82" s="122">
        <f>D82/$C82</f>
        <v>0.70612916371100409</v>
      </c>
      <c r="H82" s="122">
        <f t="shared" ref="H82:H114" si="7">E82/$C82</f>
        <v>0.22950782558823971</v>
      </c>
      <c r="I82" s="122">
        <f t="shared" ref="I82:I114" si="8">F82/$C82</f>
        <v>6.436301070075616E-2</v>
      </c>
      <c r="J82" s="134" cm="1">
        <f t="array" ref="J82:J114">D82:D114/TRANSPOSE(VBP_21)</f>
        <v>44.716247509365097</v>
      </c>
      <c r="K82" s="134" cm="1">
        <f t="array" ref="K82:K114">E82:E114/TRANSPOSE(VBP_21)</f>
        <v>14.533783989893562</v>
      </c>
      <c r="L82" s="134" cm="1">
        <f t="array" ref="L82:L114">F82:F114/TRANSPOSE(VBP_21)</f>
        <v>4.0758440025581901</v>
      </c>
    </row>
    <row r="83" spans="2:12">
      <c r="B83" s="20" t="s">
        <v>583</v>
      </c>
      <c r="C83" s="117">
        <v>108842</v>
      </c>
      <c r="D83" s="330">
        <v>76856.510436633107</v>
      </c>
      <c r="E83" s="330">
        <v>24980.090752675191</v>
      </c>
      <c r="F83" s="330">
        <v>7005.3988106917004</v>
      </c>
      <c r="G83" s="122">
        <f>D83/$C83</f>
        <v>0.70612916371100409</v>
      </c>
      <c r="H83" s="122">
        <f t="shared" ref="H83:I85" si="9">E83/$C83</f>
        <v>0.22950782558823976</v>
      </c>
      <c r="I83" s="122">
        <f t="shared" si="9"/>
        <v>6.4363010700756146E-2</v>
      </c>
      <c r="J83" s="134">
        <v>30.099675114213639</v>
      </c>
      <c r="K83" s="134">
        <v>9.7830699274203763</v>
      </c>
      <c r="L83" s="134">
        <v>2.7435571436875148</v>
      </c>
    </row>
    <row r="84" spans="2:12">
      <c r="B84" s="20" t="s">
        <v>584</v>
      </c>
      <c r="C84" s="117">
        <v>17304</v>
      </c>
      <c r="D84" s="330">
        <v>12218.859048855211</v>
      </c>
      <c r="E84" s="330">
        <v>3971.4034139789001</v>
      </c>
      <c r="F84" s="330">
        <v>1113.7375371658841</v>
      </c>
      <c r="G84" s="122">
        <f>D84/$C84</f>
        <v>0.70612916371100387</v>
      </c>
      <c r="H84" s="122">
        <f t="shared" si="9"/>
        <v>0.22950782558823971</v>
      </c>
      <c r="I84" s="122">
        <f t="shared" si="9"/>
        <v>6.4363010700756132E-2</v>
      </c>
      <c r="J84" s="134">
        <v>37.782495512848513</v>
      </c>
      <c r="K84" s="134">
        <v>12.280158979526592</v>
      </c>
      <c r="L84" s="134">
        <v>3.4438390141183794</v>
      </c>
    </row>
    <row r="85" spans="2:12">
      <c r="B85" s="20" t="s">
        <v>585</v>
      </c>
      <c r="C85" s="117">
        <v>4824</v>
      </c>
      <c r="D85" s="330">
        <v>3406.3670857418838</v>
      </c>
      <c r="E85" s="330">
        <v>1107.145750637668</v>
      </c>
      <c r="F85" s="330">
        <v>310.48716362044757</v>
      </c>
      <c r="G85" s="122">
        <f>D85/$C85</f>
        <v>0.70612916371100409</v>
      </c>
      <c r="H85" s="122">
        <f t="shared" si="9"/>
        <v>0.22950782558823965</v>
      </c>
      <c r="I85" s="122">
        <f t="shared" si="9"/>
        <v>6.4363010700756132E-2</v>
      </c>
      <c r="J85" s="134">
        <v>61.597958150847809</v>
      </c>
      <c r="K85" s="134">
        <v>20.020718818041015</v>
      </c>
      <c r="L85" s="134">
        <v>5.6145960871690344</v>
      </c>
    </row>
    <row r="86" spans="2:12">
      <c r="B86" s="22" t="s">
        <v>10</v>
      </c>
      <c r="C86" s="118">
        <v>4387</v>
      </c>
      <c r="D86" s="331">
        <v>1306</v>
      </c>
      <c r="E86" s="331">
        <v>2060</v>
      </c>
      <c r="F86" s="331">
        <v>1021</v>
      </c>
      <c r="G86" s="125">
        <f t="shared" ref="G86:G114" si="10">D86/$C86</f>
        <v>0.29769774333257354</v>
      </c>
      <c r="H86" s="125">
        <f t="shared" si="7"/>
        <v>0.46956918167312517</v>
      </c>
      <c r="I86" s="125">
        <f t="shared" si="8"/>
        <v>0.23273307499430135</v>
      </c>
      <c r="J86" s="135">
        <v>3.0280547182935313</v>
      </c>
      <c r="K86" s="135">
        <v>4.7762578251796901</v>
      </c>
      <c r="L86" s="135">
        <v>2.3672617667516813</v>
      </c>
    </row>
    <row r="87" spans="2:12">
      <c r="B87" s="20" t="s">
        <v>586</v>
      </c>
      <c r="C87" s="117">
        <v>28349</v>
      </c>
      <c r="D87" s="330">
        <v>8437.3917701435585</v>
      </c>
      <c r="E87" s="330">
        <v>13311.815016988239</v>
      </c>
      <c r="F87" s="330">
        <v>6599.793212868206</v>
      </c>
      <c r="G87" s="126">
        <f t="shared" si="10"/>
        <v>0.2976257282494465</v>
      </c>
      <c r="H87" s="126">
        <f t="shared" si="7"/>
        <v>0.46956912120315492</v>
      </c>
      <c r="I87" s="126">
        <f t="shared" si="8"/>
        <v>0.2328051505473987</v>
      </c>
      <c r="J87" s="134">
        <v>2.0165368347179937</v>
      </c>
      <c r="K87" s="134">
        <v>3.1815241072125997</v>
      </c>
      <c r="L87" s="134">
        <v>1.5773507356105747</v>
      </c>
    </row>
    <row r="88" spans="2:12">
      <c r="B88" s="20" t="s">
        <v>587</v>
      </c>
      <c r="C88" s="117">
        <v>6968</v>
      </c>
      <c r="D88" s="330">
        <v>2073.8560744421429</v>
      </c>
      <c r="E88" s="330">
        <v>3271.9576365435828</v>
      </c>
      <c r="F88" s="330">
        <v>1622.1862890142741</v>
      </c>
      <c r="G88" s="126">
        <f t="shared" ref="G88:I93" si="11">D88/$C88</f>
        <v>0.29762572824944644</v>
      </c>
      <c r="H88" s="126">
        <f t="shared" si="11"/>
        <v>0.4695691212031548</v>
      </c>
      <c r="I88" s="126">
        <f t="shared" si="11"/>
        <v>0.2328051505473987</v>
      </c>
      <c r="J88" s="134">
        <v>1.4579978026168046</v>
      </c>
      <c r="K88" s="134">
        <v>2.3003076747353646</v>
      </c>
      <c r="L88" s="134">
        <v>1.1404571773159968</v>
      </c>
    </row>
    <row r="89" spans="2:12">
      <c r="B89" s="20" t="s">
        <v>588</v>
      </c>
      <c r="C89" s="117">
        <v>7388</v>
      </c>
      <c r="D89" s="330">
        <v>2198.858880306911</v>
      </c>
      <c r="E89" s="330">
        <v>3469.1766674489081</v>
      </c>
      <c r="F89" s="330">
        <v>1719.964452244182</v>
      </c>
      <c r="G89" s="126">
        <f t="shared" si="11"/>
        <v>0.29762572824944655</v>
      </c>
      <c r="H89" s="126">
        <f t="shared" si="11"/>
        <v>0.46956912120315486</v>
      </c>
      <c r="I89" s="126">
        <f t="shared" si="11"/>
        <v>0.23280515054739875</v>
      </c>
      <c r="J89" s="134">
        <v>2.3399583700190605</v>
      </c>
      <c r="K89" s="134">
        <v>3.6917917074054576</v>
      </c>
      <c r="L89" s="134">
        <v>1.8303335662915634</v>
      </c>
    </row>
    <row r="90" spans="2:12">
      <c r="B90" s="20" t="s">
        <v>589</v>
      </c>
      <c r="C90" s="117">
        <v>26364</v>
      </c>
      <c r="D90" s="330">
        <v>7846.6046995684073</v>
      </c>
      <c r="E90" s="330">
        <v>12379.720311399969</v>
      </c>
      <c r="F90" s="330">
        <v>6137.6749890316196</v>
      </c>
      <c r="G90" s="126">
        <f t="shared" si="11"/>
        <v>0.2976257282494465</v>
      </c>
      <c r="H90" s="126">
        <f t="shared" si="11"/>
        <v>0.46956912120315464</v>
      </c>
      <c r="I90" s="126">
        <f t="shared" si="11"/>
        <v>0.2328051505473987</v>
      </c>
      <c r="J90" s="134">
        <v>3.7611948516769282</v>
      </c>
      <c r="K90" s="134">
        <v>5.9341004272840427</v>
      </c>
      <c r="L90" s="134">
        <v>2.9420357535383088</v>
      </c>
    </row>
    <row r="91" spans="2:12">
      <c r="B91" s="20" t="s">
        <v>590</v>
      </c>
      <c r="C91" s="117">
        <v>5446</v>
      </c>
      <c r="D91" s="330">
        <v>1620.869716046486</v>
      </c>
      <c r="E91" s="330">
        <v>2557.273434072381</v>
      </c>
      <c r="F91" s="330">
        <v>1267.856849881133</v>
      </c>
      <c r="G91" s="126">
        <f t="shared" si="11"/>
        <v>0.29762572824944655</v>
      </c>
      <c r="H91" s="126">
        <f t="shared" si="11"/>
        <v>0.4695691212031548</v>
      </c>
      <c r="I91" s="126">
        <f t="shared" si="11"/>
        <v>0.23280515054739864</v>
      </c>
      <c r="J91" s="134">
        <v>4.2721921877872582</v>
      </c>
      <c r="K91" s="134">
        <v>6.7403095257574597</v>
      </c>
      <c r="L91" s="134">
        <v>3.341741828890703</v>
      </c>
    </row>
    <row r="92" spans="2:12">
      <c r="B92" s="20" t="s">
        <v>591</v>
      </c>
      <c r="C92" s="117">
        <v>9036</v>
      </c>
      <c r="D92" s="330">
        <v>2689.346080461999</v>
      </c>
      <c r="E92" s="330">
        <v>4243.0265791917072</v>
      </c>
      <c r="F92" s="330">
        <v>2103.6273403462951</v>
      </c>
      <c r="G92" s="126">
        <f t="shared" si="11"/>
        <v>0.29762572824944655</v>
      </c>
      <c r="H92" s="126">
        <f t="shared" si="11"/>
        <v>0.46956912120315486</v>
      </c>
      <c r="I92" s="126">
        <f t="shared" si="11"/>
        <v>0.23280515054739875</v>
      </c>
      <c r="J92" s="134">
        <v>1.9700725811017501</v>
      </c>
      <c r="K92" s="134">
        <v>3.1082166721791133</v>
      </c>
      <c r="L92" s="134">
        <v>1.5410060364415026</v>
      </c>
    </row>
    <row r="93" spans="2:12">
      <c r="B93" s="20" t="s">
        <v>592</v>
      </c>
      <c r="C93" s="117">
        <v>14458</v>
      </c>
      <c r="D93" s="330">
        <v>4303.0727790304973</v>
      </c>
      <c r="E93" s="330">
        <v>6789.0303543552118</v>
      </c>
      <c r="F93" s="330">
        <v>3365.896866614291</v>
      </c>
      <c r="G93" s="126">
        <f t="shared" si="11"/>
        <v>0.2976257282494465</v>
      </c>
      <c r="H93" s="126">
        <f t="shared" si="11"/>
        <v>0.4695691212031548</v>
      </c>
      <c r="I93" s="126">
        <f t="shared" si="11"/>
        <v>0.23280515054739873</v>
      </c>
      <c r="J93" s="134">
        <v>1.8833476798978015</v>
      </c>
      <c r="K93" s="134">
        <v>2.971389335764711</v>
      </c>
      <c r="L93" s="134">
        <v>1.4731691468024732</v>
      </c>
    </row>
    <row r="94" spans="2:12">
      <c r="B94" s="22" t="s">
        <v>593</v>
      </c>
      <c r="C94" s="118">
        <v>59400</v>
      </c>
      <c r="D94" s="331">
        <v>17678.83496258923</v>
      </c>
      <c r="E94" s="331">
        <v>27892.44044376917</v>
      </c>
      <c r="F94" s="331">
        <v>13828.7245936416</v>
      </c>
      <c r="G94" s="125">
        <f t="shared" si="10"/>
        <v>0.29762348421867391</v>
      </c>
      <c r="H94" s="125">
        <f t="shared" si="7"/>
        <v>0.4695697044405584</v>
      </c>
      <c r="I94" s="125">
        <f t="shared" si="8"/>
        <v>0.23280681134076769</v>
      </c>
      <c r="J94" s="135">
        <v>20.098720967018224</v>
      </c>
      <c r="K94" s="135">
        <v>31.71036885376213</v>
      </c>
      <c r="L94" s="135">
        <v>15.721605950024557</v>
      </c>
    </row>
    <row r="95" spans="2:12">
      <c r="B95" s="22" t="s">
        <v>594</v>
      </c>
      <c r="C95" s="118">
        <v>10366</v>
      </c>
      <c r="D95" s="331">
        <v>3085.165037410773</v>
      </c>
      <c r="E95" s="331">
        <v>4867.5595562308281</v>
      </c>
      <c r="F95" s="331">
        <v>2413.275406358398</v>
      </c>
      <c r="G95" s="125">
        <f>D95/$C95</f>
        <v>0.29762348421867385</v>
      </c>
      <c r="H95" s="125">
        <f>E95/$C95</f>
        <v>0.4695697044405584</v>
      </c>
      <c r="I95" s="125">
        <f>F95/$C95</f>
        <v>0.23280681134076769</v>
      </c>
      <c r="J95" s="135">
        <v>11.346690097134143</v>
      </c>
      <c r="K95" s="135">
        <v>17.902021170396573</v>
      </c>
      <c r="L95" s="135">
        <v>8.8755991407076067</v>
      </c>
    </row>
    <row r="96" spans="2:12">
      <c r="B96" s="20" t="s">
        <v>595</v>
      </c>
      <c r="C96" s="117">
        <v>17048</v>
      </c>
      <c r="D96" s="330">
        <v>5073.8095238095239</v>
      </c>
      <c r="E96" s="330">
        <v>8005.3439153439158</v>
      </c>
      <c r="F96" s="330">
        <v>3968.8465608465608</v>
      </c>
      <c r="G96" s="126">
        <f t="shared" si="10"/>
        <v>0.29761904761904762</v>
      </c>
      <c r="H96" s="126">
        <f t="shared" si="7"/>
        <v>0.46957671957671959</v>
      </c>
      <c r="I96" s="126">
        <f t="shared" si="8"/>
        <v>0.23280423280423279</v>
      </c>
      <c r="J96" s="134">
        <v>8.0677524627278157</v>
      </c>
      <c r="K96" s="134">
        <v>12.729120552303888</v>
      </c>
      <c r="L96" s="134">
        <v>6.3107752597337576</v>
      </c>
    </row>
    <row r="97" spans="2:12">
      <c r="B97" s="20" t="s">
        <v>596</v>
      </c>
      <c r="C97" s="117">
        <v>13948</v>
      </c>
      <c r="D97" s="330">
        <v>4151.1904761904761</v>
      </c>
      <c r="E97" s="330">
        <v>6549.6560846560851</v>
      </c>
      <c r="F97" s="330">
        <v>3247.1534391534392</v>
      </c>
      <c r="G97" s="126">
        <f>D97/$C97</f>
        <v>0.29761904761904762</v>
      </c>
      <c r="H97" s="126">
        <f>E97/$C97</f>
        <v>0.46957671957671959</v>
      </c>
      <c r="I97" s="126">
        <f>F97/$C97</f>
        <v>0.23280423280423282</v>
      </c>
      <c r="J97" s="134">
        <v>3.7130505153760969</v>
      </c>
      <c r="K97" s="134">
        <v>5.8583685909267311</v>
      </c>
      <c r="L97" s="134">
        <v>2.9044306253608578</v>
      </c>
    </row>
    <row r="98" spans="2:12">
      <c r="B98" s="22" t="s">
        <v>11</v>
      </c>
      <c r="C98" s="118">
        <v>25134</v>
      </c>
      <c r="D98" s="331">
        <v>7480</v>
      </c>
      <c r="E98" s="331">
        <v>11802</v>
      </c>
      <c r="F98" s="331">
        <v>5852</v>
      </c>
      <c r="G98" s="125">
        <f t="shared" si="10"/>
        <v>0.29760483806795573</v>
      </c>
      <c r="H98" s="125">
        <f t="shared" si="7"/>
        <v>0.4695631415612318</v>
      </c>
      <c r="I98" s="125">
        <f t="shared" si="8"/>
        <v>0.23283202037081244</v>
      </c>
      <c r="J98" s="135">
        <v>2.0194384449244058</v>
      </c>
      <c r="K98" s="135">
        <v>3.1862850971922247</v>
      </c>
      <c r="L98" s="135">
        <v>1.579913606911447</v>
      </c>
    </row>
    <row r="99" spans="2:12">
      <c r="B99" s="20" t="s">
        <v>12</v>
      </c>
      <c r="C99" s="117">
        <v>28858</v>
      </c>
      <c r="D99" s="330">
        <v>8589</v>
      </c>
      <c r="E99" s="330">
        <v>13551</v>
      </c>
      <c r="F99" s="330">
        <v>6718</v>
      </c>
      <c r="G99" s="126">
        <f t="shared" si="10"/>
        <v>0.29762977337306812</v>
      </c>
      <c r="H99" s="126">
        <f t="shared" si="7"/>
        <v>0.46957516113382769</v>
      </c>
      <c r="I99" s="126">
        <f t="shared" si="8"/>
        <v>0.23279506549310416</v>
      </c>
      <c r="J99" s="134">
        <v>10.407124681933842</v>
      </c>
      <c r="K99" s="134">
        <v>16.419483824063978</v>
      </c>
      <c r="L99" s="134">
        <v>8.1400702774748588</v>
      </c>
    </row>
    <row r="100" spans="2:12">
      <c r="B100" s="22" t="s">
        <v>13</v>
      </c>
      <c r="C100" s="118">
        <v>3906</v>
      </c>
      <c r="D100" s="331">
        <v>1163</v>
      </c>
      <c r="E100" s="331">
        <v>1834</v>
      </c>
      <c r="F100" s="331">
        <v>909</v>
      </c>
      <c r="G100" s="125">
        <f t="shared" si="10"/>
        <v>0.29774705581157196</v>
      </c>
      <c r="H100" s="125">
        <f t="shared" si="7"/>
        <v>0.46953405017921146</v>
      </c>
      <c r="I100" s="125">
        <f t="shared" si="8"/>
        <v>0.23271889400921658</v>
      </c>
      <c r="J100" s="135">
        <v>5.8150000000000004</v>
      </c>
      <c r="K100" s="135">
        <v>9.17</v>
      </c>
      <c r="L100" s="135">
        <v>4.5449999999999999</v>
      </c>
    </row>
    <row r="101" spans="2:12">
      <c r="B101" s="20" t="s">
        <v>14</v>
      </c>
      <c r="C101" s="117">
        <v>20524</v>
      </c>
      <c r="D101" s="330">
        <v>6108</v>
      </c>
      <c r="E101" s="330">
        <v>9638</v>
      </c>
      <c r="F101" s="330">
        <v>4778</v>
      </c>
      <c r="G101" s="126">
        <f t="shared" si="10"/>
        <v>0.2976028064704736</v>
      </c>
      <c r="H101" s="126">
        <f t="shared" si="7"/>
        <v>0.46959656986942117</v>
      </c>
      <c r="I101" s="126">
        <f t="shared" si="8"/>
        <v>0.23280062366010523</v>
      </c>
      <c r="J101" s="134">
        <v>5.9526361953026017</v>
      </c>
      <c r="K101" s="134">
        <v>9.3928467011012557</v>
      </c>
      <c r="L101" s="134">
        <v>4.6564662313614651</v>
      </c>
    </row>
    <row r="102" spans="2:12">
      <c r="B102" s="22" t="s">
        <v>15</v>
      </c>
      <c r="C102" s="118">
        <v>9448</v>
      </c>
      <c r="D102" s="331">
        <v>2812</v>
      </c>
      <c r="E102" s="331">
        <v>4437</v>
      </c>
      <c r="F102" s="331">
        <v>2199</v>
      </c>
      <c r="G102" s="125">
        <f t="shared" si="10"/>
        <v>0.29762912785774764</v>
      </c>
      <c r="H102" s="125">
        <f t="shared" si="7"/>
        <v>0.46962320067739205</v>
      </c>
      <c r="I102" s="125">
        <f t="shared" si="8"/>
        <v>0.23274767146486028</v>
      </c>
      <c r="J102" s="135">
        <v>6.9107888916195632</v>
      </c>
      <c r="K102" s="135">
        <v>10.904399115261736</v>
      </c>
      <c r="L102" s="135">
        <v>5.4042762349471616</v>
      </c>
    </row>
    <row r="103" spans="2:12">
      <c r="B103" s="20" t="s">
        <v>16</v>
      </c>
      <c r="C103" s="117">
        <v>37031</v>
      </c>
      <c r="D103" s="330">
        <v>11021</v>
      </c>
      <c r="E103" s="330">
        <v>17389</v>
      </c>
      <c r="F103" s="330">
        <v>8621</v>
      </c>
      <c r="G103" s="126">
        <f t="shared" si="10"/>
        <v>0.29761551132834652</v>
      </c>
      <c r="H103" s="126">
        <f t="shared" si="7"/>
        <v>0.46957954146525882</v>
      </c>
      <c r="I103" s="126">
        <f t="shared" si="8"/>
        <v>0.23280494720639464</v>
      </c>
      <c r="J103" s="134">
        <v>7.5813441562908448</v>
      </c>
      <c r="K103" s="134">
        <v>11.961890348765222</v>
      </c>
      <c r="L103" s="134">
        <v>5.930384536011557</v>
      </c>
    </row>
    <row r="104" spans="2:12">
      <c r="B104" s="22" t="s">
        <v>17</v>
      </c>
      <c r="C104" s="118">
        <v>25627</v>
      </c>
      <c r="D104" s="331">
        <v>3091</v>
      </c>
      <c r="E104" s="331">
        <v>8194</v>
      </c>
      <c r="F104" s="331">
        <v>14342</v>
      </c>
      <c r="G104" s="125">
        <f t="shared" si="10"/>
        <v>0.12061497639208647</v>
      </c>
      <c r="H104" s="125">
        <f t="shared" si="7"/>
        <v>0.31974089827135443</v>
      </c>
      <c r="I104" s="125">
        <f t="shared" si="8"/>
        <v>0.55964412533655905</v>
      </c>
      <c r="J104" s="135">
        <v>0.91336209443886296</v>
      </c>
      <c r="K104" s="135">
        <v>2.4212516990721591</v>
      </c>
      <c r="L104" s="135">
        <v>4.2379292004018678</v>
      </c>
    </row>
    <row r="105" spans="2:12">
      <c r="B105" s="20" t="s">
        <v>18</v>
      </c>
      <c r="C105" s="117">
        <v>212401</v>
      </c>
      <c r="D105" s="330">
        <v>99094</v>
      </c>
      <c r="E105" s="330">
        <v>87760</v>
      </c>
      <c r="F105" s="330">
        <v>25547</v>
      </c>
      <c r="G105" s="126">
        <f t="shared" si="10"/>
        <v>0.46654205959482298</v>
      </c>
      <c r="H105" s="126">
        <f t="shared" si="7"/>
        <v>0.41318072890428953</v>
      </c>
      <c r="I105" s="126">
        <f t="shared" si="8"/>
        <v>0.12027721150088747</v>
      </c>
      <c r="J105" s="134">
        <v>17.341103177936443</v>
      </c>
      <c r="K105" s="134">
        <v>15.357692846143078</v>
      </c>
      <c r="L105" s="134">
        <v>4.4706355872882542</v>
      </c>
    </row>
    <row r="106" spans="2:12">
      <c r="B106" s="22" t="s">
        <v>19</v>
      </c>
      <c r="C106" s="118">
        <v>802354</v>
      </c>
      <c r="D106" s="331">
        <v>227680</v>
      </c>
      <c r="E106" s="331">
        <v>360046</v>
      </c>
      <c r="F106" s="331">
        <v>214628</v>
      </c>
      <c r="G106" s="125">
        <f t="shared" si="10"/>
        <v>0.28376502142445853</v>
      </c>
      <c r="H106" s="125">
        <f t="shared" si="7"/>
        <v>0.44873709110941057</v>
      </c>
      <c r="I106" s="125">
        <f t="shared" si="8"/>
        <v>0.2674978874661309</v>
      </c>
      <c r="J106" s="135">
        <v>23.341022092367623</v>
      </c>
      <c r="K106" s="135">
        <v>36.91075913680865</v>
      </c>
      <c r="L106" s="135">
        <v>22.002972986826592</v>
      </c>
    </row>
    <row r="107" spans="2:12">
      <c r="B107" s="20" t="s">
        <v>20</v>
      </c>
      <c r="C107" s="117">
        <v>88040</v>
      </c>
      <c r="D107" s="330">
        <v>17821</v>
      </c>
      <c r="E107" s="330">
        <v>40677</v>
      </c>
      <c r="F107" s="330">
        <v>29542</v>
      </c>
      <c r="G107" s="126">
        <f t="shared" si="10"/>
        <v>0.20241935483870968</v>
      </c>
      <c r="H107" s="126">
        <f t="shared" si="7"/>
        <v>0.46202862335302136</v>
      </c>
      <c r="I107" s="126">
        <f t="shared" si="8"/>
        <v>0.33555202180826899</v>
      </c>
      <c r="J107" s="134">
        <v>4.4569213455045649</v>
      </c>
      <c r="K107" s="134">
        <v>10.173064899337254</v>
      </c>
      <c r="L107" s="134">
        <v>7.388270601475555</v>
      </c>
    </row>
    <row r="108" spans="2:12">
      <c r="B108" s="22" t="s">
        <v>21</v>
      </c>
      <c r="C108" s="118">
        <v>110360</v>
      </c>
      <c r="D108" s="331">
        <v>31316</v>
      </c>
      <c r="E108" s="331">
        <v>49523</v>
      </c>
      <c r="F108" s="331">
        <v>29521</v>
      </c>
      <c r="G108" s="125">
        <f t="shared" si="10"/>
        <v>0.28376223269300471</v>
      </c>
      <c r="H108" s="125">
        <f t="shared" si="7"/>
        <v>0.44874048568321856</v>
      </c>
      <c r="I108" s="125">
        <f t="shared" si="8"/>
        <v>0.26749728162377673</v>
      </c>
      <c r="J108" s="135">
        <v>13.661984120059333</v>
      </c>
      <c r="K108" s="135">
        <v>21.60500828898002</v>
      </c>
      <c r="L108" s="135">
        <v>12.878893639298491</v>
      </c>
    </row>
    <row r="109" spans="2:12">
      <c r="B109" s="20" t="s">
        <v>22</v>
      </c>
      <c r="C109" s="117">
        <v>49149</v>
      </c>
      <c r="D109" s="330">
        <v>9949</v>
      </c>
      <c r="E109" s="330">
        <v>22708</v>
      </c>
      <c r="F109" s="330">
        <v>16492</v>
      </c>
      <c r="G109" s="126">
        <f t="shared" si="10"/>
        <v>0.20242527823556938</v>
      </c>
      <c r="H109" s="126">
        <f t="shared" si="7"/>
        <v>0.46202364239353799</v>
      </c>
      <c r="I109" s="126">
        <f t="shared" si="8"/>
        <v>0.33555107937089257</v>
      </c>
      <c r="J109" s="134">
        <v>3.662433278115222</v>
      </c>
      <c r="K109" s="134">
        <v>8.3592858457574089</v>
      </c>
      <c r="L109" s="134">
        <v>6.0710473035155532</v>
      </c>
    </row>
    <row r="110" spans="2:12">
      <c r="B110" s="22" t="s">
        <v>23</v>
      </c>
      <c r="C110" s="118">
        <v>40636</v>
      </c>
      <c r="D110" s="331">
        <v>3732</v>
      </c>
      <c r="E110" s="331">
        <v>10381</v>
      </c>
      <c r="F110" s="331">
        <v>26523</v>
      </c>
      <c r="G110" s="125">
        <f t="shared" si="10"/>
        <v>9.1839748006693575E-2</v>
      </c>
      <c r="H110" s="125">
        <f t="shared" si="7"/>
        <v>0.25546313613544641</v>
      </c>
      <c r="I110" s="125">
        <f t="shared" si="8"/>
        <v>0.65269711585786006</v>
      </c>
      <c r="J110" s="135">
        <v>1.1221022881024687</v>
      </c>
      <c r="K110" s="135">
        <v>3.1212604107158968</v>
      </c>
      <c r="L110" s="135">
        <v>7.9746835443037982</v>
      </c>
    </row>
    <row r="111" spans="2:12">
      <c r="B111" s="20" t="s">
        <v>24</v>
      </c>
      <c r="C111" s="117">
        <v>18972</v>
      </c>
      <c r="D111" s="330">
        <v>1742</v>
      </c>
      <c r="E111" s="330">
        <v>4847</v>
      </c>
      <c r="F111" s="330">
        <v>12383</v>
      </c>
      <c r="G111" s="126">
        <f t="shared" si="10"/>
        <v>9.181952350832806E-2</v>
      </c>
      <c r="H111" s="126">
        <f t="shared" si="7"/>
        <v>0.2554817625975121</v>
      </c>
      <c r="I111" s="126">
        <f t="shared" si="8"/>
        <v>0.65269871389415979</v>
      </c>
      <c r="J111" s="134">
        <v>0.59277912001905608</v>
      </c>
      <c r="K111" s="134">
        <v>1.6493687685030798</v>
      </c>
      <c r="L111" s="134">
        <v>4.2137679926498111</v>
      </c>
    </row>
    <row r="112" spans="2:12">
      <c r="B112" s="22" t="s">
        <v>25</v>
      </c>
      <c r="C112" s="118">
        <v>147634</v>
      </c>
      <c r="D112" s="331">
        <v>13558</v>
      </c>
      <c r="E112" s="331">
        <v>37716</v>
      </c>
      <c r="F112" s="331">
        <v>96360</v>
      </c>
      <c r="G112" s="125">
        <f t="shared" si="10"/>
        <v>9.1835214110570731E-2</v>
      </c>
      <c r="H112" s="125">
        <f t="shared" si="7"/>
        <v>0.2554696072720376</v>
      </c>
      <c r="I112" s="125">
        <f t="shared" si="8"/>
        <v>0.65269517861739168</v>
      </c>
      <c r="J112" s="135">
        <v>6.345298825291338</v>
      </c>
      <c r="K112" s="135">
        <v>17.651518697056211</v>
      </c>
      <c r="L112" s="135">
        <v>45.097580380961297</v>
      </c>
    </row>
    <row r="113" spans="2:12">
      <c r="B113" s="20" t="s">
        <v>597</v>
      </c>
      <c r="C113" s="117">
        <v>470776</v>
      </c>
      <c r="D113" s="330">
        <v>160205.13672284389</v>
      </c>
      <c r="E113" s="330">
        <v>181810.55623311191</v>
      </c>
      <c r="F113" s="330">
        <v>128760.3070440442</v>
      </c>
      <c r="G113" s="126">
        <f>D113/$C113</f>
        <v>0.3403001357818663</v>
      </c>
      <c r="H113" s="126">
        <f>E113/$C113</f>
        <v>0.38619334085236273</v>
      </c>
      <c r="I113" s="126">
        <f>F113/$C113</f>
        <v>0.27350652336577097</v>
      </c>
      <c r="J113" s="134">
        <v>44.193301349712812</v>
      </c>
      <c r="K113" s="134">
        <v>50.15325266423325</v>
      </c>
      <c r="L113" s="134">
        <v>35.519104864429728</v>
      </c>
    </row>
    <row r="114" spans="2:12">
      <c r="B114" s="20" t="s">
        <v>598</v>
      </c>
      <c r="C114" s="117">
        <v>278145</v>
      </c>
      <c r="D114" s="330">
        <v>15122.86327715607</v>
      </c>
      <c r="E114" s="330">
        <v>39105.443766888158</v>
      </c>
      <c r="F114" s="330">
        <v>223916.6929559558</v>
      </c>
      <c r="G114" s="126">
        <f t="shared" si="10"/>
        <v>5.4370430089183949E-2</v>
      </c>
      <c r="H114" s="126">
        <f t="shared" si="7"/>
        <v>0.14059373264623903</v>
      </c>
      <c r="I114" s="126">
        <f t="shared" si="8"/>
        <v>0.80503583726457717</v>
      </c>
      <c r="J114" s="134">
        <v>2.8466030337605073</v>
      </c>
      <c r="K114" s="134">
        <v>7.3608861512043369</v>
      </c>
      <c r="L114" s="134">
        <v>42.148231177945981</v>
      </c>
    </row>
    <row r="115" spans="2:12">
      <c r="B115" s="119"/>
      <c r="C115" s="120">
        <f>SUM(C82:C114)</f>
        <v>3102209</v>
      </c>
      <c r="D115" s="120">
        <f t="shared" ref="D115:F115" si="12">SUM(D82:D114)</f>
        <v>1055237</v>
      </c>
      <c r="E115" s="120">
        <f t="shared" si="12"/>
        <v>1118468</v>
      </c>
      <c r="F115" s="120">
        <f t="shared" si="12"/>
        <v>928504</v>
      </c>
      <c r="G115" s="131"/>
      <c r="H115" s="131"/>
      <c r="I115" s="131"/>
      <c r="J115" s="121"/>
      <c r="K115" s="121"/>
      <c r="L115" s="121"/>
    </row>
    <row r="118" spans="2:12">
      <c r="B118" s="67"/>
      <c r="C118" s="115" t="s">
        <v>26</v>
      </c>
      <c r="D118" s="525" t="s">
        <v>241</v>
      </c>
      <c r="E118" s="526"/>
      <c r="F118" s="525" t="s">
        <v>225</v>
      </c>
      <c r="G118" s="526"/>
      <c r="H118" s="525" t="s">
        <v>226</v>
      </c>
      <c r="I118" s="526"/>
    </row>
    <row r="119" spans="2:12" ht="26" customHeight="1">
      <c r="B119" s="71" t="s">
        <v>5</v>
      </c>
      <c r="C119" s="68" t="s">
        <v>221</v>
      </c>
      <c r="D119" s="70" t="s">
        <v>163</v>
      </c>
      <c r="E119" s="116" t="s">
        <v>167</v>
      </c>
      <c r="F119" s="70" t="s">
        <v>163</v>
      </c>
      <c r="G119" s="116" t="s">
        <v>167</v>
      </c>
      <c r="H119" s="70" t="s">
        <v>242</v>
      </c>
      <c r="I119" s="116" t="s">
        <v>243</v>
      </c>
    </row>
    <row r="120" spans="2:12">
      <c r="B120" s="20" t="s">
        <v>582</v>
      </c>
      <c r="C120" s="117">
        <v>399086</v>
      </c>
      <c r="D120" s="330">
        <v>36903.27286928174</v>
      </c>
      <c r="E120" s="330">
        <v>362182.7271307183</v>
      </c>
      <c r="F120" s="122">
        <f t="shared" ref="F120:F152" si="13">D120/C120</f>
        <v>9.2469474923404335E-2</v>
      </c>
      <c r="G120" s="122">
        <f t="shared" ref="G120:G152" si="14">E120/C120</f>
        <v>0.90753052507659582</v>
      </c>
      <c r="H120" s="127" cm="1">
        <f t="array" ref="H120:H152">D120:D152/TRANSPOSE(VBP_21)</f>
        <v>5.8557104567178779</v>
      </c>
      <c r="I120" s="127" cm="1">
        <f t="array" ref="I120:I152">E120:E152/TRANSPOSE(VBP_21)</f>
        <v>57.47016504509898</v>
      </c>
    </row>
    <row r="121" spans="2:12">
      <c r="B121" s="20" t="s">
        <v>583</v>
      </c>
      <c r="C121" s="117">
        <v>108842</v>
      </c>
      <c r="D121" s="330">
        <v>10064.562589613181</v>
      </c>
      <c r="E121" s="330">
        <v>98777.437410386861</v>
      </c>
      <c r="F121" s="122">
        <f>D121/C121</f>
        <v>9.2469474923404391E-2</v>
      </c>
      <c r="G121" s="122">
        <f>E121/C121</f>
        <v>0.90753052507659604</v>
      </c>
      <c r="H121" s="127">
        <v>3.9416317810030468</v>
      </c>
      <c r="I121" s="127">
        <v>38.684670404318503</v>
      </c>
    </row>
    <row r="122" spans="2:12">
      <c r="B122" s="20" t="s">
        <v>584</v>
      </c>
      <c r="C122" s="117">
        <v>17304</v>
      </c>
      <c r="D122" s="330">
        <v>1600.091794074589</v>
      </c>
      <c r="E122" s="330">
        <v>15703.90820592542</v>
      </c>
      <c r="F122" s="122">
        <f>D122/C122</f>
        <v>9.2469474923404349E-2</v>
      </c>
      <c r="G122" s="122">
        <f>E122/C122</f>
        <v>0.90753052507659615</v>
      </c>
      <c r="H122" s="127">
        <v>4.9477173595379984</v>
      </c>
      <c r="I122" s="127">
        <v>48.55877614695553</v>
      </c>
    </row>
    <row r="123" spans="2:12">
      <c r="B123" s="20" t="s">
        <v>585</v>
      </c>
      <c r="C123" s="117">
        <v>4824</v>
      </c>
      <c r="D123" s="330">
        <v>446.07274703050251</v>
      </c>
      <c r="E123" s="330">
        <v>4377.9272529694981</v>
      </c>
      <c r="F123" s="122">
        <f>D123/C123</f>
        <v>9.2469474923404335E-2</v>
      </c>
      <c r="G123" s="122">
        <f>E123/C123</f>
        <v>0.90753052507659582</v>
      </c>
      <c r="H123" s="127">
        <v>8.0664149553436264</v>
      </c>
      <c r="I123" s="127">
        <v>79.166858100714251</v>
      </c>
    </row>
    <row r="124" spans="2:12">
      <c r="B124" s="22" t="s">
        <v>10</v>
      </c>
      <c r="C124" s="118">
        <v>4387</v>
      </c>
      <c r="D124" s="331">
        <v>1869</v>
      </c>
      <c r="E124" s="331">
        <v>2518</v>
      </c>
      <c r="F124" s="125">
        <f t="shared" si="13"/>
        <v>0.42603145657624802</v>
      </c>
      <c r="G124" s="125">
        <f t="shared" si="14"/>
        <v>0.57396854342375203</v>
      </c>
      <c r="H124" s="128">
        <v>4.3334106190586601</v>
      </c>
      <c r="I124" s="128">
        <v>5.8381636911662422</v>
      </c>
    </row>
    <row r="125" spans="2:12">
      <c r="B125" s="20" t="s">
        <v>586</v>
      </c>
      <c r="C125" s="117">
        <v>28349</v>
      </c>
      <c r="D125" s="330">
        <v>10124.10116181332</v>
      </c>
      <c r="E125" s="330">
        <v>18224.898838186691</v>
      </c>
      <c r="F125" s="126">
        <f t="shared" si="13"/>
        <v>0.35712374904981903</v>
      </c>
      <c r="G125" s="126">
        <f t="shared" si="14"/>
        <v>0.6428762509501813</v>
      </c>
      <c r="H125" s="127">
        <v>2.4196604196394254</v>
      </c>
      <c r="I125" s="127">
        <v>4.355751257901745</v>
      </c>
    </row>
    <row r="126" spans="2:12">
      <c r="B126" s="20" t="s">
        <v>587</v>
      </c>
      <c r="C126" s="117">
        <v>6968</v>
      </c>
      <c r="D126" s="330">
        <v>6794.3847455945452</v>
      </c>
      <c r="E126" s="330">
        <v>173.61525440543571</v>
      </c>
      <c r="F126" s="126">
        <f t="shared" ref="F126:F131" si="15">D126/C126</f>
        <v>0.97508391871333888</v>
      </c>
      <c r="G126" s="126">
        <f t="shared" ref="G126:G131" si="16">E126/C126</f>
        <v>2.4916081286658398E-2</v>
      </c>
      <c r="H126" s="127">
        <v>4.7767046861603939</v>
      </c>
      <c r="I126" s="127">
        <v>0.1220579685077585</v>
      </c>
    </row>
    <row r="127" spans="2:12">
      <c r="B127" s="20" t="s">
        <v>588</v>
      </c>
      <c r="C127" s="117">
        <v>7388</v>
      </c>
      <c r="D127" s="330">
        <v>2638.4302579800619</v>
      </c>
      <c r="E127" s="330">
        <v>4749.5697420199403</v>
      </c>
      <c r="F127" s="126">
        <f t="shared" si="15"/>
        <v>0.35712374904981886</v>
      </c>
      <c r="G127" s="126">
        <f t="shared" si="16"/>
        <v>0.64287625095018142</v>
      </c>
      <c r="H127" s="127">
        <v>2.8077367861871472</v>
      </c>
      <c r="I127" s="127">
        <v>5.0543468575289356</v>
      </c>
    </row>
    <row r="128" spans="2:12">
      <c r="B128" s="20" t="s">
        <v>589</v>
      </c>
      <c r="C128" s="117">
        <v>26364</v>
      </c>
      <c r="D128" s="330">
        <v>5725.7467700296702</v>
      </c>
      <c r="E128" s="330">
        <v>20638.25322997036</v>
      </c>
      <c r="F128" s="126">
        <f t="shared" si="15"/>
        <v>0.21718050258040017</v>
      </c>
      <c r="G128" s="126">
        <f t="shared" si="16"/>
        <v>0.782819497419601</v>
      </c>
      <c r="H128" s="127">
        <v>2.7445819049130815</v>
      </c>
      <c r="I128" s="127">
        <v>9.8927491275862156</v>
      </c>
    </row>
    <row r="129" spans="2:9">
      <c r="B129" s="20" t="s">
        <v>590</v>
      </c>
      <c r="C129" s="117">
        <v>5446</v>
      </c>
      <c r="D129" s="330">
        <v>1683.963310805791</v>
      </c>
      <c r="E129" s="330">
        <v>3762.0366891942122</v>
      </c>
      <c r="F129" s="126">
        <f t="shared" si="15"/>
        <v>0.30921103760664542</v>
      </c>
      <c r="G129" s="126">
        <f t="shared" si="16"/>
        <v>0.69078896239335519</v>
      </c>
      <c r="H129" s="127">
        <v>4.4384905398149463</v>
      </c>
      <c r="I129" s="127">
        <v>9.9157530026204839</v>
      </c>
    </row>
    <row r="130" spans="2:9">
      <c r="B130" s="20" t="s">
        <v>591</v>
      </c>
      <c r="C130" s="117">
        <v>9036</v>
      </c>
      <c r="D130" s="330">
        <v>8810.8582894937299</v>
      </c>
      <c r="E130" s="330">
        <v>225.1417105062452</v>
      </c>
      <c r="F130" s="126">
        <f t="shared" si="15"/>
        <v>0.97508391871333888</v>
      </c>
      <c r="G130" s="126">
        <f t="shared" si="16"/>
        <v>2.4916081286658388E-2</v>
      </c>
      <c r="H130" s="127">
        <v>6.4543683902232294</v>
      </c>
      <c r="I130" s="127">
        <v>0.16492689949911743</v>
      </c>
    </row>
    <row r="131" spans="2:9">
      <c r="B131" s="20" t="s">
        <v>592</v>
      </c>
      <c r="C131" s="117">
        <v>14458</v>
      </c>
      <c r="D131" s="330">
        <v>5979.5154642828866</v>
      </c>
      <c r="E131" s="330">
        <v>8478.4845357171143</v>
      </c>
      <c r="F131" s="126">
        <f t="shared" si="15"/>
        <v>0.41357832786574122</v>
      </c>
      <c r="G131" s="126">
        <f t="shared" si="16"/>
        <v>0.58642167213425889</v>
      </c>
      <c r="H131" s="127">
        <v>2.6170848495635881</v>
      </c>
      <c r="I131" s="127">
        <v>3.7108213129013978</v>
      </c>
    </row>
    <row r="132" spans="2:9">
      <c r="B132" s="22" t="s">
        <v>593</v>
      </c>
      <c r="C132" s="118">
        <v>59400</v>
      </c>
      <c r="D132" s="331">
        <v>27197.067114766051</v>
      </c>
      <c r="E132" s="331">
        <v>32202.932885233949</v>
      </c>
      <c r="F132" s="125">
        <f t="shared" si="13"/>
        <v>0.45786308274016918</v>
      </c>
      <c r="G132" s="125">
        <f t="shared" si="14"/>
        <v>0.54213691725983082</v>
      </c>
      <c r="H132" s="128">
        <v>30.919812545209243</v>
      </c>
      <c r="I132" s="128">
        <v>36.610883225595664</v>
      </c>
    </row>
    <row r="133" spans="2:9">
      <c r="B133" s="22" t="s">
        <v>594</v>
      </c>
      <c r="C133" s="118">
        <v>10366</v>
      </c>
      <c r="D133" s="331">
        <v>2526.932885233944</v>
      </c>
      <c r="E133" s="331">
        <v>7839.0671147660514</v>
      </c>
      <c r="F133" s="125">
        <f>D133/C133</f>
        <v>0.24377126039301023</v>
      </c>
      <c r="G133" s="125">
        <f>E133/C133</f>
        <v>0.75622873960698933</v>
      </c>
      <c r="H133" s="128">
        <v>9.2936111998306146</v>
      </c>
      <c r="I133" s="128">
        <v>28.830699208407694</v>
      </c>
    </row>
    <row r="134" spans="2:9">
      <c r="B134" s="20" t="s">
        <v>595</v>
      </c>
      <c r="C134" s="117">
        <v>17048</v>
      </c>
      <c r="D134" s="330">
        <v>3967.933075195137</v>
      </c>
      <c r="E134" s="330">
        <v>13080.066924804831</v>
      </c>
      <c r="F134" s="126">
        <f t="shared" si="13"/>
        <v>0.23275064964776732</v>
      </c>
      <c r="G134" s="126">
        <f t="shared" si="14"/>
        <v>0.76724935035223085</v>
      </c>
      <c r="H134" s="127">
        <v>6.3093227463748391</v>
      </c>
      <c r="I134" s="127">
        <v>20.798325528390571</v>
      </c>
    </row>
    <row r="135" spans="2:9">
      <c r="B135" s="20" t="s">
        <v>596</v>
      </c>
      <c r="C135" s="117">
        <v>13948</v>
      </c>
      <c r="D135" s="330">
        <v>9238.0669248048634</v>
      </c>
      <c r="E135" s="330">
        <v>4709.9330751951684</v>
      </c>
      <c r="F135" s="126">
        <f>D135/C135</f>
        <v>0.66232197625500888</v>
      </c>
      <c r="G135" s="126">
        <f>E135/C135</f>
        <v>0.33767802374499345</v>
      </c>
      <c r="H135" s="127">
        <v>8.2630294497360133</v>
      </c>
      <c r="I135" s="127">
        <v>4.2128202819276996</v>
      </c>
    </row>
    <row r="136" spans="2:9">
      <c r="B136" s="22" t="s">
        <v>11</v>
      </c>
      <c r="C136" s="118">
        <v>25134</v>
      </c>
      <c r="D136" s="331">
        <v>10709</v>
      </c>
      <c r="E136" s="331">
        <v>14425</v>
      </c>
      <c r="F136" s="125">
        <f t="shared" si="13"/>
        <v>0.42607623139969764</v>
      </c>
      <c r="G136" s="125">
        <f t="shared" si="14"/>
        <v>0.57392376860030236</v>
      </c>
      <c r="H136" s="128">
        <v>2.8911987041036715</v>
      </c>
      <c r="I136" s="128">
        <v>3.8944384449244058</v>
      </c>
    </row>
    <row r="137" spans="2:9">
      <c r="B137" s="20" t="s">
        <v>12</v>
      </c>
      <c r="C137" s="117">
        <v>28858</v>
      </c>
      <c r="D137" s="330">
        <v>12295</v>
      </c>
      <c r="E137" s="330">
        <v>16563</v>
      </c>
      <c r="F137" s="126">
        <f t="shared" si="13"/>
        <v>0.42605170143461085</v>
      </c>
      <c r="G137" s="126">
        <f t="shared" si="14"/>
        <v>0.57394829856538909</v>
      </c>
      <c r="H137" s="127">
        <v>14.897612989216043</v>
      </c>
      <c r="I137" s="127">
        <v>20.069065794256634</v>
      </c>
    </row>
    <row r="138" spans="2:9">
      <c r="B138" s="22" t="s">
        <v>13</v>
      </c>
      <c r="C138" s="118">
        <v>3906</v>
      </c>
      <c r="D138" s="331">
        <v>1664</v>
      </c>
      <c r="E138" s="331">
        <v>2242</v>
      </c>
      <c r="F138" s="125">
        <f t="shared" si="13"/>
        <v>0.42601126472094214</v>
      </c>
      <c r="G138" s="125">
        <f t="shared" si="14"/>
        <v>0.5739887352790578</v>
      </c>
      <c r="H138" s="128">
        <v>8.32</v>
      </c>
      <c r="I138" s="128">
        <v>11.21</v>
      </c>
    </row>
    <row r="139" spans="2:9">
      <c r="B139" s="20" t="s">
        <v>14</v>
      </c>
      <c r="C139" s="117">
        <v>20524</v>
      </c>
      <c r="D139" s="330">
        <v>8744</v>
      </c>
      <c r="E139" s="330">
        <v>11780</v>
      </c>
      <c r="F139" s="126">
        <f t="shared" si="13"/>
        <v>0.42603780939388036</v>
      </c>
      <c r="G139" s="126">
        <f t="shared" si="14"/>
        <v>0.57396219060611964</v>
      </c>
      <c r="H139" s="127">
        <v>8.5215865900009735</v>
      </c>
      <c r="I139" s="127">
        <v>11.480362537764348</v>
      </c>
    </row>
    <row r="140" spans="2:9">
      <c r="B140" s="22" t="s">
        <v>15</v>
      </c>
      <c r="C140" s="118">
        <v>9448</v>
      </c>
      <c r="D140" s="331">
        <v>4025</v>
      </c>
      <c r="E140" s="331">
        <v>5423</v>
      </c>
      <c r="F140" s="125">
        <f t="shared" si="13"/>
        <v>0.4260160880609653</v>
      </c>
      <c r="G140" s="125">
        <f t="shared" si="14"/>
        <v>0.57398391193903475</v>
      </c>
      <c r="H140" s="128">
        <v>9.891865323175228</v>
      </c>
      <c r="I140" s="128">
        <v>13.327598918653232</v>
      </c>
    </row>
    <row r="141" spans="2:9">
      <c r="B141" s="20" t="s">
        <v>16</v>
      </c>
      <c r="C141" s="117">
        <v>37031</v>
      </c>
      <c r="D141" s="330">
        <v>15777</v>
      </c>
      <c r="E141" s="330">
        <v>21254</v>
      </c>
      <c r="F141" s="126">
        <f t="shared" si="13"/>
        <v>0.42604844589668117</v>
      </c>
      <c r="G141" s="126">
        <f t="shared" si="14"/>
        <v>0.57395155410331888</v>
      </c>
      <c r="H141" s="127">
        <v>10.852995803810966</v>
      </c>
      <c r="I141" s="127">
        <v>14.620623237256657</v>
      </c>
    </row>
    <row r="142" spans="2:9">
      <c r="B142" s="22" t="s">
        <v>17</v>
      </c>
      <c r="C142" s="118">
        <v>25627</v>
      </c>
      <c r="D142" s="331">
        <v>19200</v>
      </c>
      <c r="E142" s="331">
        <v>6427</v>
      </c>
      <c r="F142" s="125">
        <f t="shared" si="13"/>
        <v>0.74920981777032036</v>
      </c>
      <c r="G142" s="125">
        <f t="shared" si="14"/>
        <v>0.25079018222967964</v>
      </c>
      <c r="H142" s="128">
        <v>5.6734235565273927</v>
      </c>
      <c r="I142" s="128">
        <v>1.8991194373854974</v>
      </c>
    </row>
    <row r="143" spans="2:9">
      <c r="B143" s="20" t="s">
        <v>18</v>
      </c>
      <c r="C143" s="117">
        <v>212401</v>
      </c>
      <c r="D143" s="330">
        <v>30625</v>
      </c>
      <c r="E143" s="330">
        <v>181776</v>
      </c>
      <c r="F143" s="126">
        <f t="shared" si="13"/>
        <v>0.144184820222127</v>
      </c>
      <c r="G143" s="126">
        <f t="shared" si="14"/>
        <v>0.85581517977787303</v>
      </c>
      <c r="H143" s="127">
        <v>5.3592678146437072</v>
      </c>
      <c r="I143" s="127">
        <v>31.810163796724069</v>
      </c>
    </row>
    <row r="144" spans="2:9">
      <c r="B144" s="22" t="s">
        <v>19</v>
      </c>
      <c r="C144" s="118">
        <v>802354</v>
      </c>
      <c r="D144" s="331">
        <v>262639</v>
      </c>
      <c r="E144" s="331">
        <v>539715</v>
      </c>
      <c r="F144" s="125">
        <f t="shared" si="13"/>
        <v>0.32733556509969414</v>
      </c>
      <c r="G144" s="125">
        <f t="shared" si="14"/>
        <v>0.67266443490030581</v>
      </c>
      <c r="H144" s="128">
        <v>26.924906453431749</v>
      </c>
      <c r="I144" s="128">
        <v>55.32984776257112</v>
      </c>
    </row>
    <row r="145" spans="2:9">
      <c r="B145" s="20" t="s">
        <v>20</v>
      </c>
      <c r="C145" s="117">
        <v>88040</v>
      </c>
      <c r="D145" s="330">
        <v>38708</v>
      </c>
      <c r="E145" s="330">
        <v>49332</v>
      </c>
      <c r="F145" s="126">
        <f t="shared" si="13"/>
        <v>0.43966378918673332</v>
      </c>
      <c r="G145" s="126">
        <f t="shared" si="14"/>
        <v>0.56033621081326668</v>
      </c>
      <c r="H145" s="127">
        <v>9.6806302363386294</v>
      </c>
      <c r="I145" s="127">
        <v>12.337626609978745</v>
      </c>
    </row>
    <row r="146" spans="2:9">
      <c r="B146" s="22" t="s">
        <v>21</v>
      </c>
      <c r="C146" s="118">
        <v>110360</v>
      </c>
      <c r="D146" s="331">
        <v>36125</v>
      </c>
      <c r="E146" s="331">
        <v>74235</v>
      </c>
      <c r="F146" s="125">
        <f t="shared" si="13"/>
        <v>0.32733780355201159</v>
      </c>
      <c r="G146" s="125">
        <f t="shared" si="14"/>
        <v>0.67266219644798841</v>
      </c>
      <c r="H146" s="128">
        <v>15.75996858912835</v>
      </c>
      <c r="I146" s="128">
        <v>32.385917459209494</v>
      </c>
    </row>
    <row r="147" spans="2:9">
      <c r="B147" s="20" t="s">
        <v>22</v>
      </c>
      <c r="C147" s="117">
        <v>49149</v>
      </c>
      <c r="D147" s="330">
        <v>21609</v>
      </c>
      <c r="E147" s="330">
        <v>27540</v>
      </c>
      <c r="F147" s="126">
        <f t="shared" si="13"/>
        <v>0.43966306537264238</v>
      </c>
      <c r="G147" s="126">
        <f t="shared" si="14"/>
        <v>0.56033693462735767</v>
      </c>
      <c r="H147" s="127">
        <v>7.95472114853672</v>
      </c>
      <c r="I147" s="127">
        <v>10.138045278851463</v>
      </c>
    </row>
    <row r="148" spans="2:9">
      <c r="B148" s="22" t="s">
        <v>23</v>
      </c>
      <c r="C148" s="118">
        <v>40636</v>
      </c>
      <c r="D148" s="331">
        <v>24804</v>
      </c>
      <c r="E148" s="331">
        <v>15832</v>
      </c>
      <c r="F148" s="125">
        <f t="shared" si="13"/>
        <v>0.61039472389014671</v>
      </c>
      <c r="G148" s="125">
        <f t="shared" si="14"/>
        <v>0.38960527610985335</v>
      </c>
      <c r="H148" s="128">
        <v>7.4578309630475967</v>
      </c>
      <c r="I148" s="128">
        <v>4.7602152800745667</v>
      </c>
    </row>
    <row r="149" spans="2:9">
      <c r="B149" s="20" t="s">
        <v>24</v>
      </c>
      <c r="C149" s="117">
        <v>18972</v>
      </c>
      <c r="D149" s="330">
        <v>11580</v>
      </c>
      <c r="E149" s="330">
        <v>7392</v>
      </c>
      <c r="F149" s="126">
        <f t="shared" si="13"/>
        <v>0.61037318153067677</v>
      </c>
      <c r="G149" s="126">
        <f t="shared" si="14"/>
        <v>0.38962681846932323</v>
      </c>
      <c r="H149" s="127">
        <v>3.9405179160853443</v>
      </c>
      <c r="I149" s="127">
        <v>2.5153979650866032</v>
      </c>
    </row>
    <row r="150" spans="2:9">
      <c r="B150" s="22" t="s">
        <v>25</v>
      </c>
      <c r="C150" s="118">
        <v>147634</v>
      </c>
      <c r="D150" s="331">
        <v>90114</v>
      </c>
      <c r="E150" s="331">
        <v>57520</v>
      </c>
      <c r="F150" s="125">
        <f t="shared" si="13"/>
        <v>0.61038785103702398</v>
      </c>
      <c r="G150" s="125">
        <f t="shared" si="14"/>
        <v>0.38961214896297602</v>
      </c>
      <c r="H150" s="128">
        <v>42.174381054897744</v>
      </c>
      <c r="I150" s="128">
        <v>26.920016848411102</v>
      </c>
    </row>
    <row r="151" spans="2:9">
      <c r="B151" s="20" t="s">
        <v>597</v>
      </c>
      <c r="C151" s="117">
        <v>470776</v>
      </c>
      <c r="D151" s="330">
        <v>72252.719944701676</v>
      </c>
      <c r="E151" s="330">
        <v>398523.2800552983</v>
      </c>
      <c r="F151" s="126">
        <f>D151/C151</f>
        <v>0.15347579304106768</v>
      </c>
      <c r="G151" s="126">
        <f>E151/C151</f>
        <v>0.84652420695893227</v>
      </c>
      <c r="H151" s="127">
        <v>19.931234985159495</v>
      </c>
      <c r="I151" s="127">
        <v>109.93442389321629</v>
      </c>
    </row>
    <row r="152" spans="2:9">
      <c r="B152" s="20" t="s">
        <v>598</v>
      </c>
      <c r="C152" s="117">
        <v>278145</v>
      </c>
      <c r="D152" s="330">
        <v>211929.2800552983</v>
      </c>
      <c r="E152" s="330">
        <v>66215.719944701646</v>
      </c>
      <c r="F152" s="126">
        <f t="shared" si="13"/>
        <v>0.76193812599650645</v>
      </c>
      <c r="G152" s="126">
        <f t="shared" si="14"/>
        <v>0.2380618740034933</v>
      </c>
      <c r="H152" s="127">
        <v>39.891819458513403</v>
      </c>
      <c r="I152" s="127">
        <v>12.463900904397406</v>
      </c>
    </row>
    <row r="153" spans="2:9">
      <c r="B153" s="119"/>
      <c r="C153" s="120">
        <f>SUM(C120:C152)</f>
        <v>3102209</v>
      </c>
      <c r="D153" s="120">
        <f t="shared" ref="D153:E153" si="17">SUM(D120:D152)</f>
        <v>1008370</v>
      </c>
      <c r="E153" s="120">
        <f t="shared" si="17"/>
        <v>2093839</v>
      </c>
      <c r="F153" s="131"/>
      <c r="G153" s="131"/>
      <c r="H153" s="121"/>
      <c r="I153" s="121"/>
    </row>
    <row r="156" spans="2:9">
      <c r="B156" s="67"/>
      <c r="C156" s="115" t="s">
        <v>26</v>
      </c>
      <c r="D156" s="525" t="s">
        <v>244</v>
      </c>
      <c r="E156" s="526"/>
      <c r="F156" s="525" t="s">
        <v>225</v>
      </c>
      <c r="G156" s="526"/>
      <c r="H156" s="525" t="s">
        <v>226</v>
      </c>
      <c r="I156" s="526"/>
    </row>
    <row r="157" spans="2:9" ht="26" customHeight="1">
      <c r="B157" s="71" t="s">
        <v>5</v>
      </c>
      <c r="C157" s="68" t="s">
        <v>221</v>
      </c>
      <c r="D157" s="70" t="s">
        <v>164</v>
      </c>
      <c r="E157" s="116" t="s">
        <v>168</v>
      </c>
      <c r="F157" s="70" t="s">
        <v>245</v>
      </c>
      <c r="G157" s="116" t="s">
        <v>246</v>
      </c>
      <c r="H157" s="70" t="s">
        <v>247</v>
      </c>
      <c r="I157" s="116" t="s">
        <v>248</v>
      </c>
    </row>
    <row r="158" spans="2:9">
      <c r="B158" s="20" t="s">
        <v>582</v>
      </c>
      <c r="C158" s="117">
        <v>399086</v>
      </c>
      <c r="D158" s="330">
        <v>42128.488393679159</v>
      </c>
      <c r="E158" s="330">
        <v>356957.51160632091</v>
      </c>
      <c r="F158" s="122">
        <f t="shared" ref="F158:F190" si="18">D158/C158</f>
        <v>0.10556243113935132</v>
      </c>
      <c r="G158" s="122">
        <f t="shared" ref="G158:G190" si="19">E158/C158</f>
        <v>0.89443756886064885</v>
      </c>
      <c r="H158" s="127" cm="1">
        <f t="array" ref="H158:H190">D158:D190/TRANSPOSE(VBP_21)</f>
        <v>6.6848333719996758</v>
      </c>
      <c r="I158" s="127" cm="1">
        <f t="array" ref="I158:I190">E158:E190/TRANSPOSE(VBP_21)</f>
        <v>56.641042129817187</v>
      </c>
    </row>
    <row r="159" spans="2:9">
      <c r="B159" s="20" t="s">
        <v>583</v>
      </c>
      <c r="C159" s="117">
        <v>108842</v>
      </c>
      <c r="D159" s="330">
        <v>11489.62613006928</v>
      </c>
      <c r="E159" s="330">
        <v>97352.373869930729</v>
      </c>
      <c r="F159" s="122">
        <f>D159/C159</f>
        <v>0.10556243113935136</v>
      </c>
      <c r="G159" s="122">
        <f>E159/C159</f>
        <v>0.89443756886064874</v>
      </c>
      <c r="H159" s="127">
        <v>4.4997360891631866</v>
      </c>
      <c r="I159" s="127">
        <v>38.126566096158349</v>
      </c>
    </row>
    <row r="160" spans="2:9">
      <c r="B160" s="20" t="s">
        <v>584</v>
      </c>
      <c r="C160" s="117">
        <v>17304</v>
      </c>
      <c r="D160" s="330">
        <v>1826.652308435335</v>
      </c>
      <c r="E160" s="330">
        <v>15477.34769156467</v>
      </c>
      <c r="F160" s="122">
        <f>D160/C160</f>
        <v>0.10556243113935131</v>
      </c>
      <c r="G160" s="122">
        <f>E160/C160</f>
        <v>0.89443756886064896</v>
      </c>
      <c r="H160" s="127">
        <v>5.6482755362873682</v>
      </c>
      <c r="I160" s="127">
        <v>47.858217970206148</v>
      </c>
    </row>
    <row r="161" spans="2:9">
      <c r="B161" s="20" t="s">
        <v>585</v>
      </c>
      <c r="C161" s="117">
        <v>4824</v>
      </c>
      <c r="D161" s="330">
        <v>509.23316781623078</v>
      </c>
      <c r="E161" s="330">
        <v>4314.7668321837691</v>
      </c>
      <c r="F161" s="122">
        <f>D161/C161</f>
        <v>0.10556243113935132</v>
      </c>
      <c r="G161" s="122">
        <f>E161/C161</f>
        <v>0.89443756886064862</v>
      </c>
      <c r="H161" s="127">
        <v>9.2085563800403403</v>
      </c>
      <c r="I161" s="127">
        <v>78.024716676017533</v>
      </c>
    </row>
    <row r="162" spans="2:9">
      <c r="B162" s="22" t="s">
        <v>10</v>
      </c>
      <c r="C162" s="118">
        <v>4387</v>
      </c>
      <c r="D162" s="331">
        <v>3035</v>
      </c>
      <c r="E162" s="331">
        <v>1352</v>
      </c>
      <c r="F162" s="125">
        <f t="shared" si="18"/>
        <v>0.69181673125142462</v>
      </c>
      <c r="G162" s="125">
        <f t="shared" si="19"/>
        <v>0.30818326874857532</v>
      </c>
      <c r="H162" s="128">
        <v>7.0368652909807565</v>
      </c>
      <c r="I162" s="128">
        <v>3.1347090192441458</v>
      </c>
    </row>
    <row r="163" spans="2:9">
      <c r="B163" s="20" t="s">
        <v>586</v>
      </c>
      <c r="C163" s="117">
        <v>28349</v>
      </c>
      <c r="D163" s="330">
        <v>19614.26031282841</v>
      </c>
      <c r="E163" s="330">
        <v>8734.7396871715864</v>
      </c>
      <c r="F163" s="126">
        <f t="shared" si="18"/>
        <v>0.69188543909232814</v>
      </c>
      <c r="G163" s="126">
        <f t="shared" si="19"/>
        <v>0.30811456090767175</v>
      </c>
      <c r="H163" s="127">
        <v>4.6878086835468578</v>
      </c>
      <c r="I163" s="127">
        <v>2.0876029939943082</v>
      </c>
    </row>
    <row r="164" spans="2:9">
      <c r="B164" s="20" t="s">
        <v>587</v>
      </c>
      <c r="C164" s="117">
        <v>6968</v>
      </c>
      <c r="D164" s="330">
        <v>4821.0577395953433</v>
      </c>
      <c r="E164" s="330">
        <v>2146.9422604046572</v>
      </c>
      <c r="F164" s="126">
        <f t="shared" ref="F164:F169" si="20">D164/C164</f>
        <v>0.69188543909232825</v>
      </c>
      <c r="G164" s="126">
        <f t="shared" ref="G164:G169" si="21">E164/C164</f>
        <v>0.30811456090767181</v>
      </c>
      <c r="H164" s="127">
        <v>3.3893825503341839</v>
      </c>
      <c r="I164" s="127">
        <v>1.5093801043339827</v>
      </c>
    </row>
    <row r="165" spans="2:9">
      <c r="B165" s="20" t="s">
        <v>588</v>
      </c>
      <c r="C165" s="117">
        <v>7388</v>
      </c>
      <c r="D165" s="330">
        <v>5111.6496240141214</v>
      </c>
      <c r="E165" s="330">
        <v>2276.3503759858791</v>
      </c>
      <c r="F165" s="126">
        <f t="shared" si="20"/>
        <v>0.69188543909232825</v>
      </c>
      <c r="G165" s="126">
        <f t="shared" si="21"/>
        <v>0.30811456090767175</v>
      </c>
      <c r="H165" s="127">
        <v>5.4396611940131123</v>
      </c>
      <c r="I165" s="127">
        <v>2.4224224497029683</v>
      </c>
    </row>
    <row r="166" spans="2:9">
      <c r="B166" s="20" t="s">
        <v>589</v>
      </c>
      <c r="C166" s="117">
        <v>26364</v>
      </c>
      <c r="D166" s="330">
        <v>18240.867716230139</v>
      </c>
      <c r="E166" s="330">
        <v>8123.1322837698581</v>
      </c>
      <c r="F166" s="126">
        <f t="shared" si="20"/>
        <v>0.69188543909232814</v>
      </c>
      <c r="G166" s="126">
        <f t="shared" si="21"/>
        <v>0.30811456090767175</v>
      </c>
      <c r="H166" s="127">
        <v>8.7435853303758702</v>
      </c>
      <c r="I166" s="127">
        <v>3.8937457021234105</v>
      </c>
    </row>
    <row r="167" spans="2:9">
      <c r="B167" s="20" t="s">
        <v>590</v>
      </c>
      <c r="C167" s="117">
        <v>5446</v>
      </c>
      <c r="D167" s="330">
        <v>3768.0081012968199</v>
      </c>
      <c r="E167" s="330">
        <v>1677.9918987031799</v>
      </c>
      <c r="F167" s="126">
        <f t="shared" si="20"/>
        <v>0.69188543909232825</v>
      </c>
      <c r="G167" s="126">
        <f t="shared" si="21"/>
        <v>0.3081145609076717</v>
      </c>
      <c r="H167" s="127">
        <v>9.9314920961961484</v>
      </c>
      <c r="I167" s="127">
        <v>4.4227514462392712</v>
      </c>
    </row>
    <row r="168" spans="2:9">
      <c r="B168" s="20" t="s">
        <v>591</v>
      </c>
      <c r="C168" s="117">
        <v>9036</v>
      </c>
      <c r="D168" s="330">
        <v>6251.876827638278</v>
      </c>
      <c r="E168" s="330">
        <v>2784.123172361722</v>
      </c>
      <c r="F168" s="126">
        <f t="shared" si="20"/>
        <v>0.69188543909232825</v>
      </c>
      <c r="G168" s="126">
        <f t="shared" si="21"/>
        <v>0.30811456090767175</v>
      </c>
      <c r="H168" s="127">
        <v>4.5797940280113387</v>
      </c>
      <c r="I168" s="127">
        <v>2.0395012617110266</v>
      </c>
    </row>
    <row r="169" spans="2:9">
      <c r="B169" s="20" t="s">
        <v>592</v>
      </c>
      <c r="C169" s="117">
        <v>14458</v>
      </c>
      <c r="D169" s="330">
        <v>10003.279678396881</v>
      </c>
      <c r="E169" s="330">
        <v>4454.7203216031176</v>
      </c>
      <c r="F169" s="126">
        <f t="shared" si="20"/>
        <v>0.69188543909232814</v>
      </c>
      <c r="G169" s="126">
        <f t="shared" si="21"/>
        <v>0.3081145609076717</v>
      </c>
      <c r="H169" s="127">
        <v>4.3781861337521359</v>
      </c>
      <c r="I169" s="127">
        <v>1.9497200287128489</v>
      </c>
    </row>
    <row r="170" spans="2:9">
      <c r="B170" s="22" t="s">
        <v>593</v>
      </c>
      <c r="C170" s="118">
        <v>59400</v>
      </c>
      <c r="D170" s="331">
        <v>41097.927357165383</v>
      </c>
      <c r="E170" s="331">
        <v>18302.072642834621</v>
      </c>
      <c r="F170" s="125">
        <f t="shared" si="18"/>
        <v>0.69188429894217818</v>
      </c>
      <c r="G170" s="125">
        <f t="shared" si="19"/>
        <v>0.30811570105782188</v>
      </c>
      <c r="H170" s="128">
        <v>46.723428100460872</v>
      </c>
      <c r="I170" s="128">
        <v>20.807267670344043</v>
      </c>
    </row>
    <row r="171" spans="2:9">
      <c r="B171" s="22" t="s">
        <v>594</v>
      </c>
      <c r="C171" s="118">
        <v>10366</v>
      </c>
      <c r="D171" s="331">
        <v>7172.0726428346188</v>
      </c>
      <c r="E171" s="331">
        <v>3193.9273571653812</v>
      </c>
      <c r="F171" s="125">
        <f>D171/C171</f>
        <v>0.69188429894217818</v>
      </c>
      <c r="G171" s="125">
        <f>E171/C171</f>
        <v>0.30811570105782182</v>
      </c>
      <c r="H171" s="128">
        <v>26.377611779457961</v>
      </c>
      <c r="I171" s="128">
        <v>11.746698628780365</v>
      </c>
    </row>
    <row r="172" spans="2:9">
      <c r="B172" s="20" t="s">
        <v>595</v>
      </c>
      <c r="C172" s="117">
        <v>17048</v>
      </c>
      <c r="D172" s="330">
        <v>11795.4383791457</v>
      </c>
      <c r="E172" s="330">
        <v>5252.5616208543042</v>
      </c>
      <c r="F172" s="126">
        <f t="shared" si="18"/>
        <v>0.6918957284810946</v>
      </c>
      <c r="G172" s="126">
        <f t="shared" si="19"/>
        <v>0.30810427151890568</v>
      </c>
      <c r="H172" s="127">
        <v>18.755666050478133</v>
      </c>
      <c r="I172" s="127">
        <v>8.3519822242873332</v>
      </c>
    </row>
    <row r="173" spans="2:9">
      <c r="B173" s="20" t="s">
        <v>596</v>
      </c>
      <c r="C173" s="117">
        <v>13948</v>
      </c>
      <c r="D173" s="330">
        <v>9650.5616208543033</v>
      </c>
      <c r="E173" s="330">
        <v>4297.4383791456958</v>
      </c>
      <c r="F173" s="126">
        <f>D173/C173</f>
        <v>0.69189572848109426</v>
      </c>
      <c r="G173" s="126">
        <f>E173/C173</f>
        <v>0.30810427151890563</v>
      </c>
      <c r="H173" s="127">
        <v>8.6319871385101106</v>
      </c>
      <c r="I173" s="127">
        <v>3.8438625931535739</v>
      </c>
    </row>
    <row r="174" spans="2:9">
      <c r="B174" s="22" t="s">
        <v>11</v>
      </c>
      <c r="C174" s="118">
        <v>25134</v>
      </c>
      <c r="D174" s="331">
        <v>17390</v>
      </c>
      <c r="E174" s="331">
        <v>7744</v>
      </c>
      <c r="F174" s="125">
        <f t="shared" si="18"/>
        <v>0.69189146176493987</v>
      </c>
      <c r="G174" s="125">
        <f t="shared" si="19"/>
        <v>0.30810853823506007</v>
      </c>
      <c r="H174" s="128">
        <v>4.6949244060475159</v>
      </c>
      <c r="I174" s="128">
        <v>2.0907127429805614</v>
      </c>
    </row>
    <row r="175" spans="2:9">
      <c r="B175" s="20" t="s">
        <v>12</v>
      </c>
      <c r="C175" s="117">
        <v>28858</v>
      </c>
      <c r="D175" s="330">
        <v>19966</v>
      </c>
      <c r="E175" s="330">
        <v>8892</v>
      </c>
      <c r="F175" s="126">
        <f t="shared" si="18"/>
        <v>0.69187053849885649</v>
      </c>
      <c r="G175" s="126">
        <f t="shared" si="19"/>
        <v>0.30812946150114351</v>
      </c>
      <c r="H175" s="127">
        <v>24.192414879437781</v>
      </c>
      <c r="I175" s="127">
        <v>10.774263904034896</v>
      </c>
    </row>
    <row r="176" spans="2:9">
      <c r="B176" s="22" t="s">
        <v>13</v>
      </c>
      <c r="C176" s="118">
        <v>3906</v>
      </c>
      <c r="D176" s="331">
        <v>2702</v>
      </c>
      <c r="E176" s="331">
        <v>1204</v>
      </c>
      <c r="F176" s="125">
        <f t="shared" si="18"/>
        <v>0.69175627240143367</v>
      </c>
      <c r="G176" s="125">
        <f t="shared" si="19"/>
        <v>0.30824372759856633</v>
      </c>
      <c r="H176" s="128">
        <v>13.51</v>
      </c>
      <c r="I176" s="128">
        <v>6.02</v>
      </c>
    </row>
    <row r="177" spans="2:9">
      <c r="B177" s="20" t="s">
        <v>14</v>
      </c>
      <c r="C177" s="117">
        <v>20524</v>
      </c>
      <c r="D177" s="330">
        <v>14200</v>
      </c>
      <c r="E177" s="330">
        <v>6324</v>
      </c>
      <c r="F177" s="126">
        <f t="shared" si="18"/>
        <v>0.69187292925355681</v>
      </c>
      <c r="G177" s="126">
        <f t="shared" si="19"/>
        <v>0.30812707074644319</v>
      </c>
      <c r="H177" s="127">
        <v>13.838807133807618</v>
      </c>
      <c r="I177" s="127">
        <v>6.1631419939577032</v>
      </c>
    </row>
    <row r="178" spans="2:9">
      <c r="B178" s="22" t="s">
        <v>15</v>
      </c>
      <c r="C178" s="118">
        <v>9448</v>
      </c>
      <c r="D178" s="331">
        <v>6537</v>
      </c>
      <c r="E178" s="331">
        <v>2911</v>
      </c>
      <c r="F178" s="125">
        <f t="shared" si="18"/>
        <v>0.69189246401354787</v>
      </c>
      <c r="G178" s="125">
        <f t="shared" si="19"/>
        <v>0.30810753598645219</v>
      </c>
      <c r="H178" s="128">
        <v>16.06537232735316</v>
      </c>
      <c r="I178" s="128">
        <v>7.154091914475301</v>
      </c>
    </row>
    <row r="179" spans="2:9">
      <c r="B179" s="20" t="s">
        <v>16</v>
      </c>
      <c r="C179" s="117">
        <v>37031</v>
      </c>
      <c r="D179" s="330">
        <v>25621</v>
      </c>
      <c r="E179" s="330">
        <v>11410</v>
      </c>
      <c r="F179" s="126">
        <f t="shared" si="18"/>
        <v>0.6918797764035538</v>
      </c>
      <c r="G179" s="126">
        <f t="shared" si="19"/>
        <v>0.3081202235964462</v>
      </c>
      <c r="H179" s="127">
        <v>17.624681846323178</v>
      </c>
      <c r="I179" s="127">
        <v>7.8489371947444466</v>
      </c>
    </row>
    <row r="180" spans="2:9">
      <c r="B180" s="22" t="s">
        <v>17</v>
      </c>
      <c r="C180" s="118">
        <v>25627</v>
      </c>
      <c r="D180" s="331">
        <v>21862</v>
      </c>
      <c r="E180" s="331">
        <v>3765</v>
      </c>
      <c r="F180" s="125">
        <f t="shared" si="18"/>
        <v>0.85308463729660122</v>
      </c>
      <c r="G180" s="125">
        <f t="shared" si="19"/>
        <v>0.14691536270339875</v>
      </c>
      <c r="H180" s="128">
        <v>6.4600200933750962</v>
      </c>
      <c r="I180" s="128">
        <v>1.1125229005377932</v>
      </c>
    </row>
    <row r="181" spans="2:9">
      <c r="B181" s="20" t="s">
        <v>18</v>
      </c>
      <c r="C181" s="117">
        <v>212401</v>
      </c>
      <c r="D181" s="330">
        <v>136542</v>
      </c>
      <c r="E181" s="330">
        <v>75859</v>
      </c>
      <c r="F181" s="126">
        <f t="shared" si="18"/>
        <v>0.64285008074349936</v>
      </c>
      <c r="G181" s="126">
        <f t="shared" si="19"/>
        <v>0.35714991925650069</v>
      </c>
      <c r="H181" s="127">
        <v>23.89437211255775</v>
      </c>
      <c r="I181" s="127">
        <v>13.275059498810025</v>
      </c>
    </row>
    <row r="182" spans="2:9">
      <c r="B182" s="22" t="s">
        <v>19</v>
      </c>
      <c r="C182" s="118">
        <v>802354</v>
      </c>
      <c r="D182" s="331">
        <v>590036</v>
      </c>
      <c r="E182" s="331">
        <v>212318</v>
      </c>
      <c r="F182" s="125">
        <f t="shared" si="18"/>
        <v>0.73538114099262919</v>
      </c>
      <c r="G182" s="125">
        <f t="shared" si="19"/>
        <v>0.26461885900737081</v>
      </c>
      <c r="H182" s="128">
        <v>60.488595007432465</v>
      </c>
      <c r="I182" s="128">
        <v>21.766159208570404</v>
      </c>
    </row>
    <row r="183" spans="2:9">
      <c r="B183" s="20" t="s">
        <v>20</v>
      </c>
      <c r="C183" s="117">
        <v>88040</v>
      </c>
      <c r="D183" s="330">
        <v>70628</v>
      </c>
      <c r="E183" s="330">
        <v>17412</v>
      </c>
      <c r="F183" s="126">
        <f t="shared" si="18"/>
        <v>0.80222626079054971</v>
      </c>
      <c r="G183" s="126">
        <f t="shared" si="19"/>
        <v>0.19777373920945024</v>
      </c>
      <c r="H183" s="127">
        <v>17.663623858947108</v>
      </c>
      <c r="I183" s="127">
        <v>4.3546329873702652</v>
      </c>
    </row>
    <row r="184" spans="2:9">
      <c r="B184" s="22" t="s">
        <v>21</v>
      </c>
      <c r="C184" s="118">
        <v>110360</v>
      </c>
      <c r="D184" s="331">
        <v>81157</v>
      </c>
      <c r="E184" s="331">
        <v>29203</v>
      </c>
      <c r="F184" s="125">
        <f t="shared" si="18"/>
        <v>0.73538419717288872</v>
      </c>
      <c r="G184" s="125">
        <f t="shared" si="19"/>
        <v>0.26461580282711128</v>
      </c>
      <c r="H184" s="128">
        <v>35.405723758834313</v>
      </c>
      <c r="I184" s="128">
        <v>12.740162289503536</v>
      </c>
    </row>
    <row r="185" spans="2:9">
      <c r="B185" s="20" t="s">
        <v>22</v>
      </c>
      <c r="C185" s="117">
        <v>49149</v>
      </c>
      <c r="D185" s="330">
        <v>39429</v>
      </c>
      <c r="E185" s="330">
        <v>9720</v>
      </c>
      <c r="F185" s="126">
        <f t="shared" si="18"/>
        <v>0.80223402307269731</v>
      </c>
      <c r="G185" s="126">
        <f t="shared" si="19"/>
        <v>0.19776597692730269</v>
      </c>
      <c r="H185" s="127">
        <v>14.514632799558255</v>
      </c>
      <c r="I185" s="127">
        <v>3.5781336278299283</v>
      </c>
    </row>
    <row r="186" spans="2:9">
      <c r="B186" s="22" t="s">
        <v>23</v>
      </c>
      <c r="C186" s="118">
        <v>40636</v>
      </c>
      <c r="D186" s="331">
        <v>35912</v>
      </c>
      <c r="E186" s="331">
        <v>4724</v>
      </c>
      <c r="F186" s="125">
        <f t="shared" si="18"/>
        <v>0.88374840043311353</v>
      </c>
      <c r="G186" s="125">
        <f t="shared" si="19"/>
        <v>0.11625159956688651</v>
      </c>
      <c r="H186" s="128">
        <v>10.797678823777025</v>
      </c>
      <c r="I186" s="128">
        <v>1.4203674193451399</v>
      </c>
    </row>
    <row r="187" spans="2:9">
      <c r="B187" s="20" t="s">
        <v>24</v>
      </c>
      <c r="C187" s="117">
        <v>18972</v>
      </c>
      <c r="D187" s="330">
        <v>16766</v>
      </c>
      <c r="E187" s="330">
        <v>2206</v>
      </c>
      <c r="F187" s="126">
        <f t="shared" si="18"/>
        <v>0.88372338182584864</v>
      </c>
      <c r="G187" s="126">
        <f t="shared" si="19"/>
        <v>0.11627661817415139</v>
      </c>
      <c r="H187" s="127">
        <v>5.7052438152924765</v>
      </c>
      <c r="I187" s="127">
        <v>0.75067206587947055</v>
      </c>
    </row>
    <row r="188" spans="2:9">
      <c r="B188" s="22" t="s">
        <v>25</v>
      </c>
      <c r="C188" s="118">
        <v>147634</v>
      </c>
      <c r="D188" s="331">
        <v>130471</v>
      </c>
      <c r="E188" s="331">
        <v>17163</v>
      </c>
      <c r="F188" s="125">
        <f t="shared" si="18"/>
        <v>0.88374629150466699</v>
      </c>
      <c r="G188" s="125">
        <f t="shared" si="19"/>
        <v>0.11625370849533305</v>
      </c>
      <c r="H188" s="128">
        <v>61.061917910797028</v>
      </c>
      <c r="I188" s="128">
        <v>8.0324799925118171</v>
      </c>
    </row>
    <row r="189" spans="2:9">
      <c r="B189" s="20" t="s">
        <v>597</v>
      </c>
      <c r="C189" s="117">
        <v>470776</v>
      </c>
      <c r="D189" s="330">
        <v>337608.17317977751</v>
      </c>
      <c r="E189" s="330">
        <v>133167.8268202226</v>
      </c>
      <c r="F189" s="126">
        <f>D189/C189</f>
        <v>0.71713123264520173</v>
      </c>
      <c r="G189" s="126">
        <f>E189/C189</f>
        <v>0.28286876735479849</v>
      </c>
      <c r="H189" s="127">
        <v>93.130720029730924</v>
      </c>
      <c r="I189" s="127">
        <v>36.734938848644902</v>
      </c>
    </row>
    <row r="190" spans="2:9">
      <c r="B190" s="20" t="s">
        <v>598</v>
      </c>
      <c r="C190" s="117">
        <v>278145</v>
      </c>
      <c r="D190" s="330">
        <v>216206.8268202226</v>
      </c>
      <c r="E190" s="330">
        <v>61938.173179777397</v>
      </c>
      <c r="F190" s="126">
        <f t="shared" si="18"/>
        <v>0.77731696352701862</v>
      </c>
      <c r="G190" s="126">
        <f t="shared" si="19"/>
        <v>0.22268303647298135</v>
      </c>
      <c r="H190" s="127">
        <v>40.696989575767539</v>
      </c>
      <c r="I190" s="127">
        <v>11.658730787143282</v>
      </c>
    </row>
    <row r="191" spans="2:9">
      <c r="B191" s="119"/>
      <c r="C191" s="120">
        <f>SUM(C158:C190)</f>
        <v>3102209</v>
      </c>
      <c r="D191" s="120">
        <f t="shared" ref="D191:E191" si="22">SUM(D158:D190)</f>
        <v>1959550.0000000002</v>
      </c>
      <c r="E191" s="120">
        <f t="shared" si="22"/>
        <v>1142659</v>
      </c>
      <c r="F191" s="131"/>
      <c r="G191" s="131"/>
      <c r="H191" s="121"/>
      <c r="I191" s="121"/>
    </row>
  </sheetData>
  <mergeCells count="14">
    <mergeCell ref="D80:F80"/>
    <mergeCell ref="H42:I42"/>
    <mergeCell ref="D156:E156"/>
    <mergeCell ref="B1:N1"/>
    <mergeCell ref="H156:I156"/>
    <mergeCell ref="D42:E42"/>
    <mergeCell ref="F42:G42"/>
    <mergeCell ref="H118:I118"/>
    <mergeCell ref="G80:I80"/>
    <mergeCell ref="F118:G118"/>
    <mergeCell ref="D118:E118"/>
    <mergeCell ref="F156:G156"/>
    <mergeCell ref="J80:L80"/>
    <mergeCell ref="G5:H5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">
    <tabColor rgb="FF717D7E"/>
  </sheetPr>
  <dimension ref="A1:GJ321"/>
  <sheetViews>
    <sheetView showGridLines="0" topLeftCell="A273" zoomScale="91" zoomScaleNormal="120" workbookViewId="0">
      <selection activeCell="N116" sqref="N116"/>
    </sheetView>
  </sheetViews>
  <sheetFormatPr baseColWidth="10" defaultRowHeight="14"/>
  <cols>
    <col min="1" max="1" width="9.33203125" style="5" customWidth="1"/>
    <col min="2" max="2" width="25.5" style="5" customWidth="1"/>
    <col min="3" max="6" width="21" style="5" bestFit="1" customWidth="1"/>
    <col min="7" max="7" width="11" style="5" bestFit="1" customWidth="1"/>
    <col min="8" max="14" width="12" style="5" bestFit="1" customWidth="1"/>
    <col min="15" max="18" width="11" style="5" bestFit="1" customWidth="1"/>
    <col min="19" max="19" width="12" style="5" bestFit="1" customWidth="1"/>
    <col min="20" max="22" width="11" style="5" bestFit="1" customWidth="1"/>
    <col min="23" max="24" width="12" style="5" bestFit="1" customWidth="1"/>
    <col min="25" max="25" width="11" style="5" bestFit="1" customWidth="1"/>
    <col min="26" max="26" width="12" style="5" bestFit="1" customWidth="1"/>
    <col min="27" max="27" width="11.6640625" style="5" customWidth="1"/>
    <col min="28" max="35" width="10.83203125" style="5" customWidth="1"/>
    <col min="36" max="36" width="11.5" style="5" customWidth="1"/>
    <col min="37" max="40" width="10.83203125" style="5" customWidth="1"/>
    <col min="41" max="41" width="9.33203125" style="5" customWidth="1"/>
    <col min="42" max="46" width="10.83203125" style="5" customWidth="1"/>
    <col min="47" max="16384" width="10.83203125" style="5"/>
  </cols>
  <sheetData>
    <row r="1" spans="1:192" s="4" customFormat="1">
      <c r="A1" s="34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  <c r="CN1" s="34"/>
      <c r="CO1" s="34"/>
      <c r="CP1" s="34"/>
      <c r="CQ1" s="34"/>
      <c r="CR1" s="34"/>
      <c r="CS1" s="34"/>
      <c r="CT1" s="34"/>
      <c r="CU1" s="34"/>
      <c r="CV1" s="34"/>
      <c r="CW1" s="34"/>
      <c r="CX1" s="34"/>
      <c r="CY1" s="34"/>
      <c r="CZ1" s="34"/>
      <c r="DA1" s="34"/>
      <c r="DB1" s="34"/>
      <c r="DC1" s="34"/>
      <c r="DD1" s="34"/>
      <c r="DE1" s="34"/>
      <c r="DF1" s="34"/>
      <c r="DG1" s="34"/>
      <c r="DH1" s="34"/>
      <c r="DI1" s="34"/>
      <c r="DJ1" s="34"/>
      <c r="DK1" s="34"/>
      <c r="DL1" s="34"/>
      <c r="DM1" s="34"/>
      <c r="DN1" s="34"/>
      <c r="DO1" s="34"/>
      <c r="DP1" s="34"/>
      <c r="DQ1" s="34"/>
      <c r="DR1" s="34"/>
      <c r="DS1" s="34"/>
      <c r="DT1" s="34"/>
      <c r="DU1" s="34"/>
      <c r="DV1" s="34"/>
      <c r="DW1" s="34"/>
      <c r="DX1" s="34"/>
      <c r="DY1" s="34"/>
      <c r="DZ1" s="34"/>
      <c r="EA1" s="34"/>
      <c r="EB1" s="34"/>
      <c r="EC1" s="34"/>
      <c r="ED1" s="34"/>
      <c r="EE1" s="34"/>
      <c r="EF1" s="34"/>
      <c r="EG1" s="34"/>
      <c r="EH1" s="34"/>
      <c r="EI1" s="34"/>
      <c r="EJ1" s="34"/>
      <c r="EK1" s="34"/>
      <c r="EL1" s="34"/>
      <c r="EM1" s="34"/>
      <c r="EN1" s="34"/>
      <c r="EO1" s="34"/>
      <c r="EP1" s="34"/>
      <c r="EQ1" s="34"/>
      <c r="ER1" s="34"/>
      <c r="ES1" s="34"/>
      <c r="ET1" s="34"/>
      <c r="EU1" s="34"/>
      <c r="EV1" s="34"/>
      <c r="EW1" s="34"/>
      <c r="EX1" s="34"/>
      <c r="EY1" s="34"/>
      <c r="EZ1" s="34"/>
      <c r="FA1" s="34"/>
      <c r="FB1" s="34"/>
      <c r="FC1" s="34"/>
      <c r="FD1" s="34"/>
      <c r="FE1" s="34"/>
      <c r="FF1" s="34"/>
      <c r="FG1" s="34"/>
      <c r="FH1" s="34"/>
      <c r="FI1" s="34"/>
      <c r="FJ1" s="34"/>
      <c r="FK1" s="34"/>
      <c r="FL1" s="34"/>
      <c r="FM1" s="34"/>
      <c r="FN1" s="34"/>
      <c r="FO1" s="34"/>
      <c r="FP1" s="34"/>
      <c r="FQ1" s="34"/>
      <c r="FR1" s="34"/>
      <c r="FS1" s="34"/>
      <c r="FT1" s="34"/>
      <c r="FU1" s="34"/>
      <c r="FV1" s="34"/>
      <c r="FW1" s="34"/>
      <c r="FX1" s="34"/>
      <c r="FY1" s="34"/>
      <c r="FZ1" s="34"/>
      <c r="GA1" s="34"/>
      <c r="GB1" s="34"/>
      <c r="GC1" s="34"/>
      <c r="GD1" s="34"/>
      <c r="GE1" s="34"/>
      <c r="GF1" s="34"/>
      <c r="GG1" s="34"/>
      <c r="GH1" s="34"/>
      <c r="GI1" s="34"/>
      <c r="GJ1" s="34"/>
    </row>
    <row r="2" spans="1:192" s="4" customFormat="1" ht="15" customHeight="1">
      <c r="A2" s="34"/>
      <c r="B2" s="35" t="s">
        <v>249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  <c r="ED2" s="34"/>
      <c r="EE2" s="34"/>
      <c r="EF2" s="34"/>
      <c r="EG2" s="34"/>
      <c r="EH2" s="34"/>
      <c r="EI2" s="34"/>
      <c r="EJ2" s="34"/>
      <c r="EK2" s="34"/>
      <c r="EL2" s="34"/>
      <c r="EM2" s="34"/>
      <c r="EN2" s="34"/>
      <c r="EO2" s="34"/>
      <c r="EP2" s="34"/>
      <c r="EQ2" s="34"/>
      <c r="ER2" s="34"/>
      <c r="ES2" s="34"/>
      <c r="ET2" s="34"/>
      <c r="EU2" s="34"/>
      <c r="EV2" s="34"/>
      <c r="EW2" s="34"/>
      <c r="EX2" s="34"/>
      <c r="EY2" s="34"/>
      <c r="EZ2" s="34"/>
      <c r="FA2" s="34"/>
      <c r="FB2" s="34"/>
      <c r="FC2" s="34"/>
      <c r="FD2" s="34"/>
      <c r="FE2" s="34"/>
      <c r="FF2" s="34"/>
      <c r="FG2" s="34"/>
      <c r="FH2" s="34"/>
      <c r="FI2" s="34"/>
      <c r="FJ2" s="34"/>
      <c r="FK2" s="34"/>
      <c r="FL2" s="34"/>
      <c r="FM2" s="34"/>
      <c r="FN2" s="34"/>
      <c r="FO2" s="34"/>
      <c r="FP2" s="34"/>
      <c r="FQ2" s="34"/>
      <c r="FR2" s="34"/>
      <c r="FS2" s="34"/>
      <c r="FT2" s="34"/>
      <c r="FU2" s="34"/>
      <c r="FV2" s="34"/>
      <c r="FW2" s="34"/>
      <c r="FX2" s="34"/>
      <c r="FY2" s="34"/>
      <c r="FZ2" s="34"/>
      <c r="GA2" s="34"/>
      <c r="GB2" s="34"/>
      <c r="GC2" s="34"/>
      <c r="GD2" s="34"/>
      <c r="GE2" s="34"/>
      <c r="GF2" s="34"/>
      <c r="GG2" s="34"/>
      <c r="GH2" s="34"/>
      <c r="GI2" s="34"/>
      <c r="GJ2" s="34"/>
    </row>
    <row r="3" spans="1:192" s="4" customFormat="1" ht="18" customHeight="1">
      <c r="A3" s="34"/>
      <c r="B3" s="36" t="s">
        <v>250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22" t="str">
        <f>IF(ABS(SUM(VBP_21)/SUM(AQ12:AQ44)-1)&gt;0.01,"Atención Existe un problema de consistencia en la matriz cargada","")</f>
        <v/>
      </c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34"/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4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34"/>
      <c r="DN3" s="34"/>
      <c r="DO3" s="34"/>
      <c r="DP3" s="34"/>
      <c r="DQ3" s="34"/>
      <c r="DR3" s="34"/>
      <c r="DS3" s="34"/>
      <c r="DT3" s="34"/>
      <c r="DU3" s="34"/>
      <c r="DV3" s="34"/>
      <c r="DW3" s="34"/>
      <c r="DX3" s="34"/>
      <c r="DY3" s="34"/>
      <c r="DZ3" s="34"/>
      <c r="EA3" s="34"/>
      <c r="EB3" s="34"/>
      <c r="EC3" s="34"/>
      <c r="ED3" s="34"/>
      <c r="EE3" s="34"/>
      <c r="EF3" s="34"/>
      <c r="EG3" s="34"/>
      <c r="EH3" s="34"/>
      <c r="EI3" s="34"/>
      <c r="EJ3" s="34"/>
      <c r="EK3" s="34"/>
      <c r="EL3" s="34"/>
      <c r="EM3" s="34"/>
      <c r="EN3" s="34"/>
      <c r="EO3" s="34"/>
      <c r="EP3" s="34"/>
      <c r="EQ3" s="34"/>
      <c r="ER3" s="34"/>
      <c r="ES3" s="34"/>
      <c r="ET3" s="34"/>
      <c r="EU3" s="34"/>
      <c r="EV3" s="34"/>
      <c r="EW3" s="34"/>
      <c r="EX3" s="34"/>
      <c r="EY3" s="34"/>
      <c r="EZ3" s="34"/>
      <c r="FA3" s="34"/>
      <c r="FB3" s="34"/>
      <c r="FC3" s="34"/>
      <c r="FD3" s="34"/>
      <c r="FE3" s="34"/>
      <c r="FF3" s="34"/>
      <c r="FG3" s="34"/>
      <c r="FH3" s="34"/>
      <c r="FI3" s="34"/>
      <c r="FJ3" s="34"/>
      <c r="FK3" s="34"/>
      <c r="FL3" s="34"/>
      <c r="FM3" s="34"/>
      <c r="FN3" s="34"/>
      <c r="FO3" s="34"/>
      <c r="FP3" s="34"/>
      <c r="FQ3" s="34"/>
      <c r="FR3" s="34"/>
      <c r="FS3" s="34"/>
      <c r="FT3" s="34"/>
      <c r="FU3" s="34"/>
      <c r="FV3" s="34"/>
      <c r="FW3" s="34"/>
      <c r="FX3" s="34"/>
      <c r="FY3" s="34"/>
      <c r="FZ3" s="34"/>
      <c r="GA3" s="34"/>
      <c r="GB3" s="34"/>
      <c r="GC3" s="34"/>
      <c r="GD3" s="34"/>
      <c r="GE3" s="34"/>
      <c r="GF3" s="34"/>
      <c r="GG3" s="34"/>
      <c r="GH3" s="34"/>
      <c r="GI3" s="34"/>
      <c r="GJ3" s="34"/>
    </row>
    <row r="4" spans="1:192" s="4" customFormat="1">
      <c r="A4" s="34"/>
      <c r="B4" s="38" t="s">
        <v>251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  <c r="CP4" s="34"/>
      <c r="CQ4" s="34"/>
      <c r="CR4" s="34"/>
      <c r="CS4" s="34"/>
      <c r="CT4" s="34"/>
      <c r="CU4" s="34"/>
      <c r="CV4" s="34"/>
      <c r="CW4" s="34"/>
      <c r="CX4" s="34"/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/>
      <c r="DM4" s="34"/>
      <c r="DN4" s="34"/>
      <c r="DO4" s="34"/>
      <c r="DP4" s="34"/>
      <c r="DQ4" s="34"/>
      <c r="DR4" s="34"/>
      <c r="DS4" s="34"/>
      <c r="DT4" s="34"/>
      <c r="DU4" s="34"/>
      <c r="DV4" s="34"/>
      <c r="DW4" s="34"/>
      <c r="DX4" s="34"/>
      <c r="DY4" s="34"/>
      <c r="DZ4" s="34"/>
      <c r="EA4" s="34"/>
      <c r="EB4" s="34"/>
      <c r="EC4" s="34"/>
      <c r="ED4" s="34"/>
      <c r="EE4" s="34"/>
      <c r="EF4" s="34"/>
      <c r="EG4" s="34"/>
      <c r="EH4" s="34"/>
      <c r="EI4" s="34"/>
      <c r="EJ4" s="34"/>
      <c r="EK4" s="34"/>
      <c r="EL4" s="34"/>
      <c r="EM4" s="34"/>
      <c r="EN4" s="34"/>
      <c r="EO4" s="34"/>
      <c r="EP4" s="34"/>
      <c r="EQ4" s="34"/>
      <c r="ER4" s="34"/>
      <c r="ES4" s="34"/>
      <c r="ET4" s="34"/>
      <c r="EU4" s="34"/>
      <c r="EV4" s="34"/>
      <c r="EW4" s="34"/>
      <c r="EX4" s="34"/>
      <c r="EY4" s="34"/>
      <c r="EZ4" s="34"/>
      <c r="FA4" s="34"/>
      <c r="FB4" s="34"/>
      <c r="FC4" s="34"/>
      <c r="FD4" s="34"/>
      <c r="FE4" s="34"/>
      <c r="FF4" s="34"/>
      <c r="FG4" s="34"/>
      <c r="FH4" s="34"/>
      <c r="FI4" s="34"/>
      <c r="FJ4" s="34"/>
      <c r="FK4" s="34"/>
      <c r="FL4" s="34"/>
      <c r="FM4" s="34"/>
      <c r="FN4" s="34"/>
      <c r="FO4" s="34"/>
      <c r="FP4" s="34"/>
      <c r="FQ4" s="34"/>
      <c r="FR4" s="34"/>
      <c r="FS4" s="34"/>
      <c r="FT4" s="34"/>
      <c r="FU4" s="34"/>
      <c r="FV4" s="34"/>
      <c r="FW4" s="34"/>
      <c r="FX4" s="34"/>
      <c r="FY4" s="34"/>
      <c r="FZ4" s="34"/>
      <c r="GA4" s="34"/>
      <c r="GB4" s="34"/>
      <c r="GC4" s="34"/>
      <c r="GD4" s="34"/>
      <c r="GE4" s="34"/>
      <c r="GF4" s="34"/>
    </row>
    <row r="5" spans="1:192" s="4" customFormat="1">
      <c r="A5" s="34"/>
      <c r="B5" s="39" t="s">
        <v>252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34"/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  <c r="BL5" s="34"/>
      <c r="BM5" s="34"/>
      <c r="BN5" s="34"/>
      <c r="BO5" s="34"/>
      <c r="BP5" s="34"/>
      <c r="BQ5" s="34"/>
      <c r="BR5" s="34"/>
      <c r="BS5" s="34"/>
      <c r="BT5" s="34"/>
      <c r="BU5" s="34"/>
      <c r="BV5" s="34"/>
      <c r="BW5" s="34"/>
      <c r="BX5" s="34"/>
      <c r="BY5" s="34"/>
      <c r="BZ5" s="34"/>
      <c r="CA5" s="34"/>
      <c r="CB5" s="34"/>
      <c r="CC5" s="34"/>
      <c r="CD5" s="34"/>
      <c r="CE5" s="34"/>
      <c r="CF5" s="34"/>
      <c r="CG5" s="34"/>
      <c r="CH5" s="34"/>
      <c r="CI5" s="34"/>
      <c r="CJ5" s="34"/>
      <c r="CK5" s="34"/>
      <c r="CL5" s="34"/>
      <c r="CM5" s="34"/>
      <c r="CN5" s="34"/>
      <c r="CO5" s="34"/>
      <c r="CP5" s="34"/>
      <c r="CQ5" s="34"/>
      <c r="CR5" s="34"/>
      <c r="CS5" s="34"/>
      <c r="CT5" s="34"/>
      <c r="CU5" s="34"/>
      <c r="CV5" s="34"/>
      <c r="CW5" s="34"/>
      <c r="CX5" s="34"/>
      <c r="CY5" s="34"/>
      <c r="CZ5" s="34"/>
      <c r="DA5" s="34"/>
      <c r="DB5" s="34"/>
      <c r="DC5" s="34"/>
      <c r="DD5" s="34"/>
      <c r="DE5" s="34"/>
      <c r="DF5" s="34"/>
      <c r="DG5" s="34"/>
      <c r="DH5" s="34"/>
      <c r="DI5" s="34"/>
      <c r="DJ5" s="34"/>
      <c r="DK5" s="34"/>
      <c r="DL5" s="34"/>
      <c r="DM5" s="34"/>
      <c r="DN5" s="34"/>
      <c r="DO5" s="34"/>
      <c r="DP5" s="34"/>
      <c r="DQ5" s="34"/>
      <c r="DR5" s="34"/>
      <c r="DS5" s="34"/>
      <c r="DT5" s="34"/>
      <c r="DU5" s="34"/>
      <c r="DV5" s="34"/>
      <c r="DW5" s="34"/>
      <c r="DX5" s="34"/>
      <c r="DY5" s="34"/>
      <c r="DZ5" s="34"/>
      <c r="EA5" s="34"/>
      <c r="EB5" s="34"/>
      <c r="EC5" s="34"/>
      <c r="ED5" s="34"/>
      <c r="EE5" s="34"/>
      <c r="EF5" s="34"/>
      <c r="EG5" s="34"/>
      <c r="EH5" s="34"/>
      <c r="EI5" s="34"/>
      <c r="EJ5" s="34"/>
      <c r="EK5" s="34"/>
      <c r="EL5" s="34"/>
      <c r="EM5" s="34"/>
      <c r="EN5" s="34"/>
      <c r="EO5" s="34"/>
      <c r="EP5" s="34"/>
      <c r="EQ5" s="34"/>
      <c r="ER5" s="34"/>
      <c r="ES5" s="34"/>
      <c r="ET5" s="34"/>
      <c r="EU5" s="34"/>
      <c r="EV5" s="34"/>
      <c r="EW5" s="34"/>
      <c r="EX5" s="34"/>
      <c r="EY5" s="34"/>
      <c r="EZ5" s="34"/>
      <c r="FA5" s="34"/>
      <c r="FB5" s="34"/>
      <c r="FC5" s="34"/>
      <c r="FD5" s="34"/>
      <c r="FE5" s="34"/>
      <c r="FF5" s="34"/>
      <c r="FG5" s="34"/>
      <c r="FH5" s="34"/>
      <c r="FI5" s="34"/>
      <c r="FJ5" s="34"/>
      <c r="FK5" s="34"/>
      <c r="FL5" s="34"/>
      <c r="FM5" s="34"/>
      <c r="FN5" s="34"/>
      <c r="FO5" s="34"/>
      <c r="FP5" s="34"/>
      <c r="FQ5" s="34"/>
      <c r="FR5" s="34"/>
      <c r="FS5" s="34"/>
      <c r="FT5" s="34"/>
      <c r="FU5" s="34"/>
      <c r="FV5" s="34"/>
      <c r="FW5" s="34"/>
      <c r="FX5" s="34"/>
      <c r="FY5" s="34"/>
      <c r="FZ5" s="34"/>
      <c r="GA5" s="34"/>
      <c r="GB5" s="34"/>
      <c r="GC5" s="34"/>
      <c r="GD5" s="34"/>
      <c r="GE5" s="34"/>
      <c r="GF5" s="34"/>
    </row>
    <row r="6" spans="1:192" ht="20" customHeight="1">
      <c r="A6" s="34"/>
      <c r="B6" s="40" t="s">
        <v>253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  <c r="BL6" s="34"/>
      <c r="BM6" s="34"/>
      <c r="BN6" s="34"/>
      <c r="BO6" s="34"/>
      <c r="BP6" s="34"/>
      <c r="BQ6" s="34"/>
      <c r="BR6" s="34"/>
      <c r="BS6" s="34"/>
      <c r="BT6" s="34"/>
      <c r="BU6" s="34"/>
      <c r="BV6" s="34"/>
      <c r="BW6" s="34"/>
      <c r="BX6" s="34"/>
      <c r="BY6" s="34"/>
      <c r="BZ6" s="34"/>
      <c r="CA6" s="34"/>
      <c r="CB6" s="34"/>
      <c r="CC6" s="34"/>
      <c r="CD6" s="34"/>
      <c r="CE6" s="34"/>
      <c r="CF6" s="34"/>
      <c r="CG6" s="34"/>
      <c r="CH6" s="34"/>
      <c r="CI6" s="34"/>
      <c r="CJ6" s="34"/>
      <c r="CK6" s="34"/>
      <c r="CL6" s="34"/>
      <c r="CM6" s="34"/>
      <c r="CN6" s="34"/>
      <c r="CO6" s="34"/>
      <c r="CP6" s="34"/>
      <c r="CQ6" s="34"/>
      <c r="CR6" s="34"/>
      <c r="CS6" s="34"/>
      <c r="CT6" s="34"/>
      <c r="CU6" s="34"/>
      <c r="CV6" s="34"/>
      <c r="CW6" s="34"/>
      <c r="CX6" s="34"/>
      <c r="CY6" s="34"/>
      <c r="CZ6" s="34"/>
      <c r="DA6" s="34"/>
      <c r="DB6" s="34"/>
      <c r="DC6" s="34"/>
      <c r="DD6" s="34"/>
      <c r="DE6" s="34"/>
      <c r="DF6" s="34"/>
      <c r="DG6" s="34"/>
      <c r="DH6" s="34"/>
      <c r="DI6" s="34"/>
      <c r="DJ6" s="34"/>
      <c r="DK6" s="34"/>
      <c r="DL6" s="34"/>
      <c r="DM6" s="34"/>
      <c r="DN6" s="34"/>
      <c r="DO6" s="34"/>
      <c r="DP6" s="34"/>
      <c r="DQ6" s="34"/>
      <c r="DR6" s="34"/>
      <c r="DS6" s="34"/>
      <c r="DT6" s="34"/>
      <c r="DU6" s="34"/>
      <c r="DV6" s="34"/>
      <c r="DW6" s="34"/>
      <c r="DX6" s="34"/>
      <c r="DY6" s="34"/>
      <c r="DZ6" s="34"/>
      <c r="EA6" s="34"/>
      <c r="EB6" s="34"/>
      <c r="EC6" s="34"/>
      <c r="ED6" s="34"/>
      <c r="EE6" s="34"/>
      <c r="EF6" s="34"/>
      <c r="EG6" s="34"/>
      <c r="EH6" s="34"/>
      <c r="EI6" s="34"/>
      <c r="EJ6" s="34"/>
      <c r="EK6" s="34"/>
      <c r="EL6" s="34"/>
      <c r="EM6" s="34"/>
      <c r="EN6" s="34"/>
      <c r="EO6" s="34"/>
      <c r="EP6" s="34"/>
      <c r="EQ6" s="34"/>
      <c r="ER6" s="34"/>
      <c r="ES6" s="34"/>
      <c r="ET6" s="34"/>
      <c r="EU6" s="34"/>
      <c r="EV6" s="34"/>
      <c r="EW6" s="34"/>
      <c r="EX6" s="34"/>
      <c r="EY6" s="34"/>
      <c r="EZ6" s="34"/>
      <c r="FA6" s="34"/>
      <c r="FB6" s="34"/>
      <c r="FC6" s="34"/>
      <c r="FD6" s="34"/>
      <c r="FE6" s="34"/>
      <c r="FF6" s="34"/>
      <c r="FG6" s="34"/>
      <c r="FH6" s="34"/>
      <c r="FI6" s="34"/>
      <c r="FJ6" s="34"/>
      <c r="FK6" s="34"/>
      <c r="FL6" s="34"/>
      <c r="FM6" s="34"/>
      <c r="FN6" s="34"/>
      <c r="FO6" s="34"/>
      <c r="FP6" s="34"/>
      <c r="FQ6" s="34"/>
      <c r="FR6" s="34"/>
      <c r="FS6" s="34"/>
      <c r="FT6" s="34"/>
      <c r="FU6" s="34"/>
      <c r="FV6" s="34"/>
      <c r="FW6" s="34"/>
      <c r="FX6" s="34"/>
      <c r="FY6" s="34"/>
      <c r="FZ6" s="34"/>
      <c r="GA6" s="34"/>
      <c r="GB6" s="34"/>
      <c r="GC6" s="34"/>
      <c r="GD6" s="34"/>
      <c r="GE6" s="34"/>
      <c r="GF6" s="34"/>
    </row>
    <row r="7" spans="1:192" ht="12.75" customHeight="1">
      <c r="A7" s="37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  <c r="BL7" s="34"/>
      <c r="BM7" s="34"/>
      <c r="BN7" s="34"/>
      <c r="BO7" s="34"/>
      <c r="BP7" s="34"/>
      <c r="BQ7" s="34"/>
      <c r="BR7" s="34"/>
      <c r="BS7" s="34"/>
      <c r="BT7" s="34"/>
      <c r="BU7" s="34"/>
      <c r="BV7" s="34"/>
      <c r="BW7" s="34"/>
      <c r="BX7" s="34"/>
      <c r="BY7" s="34"/>
      <c r="BZ7" s="34"/>
      <c r="CA7" s="34"/>
      <c r="CB7" s="34"/>
      <c r="CC7" s="34"/>
      <c r="CD7" s="34"/>
      <c r="CE7" s="34"/>
      <c r="CF7" s="34"/>
      <c r="CG7" s="34"/>
      <c r="CH7" s="34"/>
      <c r="CI7" s="34"/>
      <c r="CJ7" s="34"/>
      <c r="CK7" s="34"/>
      <c r="CL7" s="34"/>
      <c r="CM7" s="34"/>
      <c r="CN7" s="34"/>
      <c r="CO7" s="34"/>
      <c r="CP7" s="34"/>
      <c r="CQ7" s="34"/>
      <c r="CR7" s="34"/>
      <c r="CS7" s="34"/>
      <c r="CT7" s="34"/>
      <c r="CU7" s="34"/>
      <c r="CV7" s="34"/>
      <c r="CW7" s="34"/>
      <c r="CX7" s="34"/>
      <c r="CY7" s="34"/>
      <c r="CZ7" s="34"/>
      <c r="DA7" s="34"/>
      <c r="DB7" s="34"/>
      <c r="DC7" s="34"/>
      <c r="DD7" s="34"/>
      <c r="DE7" s="34"/>
      <c r="DF7" s="34"/>
      <c r="DG7" s="34"/>
      <c r="DH7" s="34"/>
      <c r="DI7" s="34"/>
      <c r="DJ7" s="34"/>
      <c r="DK7" s="34"/>
      <c r="DL7" s="34"/>
      <c r="DM7" s="34"/>
      <c r="DN7" s="34"/>
      <c r="DO7" s="34"/>
      <c r="DP7" s="34"/>
      <c r="DQ7" s="34"/>
      <c r="DR7" s="34"/>
      <c r="DS7" s="34"/>
      <c r="DT7" s="34"/>
      <c r="DU7" s="34"/>
      <c r="DV7" s="34"/>
      <c r="DW7" s="34"/>
      <c r="DX7" s="34"/>
      <c r="DY7" s="34"/>
      <c r="DZ7" s="34"/>
      <c r="EA7" s="34"/>
      <c r="EB7" s="34"/>
      <c r="EC7" s="34"/>
      <c r="ED7" s="34"/>
      <c r="EE7" s="34"/>
      <c r="EF7" s="34"/>
      <c r="EG7" s="34"/>
      <c r="EH7" s="34"/>
      <c r="EI7" s="34"/>
      <c r="EJ7" s="34"/>
      <c r="EK7" s="34"/>
      <c r="EL7" s="34"/>
      <c r="EM7" s="34"/>
      <c r="EN7" s="34"/>
      <c r="EO7" s="34"/>
      <c r="EP7" s="34"/>
      <c r="EQ7" s="34"/>
      <c r="ER7" s="34"/>
      <c r="ES7" s="34"/>
      <c r="ET7" s="34"/>
      <c r="EU7" s="34"/>
      <c r="EV7" s="34"/>
      <c r="EW7" s="34"/>
      <c r="EX7" s="34"/>
      <c r="EY7" s="34"/>
      <c r="EZ7" s="34"/>
      <c r="FA7" s="34"/>
      <c r="FB7" s="34"/>
      <c r="FC7" s="34"/>
      <c r="FD7" s="34"/>
      <c r="FE7" s="34"/>
      <c r="FF7" s="34"/>
      <c r="FG7" s="34"/>
      <c r="FH7" s="34"/>
      <c r="FI7" s="34"/>
      <c r="FJ7" s="34"/>
      <c r="FK7" s="34"/>
      <c r="FL7" s="34"/>
      <c r="FM7" s="34"/>
      <c r="FN7" s="34"/>
      <c r="FO7" s="34"/>
      <c r="FP7" s="34"/>
      <c r="FQ7" s="34"/>
      <c r="FR7" s="34"/>
      <c r="FS7" s="34"/>
      <c r="FT7" s="34"/>
      <c r="FU7" s="34"/>
      <c r="FV7" s="34"/>
      <c r="FW7" s="34"/>
      <c r="FX7" s="34"/>
      <c r="FY7" s="34"/>
      <c r="FZ7" s="34"/>
      <c r="GA7" s="34"/>
      <c r="GB7" s="34"/>
      <c r="GC7" s="34"/>
      <c r="GD7" s="34"/>
      <c r="GE7" s="34"/>
      <c r="GF7" s="34"/>
    </row>
    <row r="8" spans="1:192" ht="28" customHeight="1">
      <c r="A8" s="37"/>
      <c r="B8" s="43" t="s">
        <v>254</v>
      </c>
      <c r="C8" s="44"/>
      <c r="D8" s="44"/>
      <c r="E8" s="44"/>
      <c r="F8" s="44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34"/>
      <c r="Z8" s="46"/>
      <c r="AA8" s="37"/>
      <c r="AB8" s="47"/>
      <c r="AC8" s="47"/>
      <c r="AD8" s="47"/>
      <c r="AE8" s="47"/>
      <c r="AF8" s="47"/>
      <c r="AG8" s="47"/>
      <c r="AH8" s="47"/>
      <c r="AI8" s="47"/>
      <c r="AJ8" s="49" t="s">
        <v>255</v>
      </c>
      <c r="AK8" s="49" t="s">
        <v>256</v>
      </c>
      <c r="AL8" s="49" t="s">
        <v>257</v>
      </c>
      <c r="AM8" s="49" t="s">
        <v>258</v>
      </c>
      <c r="AN8" s="49" t="s">
        <v>259</v>
      </c>
      <c r="AO8" s="49" t="s">
        <v>260</v>
      </c>
      <c r="AP8" s="49" t="s">
        <v>261</v>
      </c>
      <c r="AQ8" s="49" t="s">
        <v>262</v>
      </c>
      <c r="AR8" s="48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34"/>
      <c r="BT8" s="34"/>
      <c r="BU8" s="34"/>
      <c r="BV8" s="34"/>
      <c r="BW8" s="34"/>
      <c r="BX8" s="34"/>
      <c r="BY8" s="34"/>
      <c r="BZ8" s="34"/>
      <c r="CA8" s="34"/>
      <c r="CB8" s="34"/>
      <c r="CC8" s="34"/>
      <c r="CD8" s="34"/>
      <c r="CE8" s="34"/>
      <c r="CF8" s="34"/>
      <c r="CG8" s="34"/>
      <c r="CH8" s="34"/>
      <c r="CI8" s="34"/>
      <c r="CJ8" s="34"/>
      <c r="CK8" s="34"/>
      <c r="CL8" s="34"/>
      <c r="CM8" s="34"/>
      <c r="CN8" s="34"/>
      <c r="CO8" s="34"/>
      <c r="CP8" s="34"/>
      <c r="CQ8" s="34"/>
      <c r="CR8" s="34"/>
      <c r="CS8" s="34"/>
      <c r="CT8" s="34"/>
      <c r="CU8" s="34"/>
      <c r="CV8" s="34"/>
      <c r="CW8" s="34"/>
      <c r="CX8" s="34"/>
      <c r="CY8" s="34"/>
      <c r="CZ8" s="34"/>
      <c r="DA8" s="34"/>
      <c r="DB8" s="34"/>
      <c r="DC8" s="34"/>
      <c r="DD8" s="34"/>
      <c r="DE8" s="34"/>
      <c r="DF8" s="34"/>
      <c r="DG8" s="34"/>
      <c r="DH8" s="34"/>
      <c r="DI8" s="34"/>
      <c r="DJ8" s="34"/>
      <c r="DK8" s="34"/>
      <c r="DL8" s="34"/>
      <c r="DM8" s="34"/>
      <c r="DN8" s="34"/>
      <c r="DO8" s="34"/>
      <c r="DP8" s="34"/>
      <c r="DQ8" s="34"/>
      <c r="DR8" s="34"/>
      <c r="DS8" s="34"/>
      <c r="DT8" s="34"/>
      <c r="DU8" s="34"/>
      <c r="DV8" s="34"/>
      <c r="DW8" s="34"/>
      <c r="DX8" s="34"/>
      <c r="DY8" s="34"/>
      <c r="DZ8" s="34"/>
      <c r="EA8" s="34"/>
      <c r="EB8" s="34"/>
      <c r="EC8" s="34"/>
      <c r="ED8" s="34"/>
      <c r="EE8" s="34"/>
      <c r="EF8" s="34"/>
      <c r="EG8" s="34"/>
      <c r="EH8" s="34"/>
      <c r="EI8" s="34"/>
      <c r="EJ8" s="34"/>
      <c r="EK8" s="34"/>
      <c r="EL8" s="34"/>
      <c r="EM8" s="34"/>
      <c r="EN8" s="34"/>
      <c r="EO8" s="34"/>
      <c r="EP8" s="34"/>
      <c r="EQ8" s="34"/>
      <c r="ER8" s="34"/>
      <c r="ES8" s="34"/>
      <c r="ET8" s="34"/>
      <c r="EU8" s="34"/>
      <c r="EV8" s="34"/>
      <c r="EW8" s="34"/>
      <c r="EX8" s="34"/>
      <c r="EY8" s="34"/>
      <c r="EZ8" s="34"/>
      <c r="FA8" s="34"/>
      <c r="FB8" s="34"/>
      <c r="FC8" s="34"/>
      <c r="FD8" s="34"/>
      <c r="FE8" s="34"/>
      <c r="FF8" s="34"/>
      <c r="FG8" s="34"/>
      <c r="FH8" s="34"/>
      <c r="FI8" s="34"/>
      <c r="FJ8" s="34"/>
      <c r="FK8" s="34"/>
      <c r="FL8" s="34"/>
      <c r="FM8" s="34"/>
      <c r="FN8" s="34"/>
      <c r="FO8" s="34"/>
      <c r="FP8" s="34"/>
      <c r="FQ8" s="34"/>
      <c r="FR8" s="34"/>
      <c r="FS8" s="34"/>
      <c r="FT8" s="34"/>
      <c r="FU8" s="34"/>
      <c r="FV8" s="34"/>
      <c r="FW8" s="34"/>
      <c r="FX8" s="34"/>
      <c r="FY8" s="34"/>
      <c r="FZ8" s="34"/>
      <c r="GA8" s="34"/>
      <c r="GB8" s="34"/>
      <c r="GC8" s="34"/>
      <c r="GD8" s="34"/>
      <c r="GE8" s="34"/>
    </row>
    <row r="9" spans="1:192" ht="12.75" customHeight="1">
      <c r="A9" s="37"/>
      <c r="B9" s="37"/>
      <c r="C9" s="300">
        <v>1</v>
      </c>
      <c r="D9" s="300">
        <v>2</v>
      </c>
      <c r="E9" s="300">
        <v>3</v>
      </c>
      <c r="F9" s="300">
        <v>4</v>
      </c>
      <c r="G9" s="301">
        <v>5</v>
      </c>
      <c r="H9" s="301">
        <v>6</v>
      </c>
      <c r="I9" s="301">
        <v>7</v>
      </c>
      <c r="J9" s="301">
        <v>8</v>
      </c>
      <c r="K9" s="301">
        <v>9</v>
      </c>
      <c r="L9" s="301">
        <v>10</v>
      </c>
      <c r="M9" s="301">
        <v>11</v>
      </c>
      <c r="N9" s="301">
        <v>12</v>
      </c>
      <c r="O9" s="301">
        <v>13</v>
      </c>
      <c r="P9" s="301">
        <v>14</v>
      </c>
      <c r="Q9" s="301">
        <v>15</v>
      </c>
      <c r="R9" s="301">
        <v>16</v>
      </c>
      <c r="S9" s="301">
        <v>17</v>
      </c>
      <c r="T9" s="301">
        <v>18</v>
      </c>
      <c r="U9" s="301">
        <v>19</v>
      </c>
      <c r="V9" s="301">
        <v>20</v>
      </c>
      <c r="W9" s="301">
        <v>21</v>
      </c>
      <c r="X9" s="301">
        <v>22</v>
      </c>
      <c r="Y9" s="302">
        <v>23</v>
      </c>
      <c r="Z9" s="299">
        <v>24</v>
      </c>
      <c r="AA9" s="302">
        <v>25</v>
      </c>
      <c r="AB9" s="299">
        <v>26</v>
      </c>
      <c r="AC9" s="299">
        <v>27</v>
      </c>
      <c r="AD9" s="299">
        <v>28</v>
      </c>
      <c r="AE9" s="299">
        <v>29</v>
      </c>
      <c r="AF9" s="299">
        <v>30</v>
      </c>
      <c r="AG9" s="299">
        <v>31</v>
      </c>
      <c r="AH9" s="299">
        <v>32</v>
      </c>
      <c r="AI9" s="299">
        <v>33</v>
      </c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  <c r="CQ9" s="34"/>
      <c r="CR9" s="34"/>
      <c r="CS9" s="34"/>
      <c r="CT9" s="34"/>
      <c r="CU9" s="34"/>
      <c r="CV9" s="34"/>
      <c r="CW9" s="34"/>
      <c r="CX9" s="34"/>
      <c r="CY9" s="34"/>
      <c r="CZ9" s="34"/>
      <c r="DA9" s="34"/>
      <c r="DB9" s="34"/>
      <c r="DC9" s="34"/>
      <c r="DD9" s="34"/>
      <c r="DE9" s="34"/>
      <c r="DF9" s="34"/>
      <c r="DG9" s="34"/>
      <c r="DH9" s="34"/>
      <c r="DI9" s="34"/>
      <c r="DJ9" s="34"/>
      <c r="DK9" s="34"/>
      <c r="DL9" s="34"/>
      <c r="DM9" s="34"/>
      <c r="DN9" s="34"/>
      <c r="DO9" s="34"/>
      <c r="DP9" s="34"/>
      <c r="DQ9" s="34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  <c r="ED9" s="34"/>
      <c r="EE9" s="34"/>
      <c r="EF9" s="34"/>
      <c r="EG9" s="34"/>
      <c r="EH9" s="34"/>
      <c r="EI9" s="34"/>
      <c r="EJ9" s="34"/>
      <c r="EK9" s="34"/>
      <c r="EL9" s="34"/>
      <c r="EM9" s="34"/>
      <c r="EN9" s="34"/>
      <c r="EO9" s="34"/>
      <c r="EP9" s="34"/>
      <c r="EQ9" s="34"/>
      <c r="ER9" s="34"/>
      <c r="ES9" s="34"/>
      <c r="ET9" s="34"/>
      <c r="EU9" s="34"/>
      <c r="EV9" s="34"/>
      <c r="EW9" s="34"/>
      <c r="EX9" s="34"/>
      <c r="EY9" s="34"/>
      <c r="EZ9" s="34"/>
      <c r="FA9" s="34"/>
      <c r="FB9" s="34"/>
      <c r="FC9" s="34"/>
      <c r="FD9" s="34"/>
      <c r="FE9" s="34"/>
      <c r="FF9" s="34"/>
      <c r="FG9" s="34"/>
      <c r="FH9" s="34"/>
      <c r="FI9" s="34"/>
      <c r="FJ9" s="34"/>
      <c r="FK9" s="34"/>
      <c r="FL9" s="34"/>
      <c r="FM9" s="34"/>
      <c r="FN9" s="34"/>
      <c r="FO9" s="34"/>
      <c r="FP9" s="34"/>
      <c r="FQ9" s="34"/>
      <c r="FR9" s="34"/>
      <c r="FS9" s="34"/>
      <c r="FT9" s="34"/>
      <c r="FU9" s="34"/>
      <c r="FV9" s="34"/>
      <c r="FW9" s="34"/>
      <c r="FX9" s="34"/>
      <c r="FY9" s="34"/>
      <c r="FZ9" s="34"/>
      <c r="GA9" s="34"/>
      <c r="GB9" s="34"/>
      <c r="GC9" s="34"/>
      <c r="GD9" s="34"/>
      <c r="GE9" s="34"/>
    </row>
    <row r="10" spans="1:192" ht="16" customHeight="1" thickBot="1">
      <c r="A10" s="37"/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1"/>
      <c r="AA10" s="51"/>
      <c r="AB10" s="51"/>
      <c r="AC10" s="51"/>
      <c r="AD10" s="51"/>
      <c r="AE10" s="51"/>
      <c r="AF10" s="51"/>
      <c r="AG10" s="51"/>
      <c r="AH10" s="51"/>
      <c r="AI10" s="51"/>
      <c r="AJ10" s="51"/>
      <c r="AK10" s="51"/>
      <c r="AL10" s="51"/>
      <c r="AM10" s="51"/>
      <c r="AN10" s="51"/>
      <c r="AO10" s="51"/>
      <c r="AP10" s="51"/>
      <c r="AQ10" s="51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  <c r="BF10" s="34"/>
      <c r="BG10" s="34"/>
      <c r="BH10" s="34"/>
      <c r="BI10" s="34"/>
      <c r="BJ10" s="34"/>
      <c r="BK10" s="34"/>
      <c r="BL10" s="34"/>
      <c r="BM10" s="34"/>
      <c r="BN10" s="34"/>
      <c r="BO10" s="34"/>
      <c r="BP10" s="34"/>
      <c r="BQ10" s="34"/>
      <c r="BR10" s="34"/>
      <c r="BS10" s="34"/>
      <c r="BT10" s="34"/>
      <c r="BU10" s="34"/>
      <c r="BV10" s="34"/>
      <c r="BW10" s="34"/>
      <c r="BX10" s="34"/>
      <c r="BY10" s="34"/>
      <c r="BZ10" s="34"/>
      <c r="CA10" s="34"/>
      <c r="CB10" s="34"/>
      <c r="CC10" s="34"/>
      <c r="CD10" s="34"/>
      <c r="CE10" s="34"/>
      <c r="CF10" s="34"/>
      <c r="CG10" s="34"/>
      <c r="CH10" s="34"/>
      <c r="CI10" s="34"/>
      <c r="CJ10" s="34"/>
      <c r="CK10" s="34"/>
      <c r="CL10" s="34"/>
      <c r="CM10" s="34"/>
      <c r="CN10" s="34"/>
      <c r="CO10" s="34"/>
      <c r="CP10" s="34"/>
      <c r="CQ10" s="34"/>
      <c r="CR10" s="34"/>
      <c r="CS10" s="34"/>
      <c r="CT10" s="34"/>
      <c r="CU10" s="34"/>
      <c r="CV10" s="34"/>
      <c r="CW10" s="34"/>
      <c r="CX10" s="34"/>
      <c r="CY10" s="34"/>
      <c r="CZ10" s="34"/>
      <c r="DA10" s="34"/>
      <c r="DB10" s="34"/>
      <c r="DC10" s="34"/>
      <c r="DD10" s="34"/>
      <c r="DE10" s="34"/>
      <c r="DF10" s="34"/>
      <c r="DG10" s="34"/>
      <c r="DH10" s="34"/>
      <c r="DI10" s="34"/>
      <c r="DJ10" s="34"/>
      <c r="DK10" s="34"/>
      <c r="DL10" s="34"/>
      <c r="DM10" s="34"/>
      <c r="DN10" s="34"/>
      <c r="DO10" s="34"/>
      <c r="DP10" s="34"/>
      <c r="DQ10" s="34"/>
      <c r="DR10" s="34"/>
      <c r="DS10" s="34"/>
      <c r="DT10" s="34"/>
      <c r="DU10" s="34"/>
      <c r="DV10" s="34"/>
      <c r="DW10" s="34"/>
      <c r="DX10" s="34"/>
      <c r="DY10" s="34"/>
      <c r="DZ10" s="34"/>
      <c r="EA10" s="34"/>
      <c r="EB10" s="34"/>
      <c r="EC10" s="34"/>
      <c r="ED10" s="34"/>
      <c r="EE10" s="34"/>
      <c r="EF10" s="34"/>
      <c r="EG10" s="34"/>
      <c r="EH10" s="34"/>
      <c r="EI10" s="34"/>
      <c r="EJ10" s="34"/>
      <c r="EK10" s="34"/>
      <c r="EL10" s="34"/>
      <c r="EM10" s="34"/>
      <c r="EN10" s="34"/>
      <c r="EO10" s="34"/>
      <c r="EP10" s="34"/>
      <c r="EQ10" s="34"/>
      <c r="ER10" s="34"/>
      <c r="ES10" s="34"/>
      <c r="ET10" s="34"/>
      <c r="EU10" s="34"/>
      <c r="EV10" s="34"/>
      <c r="EW10" s="34"/>
      <c r="EX10" s="34"/>
      <c r="EY10" s="34"/>
      <c r="EZ10" s="34"/>
      <c r="FA10" s="34"/>
      <c r="FB10" s="34"/>
      <c r="FC10" s="34"/>
      <c r="FD10" s="34"/>
      <c r="FE10" s="34"/>
      <c r="FF10" s="34"/>
      <c r="FG10" s="34"/>
      <c r="FH10" s="34"/>
      <c r="FI10" s="34"/>
      <c r="FJ10" s="34"/>
      <c r="FK10" s="34"/>
      <c r="FL10" s="34"/>
      <c r="FM10" s="34"/>
      <c r="FN10" s="34"/>
      <c r="FO10" s="34"/>
      <c r="FP10" s="34"/>
      <c r="FQ10" s="34"/>
      <c r="FR10" s="34"/>
      <c r="FS10" s="34"/>
      <c r="FT10" s="34"/>
      <c r="FU10" s="34"/>
      <c r="FV10" s="34"/>
      <c r="FW10" s="34"/>
      <c r="FX10" s="34"/>
      <c r="FY10" s="34"/>
      <c r="FZ10" s="34"/>
      <c r="GA10" s="34"/>
      <c r="GB10" s="34"/>
      <c r="GC10" s="34"/>
      <c r="GD10" s="34"/>
      <c r="GE10" s="34"/>
    </row>
    <row r="11" spans="1:192" ht="16" customHeight="1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52"/>
      <c r="AA11" s="52"/>
      <c r="AB11" s="52"/>
      <c r="AC11" s="52"/>
      <c r="AD11" s="52"/>
      <c r="AE11" s="52"/>
      <c r="AF11" s="52"/>
      <c r="AG11" s="52"/>
      <c r="AH11" s="52"/>
      <c r="AI11" s="52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  <c r="CP11" s="34"/>
      <c r="CQ11" s="34"/>
      <c r="CR11" s="34"/>
      <c r="CS11" s="34"/>
      <c r="CT11" s="34"/>
      <c r="CU11" s="34"/>
      <c r="CV11" s="34"/>
      <c r="CW11" s="34"/>
      <c r="CX11" s="34"/>
      <c r="CY11" s="34"/>
      <c r="CZ11" s="34"/>
      <c r="DA11" s="34"/>
      <c r="DB11" s="34"/>
      <c r="DC11" s="34"/>
      <c r="DD11" s="34"/>
      <c r="DE11" s="34"/>
      <c r="DF11" s="34"/>
      <c r="DG11" s="34"/>
      <c r="DH11" s="34"/>
      <c r="DI11" s="34"/>
      <c r="DJ11" s="34"/>
      <c r="DK11" s="34"/>
      <c r="DL11" s="34"/>
      <c r="DM11" s="34"/>
      <c r="DN11" s="34"/>
      <c r="DO11" s="34"/>
      <c r="DP11" s="34"/>
      <c r="DQ11" s="34"/>
      <c r="DR11" s="34"/>
      <c r="DS11" s="34"/>
      <c r="DT11" s="34"/>
      <c r="DU11" s="34"/>
      <c r="DV11" s="34"/>
      <c r="DW11" s="34"/>
      <c r="DX11" s="34"/>
      <c r="DY11" s="34"/>
      <c r="DZ11" s="34"/>
      <c r="EA11" s="34"/>
      <c r="EB11" s="34"/>
      <c r="EC11" s="34"/>
      <c r="ED11" s="34"/>
      <c r="EE11" s="34"/>
      <c r="EF11" s="34"/>
      <c r="EG11" s="34"/>
      <c r="EH11" s="34"/>
      <c r="EI11" s="34"/>
      <c r="EJ11" s="34"/>
      <c r="EK11" s="34"/>
      <c r="EL11" s="34"/>
      <c r="EM11" s="34"/>
      <c r="EN11" s="34"/>
      <c r="EO11" s="34"/>
      <c r="EP11" s="34"/>
      <c r="EQ11" s="34"/>
      <c r="ER11" s="34"/>
      <c r="ES11" s="34"/>
      <c r="ET11" s="34"/>
      <c r="EU11" s="34"/>
      <c r="EV11" s="34"/>
      <c r="EW11" s="34"/>
      <c r="EX11" s="34"/>
      <c r="EY11" s="34"/>
      <c r="EZ11" s="34"/>
      <c r="FA11" s="34"/>
      <c r="FB11" s="34"/>
      <c r="FC11" s="34"/>
      <c r="FD11" s="34"/>
      <c r="FE11" s="34"/>
      <c r="FF11" s="34"/>
      <c r="FG11" s="34"/>
      <c r="FH11" s="34"/>
      <c r="FI11" s="34"/>
      <c r="FJ11" s="34"/>
      <c r="FK11" s="34"/>
      <c r="FL11" s="34"/>
      <c r="FM11" s="34"/>
      <c r="FN11" s="34"/>
      <c r="FO11" s="34"/>
      <c r="FP11" s="34"/>
      <c r="FQ11" s="34"/>
      <c r="FR11" s="34"/>
      <c r="FS11" s="34"/>
      <c r="FT11" s="34"/>
      <c r="FU11" s="34"/>
      <c r="FV11" s="34"/>
      <c r="FW11" s="34"/>
      <c r="FX11" s="34"/>
      <c r="FY11" s="34"/>
      <c r="FZ11" s="34"/>
      <c r="GA11" s="34"/>
      <c r="GB11" s="34"/>
      <c r="GC11" s="34"/>
      <c r="GD11" s="34"/>
      <c r="GE11" s="34"/>
    </row>
    <row r="12" spans="1:192" ht="17" customHeight="1">
      <c r="A12" s="53">
        <v>1</v>
      </c>
      <c r="B12" s="373" t="s">
        <v>582</v>
      </c>
      <c r="C12" s="54">
        <v>199.3</v>
      </c>
      <c r="D12" s="54">
        <v>93.2</v>
      </c>
      <c r="E12" s="54">
        <v>0</v>
      </c>
      <c r="F12" s="54">
        <v>0</v>
      </c>
      <c r="G12" s="54">
        <v>0</v>
      </c>
      <c r="H12" s="54">
        <v>0</v>
      </c>
      <c r="I12" s="54">
        <v>574.79999999999995</v>
      </c>
      <c r="J12" s="54">
        <v>0</v>
      </c>
      <c r="K12" s="54">
        <v>829.6</v>
      </c>
      <c r="L12" s="54">
        <v>21.8</v>
      </c>
      <c r="M12" s="54">
        <v>154.5</v>
      </c>
      <c r="N12" s="54">
        <v>182</v>
      </c>
      <c r="O12" s="54">
        <v>7.2</v>
      </c>
      <c r="P12" s="54">
        <v>0</v>
      </c>
      <c r="Q12" s="54">
        <v>0</v>
      </c>
      <c r="R12" s="54">
        <v>0</v>
      </c>
      <c r="S12" s="54">
        <v>27.5</v>
      </c>
      <c r="T12" s="54">
        <v>0</v>
      </c>
      <c r="U12" s="54">
        <v>0</v>
      </c>
      <c r="V12" s="54">
        <v>1</v>
      </c>
      <c r="W12" s="54">
        <v>0.6</v>
      </c>
      <c r="X12" s="54">
        <v>0</v>
      </c>
      <c r="Y12" s="54">
        <v>0</v>
      </c>
      <c r="Z12" s="55">
        <v>11.1</v>
      </c>
      <c r="AA12" s="55">
        <v>0</v>
      </c>
      <c r="AB12" s="55">
        <v>0</v>
      </c>
      <c r="AC12" s="55">
        <v>87.3</v>
      </c>
      <c r="AD12" s="55">
        <v>13.4</v>
      </c>
      <c r="AE12" s="55">
        <v>0.3</v>
      </c>
      <c r="AF12" s="55">
        <v>1</v>
      </c>
      <c r="AG12" s="55">
        <v>0.4</v>
      </c>
      <c r="AH12" s="55">
        <v>1.2</v>
      </c>
      <c r="AI12" s="55">
        <v>0.4</v>
      </c>
      <c r="AJ12" s="55">
        <f t="shared" ref="AJ12:AJ44" si="0">SUM(C12:AI12)</f>
        <v>2206.6</v>
      </c>
      <c r="AK12" s="53">
        <v>695.04569982388728</v>
      </c>
      <c r="AL12" s="326">
        <v>0</v>
      </c>
      <c r="AM12" s="326">
        <v>344.51033937810053</v>
      </c>
      <c r="AN12" s="326">
        <v>0</v>
      </c>
      <c r="AO12" s="326">
        <v>3055.9439607979398</v>
      </c>
      <c r="AP12" s="53">
        <f>SUM(AK12:AO12)</f>
        <v>4095.4999999999277</v>
      </c>
      <c r="AQ12" s="56">
        <f t="shared" ref="AQ12:AQ44" si="1">AP12+AJ12</f>
        <v>6302.0999999999276</v>
      </c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3"/>
      <c r="BC12" s="53"/>
      <c r="BD12" s="53"/>
      <c r="BE12" s="53"/>
      <c r="BF12" s="53"/>
      <c r="BG12" s="53"/>
      <c r="BH12" s="53"/>
      <c r="BI12" s="53"/>
      <c r="BJ12" s="53"/>
      <c r="BK12" s="53"/>
      <c r="BL12" s="53"/>
      <c r="BM12" s="53"/>
      <c r="BN12" s="53"/>
      <c r="BO12" s="53"/>
      <c r="BP12" s="53"/>
      <c r="BQ12" s="53"/>
      <c r="BR12" s="53"/>
      <c r="BS12" s="53"/>
      <c r="BT12" s="53"/>
      <c r="BU12" s="53"/>
      <c r="BV12" s="53"/>
      <c r="BW12" s="53"/>
      <c r="BX12" s="53"/>
      <c r="BY12" s="53"/>
      <c r="BZ12" s="53"/>
      <c r="CA12" s="53"/>
      <c r="CB12" s="53"/>
      <c r="CC12" s="53"/>
      <c r="CD12" s="53"/>
      <c r="CE12" s="53"/>
      <c r="CF12" s="53"/>
      <c r="CG12" s="53"/>
      <c r="CH12" s="53"/>
      <c r="CI12" s="53"/>
      <c r="CJ12" s="53"/>
      <c r="CK12" s="53"/>
      <c r="CL12" s="53"/>
      <c r="CM12" s="53"/>
      <c r="CN12" s="53"/>
      <c r="CO12" s="53"/>
      <c r="CP12" s="53"/>
      <c r="CQ12" s="53"/>
      <c r="CR12" s="53"/>
      <c r="CS12" s="53"/>
      <c r="CT12" s="53"/>
      <c r="CU12" s="53"/>
      <c r="CV12" s="53"/>
      <c r="CW12" s="53"/>
      <c r="CX12" s="53"/>
      <c r="CY12" s="53"/>
      <c r="CZ12" s="53"/>
      <c r="DA12" s="53"/>
      <c r="DB12" s="53"/>
      <c r="DC12" s="53"/>
      <c r="DD12" s="53"/>
      <c r="DE12" s="53"/>
      <c r="DF12" s="53"/>
      <c r="DG12" s="53"/>
      <c r="DH12" s="53"/>
      <c r="DI12" s="53"/>
      <c r="DJ12" s="53"/>
      <c r="DK12" s="53"/>
      <c r="DL12" s="53"/>
      <c r="DM12" s="53"/>
      <c r="DN12" s="53"/>
      <c r="DO12" s="53"/>
      <c r="DP12" s="53"/>
      <c r="DQ12" s="53"/>
      <c r="DR12" s="53"/>
      <c r="DS12" s="53"/>
      <c r="DT12" s="53"/>
      <c r="DU12" s="53"/>
      <c r="DV12" s="53"/>
      <c r="DW12" s="53"/>
      <c r="DX12" s="53"/>
      <c r="DY12" s="53"/>
      <c r="DZ12" s="53"/>
      <c r="EA12" s="53"/>
      <c r="EB12" s="53"/>
      <c r="EC12" s="53"/>
      <c r="ED12" s="53"/>
      <c r="EE12" s="53"/>
      <c r="EF12" s="53"/>
      <c r="EG12" s="53"/>
      <c r="EH12" s="53"/>
      <c r="EI12" s="53"/>
      <c r="EJ12" s="53"/>
      <c r="EK12" s="53"/>
      <c r="EL12" s="53"/>
      <c r="EM12" s="53"/>
      <c r="EN12" s="53"/>
      <c r="EO12" s="53"/>
      <c r="EP12" s="53"/>
      <c r="EQ12" s="53"/>
      <c r="ER12" s="53"/>
      <c r="ES12" s="53"/>
      <c r="ET12" s="53"/>
      <c r="EU12" s="53"/>
      <c r="EV12" s="53"/>
      <c r="EW12" s="53"/>
      <c r="EX12" s="53"/>
      <c r="EY12" s="53"/>
      <c r="EZ12" s="53"/>
      <c r="FA12" s="53"/>
      <c r="FB12" s="53"/>
      <c r="FC12" s="53"/>
      <c r="FD12" s="53"/>
      <c r="FE12" s="53"/>
      <c r="FF12" s="53"/>
      <c r="FG12" s="53"/>
      <c r="FH12" s="53"/>
      <c r="FI12" s="53"/>
      <c r="FJ12" s="53"/>
      <c r="FK12" s="53"/>
      <c r="FL12" s="53"/>
      <c r="FM12" s="53"/>
      <c r="FN12" s="53"/>
      <c r="FO12" s="53"/>
      <c r="FP12" s="53"/>
      <c r="FQ12" s="53"/>
      <c r="FR12" s="53"/>
      <c r="FS12" s="53"/>
      <c r="FT12" s="53"/>
      <c r="FU12" s="53"/>
      <c r="FV12" s="53"/>
      <c r="FW12" s="53"/>
      <c r="FX12" s="53"/>
      <c r="FY12" s="53"/>
      <c r="FZ12" s="53"/>
      <c r="GA12" s="53"/>
      <c r="GB12" s="53"/>
      <c r="GC12" s="53"/>
      <c r="GD12" s="53"/>
      <c r="GE12" s="53"/>
    </row>
    <row r="13" spans="1:192" ht="17" customHeight="1">
      <c r="A13" s="53">
        <v>2</v>
      </c>
      <c r="B13" s="373" t="s">
        <v>583</v>
      </c>
      <c r="C13" s="54">
        <v>0</v>
      </c>
      <c r="D13" s="54">
        <v>33.700000000000003</v>
      </c>
      <c r="E13" s="54">
        <v>0</v>
      </c>
      <c r="F13" s="54">
        <v>0</v>
      </c>
      <c r="G13" s="54">
        <v>0</v>
      </c>
      <c r="H13" s="54">
        <v>1616.2</v>
      </c>
      <c r="I13" s="54">
        <v>0</v>
      </c>
      <c r="J13" s="54">
        <v>259.2</v>
      </c>
      <c r="K13" s="54">
        <v>18.399999999999999</v>
      </c>
      <c r="L13" s="54">
        <v>0</v>
      </c>
      <c r="M13" s="54">
        <v>11.9</v>
      </c>
      <c r="N13" s="54">
        <v>0</v>
      </c>
      <c r="O13" s="54">
        <v>0</v>
      </c>
      <c r="P13" s="54">
        <v>0</v>
      </c>
      <c r="Q13" s="54">
        <v>0</v>
      </c>
      <c r="R13" s="54">
        <v>0</v>
      </c>
      <c r="S13" s="54">
        <v>0</v>
      </c>
      <c r="T13" s="54">
        <v>0</v>
      </c>
      <c r="U13" s="54">
        <v>0</v>
      </c>
      <c r="V13" s="54">
        <v>0.3</v>
      </c>
      <c r="W13" s="54">
        <v>0.2</v>
      </c>
      <c r="X13" s="54">
        <v>0</v>
      </c>
      <c r="Y13" s="54">
        <v>0</v>
      </c>
      <c r="Z13" s="55">
        <v>2.8</v>
      </c>
      <c r="AA13" s="55">
        <v>0</v>
      </c>
      <c r="AB13" s="55">
        <v>0</v>
      </c>
      <c r="AC13" s="55">
        <v>0.2</v>
      </c>
      <c r="AD13" s="55">
        <v>3.6</v>
      </c>
      <c r="AE13" s="55">
        <v>0.1</v>
      </c>
      <c r="AF13" s="55">
        <v>0.3</v>
      </c>
      <c r="AG13" s="55">
        <v>0.1</v>
      </c>
      <c r="AH13" s="55">
        <v>0.2</v>
      </c>
      <c r="AI13" s="55">
        <v>0.1</v>
      </c>
      <c r="AJ13" s="55">
        <f>SUM(C13:AI13)</f>
        <v>1947.3</v>
      </c>
      <c r="AK13" s="53">
        <v>251.72211517220379</v>
      </c>
      <c r="AL13" s="326">
        <v>0</v>
      </c>
      <c r="AM13" s="326">
        <v>123.5709105305766</v>
      </c>
      <c r="AN13" s="326">
        <v>153.918136560167</v>
      </c>
      <c r="AO13" s="326">
        <v>76.88883773712476</v>
      </c>
      <c r="AP13" s="53">
        <f>SUM(AK13:AO13)</f>
        <v>606.1000000000721</v>
      </c>
      <c r="AQ13" s="56">
        <f>AP13+AJ13</f>
        <v>2553.4000000000719</v>
      </c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3"/>
      <c r="BO13" s="53"/>
      <c r="BP13" s="53"/>
      <c r="BQ13" s="53"/>
      <c r="BR13" s="53"/>
      <c r="BS13" s="53"/>
      <c r="BT13" s="53"/>
      <c r="BU13" s="53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  <c r="CG13" s="53"/>
      <c r="CH13" s="53"/>
      <c r="CI13" s="53"/>
      <c r="CJ13" s="53"/>
      <c r="CK13" s="53"/>
      <c r="CL13" s="53"/>
      <c r="CM13" s="53"/>
      <c r="CN13" s="53"/>
      <c r="CO13" s="53"/>
      <c r="CP13" s="53"/>
      <c r="CQ13" s="53"/>
      <c r="CR13" s="53"/>
      <c r="CS13" s="53"/>
      <c r="CT13" s="53"/>
      <c r="CU13" s="53"/>
      <c r="CV13" s="53"/>
      <c r="CW13" s="53"/>
      <c r="CX13" s="53"/>
      <c r="CY13" s="53"/>
      <c r="CZ13" s="53"/>
      <c r="DA13" s="53"/>
      <c r="DB13" s="53"/>
      <c r="DC13" s="53"/>
      <c r="DD13" s="53"/>
      <c r="DE13" s="53"/>
      <c r="DF13" s="53"/>
      <c r="DG13" s="53"/>
      <c r="DH13" s="53"/>
      <c r="DI13" s="53"/>
      <c r="DJ13" s="53"/>
      <c r="DK13" s="53"/>
      <c r="DL13" s="53"/>
      <c r="DM13" s="53"/>
      <c r="DN13" s="53"/>
      <c r="DO13" s="53"/>
      <c r="DP13" s="53"/>
      <c r="DQ13" s="53"/>
      <c r="DR13" s="53"/>
      <c r="DS13" s="53"/>
      <c r="DT13" s="53"/>
      <c r="DU13" s="53"/>
      <c r="DV13" s="53"/>
      <c r="DW13" s="53"/>
      <c r="DX13" s="53"/>
      <c r="DY13" s="53"/>
      <c r="DZ13" s="53"/>
      <c r="EA13" s="53"/>
      <c r="EB13" s="53"/>
      <c r="EC13" s="53"/>
      <c r="ED13" s="53"/>
      <c r="EE13" s="53"/>
      <c r="EF13" s="53"/>
      <c r="EG13" s="53"/>
      <c r="EH13" s="53"/>
      <c r="EI13" s="53"/>
      <c r="EJ13" s="53"/>
      <c r="EK13" s="53"/>
      <c r="EL13" s="53"/>
      <c r="EM13" s="53"/>
      <c r="EN13" s="53"/>
      <c r="EO13" s="53"/>
      <c r="EP13" s="53"/>
      <c r="EQ13" s="53"/>
      <c r="ER13" s="53"/>
      <c r="ES13" s="53"/>
      <c r="ET13" s="53"/>
      <c r="EU13" s="53"/>
      <c r="EV13" s="53"/>
      <c r="EW13" s="53"/>
      <c r="EX13" s="53"/>
      <c r="EY13" s="53"/>
      <c r="EZ13" s="53"/>
      <c r="FA13" s="53"/>
      <c r="FB13" s="53"/>
      <c r="FC13" s="53"/>
      <c r="FD13" s="53"/>
      <c r="FE13" s="53"/>
      <c r="FF13" s="53"/>
      <c r="FG13" s="53"/>
      <c r="FH13" s="53"/>
      <c r="FI13" s="53"/>
      <c r="FJ13" s="53"/>
      <c r="FK13" s="53"/>
      <c r="FL13" s="53"/>
      <c r="FM13" s="53"/>
      <c r="FN13" s="53"/>
      <c r="FO13" s="53"/>
      <c r="FP13" s="53"/>
      <c r="FQ13" s="53"/>
      <c r="FR13" s="53"/>
      <c r="FS13" s="53"/>
      <c r="FT13" s="53"/>
      <c r="FU13" s="53"/>
      <c r="FV13" s="53"/>
      <c r="FW13" s="53"/>
      <c r="FX13" s="53"/>
      <c r="FY13" s="53"/>
      <c r="FZ13" s="53"/>
      <c r="GA13" s="53"/>
      <c r="GB13" s="53"/>
      <c r="GC13" s="53"/>
      <c r="GD13" s="53"/>
      <c r="GE13" s="53"/>
    </row>
    <row r="14" spans="1:192" ht="17" customHeight="1">
      <c r="A14" s="53">
        <v>3</v>
      </c>
      <c r="B14" s="373" t="s">
        <v>584</v>
      </c>
      <c r="C14" s="54">
        <v>1.4</v>
      </c>
      <c r="D14" s="54">
        <v>0.8</v>
      </c>
      <c r="E14" s="54">
        <v>23.4</v>
      </c>
      <c r="F14" s="54">
        <v>0</v>
      </c>
      <c r="G14" s="54">
        <v>0.1</v>
      </c>
      <c r="H14" s="54">
        <v>6.1</v>
      </c>
      <c r="I14" s="54">
        <v>2</v>
      </c>
      <c r="J14" s="54">
        <v>19.2</v>
      </c>
      <c r="K14" s="54">
        <v>9.1</v>
      </c>
      <c r="L14" s="54">
        <v>2.5</v>
      </c>
      <c r="M14" s="54">
        <v>5.2</v>
      </c>
      <c r="N14" s="54">
        <v>6.4</v>
      </c>
      <c r="O14" s="54">
        <v>0.6</v>
      </c>
      <c r="P14" s="54">
        <v>0</v>
      </c>
      <c r="Q14" s="54">
        <v>169</v>
      </c>
      <c r="R14" s="54">
        <v>0.3</v>
      </c>
      <c r="S14" s="54">
        <v>3.4</v>
      </c>
      <c r="T14" s="54">
        <v>0.1</v>
      </c>
      <c r="U14" s="54">
        <v>0.1</v>
      </c>
      <c r="V14" s="54">
        <v>0.2</v>
      </c>
      <c r="W14" s="54">
        <v>0.1</v>
      </c>
      <c r="X14" s="54">
        <v>0.2</v>
      </c>
      <c r="Y14" s="54">
        <v>0.7</v>
      </c>
      <c r="Z14" s="55">
        <v>1.1000000000000001</v>
      </c>
      <c r="AA14" s="55">
        <v>5.9</v>
      </c>
      <c r="AB14" s="55">
        <v>1</v>
      </c>
      <c r="AC14" s="55">
        <v>0.9</v>
      </c>
      <c r="AD14" s="55">
        <v>2.5</v>
      </c>
      <c r="AE14" s="55">
        <v>1.3</v>
      </c>
      <c r="AF14" s="55">
        <v>0.4</v>
      </c>
      <c r="AG14" s="55">
        <v>0.5</v>
      </c>
      <c r="AH14" s="55">
        <v>0.9</v>
      </c>
      <c r="AI14" s="55">
        <v>2</v>
      </c>
      <c r="AJ14" s="55">
        <f>SUM(C14:AI14)</f>
        <v>267.39999999999992</v>
      </c>
      <c r="AK14" s="53">
        <v>3.6334957727016328</v>
      </c>
      <c r="AL14" s="326">
        <v>0</v>
      </c>
      <c r="AM14" s="326">
        <v>2.2185087529469469</v>
      </c>
      <c r="AN14" s="326">
        <v>6.8303716392629017</v>
      </c>
      <c r="AO14" s="326">
        <v>43.217623835092468</v>
      </c>
      <c r="AP14" s="53">
        <f>SUM(AK14:AO14)</f>
        <v>55.900000000003949</v>
      </c>
      <c r="AQ14" s="56">
        <f>AP14+AJ14</f>
        <v>323.30000000000388</v>
      </c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3"/>
      <c r="BO14" s="53"/>
      <c r="BP14" s="53"/>
      <c r="BQ14" s="53"/>
      <c r="BR14" s="53"/>
      <c r="BS14" s="53"/>
      <c r="BT14" s="53"/>
      <c r="BU14" s="53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  <c r="CG14" s="53"/>
      <c r="CH14" s="53"/>
      <c r="CI14" s="53"/>
      <c r="CJ14" s="53"/>
      <c r="CK14" s="53"/>
      <c r="CL14" s="53"/>
      <c r="CM14" s="53"/>
      <c r="CN14" s="53"/>
      <c r="CO14" s="53"/>
      <c r="CP14" s="53"/>
      <c r="CQ14" s="53"/>
      <c r="CR14" s="53"/>
      <c r="CS14" s="53"/>
      <c r="CT14" s="53"/>
      <c r="CU14" s="53"/>
      <c r="CV14" s="53"/>
      <c r="CW14" s="53"/>
      <c r="CX14" s="53"/>
      <c r="CY14" s="53"/>
      <c r="CZ14" s="53"/>
      <c r="DA14" s="53"/>
      <c r="DB14" s="53"/>
      <c r="DC14" s="53"/>
      <c r="DD14" s="53"/>
      <c r="DE14" s="53"/>
      <c r="DF14" s="53"/>
      <c r="DG14" s="53"/>
      <c r="DH14" s="53"/>
      <c r="DI14" s="53"/>
      <c r="DJ14" s="53"/>
      <c r="DK14" s="53"/>
      <c r="DL14" s="53"/>
      <c r="DM14" s="53"/>
      <c r="DN14" s="53"/>
      <c r="DO14" s="53"/>
      <c r="DP14" s="53"/>
      <c r="DQ14" s="53"/>
      <c r="DR14" s="53"/>
      <c r="DS14" s="53"/>
      <c r="DT14" s="53"/>
      <c r="DU14" s="53"/>
      <c r="DV14" s="53"/>
      <c r="DW14" s="53"/>
      <c r="DX14" s="53"/>
      <c r="DY14" s="53"/>
      <c r="DZ14" s="53"/>
      <c r="EA14" s="53"/>
      <c r="EB14" s="53"/>
      <c r="EC14" s="53"/>
      <c r="ED14" s="53"/>
      <c r="EE14" s="53"/>
      <c r="EF14" s="53"/>
      <c r="EG14" s="53"/>
      <c r="EH14" s="53"/>
      <c r="EI14" s="53"/>
      <c r="EJ14" s="53"/>
      <c r="EK14" s="53"/>
      <c r="EL14" s="53"/>
      <c r="EM14" s="53"/>
      <c r="EN14" s="53"/>
      <c r="EO14" s="53"/>
      <c r="EP14" s="53"/>
      <c r="EQ14" s="53"/>
      <c r="ER14" s="53"/>
      <c r="ES14" s="53"/>
      <c r="ET14" s="53"/>
      <c r="EU14" s="53"/>
      <c r="EV14" s="53"/>
      <c r="EW14" s="53"/>
      <c r="EX14" s="53"/>
      <c r="EY14" s="53"/>
      <c r="EZ14" s="53"/>
      <c r="FA14" s="53"/>
      <c r="FB14" s="53"/>
      <c r="FC14" s="53"/>
      <c r="FD14" s="53"/>
      <c r="FE14" s="53"/>
      <c r="FF14" s="53"/>
      <c r="FG14" s="53"/>
      <c r="FH14" s="53"/>
      <c r="FI14" s="53"/>
      <c r="FJ14" s="53"/>
      <c r="FK14" s="53"/>
      <c r="FL14" s="53"/>
      <c r="FM14" s="53"/>
      <c r="FN14" s="53"/>
      <c r="FO14" s="53"/>
      <c r="FP14" s="53"/>
      <c r="FQ14" s="53"/>
      <c r="FR14" s="53"/>
      <c r="FS14" s="53"/>
      <c r="FT14" s="53"/>
      <c r="FU14" s="53"/>
      <c r="FV14" s="53"/>
      <c r="FW14" s="53"/>
      <c r="FX14" s="53"/>
      <c r="FY14" s="53"/>
      <c r="FZ14" s="53"/>
      <c r="GA14" s="53"/>
      <c r="GB14" s="53"/>
      <c r="GC14" s="53"/>
      <c r="GD14" s="53"/>
      <c r="GE14" s="53"/>
    </row>
    <row r="15" spans="1:192" ht="17" customHeight="1">
      <c r="A15" s="53">
        <v>4</v>
      </c>
      <c r="B15" s="373" t="s">
        <v>585</v>
      </c>
      <c r="C15" s="54">
        <v>0</v>
      </c>
      <c r="D15" s="54">
        <v>0</v>
      </c>
      <c r="E15" s="54">
        <v>0</v>
      </c>
      <c r="F15" s="54">
        <v>0.2</v>
      </c>
      <c r="G15" s="54">
        <v>0</v>
      </c>
      <c r="H15" s="54">
        <v>0</v>
      </c>
      <c r="I15" s="54">
        <v>0</v>
      </c>
      <c r="J15" s="54">
        <v>0</v>
      </c>
      <c r="K15" s="54">
        <v>0</v>
      </c>
      <c r="L15" s="54">
        <v>0</v>
      </c>
      <c r="M15" s="54">
        <v>0</v>
      </c>
      <c r="N15" s="54">
        <v>0</v>
      </c>
      <c r="O15" s="54">
        <v>0</v>
      </c>
      <c r="P15" s="54">
        <v>0</v>
      </c>
      <c r="Q15" s="54">
        <v>0</v>
      </c>
      <c r="R15" s="54">
        <v>0</v>
      </c>
      <c r="S15" s="54">
        <v>0</v>
      </c>
      <c r="T15" s="54">
        <v>0</v>
      </c>
      <c r="U15" s="54">
        <v>0</v>
      </c>
      <c r="V15" s="54">
        <v>0</v>
      </c>
      <c r="W15" s="54">
        <v>0</v>
      </c>
      <c r="X15" s="54">
        <v>0</v>
      </c>
      <c r="Y15" s="54">
        <v>0</v>
      </c>
      <c r="Z15" s="55">
        <v>0</v>
      </c>
      <c r="AA15" s="55">
        <v>0</v>
      </c>
      <c r="AB15" s="55">
        <v>0.1</v>
      </c>
      <c r="AC15" s="55">
        <v>0.4</v>
      </c>
      <c r="AD15" s="55">
        <v>0</v>
      </c>
      <c r="AE15" s="55">
        <v>0</v>
      </c>
      <c r="AF15" s="55">
        <v>0</v>
      </c>
      <c r="AG15" s="55">
        <v>0</v>
      </c>
      <c r="AH15" s="55">
        <v>0</v>
      </c>
      <c r="AI15" s="55">
        <v>0</v>
      </c>
      <c r="AJ15" s="55">
        <f>SUM(C15:AI15)</f>
        <v>0.70000000000000007</v>
      </c>
      <c r="AK15" s="53">
        <v>54.098689231207409</v>
      </c>
      <c r="AL15" s="326">
        <v>0</v>
      </c>
      <c r="AM15" s="326">
        <v>0.20024133837590169</v>
      </c>
      <c r="AN15" s="326">
        <v>0.35149180057010132</v>
      </c>
      <c r="AO15" s="326">
        <v>4.9577629842812367E-2</v>
      </c>
      <c r="AP15" s="53">
        <f>SUM(AK15:AO15)</f>
        <v>54.69999999999623</v>
      </c>
      <c r="AQ15" s="56">
        <f>AP15+AJ15</f>
        <v>55.399999999996233</v>
      </c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3"/>
      <c r="BO15" s="53"/>
      <c r="BP15" s="53"/>
      <c r="BQ15" s="53"/>
      <c r="BR15" s="53"/>
      <c r="BS15" s="53"/>
      <c r="BT15" s="53"/>
      <c r="BU15" s="53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  <c r="CG15" s="53"/>
      <c r="CH15" s="53"/>
      <c r="CI15" s="53"/>
      <c r="CJ15" s="53"/>
      <c r="CK15" s="53"/>
      <c r="CL15" s="53"/>
      <c r="CM15" s="53"/>
      <c r="CN15" s="53"/>
      <c r="CO15" s="53"/>
      <c r="CP15" s="53"/>
      <c r="CQ15" s="53"/>
      <c r="CR15" s="53"/>
      <c r="CS15" s="53"/>
      <c r="CT15" s="53"/>
      <c r="CU15" s="53"/>
      <c r="CV15" s="53"/>
      <c r="CW15" s="53"/>
      <c r="CX15" s="53"/>
      <c r="CY15" s="53"/>
      <c r="CZ15" s="53"/>
      <c r="DA15" s="53"/>
      <c r="DB15" s="53"/>
      <c r="DC15" s="53"/>
      <c r="DD15" s="53"/>
      <c r="DE15" s="53"/>
      <c r="DF15" s="53"/>
      <c r="DG15" s="53"/>
      <c r="DH15" s="53"/>
      <c r="DI15" s="53"/>
      <c r="DJ15" s="53"/>
      <c r="DK15" s="53"/>
      <c r="DL15" s="53"/>
      <c r="DM15" s="53"/>
      <c r="DN15" s="53"/>
      <c r="DO15" s="53"/>
      <c r="DP15" s="53"/>
      <c r="DQ15" s="53"/>
      <c r="DR15" s="53"/>
      <c r="DS15" s="53"/>
      <c r="DT15" s="53"/>
      <c r="DU15" s="53"/>
      <c r="DV15" s="53"/>
      <c r="DW15" s="53"/>
      <c r="DX15" s="53"/>
      <c r="DY15" s="53"/>
      <c r="DZ15" s="53"/>
      <c r="EA15" s="53"/>
      <c r="EB15" s="53"/>
      <c r="EC15" s="53"/>
      <c r="ED15" s="53"/>
      <c r="EE15" s="53"/>
      <c r="EF15" s="53"/>
      <c r="EG15" s="53"/>
      <c r="EH15" s="53"/>
      <c r="EI15" s="53"/>
      <c r="EJ15" s="53"/>
      <c r="EK15" s="53"/>
      <c r="EL15" s="53"/>
      <c r="EM15" s="53"/>
      <c r="EN15" s="53"/>
      <c r="EO15" s="53"/>
      <c r="EP15" s="53"/>
      <c r="EQ15" s="53"/>
      <c r="ER15" s="53"/>
      <c r="ES15" s="53"/>
      <c r="ET15" s="53"/>
      <c r="EU15" s="53"/>
      <c r="EV15" s="53"/>
      <c r="EW15" s="53"/>
      <c r="EX15" s="53"/>
      <c r="EY15" s="53"/>
      <c r="EZ15" s="53"/>
      <c r="FA15" s="53"/>
      <c r="FB15" s="53"/>
      <c r="FC15" s="53"/>
      <c r="FD15" s="53"/>
      <c r="FE15" s="53"/>
      <c r="FF15" s="53"/>
      <c r="FG15" s="53"/>
      <c r="FH15" s="53"/>
      <c r="FI15" s="53"/>
      <c r="FJ15" s="53"/>
      <c r="FK15" s="53"/>
      <c r="FL15" s="53"/>
      <c r="FM15" s="53"/>
      <c r="FN15" s="53"/>
      <c r="FO15" s="53"/>
      <c r="FP15" s="53"/>
      <c r="FQ15" s="53"/>
      <c r="FR15" s="53"/>
      <c r="FS15" s="53"/>
      <c r="FT15" s="53"/>
      <c r="FU15" s="53"/>
      <c r="FV15" s="53"/>
      <c r="FW15" s="53"/>
      <c r="FX15" s="53"/>
      <c r="FY15" s="53"/>
      <c r="FZ15" s="53"/>
      <c r="GA15" s="53"/>
      <c r="GB15" s="53"/>
      <c r="GC15" s="53"/>
      <c r="GD15" s="53"/>
      <c r="GE15" s="53"/>
    </row>
    <row r="16" spans="1:192" ht="17" customHeight="1">
      <c r="A16" s="58">
        <v>5</v>
      </c>
      <c r="B16" s="373" t="s">
        <v>10</v>
      </c>
      <c r="C16" s="59">
        <v>1</v>
      </c>
      <c r="D16" s="59">
        <v>0.3</v>
      </c>
      <c r="E16" s="59">
        <v>0</v>
      </c>
      <c r="F16" s="59">
        <v>0</v>
      </c>
      <c r="G16" s="59">
        <v>1.7</v>
      </c>
      <c r="H16" s="59">
        <v>0.1</v>
      </c>
      <c r="I16" s="59">
        <v>0</v>
      </c>
      <c r="J16" s="59">
        <v>0</v>
      </c>
      <c r="K16" s="59">
        <v>0</v>
      </c>
      <c r="L16" s="59">
        <v>0</v>
      </c>
      <c r="M16" s="59">
        <v>0</v>
      </c>
      <c r="N16" s="59">
        <v>0</v>
      </c>
      <c r="O16" s="59">
        <v>0</v>
      </c>
      <c r="P16" s="59">
        <v>0</v>
      </c>
      <c r="Q16" s="59">
        <v>0</v>
      </c>
      <c r="R16" s="59">
        <v>0</v>
      </c>
      <c r="S16" s="59">
        <v>2.2000000000000002</v>
      </c>
      <c r="T16" s="59">
        <v>133.4</v>
      </c>
      <c r="U16" s="59">
        <v>1.1000000000000001</v>
      </c>
      <c r="V16" s="59">
        <v>0.1</v>
      </c>
      <c r="W16" s="59">
        <v>0.1</v>
      </c>
      <c r="X16" s="59">
        <v>0</v>
      </c>
      <c r="Y16" s="59">
        <v>0</v>
      </c>
      <c r="Z16" s="59">
        <v>175.1</v>
      </c>
      <c r="AA16" s="59">
        <v>1.2</v>
      </c>
      <c r="AB16" s="59">
        <v>0.1</v>
      </c>
      <c r="AC16" s="59">
        <v>0.1</v>
      </c>
      <c r="AD16" s="59">
        <v>0.7</v>
      </c>
      <c r="AE16" s="59">
        <v>0.1</v>
      </c>
      <c r="AF16" s="59">
        <v>0.1</v>
      </c>
      <c r="AG16" s="59">
        <v>0.2</v>
      </c>
      <c r="AH16" s="59">
        <v>0.2</v>
      </c>
      <c r="AI16" s="59">
        <v>0.1</v>
      </c>
      <c r="AJ16" s="60">
        <f t="shared" si="0"/>
        <v>317.90000000000009</v>
      </c>
      <c r="AK16" s="58">
        <v>59.2</v>
      </c>
      <c r="AL16" s="327">
        <v>0</v>
      </c>
      <c r="AM16" s="327">
        <v>48.6</v>
      </c>
      <c r="AN16" s="327">
        <v>-6.2</v>
      </c>
      <c r="AO16" s="327">
        <v>11.5</v>
      </c>
      <c r="AP16" s="58">
        <f t="shared" ref="AP16:AP44" si="2">SUM(AK16:AO16)</f>
        <v>113.10000000000001</v>
      </c>
      <c r="AQ16" s="61">
        <f t="shared" si="1"/>
        <v>431.00000000000011</v>
      </c>
      <c r="AR16" s="58"/>
      <c r="AS16" s="58"/>
      <c r="AT16" s="58"/>
      <c r="AU16" s="58"/>
      <c r="AV16" s="58"/>
      <c r="AW16" s="58"/>
      <c r="AX16" s="58"/>
      <c r="AY16" s="58"/>
      <c r="AZ16" s="58"/>
      <c r="BA16" s="58"/>
      <c r="BB16" s="58"/>
      <c r="BC16" s="58"/>
      <c r="BD16" s="58"/>
      <c r="BE16" s="58"/>
      <c r="BF16" s="58"/>
      <c r="BG16" s="58"/>
      <c r="BH16" s="58"/>
      <c r="BI16" s="58"/>
      <c r="BJ16" s="58"/>
      <c r="BK16" s="58"/>
      <c r="BL16" s="58"/>
      <c r="BM16" s="58"/>
      <c r="BN16" s="58"/>
      <c r="BO16" s="58"/>
      <c r="BP16" s="58"/>
      <c r="BQ16" s="58"/>
      <c r="BR16" s="58"/>
      <c r="BS16" s="58"/>
      <c r="BT16" s="58"/>
      <c r="BU16" s="58"/>
      <c r="BV16" s="58"/>
      <c r="BW16" s="58"/>
      <c r="BX16" s="58"/>
      <c r="BY16" s="58"/>
      <c r="BZ16" s="58"/>
      <c r="CA16" s="58"/>
      <c r="CB16" s="58"/>
      <c r="CC16" s="58"/>
      <c r="CD16" s="58"/>
      <c r="CE16" s="58"/>
      <c r="CF16" s="58"/>
      <c r="CG16" s="58"/>
      <c r="CH16" s="58"/>
      <c r="CI16" s="58"/>
      <c r="CJ16" s="58"/>
      <c r="CK16" s="58"/>
      <c r="CL16" s="58"/>
      <c r="CM16" s="58"/>
      <c r="CN16" s="58"/>
      <c r="CO16" s="58"/>
      <c r="CP16" s="58"/>
      <c r="CQ16" s="58"/>
      <c r="CR16" s="58"/>
      <c r="CS16" s="58"/>
      <c r="CT16" s="58"/>
      <c r="CU16" s="58"/>
      <c r="CV16" s="58"/>
      <c r="CW16" s="58"/>
      <c r="CX16" s="58"/>
      <c r="CY16" s="58"/>
      <c r="CZ16" s="58"/>
      <c r="DA16" s="58"/>
      <c r="DB16" s="58"/>
      <c r="DC16" s="58"/>
      <c r="DD16" s="58"/>
      <c r="DE16" s="58"/>
      <c r="DF16" s="58"/>
      <c r="DG16" s="58"/>
      <c r="DH16" s="58"/>
      <c r="DI16" s="58"/>
      <c r="DJ16" s="58"/>
      <c r="DK16" s="58"/>
      <c r="DL16" s="58"/>
      <c r="DM16" s="58"/>
      <c r="DN16" s="58"/>
      <c r="DO16" s="58"/>
      <c r="DP16" s="58"/>
      <c r="DQ16" s="58"/>
      <c r="DR16" s="58"/>
      <c r="DS16" s="58"/>
      <c r="DT16" s="58"/>
      <c r="DU16" s="58"/>
      <c r="DV16" s="58"/>
      <c r="DW16" s="58"/>
      <c r="DX16" s="58"/>
      <c r="DY16" s="58"/>
      <c r="DZ16" s="58"/>
      <c r="EA16" s="58"/>
      <c r="EB16" s="58"/>
      <c r="EC16" s="58"/>
      <c r="ED16" s="58"/>
      <c r="EE16" s="58"/>
      <c r="EF16" s="58"/>
      <c r="EG16" s="58"/>
      <c r="EH16" s="58"/>
      <c r="EI16" s="58"/>
      <c r="EJ16" s="58"/>
      <c r="EK16" s="58"/>
      <c r="EL16" s="58"/>
      <c r="EM16" s="58"/>
      <c r="EN16" s="58"/>
      <c r="EO16" s="58"/>
      <c r="EP16" s="58"/>
      <c r="EQ16" s="58"/>
      <c r="ER16" s="58"/>
      <c r="ES16" s="58"/>
      <c r="ET16" s="58"/>
      <c r="EU16" s="58"/>
      <c r="EV16" s="58"/>
      <c r="EW16" s="58"/>
      <c r="EX16" s="58"/>
      <c r="EY16" s="58"/>
      <c r="EZ16" s="58"/>
      <c r="FA16" s="58"/>
      <c r="FB16" s="58"/>
      <c r="FC16" s="58"/>
      <c r="FD16" s="58"/>
      <c r="FE16" s="58"/>
      <c r="FF16" s="58"/>
      <c r="FG16" s="58"/>
      <c r="FH16" s="58"/>
      <c r="FI16" s="58"/>
      <c r="FJ16" s="58"/>
      <c r="FK16" s="58"/>
      <c r="FL16" s="58"/>
      <c r="FM16" s="58"/>
      <c r="FN16" s="58"/>
      <c r="FO16" s="58"/>
      <c r="FP16" s="58"/>
      <c r="FQ16" s="58"/>
      <c r="FR16" s="58"/>
      <c r="FS16" s="58"/>
      <c r="FT16" s="58"/>
      <c r="FU16" s="58"/>
      <c r="FV16" s="58"/>
      <c r="FW16" s="58"/>
      <c r="FX16" s="58"/>
      <c r="FY16" s="58"/>
      <c r="FZ16" s="58"/>
      <c r="GA16" s="58"/>
      <c r="GB16" s="58"/>
      <c r="GC16" s="58"/>
      <c r="GD16" s="58"/>
      <c r="GE16" s="58"/>
    </row>
    <row r="17" spans="1:187" ht="17" customHeight="1">
      <c r="A17" s="53">
        <v>6</v>
      </c>
      <c r="B17" s="373" t="s">
        <v>586</v>
      </c>
      <c r="C17" s="54">
        <v>0.9</v>
      </c>
      <c r="D17" s="54">
        <v>0.3</v>
      </c>
      <c r="E17" s="54">
        <v>0</v>
      </c>
      <c r="F17" s="54">
        <v>0</v>
      </c>
      <c r="G17" s="54">
        <v>0.1</v>
      </c>
      <c r="H17" s="54">
        <v>79</v>
      </c>
      <c r="I17" s="54">
        <v>0</v>
      </c>
      <c r="J17" s="54">
        <v>0.1</v>
      </c>
      <c r="K17" s="54">
        <v>7.9</v>
      </c>
      <c r="L17" s="54">
        <v>0</v>
      </c>
      <c r="M17" s="54">
        <v>34.4</v>
      </c>
      <c r="N17" s="54">
        <v>0.2</v>
      </c>
      <c r="O17" s="54">
        <v>0</v>
      </c>
      <c r="P17" s="54">
        <v>25.4</v>
      </c>
      <c r="Q17" s="54">
        <v>0.1</v>
      </c>
      <c r="R17" s="54">
        <v>0.1</v>
      </c>
      <c r="S17" s="54">
        <v>0.8</v>
      </c>
      <c r="T17" s="54">
        <v>0.1</v>
      </c>
      <c r="U17" s="54">
        <v>0</v>
      </c>
      <c r="V17" s="54">
        <v>0.1</v>
      </c>
      <c r="W17" s="54">
        <v>0.1</v>
      </c>
      <c r="X17" s="54">
        <v>0.1</v>
      </c>
      <c r="Y17" s="54">
        <v>0</v>
      </c>
      <c r="Z17" s="54">
        <v>0.4</v>
      </c>
      <c r="AA17" s="54">
        <v>1.2</v>
      </c>
      <c r="AB17" s="54">
        <v>0.6</v>
      </c>
      <c r="AC17" s="54">
        <v>235.1</v>
      </c>
      <c r="AD17" s="54">
        <v>0.1</v>
      </c>
      <c r="AE17" s="54">
        <v>0.1</v>
      </c>
      <c r="AF17" s="54">
        <v>0.1</v>
      </c>
      <c r="AG17" s="54">
        <v>0.2</v>
      </c>
      <c r="AH17" s="54">
        <v>3.3</v>
      </c>
      <c r="AI17" s="54">
        <v>0.2</v>
      </c>
      <c r="AJ17" s="55">
        <f t="shared" si="0"/>
        <v>391</v>
      </c>
      <c r="AK17" s="53">
        <v>1811.0917377908261</v>
      </c>
      <c r="AL17" s="326">
        <v>0</v>
      </c>
      <c r="AM17" s="326">
        <v>0.74251009416414271</v>
      </c>
      <c r="AN17" s="326">
        <v>1.7685092209646669</v>
      </c>
      <c r="AO17" s="326">
        <v>1979.255839662841</v>
      </c>
      <c r="AP17" s="53">
        <f t="shared" si="2"/>
        <v>3792.8585967687959</v>
      </c>
      <c r="AQ17" s="56">
        <f t="shared" si="1"/>
        <v>4183.8585967687959</v>
      </c>
      <c r="AR17" s="53"/>
      <c r="AS17" s="53"/>
      <c r="AT17" s="53"/>
      <c r="AU17" s="53"/>
      <c r="AV17" s="53"/>
      <c r="AW17" s="53"/>
      <c r="AX17" s="53"/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3"/>
      <c r="BO17" s="53"/>
      <c r="BP17" s="53"/>
      <c r="BQ17" s="53"/>
      <c r="BR17" s="53"/>
      <c r="BS17" s="53"/>
      <c r="BT17" s="53"/>
      <c r="BU17" s="53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  <c r="CG17" s="53"/>
      <c r="CH17" s="53"/>
      <c r="CI17" s="53"/>
      <c r="CJ17" s="53"/>
      <c r="CK17" s="53"/>
      <c r="CL17" s="53"/>
      <c r="CM17" s="53"/>
      <c r="CN17" s="53"/>
      <c r="CO17" s="53"/>
      <c r="CP17" s="53"/>
      <c r="CQ17" s="53"/>
      <c r="CR17" s="53"/>
      <c r="CS17" s="53"/>
      <c r="CT17" s="53"/>
      <c r="CU17" s="53"/>
      <c r="CV17" s="53"/>
      <c r="CW17" s="53"/>
      <c r="CX17" s="53"/>
      <c r="CY17" s="53"/>
      <c r="CZ17" s="53"/>
      <c r="DA17" s="53"/>
      <c r="DB17" s="53"/>
      <c r="DC17" s="53"/>
      <c r="DD17" s="53"/>
      <c r="DE17" s="53"/>
      <c r="DF17" s="53"/>
      <c r="DG17" s="53"/>
      <c r="DH17" s="53"/>
      <c r="DI17" s="53"/>
      <c r="DJ17" s="53"/>
      <c r="DK17" s="53"/>
      <c r="DL17" s="53"/>
      <c r="DM17" s="53"/>
      <c r="DN17" s="53"/>
      <c r="DO17" s="53"/>
      <c r="DP17" s="53"/>
      <c r="DQ17" s="53"/>
      <c r="DR17" s="53"/>
      <c r="DS17" s="53"/>
      <c r="DT17" s="53"/>
      <c r="DU17" s="53"/>
      <c r="DV17" s="53"/>
      <c r="DW17" s="53"/>
      <c r="DX17" s="53"/>
      <c r="DY17" s="53"/>
      <c r="DZ17" s="53"/>
      <c r="EA17" s="53"/>
      <c r="EB17" s="53"/>
      <c r="EC17" s="53"/>
      <c r="ED17" s="53"/>
      <c r="EE17" s="53"/>
      <c r="EF17" s="53"/>
      <c r="EG17" s="53"/>
      <c r="EH17" s="53"/>
      <c r="EI17" s="53"/>
      <c r="EJ17" s="53"/>
      <c r="EK17" s="53"/>
      <c r="EL17" s="53"/>
      <c r="EM17" s="53"/>
      <c r="EN17" s="53"/>
      <c r="EO17" s="53"/>
      <c r="EP17" s="53"/>
      <c r="EQ17" s="53"/>
      <c r="ER17" s="53"/>
      <c r="ES17" s="53"/>
      <c r="ET17" s="53"/>
      <c r="EU17" s="53"/>
      <c r="EV17" s="53"/>
      <c r="EW17" s="53"/>
      <c r="EX17" s="53"/>
      <c r="EY17" s="53"/>
      <c r="EZ17" s="53"/>
      <c r="FA17" s="53"/>
      <c r="FB17" s="53"/>
      <c r="FC17" s="53"/>
      <c r="FD17" s="53"/>
      <c r="FE17" s="53"/>
      <c r="FF17" s="53"/>
      <c r="FG17" s="53"/>
      <c r="FH17" s="53"/>
      <c r="FI17" s="53"/>
      <c r="FJ17" s="53"/>
      <c r="FK17" s="53"/>
      <c r="FL17" s="53"/>
      <c r="FM17" s="53"/>
      <c r="FN17" s="53"/>
      <c r="FO17" s="53"/>
      <c r="FP17" s="53"/>
      <c r="FQ17" s="53"/>
      <c r="FR17" s="53"/>
      <c r="FS17" s="53"/>
      <c r="FT17" s="53"/>
      <c r="FU17" s="53"/>
      <c r="FV17" s="53"/>
      <c r="FW17" s="53"/>
      <c r="FX17" s="53"/>
      <c r="FY17" s="53"/>
      <c r="FZ17" s="53"/>
      <c r="GA17" s="53"/>
      <c r="GB17" s="53"/>
      <c r="GC17" s="53"/>
      <c r="GD17" s="53"/>
      <c r="GE17" s="53"/>
    </row>
    <row r="18" spans="1:187" ht="17" customHeight="1">
      <c r="A18" s="53">
        <v>7</v>
      </c>
      <c r="B18" s="373" t="s">
        <v>587</v>
      </c>
      <c r="C18" s="54">
        <v>4</v>
      </c>
      <c r="D18" s="54">
        <v>1.3</v>
      </c>
      <c r="E18" s="54">
        <v>0.1</v>
      </c>
      <c r="F18" s="54">
        <v>0</v>
      </c>
      <c r="G18" s="54">
        <v>0.3</v>
      </c>
      <c r="H18" s="54">
        <v>1.8</v>
      </c>
      <c r="I18" s="54">
        <v>0.2</v>
      </c>
      <c r="J18" s="54">
        <v>0.4</v>
      </c>
      <c r="K18" s="54">
        <v>4.3</v>
      </c>
      <c r="L18" s="54">
        <v>0</v>
      </c>
      <c r="M18" s="54">
        <v>70.8</v>
      </c>
      <c r="N18" s="54">
        <v>0.8</v>
      </c>
      <c r="O18" s="54">
        <v>0.1</v>
      </c>
      <c r="P18" s="54">
        <v>0.1</v>
      </c>
      <c r="Q18" s="54">
        <v>0.3</v>
      </c>
      <c r="R18" s="54">
        <v>0.5</v>
      </c>
      <c r="S18" s="54">
        <v>1.5</v>
      </c>
      <c r="T18" s="54">
        <v>0.3</v>
      </c>
      <c r="U18" s="54">
        <v>0</v>
      </c>
      <c r="V18" s="54">
        <v>0.4</v>
      </c>
      <c r="W18" s="54">
        <v>0.3</v>
      </c>
      <c r="X18" s="54">
        <v>0.5</v>
      </c>
      <c r="Y18" s="54">
        <v>0.1</v>
      </c>
      <c r="Z18" s="54">
        <v>1.6</v>
      </c>
      <c r="AA18" s="54">
        <v>5.3</v>
      </c>
      <c r="AB18" s="54">
        <v>2.1</v>
      </c>
      <c r="AC18" s="54">
        <v>27</v>
      </c>
      <c r="AD18" s="54">
        <v>0.5</v>
      </c>
      <c r="AE18" s="54">
        <v>0.3</v>
      </c>
      <c r="AF18" s="54">
        <v>0.3</v>
      </c>
      <c r="AG18" s="54">
        <v>1</v>
      </c>
      <c r="AH18" s="54">
        <v>1.4</v>
      </c>
      <c r="AI18" s="54">
        <v>0.8</v>
      </c>
      <c r="AJ18" s="55">
        <f t="shared" ref="AJ18:AJ23" si="3">SUM(C18:AI18)</f>
        <v>128.39999999999995</v>
      </c>
      <c r="AK18" s="53">
        <v>139.2904194227213</v>
      </c>
      <c r="AL18" s="326">
        <v>0</v>
      </c>
      <c r="AM18" s="326">
        <v>1.7201951075638919</v>
      </c>
      <c r="AN18" s="326">
        <v>41.521766201692863</v>
      </c>
      <c r="AO18" s="326">
        <v>1111.485259213759</v>
      </c>
      <c r="AP18" s="53">
        <f t="shared" ref="AP18:AP23" si="4">SUM(AK18:AO18)</f>
        <v>1294.0176399457371</v>
      </c>
      <c r="AQ18" s="56">
        <f t="shared" ref="AQ18:AQ23" si="5">AP18+AJ18</f>
        <v>1422.4176399457369</v>
      </c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3"/>
      <c r="BO18" s="53"/>
      <c r="BP18" s="53"/>
      <c r="BQ18" s="53"/>
      <c r="BR18" s="53"/>
      <c r="BS18" s="53"/>
      <c r="BT18" s="53"/>
      <c r="BU18" s="53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  <c r="CG18" s="53"/>
      <c r="CH18" s="53"/>
      <c r="CI18" s="53"/>
      <c r="CJ18" s="53"/>
      <c r="CK18" s="53"/>
      <c r="CL18" s="53"/>
      <c r="CM18" s="53"/>
      <c r="CN18" s="53"/>
      <c r="CO18" s="53"/>
      <c r="CP18" s="53"/>
      <c r="CQ18" s="53"/>
      <c r="CR18" s="53"/>
      <c r="CS18" s="53"/>
      <c r="CT18" s="53"/>
      <c r="CU18" s="53"/>
      <c r="CV18" s="53"/>
      <c r="CW18" s="53"/>
      <c r="CX18" s="53"/>
      <c r="CY18" s="53"/>
      <c r="CZ18" s="53"/>
      <c r="DA18" s="53"/>
      <c r="DB18" s="53"/>
      <c r="DC18" s="53"/>
      <c r="DD18" s="53"/>
      <c r="DE18" s="53"/>
      <c r="DF18" s="53"/>
      <c r="DG18" s="53"/>
      <c r="DH18" s="53"/>
      <c r="DI18" s="53"/>
      <c r="DJ18" s="53"/>
      <c r="DK18" s="53"/>
      <c r="DL18" s="53"/>
      <c r="DM18" s="53"/>
      <c r="DN18" s="53"/>
      <c r="DO18" s="53"/>
      <c r="DP18" s="53"/>
      <c r="DQ18" s="53"/>
      <c r="DR18" s="53"/>
      <c r="DS18" s="53"/>
      <c r="DT18" s="53"/>
      <c r="DU18" s="53"/>
      <c r="DV18" s="53"/>
      <c r="DW18" s="53"/>
      <c r="DX18" s="53"/>
      <c r="DY18" s="53"/>
      <c r="DZ18" s="53"/>
      <c r="EA18" s="53"/>
      <c r="EB18" s="53"/>
      <c r="EC18" s="53"/>
      <c r="ED18" s="53"/>
      <c r="EE18" s="53"/>
      <c r="EF18" s="53"/>
      <c r="EG18" s="53"/>
      <c r="EH18" s="53"/>
      <c r="EI18" s="53"/>
      <c r="EJ18" s="53"/>
      <c r="EK18" s="53"/>
      <c r="EL18" s="53"/>
      <c r="EM18" s="53"/>
      <c r="EN18" s="53"/>
      <c r="EO18" s="53"/>
      <c r="EP18" s="53"/>
      <c r="EQ18" s="53"/>
      <c r="ER18" s="53"/>
      <c r="ES18" s="53"/>
      <c r="ET18" s="53"/>
      <c r="EU18" s="53"/>
      <c r="EV18" s="53"/>
      <c r="EW18" s="53"/>
      <c r="EX18" s="53"/>
      <c r="EY18" s="53"/>
      <c r="EZ18" s="53"/>
      <c r="FA18" s="53"/>
      <c r="FB18" s="53"/>
      <c r="FC18" s="53"/>
      <c r="FD18" s="53"/>
      <c r="FE18" s="53"/>
      <c r="FF18" s="53"/>
      <c r="FG18" s="53"/>
      <c r="FH18" s="53"/>
      <c r="FI18" s="53"/>
      <c r="FJ18" s="53"/>
      <c r="FK18" s="53"/>
      <c r="FL18" s="53"/>
      <c r="FM18" s="53"/>
      <c r="FN18" s="53"/>
      <c r="FO18" s="53"/>
      <c r="FP18" s="53"/>
      <c r="FQ18" s="53"/>
      <c r="FR18" s="53"/>
      <c r="FS18" s="53"/>
      <c r="FT18" s="53"/>
      <c r="FU18" s="53"/>
      <c r="FV18" s="53"/>
      <c r="FW18" s="53"/>
      <c r="FX18" s="53"/>
      <c r="FY18" s="53"/>
      <c r="FZ18" s="53"/>
      <c r="GA18" s="53"/>
      <c r="GB18" s="53"/>
      <c r="GC18" s="53"/>
      <c r="GD18" s="53"/>
      <c r="GE18" s="53"/>
    </row>
    <row r="19" spans="1:187" ht="17" customHeight="1">
      <c r="A19" s="53">
        <v>8</v>
      </c>
      <c r="B19" s="373" t="s">
        <v>588</v>
      </c>
      <c r="C19" s="54">
        <v>0.3</v>
      </c>
      <c r="D19" s="54">
        <v>0.1</v>
      </c>
      <c r="E19" s="54">
        <v>0</v>
      </c>
      <c r="F19" s="54">
        <v>0</v>
      </c>
      <c r="G19" s="54">
        <v>0</v>
      </c>
      <c r="H19" s="54">
        <v>0.2</v>
      </c>
      <c r="I19" s="54">
        <v>0</v>
      </c>
      <c r="J19" s="54">
        <v>15.6</v>
      </c>
      <c r="K19" s="54">
        <v>69.8</v>
      </c>
      <c r="L19" s="54">
        <v>0</v>
      </c>
      <c r="M19" s="54">
        <v>27.9</v>
      </c>
      <c r="N19" s="54">
        <v>0.1</v>
      </c>
      <c r="O19" s="54">
        <v>0</v>
      </c>
      <c r="P19" s="54">
        <v>0</v>
      </c>
      <c r="Q19" s="54">
        <v>0</v>
      </c>
      <c r="R19" s="54">
        <v>0</v>
      </c>
      <c r="S19" s="54">
        <v>0.1</v>
      </c>
      <c r="T19" s="54">
        <v>0</v>
      </c>
      <c r="U19" s="54">
        <v>0</v>
      </c>
      <c r="V19" s="54">
        <v>0</v>
      </c>
      <c r="W19" s="54">
        <v>0</v>
      </c>
      <c r="X19" s="54">
        <v>0</v>
      </c>
      <c r="Y19" s="54">
        <v>0</v>
      </c>
      <c r="Z19" s="54">
        <v>0.1</v>
      </c>
      <c r="AA19" s="54">
        <v>0.4</v>
      </c>
      <c r="AB19" s="54">
        <v>0.2</v>
      </c>
      <c r="AC19" s="54">
        <v>38.4</v>
      </c>
      <c r="AD19" s="54">
        <v>0</v>
      </c>
      <c r="AE19" s="54">
        <v>0</v>
      </c>
      <c r="AF19" s="54">
        <v>0</v>
      </c>
      <c r="AG19" s="54">
        <v>0.1</v>
      </c>
      <c r="AH19" s="54">
        <v>1</v>
      </c>
      <c r="AI19" s="54">
        <v>0.1</v>
      </c>
      <c r="AJ19" s="55">
        <f t="shared" si="3"/>
        <v>154.39999999999998</v>
      </c>
      <c r="AK19" s="53">
        <v>729.3483253855012</v>
      </c>
      <c r="AL19" s="326">
        <v>0</v>
      </c>
      <c r="AM19" s="326">
        <v>0.29123377569509529</v>
      </c>
      <c r="AN19" s="326">
        <v>0.2259350003170541</v>
      </c>
      <c r="AO19" s="326">
        <v>55.284533568544248</v>
      </c>
      <c r="AP19" s="53">
        <f t="shared" si="4"/>
        <v>785.15002773005756</v>
      </c>
      <c r="AQ19" s="56">
        <f t="shared" si="5"/>
        <v>939.55002773005754</v>
      </c>
      <c r="AR19" s="53"/>
      <c r="AS19" s="53"/>
      <c r="AT19" s="53"/>
      <c r="AU19" s="53"/>
      <c r="AV19" s="53"/>
      <c r="AW19" s="53"/>
      <c r="AX19" s="53"/>
      <c r="AY19" s="53"/>
      <c r="AZ19" s="53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3"/>
      <c r="BO19" s="53"/>
      <c r="BP19" s="53"/>
      <c r="BQ19" s="53"/>
      <c r="BR19" s="53"/>
      <c r="BS19" s="53"/>
      <c r="BT19" s="53"/>
      <c r="BU19" s="53"/>
      <c r="BV19" s="53"/>
      <c r="BW19" s="53"/>
      <c r="BX19" s="53"/>
      <c r="BY19" s="53"/>
      <c r="BZ19" s="53"/>
      <c r="CA19" s="53"/>
      <c r="CB19" s="53"/>
      <c r="CC19" s="53"/>
      <c r="CD19" s="53"/>
      <c r="CE19" s="53"/>
      <c r="CF19" s="53"/>
      <c r="CG19" s="53"/>
      <c r="CH19" s="53"/>
      <c r="CI19" s="53"/>
      <c r="CJ19" s="53"/>
      <c r="CK19" s="53"/>
      <c r="CL19" s="53"/>
      <c r="CM19" s="53"/>
      <c r="CN19" s="53"/>
      <c r="CO19" s="53"/>
      <c r="CP19" s="53"/>
      <c r="CQ19" s="53"/>
      <c r="CR19" s="53"/>
      <c r="CS19" s="53"/>
      <c r="CT19" s="53"/>
      <c r="CU19" s="53"/>
      <c r="CV19" s="53"/>
      <c r="CW19" s="53"/>
      <c r="CX19" s="53"/>
      <c r="CY19" s="53"/>
      <c r="CZ19" s="53"/>
      <c r="DA19" s="53"/>
      <c r="DB19" s="53"/>
      <c r="DC19" s="53"/>
      <c r="DD19" s="53"/>
      <c r="DE19" s="53"/>
      <c r="DF19" s="53"/>
      <c r="DG19" s="53"/>
      <c r="DH19" s="53"/>
      <c r="DI19" s="53"/>
      <c r="DJ19" s="53"/>
      <c r="DK19" s="53"/>
      <c r="DL19" s="53"/>
      <c r="DM19" s="53"/>
      <c r="DN19" s="53"/>
      <c r="DO19" s="53"/>
      <c r="DP19" s="53"/>
      <c r="DQ19" s="53"/>
      <c r="DR19" s="53"/>
      <c r="DS19" s="53"/>
      <c r="DT19" s="53"/>
      <c r="DU19" s="53"/>
      <c r="DV19" s="53"/>
      <c r="DW19" s="53"/>
      <c r="DX19" s="53"/>
      <c r="DY19" s="53"/>
      <c r="DZ19" s="53"/>
      <c r="EA19" s="53"/>
      <c r="EB19" s="53"/>
      <c r="EC19" s="53"/>
      <c r="ED19" s="53"/>
      <c r="EE19" s="53"/>
      <c r="EF19" s="53"/>
      <c r="EG19" s="53"/>
      <c r="EH19" s="53"/>
      <c r="EI19" s="53"/>
      <c r="EJ19" s="53"/>
      <c r="EK19" s="53"/>
      <c r="EL19" s="53"/>
      <c r="EM19" s="53"/>
      <c r="EN19" s="53"/>
      <c r="EO19" s="53"/>
      <c r="EP19" s="53"/>
      <c r="EQ19" s="53"/>
      <c r="ER19" s="53"/>
      <c r="ES19" s="53"/>
      <c r="ET19" s="53"/>
      <c r="EU19" s="53"/>
      <c r="EV19" s="53"/>
      <c r="EW19" s="53"/>
      <c r="EX19" s="53"/>
      <c r="EY19" s="53"/>
      <c r="EZ19" s="53"/>
      <c r="FA19" s="53"/>
      <c r="FB19" s="53"/>
      <c r="FC19" s="53"/>
      <c r="FD19" s="53"/>
      <c r="FE19" s="53"/>
      <c r="FF19" s="53"/>
      <c r="FG19" s="53"/>
      <c r="FH19" s="53"/>
      <c r="FI19" s="53"/>
      <c r="FJ19" s="53"/>
      <c r="FK19" s="53"/>
      <c r="FL19" s="53"/>
      <c r="FM19" s="53"/>
      <c r="FN19" s="53"/>
      <c r="FO19" s="53"/>
      <c r="FP19" s="53"/>
      <c r="FQ19" s="53"/>
      <c r="FR19" s="53"/>
      <c r="FS19" s="53"/>
      <c r="FT19" s="53"/>
      <c r="FU19" s="53"/>
      <c r="FV19" s="53"/>
      <c r="FW19" s="53"/>
      <c r="FX19" s="53"/>
      <c r="FY19" s="53"/>
      <c r="FZ19" s="53"/>
      <c r="GA19" s="53"/>
      <c r="GB19" s="53"/>
      <c r="GC19" s="53"/>
      <c r="GD19" s="53"/>
      <c r="GE19" s="53"/>
    </row>
    <row r="20" spans="1:187" ht="17" customHeight="1">
      <c r="A20" s="53">
        <v>9</v>
      </c>
      <c r="B20" s="373" t="s">
        <v>589</v>
      </c>
      <c r="C20" s="54">
        <v>4.2</v>
      </c>
      <c r="D20" s="54">
        <v>1.4</v>
      </c>
      <c r="E20" s="54">
        <v>0</v>
      </c>
      <c r="F20" s="54">
        <v>0</v>
      </c>
      <c r="G20" s="54">
        <v>0.2</v>
      </c>
      <c r="H20" s="54">
        <v>67.5</v>
      </c>
      <c r="I20" s="54">
        <v>0.1</v>
      </c>
      <c r="J20" s="54">
        <v>0.3</v>
      </c>
      <c r="K20" s="54">
        <v>172.9</v>
      </c>
      <c r="L20" s="54">
        <v>0</v>
      </c>
      <c r="M20" s="54">
        <v>85.8</v>
      </c>
      <c r="N20" s="54">
        <v>0.6</v>
      </c>
      <c r="O20" s="54">
        <v>0.1</v>
      </c>
      <c r="P20" s="54">
        <v>0.1</v>
      </c>
      <c r="Q20" s="54">
        <v>0.2</v>
      </c>
      <c r="R20" s="54">
        <v>1.1000000000000001</v>
      </c>
      <c r="S20" s="54">
        <v>4.7</v>
      </c>
      <c r="T20" s="54">
        <v>0.2</v>
      </c>
      <c r="U20" s="54">
        <v>0</v>
      </c>
      <c r="V20" s="54">
        <v>0.3</v>
      </c>
      <c r="W20" s="54">
        <v>0.3</v>
      </c>
      <c r="X20" s="54">
        <v>0.3</v>
      </c>
      <c r="Y20" s="54">
        <v>0</v>
      </c>
      <c r="Z20" s="54">
        <v>1.1000000000000001</v>
      </c>
      <c r="AA20" s="54">
        <v>6.2</v>
      </c>
      <c r="AB20" s="54">
        <v>1.3</v>
      </c>
      <c r="AC20" s="54">
        <v>52.5</v>
      </c>
      <c r="AD20" s="54">
        <v>0.3</v>
      </c>
      <c r="AE20" s="54">
        <v>0.3</v>
      </c>
      <c r="AF20" s="54">
        <v>0.3</v>
      </c>
      <c r="AG20" s="54">
        <v>1.1000000000000001</v>
      </c>
      <c r="AH20" s="54">
        <v>2.4</v>
      </c>
      <c r="AI20" s="54">
        <v>0.5</v>
      </c>
      <c r="AJ20" s="55">
        <f t="shared" si="3"/>
        <v>406.30000000000013</v>
      </c>
      <c r="AK20" s="53">
        <v>1190.604164336359</v>
      </c>
      <c r="AL20" s="326">
        <v>0</v>
      </c>
      <c r="AM20" s="326">
        <v>2.3862128109431979</v>
      </c>
      <c r="AN20" s="326">
        <v>12.62273272309276</v>
      </c>
      <c r="AO20" s="326">
        <v>474.17997671098698</v>
      </c>
      <c r="AP20" s="53">
        <f t="shared" si="4"/>
        <v>1679.7930865813817</v>
      </c>
      <c r="AQ20" s="56">
        <f t="shared" si="5"/>
        <v>2086.0930865813816</v>
      </c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3"/>
      <c r="BO20" s="53"/>
      <c r="BP20" s="53"/>
      <c r="BQ20" s="53"/>
      <c r="BR20" s="53"/>
      <c r="BS20" s="53"/>
      <c r="BT20" s="53"/>
      <c r="BU20" s="53"/>
      <c r="BV20" s="53"/>
      <c r="BW20" s="53"/>
      <c r="BX20" s="53"/>
      <c r="BY20" s="53"/>
      <c r="BZ20" s="53"/>
      <c r="CA20" s="53"/>
      <c r="CB20" s="53"/>
      <c r="CC20" s="53"/>
      <c r="CD20" s="53"/>
      <c r="CE20" s="53"/>
      <c r="CF20" s="53"/>
      <c r="CG20" s="53"/>
      <c r="CH20" s="53"/>
      <c r="CI20" s="53"/>
      <c r="CJ20" s="53"/>
      <c r="CK20" s="53"/>
      <c r="CL20" s="53"/>
      <c r="CM20" s="53"/>
      <c r="CN20" s="53"/>
      <c r="CO20" s="53"/>
      <c r="CP20" s="53"/>
      <c r="CQ20" s="53"/>
      <c r="CR20" s="53"/>
      <c r="CS20" s="53"/>
      <c r="CT20" s="53"/>
      <c r="CU20" s="53"/>
      <c r="CV20" s="53"/>
      <c r="CW20" s="53"/>
      <c r="CX20" s="53"/>
      <c r="CY20" s="53"/>
      <c r="CZ20" s="53"/>
      <c r="DA20" s="53"/>
      <c r="DB20" s="53"/>
      <c r="DC20" s="53"/>
      <c r="DD20" s="53"/>
      <c r="DE20" s="53"/>
      <c r="DF20" s="53"/>
      <c r="DG20" s="53"/>
      <c r="DH20" s="53"/>
      <c r="DI20" s="53"/>
      <c r="DJ20" s="53"/>
      <c r="DK20" s="53"/>
      <c r="DL20" s="53"/>
      <c r="DM20" s="53"/>
      <c r="DN20" s="53"/>
      <c r="DO20" s="53"/>
      <c r="DP20" s="53"/>
      <c r="DQ20" s="53"/>
      <c r="DR20" s="53"/>
      <c r="DS20" s="53"/>
      <c r="DT20" s="53"/>
      <c r="DU20" s="53"/>
      <c r="DV20" s="53"/>
      <c r="DW20" s="53"/>
      <c r="DX20" s="53"/>
      <c r="DY20" s="53"/>
      <c r="DZ20" s="53"/>
      <c r="EA20" s="53"/>
      <c r="EB20" s="53"/>
      <c r="EC20" s="53"/>
      <c r="ED20" s="53"/>
      <c r="EE20" s="53"/>
      <c r="EF20" s="53"/>
      <c r="EG20" s="53"/>
      <c r="EH20" s="53"/>
      <c r="EI20" s="53"/>
      <c r="EJ20" s="53"/>
      <c r="EK20" s="53"/>
      <c r="EL20" s="53"/>
      <c r="EM20" s="53"/>
      <c r="EN20" s="53"/>
      <c r="EO20" s="53"/>
      <c r="EP20" s="53"/>
      <c r="EQ20" s="53"/>
      <c r="ER20" s="53"/>
      <c r="ES20" s="53"/>
      <c r="ET20" s="53"/>
      <c r="EU20" s="53"/>
      <c r="EV20" s="53"/>
      <c r="EW20" s="53"/>
      <c r="EX20" s="53"/>
      <c r="EY20" s="53"/>
      <c r="EZ20" s="53"/>
      <c r="FA20" s="53"/>
      <c r="FB20" s="53"/>
      <c r="FC20" s="53"/>
      <c r="FD20" s="53"/>
      <c r="FE20" s="53"/>
      <c r="FF20" s="53"/>
      <c r="FG20" s="53"/>
      <c r="FH20" s="53"/>
      <c r="FI20" s="53"/>
      <c r="FJ20" s="53"/>
      <c r="FK20" s="53"/>
      <c r="FL20" s="53"/>
      <c r="FM20" s="53"/>
      <c r="FN20" s="53"/>
      <c r="FO20" s="53"/>
      <c r="FP20" s="53"/>
      <c r="FQ20" s="53"/>
      <c r="FR20" s="53"/>
      <c r="FS20" s="53"/>
      <c r="FT20" s="53"/>
      <c r="FU20" s="53"/>
      <c r="FV20" s="53"/>
      <c r="FW20" s="53"/>
      <c r="FX20" s="53"/>
      <c r="FY20" s="53"/>
      <c r="FZ20" s="53"/>
      <c r="GA20" s="53"/>
      <c r="GB20" s="53"/>
      <c r="GC20" s="53"/>
      <c r="GD20" s="53"/>
      <c r="GE20" s="53"/>
    </row>
    <row r="21" spans="1:187" ht="17" customHeight="1">
      <c r="A21" s="53">
        <v>10</v>
      </c>
      <c r="B21" s="373" t="s">
        <v>590</v>
      </c>
      <c r="C21" s="54">
        <v>0.3</v>
      </c>
      <c r="D21" s="54">
        <v>0.1</v>
      </c>
      <c r="E21" s="54">
        <v>0</v>
      </c>
      <c r="F21" s="54">
        <v>0</v>
      </c>
      <c r="G21" s="54">
        <v>0</v>
      </c>
      <c r="H21" s="54">
        <v>0.2</v>
      </c>
      <c r="I21" s="54">
        <v>0</v>
      </c>
      <c r="J21" s="54">
        <v>13.6</v>
      </c>
      <c r="K21" s="54">
        <v>15.7</v>
      </c>
      <c r="L21" s="54">
        <v>0</v>
      </c>
      <c r="M21" s="54">
        <v>10.4</v>
      </c>
      <c r="N21" s="54">
        <v>80.5</v>
      </c>
      <c r="O21" s="54">
        <v>0</v>
      </c>
      <c r="P21" s="54">
        <v>0</v>
      </c>
      <c r="Q21" s="54">
        <v>0</v>
      </c>
      <c r="R21" s="54">
        <v>0.1</v>
      </c>
      <c r="S21" s="54">
        <v>0.2</v>
      </c>
      <c r="T21" s="54">
        <v>0</v>
      </c>
      <c r="U21" s="54">
        <v>0</v>
      </c>
      <c r="V21" s="54">
        <v>0</v>
      </c>
      <c r="W21" s="54">
        <v>0</v>
      </c>
      <c r="X21" s="54">
        <v>0</v>
      </c>
      <c r="Y21" s="54">
        <v>0</v>
      </c>
      <c r="Z21" s="54">
        <v>0.2</v>
      </c>
      <c r="AA21" s="54">
        <v>0.5</v>
      </c>
      <c r="AB21" s="54">
        <v>0.2</v>
      </c>
      <c r="AC21" s="54">
        <v>11.9</v>
      </c>
      <c r="AD21" s="54">
        <v>0.1</v>
      </c>
      <c r="AE21" s="54">
        <v>0</v>
      </c>
      <c r="AF21" s="54">
        <v>0</v>
      </c>
      <c r="AG21" s="54">
        <v>0.1</v>
      </c>
      <c r="AH21" s="54">
        <v>0.1</v>
      </c>
      <c r="AI21" s="54">
        <v>0.1</v>
      </c>
      <c r="AJ21" s="55">
        <f t="shared" si="3"/>
        <v>134.29999999999998</v>
      </c>
      <c r="AK21" s="53">
        <v>193.22414144292441</v>
      </c>
      <c r="AL21" s="326">
        <v>0</v>
      </c>
      <c r="AM21" s="326">
        <v>0.60182079150623213</v>
      </c>
      <c r="AN21" s="326">
        <v>3.1182934473130528</v>
      </c>
      <c r="AO21" s="326">
        <v>48.240139121370341</v>
      </c>
      <c r="AP21" s="53">
        <f t="shared" si="4"/>
        <v>245.18439480311403</v>
      </c>
      <c r="AQ21" s="56">
        <f t="shared" si="5"/>
        <v>379.48439480311401</v>
      </c>
      <c r="AR21" s="53"/>
      <c r="AS21" s="53"/>
      <c r="AT21" s="53"/>
      <c r="AU21" s="53"/>
      <c r="AV21" s="53"/>
      <c r="AW21" s="53"/>
      <c r="AX21" s="53"/>
      <c r="AY21" s="53"/>
      <c r="AZ21" s="53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53"/>
      <c r="BO21" s="53"/>
      <c r="BP21" s="53"/>
      <c r="BQ21" s="53"/>
      <c r="BR21" s="53"/>
      <c r="BS21" s="53"/>
      <c r="BT21" s="53"/>
      <c r="BU21" s="53"/>
      <c r="BV21" s="53"/>
      <c r="BW21" s="53"/>
      <c r="BX21" s="53"/>
      <c r="BY21" s="53"/>
      <c r="BZ21" s="53"/>
      <c r="CA21" s="53"/>
      <c r="CB21" s="53"/>
      <c r="CC21" s="53"/>
      <c r="CD21" s="53"/>
      <c r="CE21" s="53"/>
      <c r="CF21" s="53"/>
      <c r="CG21" s="53"/>
      <c r="CH21" s="53"/>
      <c r="CI21" s="53"/>
      <c r="CJ21" s="53"/>
      <c r="CK21" s="53"/>
      <c r="CL21" s="53"/>
      <c r="CM21" s="53"/>
      <c r="CN21" s="53"/>
      <c r="CO21" s="53"/>
      <c r="CP21" s="53"/>
      <c r="CQ21" s="53"/>
      <c r="CR21" s="53"/>
      <c r="CS21" s="53"/>
      <c r="CT21" s="53"/>
      <c r="CU21" s="53"/>
      <c r="CV21" s="53"/>
      <c r="CW21" s="53"/>
      <c r="CX21" s="53"/>
      <c r="CY21" s="53"/>
      <c r="CZ21" s="53"/>
      <c r="DA21" s="53"/>
      <c r="DB21" s="53"/>
      <c r="DC21" s="53"/>
      <c r="DD21" s="53"/>
      <c r="DE21" s="53"/>
      <c r="DF21" s="53"/>
      <c r="DG21" s="53"/>
      <c r="DH21" s="53"/>
      <c r="DI21" s="53"/>
      <c r="DJ21" s="53"/>
      <c r="DK21" s="53"/>
      <c r="DL21" s="53"/>
      <c r="DM21" s="53"/>
      <c r="DN21" s="53"/>
      <c r="DO21" s="53"/>
      <c r="DP21" s="53"/>
      <c r="DQ21" s="53"/>
      <c r="DR21" s="53"/>
      <c r="DS21" s="53"/>
      <c r="DT21" s="53"/>
      <c r="DU21" s="53"/>
      <c r="DV21" s="53"/>
      <c r="DW21" s="53"/>
      <c r="DX21" s="53"/>
      <c r="DY21" s="53"/>
      <c r="DZ21" s="53"/>
      <c r="EA21" s="53"/>
      <c r="EB21" s="53"/>
      <c r="EC21" s="53"/>
      <c r="ED21" s="53"/>
      <c r="EE21" s="53"/>
      <c r="EF21" s="53"/>
      <c r="EG21" s="53"/>
      <c r="EH21" s="53"/>
      <c r="EI21" s="53"/>
      <c r="EJ21" s="53"/>
      <c r="EK21" s="53"/>
      <c r="EL21" s="53"/>
      <c r="EM21" s="53"/>
      <c r="EN21" s="53"/>
      <c r="EO21" s="53"/>
      <c r="EP21" s="53"/>
      <c r="EQ21" s="53"/>
      <c r="ER21" s="53"/>
      <c r="ES21" s="53"/>
      <c r="ET21" s="53"/>
      <c r="EU21" s="53"/>
      <c r="EV21" s="53"/>
      <c r="EW21" s="53"/>
      <c r="EX21" s="53"/>
      <c r="EY21" s="53"/>
      <c r="EZ21" s="53"/>
      <c r="FA21" s="53"/>
      <c r="FB21" s="53"/>
      <c r="FC21" s="53"/>
      <c r="FD21" s="53"/>
      <c r="FE21" s="53"/>
      <c r="FF21" s="53"/>
      <c r="FG21" s="53"/>
      <c r="FH21" s="53"/>
      <c r="FI21" s="53"/>
      <c r="FJ21" s="53"/>
      <c r="FK21" s="53"/>
      <c r="FL21" s="53"/>
      <c r="FM21" s="53"/>
      <c r="FN21" s="53"/>
      <c r="FO21" s="53"/>
      <c r="FP21" s="53"/>
      <c r="FQ21" s="53"/>
      <c r="FR21" s="53"/>
      <c r="FS21" s="53"/>
      <c r="FT21" s="53"/>
      <c r="FU21" s="53"/>
      <c r="FV21" s="53"/>
      <c r="FW21" s="53"/>
      <c r="FX21" s="53"/>
      <c r="FY21" s="53"/>
      <c r="FZ21" s="53"/>
      <c r="GA21" s="53"/>
      <c r="GB21" s="53"/>
      <c r="GC21" s="53"/>
      <c r="GD21" s="53"/>
      <c r="GE21" s="53"/>
    </row>
    <row r="22" spans="1:187" ht="17" customHeight="1">
      <c r="A22" s="53">
        <v>11</v>
      </c>
      <c r="B22" s="373" t="s">
        <v>591</v>
      </c>
      <c r="C22" s="54">
        <v>1.7</v>
      </c>
      <c r="D22" s="54">
        <v>61.2</v>
      </c>
      <c r="E22" s="54">
        <v>0</v>
      </c>
      <c r="F22" s="54">
        <v>2.9</v>
      </c>
      <c r="G22" s="54">
        <v>0.1</v>
      </c>
      <c r="H22" s="54">
        <v>32.299999999999997</v>
      </c>
      <c r="I22" s="54">
        <v>0.1</v>
      </c>
      <c r="J22" s="54">
        <v>16.100000000000001</v>
      </c>
      <c r="K22" s="54">
        <v>36.700000000000003</v>
      </c>
      <c r="L22" s="54">
        <v>0</v>
      </c>
      <c r="M22" s="54">
        <v>12.2</v>
      </c>
      <c r="N22" s="54">
        <v>65.599999999999994</v>
      </c>
      <c r="O22" s="54">
        <v>0.1</v>
      </c>
      <c r="P22" s="54">
        <v>0.1</v>
      </c>
      <c r="Q22" s="54">
        <v>0.2</v>
      </c>
      <c r="R22" s="54">
        <v>0.3</v>
      </c>
      <c r="S22" s="54">
        <v>21.1</v>
      </c>
      <c r="T22" s="54">
        <v>0.1</v>
      </c>
      <c r="U22" s="54">
        <v>0</v>
      </c>
      <c r="V22" s="54">
        <v>0.2</v>
      </c>
      <c r="W22" s="54">
        <v>0.1</v>
      </c>
      <c r="X22" s="54">
        <v>0.2</v>
      </c>
      <c r="Y22" s="54">
        <v>0</v>
      </c>
      <c r="Z22" s="54">
        <v>0.9</v>
      </c>
      <c r="AA22" s="54">
        <v>2.8</v>
      </c>
      <c r="AB22" s="54">
        <v>1.1000000000000001</v>
      </c>
      <c r="AC22" s="54">
        <v>34.9</v>
      </c>
      <c r="AD22" s="54">
        <v>0.3</v>
      </c>
      <c r="AE22" s="54">
        <v>0.1</v>
      </c>
      <c r="AF22" s="54">
        <v>0.1</v>
      </c>
      <c r="AG22" s="54">
        <v>12.1</v>
      </c>
      <c r="AH22" s="54">
        <v>1.6</v>
      </c>
      <c r="AI22" s="54">
        <v>1.4</v>
      </c>
      <c r="AJ22" s="55">
        <f t="shared" si="3"/>
        <v>306.60000000000002</v>
      </c>
      <c r="AK22" s="53">
        <v>911.80419750450437</v>
      </c>
      <c r="AL22" s="326">
        <v>0</v>
      </c>
      <c r="AM22" s="326">
        <v>2.5900767615374649</v>
      </c>
      <c r="AN22" s="326">
        <v>0</v>
      </c>
      <c r="AO22" s="326">
        <v>144.03835990648119</v>
      </c>
      <c r="AP22" s="53">
        <f t="shared" si="4"/>
        <v>1058.432634172523</v>
      </c>
      <c r="AQ22" s="56">
        <f t="shared" si="5"/>
        <v>1365.0326341725231</v>
      </c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3"/>
      <c r="BO22" s="53"/>
      <c r="BP22" s="53"/>
      <c r="BQ22" s="53"/>
      <c r="BR22" s="53"/>
      <c r="BS22" s="53"/>
      <c r="BT22" s="53"/>
      <c r="BU22" s="53"/>
      <c r="BV22" s="53"/>
      <c r="BW22" s="53"/>
      <c r="BX22" s="53"/>
      <c r="BY22" s="53"/>
      <c r="BZ22" s="53"/>
      <c r="CA22" s="53"/>
      <c r="CB22" s="53"/>
      <c r="CC22" s="53"/>
      <c r="CD22" s="53"/>
      <c r="CE22" s="53"/>
      <c r="CF22" s="53"/>
      <c r="CG22" s="53"/>
      <c r="CH22" s="53"/>
      <c r="CI22" s="53"/>
      <c r="CJ22" s="53"/>
      <c r="CK22" s="53"/>
      <c r="CL22" s="53"/>
      <c r="CM22" s="53"/>
      <c r="CN22" s="53"/>
      <c r="CO22" s="53"/>
      <c r="CP22" s="53"/>
      <c r="CQ22" s="53"/>
      <c r="CR22" s="53"/>
      <c r="CS22" s="53"/>
      <c r="CT22" s="53"/>
      <c r="CU22" s="53"/>
      <c r="CV22" s="53"/>
      <c r="CW22" s="53"/>
      <c r="CX22" s="53"/>
      <c r="CY22" s="53"/>
      <c r="CZ22" s="53"/>
      <c r="DA22" s="53"/>
      <c r="DB22" s="53"/>
      <c r="DC22" s="53"/>
      <c r="DD22" s="53"/>
      <c r="DE22" s="53"/>
      <c r="DF22" s="53"/>
      <c r="DG22" s="53"/>
      <c r="DH22" s="53"/>
      <c r="DI22" s="53"/>
      <c r="DJ22" s="53"/>
      <c r="DK22" s="53"/>
      <c r="DL22" s="53"/>
      <c r="DM22" s="53"/>
      <c r="DN22" s="53"/>
      <c r="DO22" s="53"/>
      <c r="DP22" s="53"/>
      <c r="DQ22" s="53"/>
      <c r="DR22" s="53"/>
      <c r="DS22" s="53"/>
      <c r="DT22" s="53"/>
      <c r="DU22" s="53"/>
      <c r="DV22" s="53"/>
      <c r="DW22" s="53"/>
      <c r="DX22" s="53"/>
      <c r="DY22" s="53"/>
      <c r="DZ22" s="53"/>
      <c r="EA22" s="53"/>
      <c r="EB22" s="53"/>
      <c r="EC22" s="53"/>
      <c r="ED22" s="53"/>
      <c r="EE22" s="53"/>
      <c r="EF22" s="53"/>
      <c r="EG22" s="53"/>
      <c r="EH22" s="53"/>
      <c r="EI22" s="53"/>
      <c r="EJ22" s="53"/>
      <c r="EK22" s="53"/>
      <c r="EL22" s="53"/>
      <c r="EM22" s="53"/>
      <c r="EN22" s="53"/>
      <c r="EO22" s="53"/>
      <c r="EP22" s="53"/>
      <c r="EQ22" s="53"/>
      <c r="ER22" s="53"/>
      <c r="ES22" s="53"/>
      <c r="ET22" s="53"/>
      <c r="EU22" s="53"/>
      <c r="EV22" s="53"/>
      <c r="EW22" s="53"/>
      <c r="EX22" s="53"/>
      <c r="EY22" s="53"/>
      <c r="EZ22" s="53"/>
      <c r="FA22" s="53"/>
      <c r="FB22" s="53"/>
      <c r="FC22" s="53"/>
      <c r="FD22" s="53"/>
      <c r="FE22" s="53"/>
      <c r="FF22" s="53"/>
      <c r="FG22" s="53"/>
      <c r="FH22" s="53"/>
      <c r="FI22" s="53"/>
      <c r="FJ22" s="53"/>
      <c r="FK22" s="53"/>
      <c r="FL22" s="53"/>
      <c r="FM22" s="53"/>
      <c r="FN22" s="53"/>
      <c r="FO22" s="53"/>
      <c r="FP22" s="53"/>
      <c r="FQ22" s="53"/>
      <c r="FR22" s="53"/>
      <c r="FS22" s="53"/>
      <c r="FT22" s="53"/>
      <c r="FU22" s="53"/>
      <c r="FV22" s="53"/>
      <c r="FW22" s="53"/>
      <c r="FX22" s="53"/>
      <c r="FY22" s="53"/>
      <c r="FZ22" s="53"/>
      <c r="GA22" s="53"/>
      <c r="GB22" s="53"/>
      <c r="GC22" s="53"/>
      <c r="GD22" s="53"/>
      <c r="GE22" s="53"/>
    </row>
    <row r="23" spans="1:187" ht="17" customHeight="1">
      <c r="A23" s="53">
        <v>12</v>
      </c>
      <c r="B23" s="373" t="s">
        <v>592</v>
      </c>
      <c r="C23" s="54">
        <v>1.9</v>
      </c>
      <c r="D23" s="54">
        <v>0.7</v>
      </c>
      <c r="E23" s="54">
        <v>0</v>
      </c>
      <c r="F23" s="54">
        <v>0</v>
      </c>
      <c r="G23" s="54">
        <v>0.2</v>
      </c>
      <c r="H23" s="54">
        <v>1.2</v>
      </c>
      <c r="I23" s="54">
        <v>0.1</v>
      </c>
      <c r="J23" s="54">
        <v>0.2</v>
      </c>
      <c r="K23" s="54">
        <v>0.3</v>
      </c>
      <c r="L23" s="54">
        <v>0</v>
      </c>
      <c r="M23" s="54">
        <v>0.2</v>
      </c>
      <c r="N23" s="54">
        <v>0.5</v>
      </c>
      <c r="O23" s="54">
        <v>0.1</v>
      </c>
      <c r="P23" s="54">
        <v>0.1</v>
      </c>
      <c r="Q23" s="54">
        <v>0.2</v>
      </c>
      <c r="R23" s="54">
        <v>0.3</v>
      </c>
      <c r="S23" s="54">
        <v>0.9</v>
      </c>
      <c r="T23" s="54">
        <v>0.2</v>
      </c>
      <c r="U23" s="54">
        <v>0</v>
      </c>
      <c r="V23" s="54">
        <v>0.3</v>
      </c>
      <c r="W23" s="54">
        <v>0.2</v>
      </c>
      <c r="X23" s="54">
        <v>0.3</v>
      </c>
      <c r="Y23" s="54">
        <v>0</v>
      </c>
      <c r="Z23" s="54">
        <v>1</v>
      </c>
      <c r="AA23" s="54">
        <v>3</v>
      </c>
      <c r="AB23" s="54">
        <v>1.2</v>
      </c>
      <c r="AC23" s="54">
        <v>112.8</v>
      </c>
      <c r="AD23" s="54">
        <v>0.3</v>
      </c>
      <c r="AE23" s="54">
        <v>0.1</v>
      </c>
      <c r="AF23" s="54">
        <v>0.2</v>
      </c>
      <c r="AG23" s="54">
        <v>7.2</v>
      </c>
      <c r="AH23" s="54">
        <v>7.8</v>
      </c>
      <c r="AI23" s="54">
        <v>0.4</v>
      </c>
      <c r="AJ23" s="55">
        <f t="shared" si="3"/>
        <v>141.9</v>
      </c>
      <c r="AK23" s="53">
        <v>1836.6370141171631</v>
      </c>
      <c r="AL23" s="326">
        <v>0</v>
      </c>
      <c r="AM23" s="326">
        <v>2.867950658589975</v>
      </c>
      <c r="AN23" s="326">
        <v>3.4427634066195978</v>
      </c>
      <c r="AO23" s="326">
        <v>299.81589181601589</v>
      </c>
      <c r="AP23" s="53">
        <f t="shared" si="4"/>
        <v>2142.7636199983885</v>
      </c>
      <c r="AQ23" s="56">
        <f t="shared" si="5"/>
        <v>2284.6636199983886</v>
      </c>
      <c r="AR23" s="53"/>
      <c r="AS23" s="53"/>
      <c r="AT23" s="53"/>
      <c r="AU23" s="53"/>
      <c r="AV23" s="53"/>
      <c r="AW23" s="53"/>
      <c r="AX23" s="53"/>
      <c r="AY23" s="53"/>
      <c r="AZ23" s="53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3"/>
      <c r="BO23" s="53"/>
      <c r="BP23" s="53"/>
      <c r="BQ23" s="53"/>
      <c r="BR23" s="53"/>
      <c r="BS23" s="53"/>
      <c r="BT23" s="53"/>
      <c r="BU23" s="53"/>
      <c r="BV23" s="53"/>
      <c r="BW23" s="53"/>
      <c r="BX23" s="53"/>
      <c r="BY23" s="53"/>
      <c r="BZ23" s="53"/>
      <c r="CA23" s="53"/>
      <c r="CB23" s="53"/>
      <c r="CC23" s="53"/>
      <c r="CD23" s="53"/>
      <c r="CE23" s="53"/>
      <c r="CF23" s="53"/>
      <c r="CG23" s="53"/>
      <c r="CH23" s="53"/>
      <c r="CI23" s="53"/>
      <c r="CJ23" s="53"/>
      <c r="CK23" s="53"/>
      <c r="CL23" s="53"/>
      <c r="CM23" s="53"/>
      <c r="CN23" s="53"/>
      <c r="CO23" s="53"/>
      <c r="CP23" s="53"/>
      <c r="CQ23" s="53"/>
      <c r="CR23" s="53"/>
      <c r="CS23" s="53"/>
      <c r="CT23" s="53"/>
      <c r="CU23" s="53"/>
      <c r="CV23" s="53"/>
      <c r="CW23" s="53"/>
      <c r="CX23" s="53"/>
      <c r="CY23" s="53"/>
      <c r="CZ23" s="53"/>
      <c r="DA23" s="53"/>
      <c r="DB23" s="53"/>
      <c r="DC23" s="53"/>
      <c r="DD23" s="53"/>
      <c r="DE23" s="53"/>
      <c r="DF23" s="53"/>
      <c r="DG23" s="53"/>
      <c r="DH23" s="53"/>
      <c r="DI23" s="53"/>
      <c r="DJ23" s="53"/>
      <c r="DK23" s="53"/>
      <c r="DL23" s="53"/>
      <c r="DM23" s="53"/>
      <c r="DN23" s="53"/>
      <c r="DO23" s="53"/>
      <c r="DP23" s="53"/>
      <c r="DQ23" s="53"/>
      <c r="DR23" s="53"/>
      <c r="DS23" s="53"/>
      <c r="DT23" s="53"/>
      <c r="DU23" s="53"/>
      <c r="DV23" s="53"/>
      <c r="DW23" s="53"/>
      <c r="DX23" s="53"/>
      <c r="DY23" s="53"/>
      <c r="DZ23" s="53"/>
      <c r="EA23" s="53"/>
      <c r="EB23" s="53"/>
      <c r="EC23" s="53"/>
      <c r="ED23" s="53"/>
      <c r="EE23" s="53"/>
      <c r="EF23" s="53"/>
      <c r="EG23" s="53"/>
      <c r="EH23" s="53"/>
      <c r="EI23" s="53"/>
      <c r="EJ23" s="53"/>
      <c r="EK23" s="53"/>
      <c r="EL23" s="53"/>
      <c r="EM23" s="53"/>
      <c r="EN23" s="53"/>
      <c r="EO23" s="53"/>
      <c r="EP23" s="53"/>
      <c r="EQ23" s="53"/>
      <c r="ER23" s="53"/>
      <c r="ES23" s="53"/>
      <c r="ET23" s="53"/>
      <c r="EU23" s="53"/>
      <c r="EV23" s="53"/>
      <c r="EW23" s="53"/>
      <c r="EX23" s="53"/>
      <c r="EY23" s="53"/>
      <c r="EZ23" s="53"/>
      <c r="FA23" s="53"/>
      <c r="FB23" s="53"/>
      <c r="FC23" s="53"/>
      <c r="FD23" s="53"/>
      <c r="FE23" s="53"/>
      <c r="FF23" s="53"/>
      <c r="FG23" s="53"/>
      <c r="FH23" s="53"/>
      <c r="FI23" s="53"/>
      <c r="FJ23" s="53"/>
      <c r="FK23" s="53"/>
      <c r="FL23" s="53"/>
      <c r="FM23" s="53"/>
      <c r="FN23" s="53"/>
      <c r="FO23" s="53"/>
      <c r="FP23" s="53"/>
      <c r="FQ23" s="53"/>
      <c r="FR23" s="53"/>
      <c r="FS23" s="53"/>
      <c r="FT23" s="53"/>
      <c r="FU23" s="53"/>
      <c r="FV23" s="53"/>
      <c r="FW23" s="53"/>
      <c r="FX23" s="53"/>
      <c r="FY23" s="53"/>
      <c r="FZ23" s="53"/>
      <c r="GA23" s="53"/>
      <c r="GB23" s="53"/>
      <c r="GC23" s="53"/>
      <c r="GD23" s="53"/>
      <c r="GE23" s="53"/>
    </row>
    <row r="24" spans="1:187" ht="17" customHeight="1">
      <c r="A24" s="53">
        <v>13</v>
      </c>
      <c r="B24" s="373" t="s">
        <v>593</v>
      </c>
      <c r="C24" s="59">
        <v>2.2000000000000002</v>
      </c>
      <c r="D24" s="59">
        <v>30.8</v>
      </c>
      <c r="E24" s="59">
        <v>0</v>
      </c>
      <c r="F24" s="59">
        <v>2.7</v>
      </c>
      <c r="G24" s="59">
        <v>0.2</v>
      </c>
      <c r="H24" s="59">
        <v>16.8</v>
      </c>
      <c r="I24" s="59">
        <v>9.1999999999999993</v>
      </c>
      <c r="J24" s="59">
        <v>2.4</v>
      </c>
      <c r="K24" s="59">
        <v>7.5</v>
      </c>
      <c r="L24" s="59">
        <v>2.2999999999999998</v>
      </c>
      <c r="M24" s="59">
        <v>5.2</v>
      </c>
      <c r="N24" s="59">
        <v>119.9</v>
      </c>
      <c r="O24" s="59">
        <v>133</v>
      </c>
      <c r="P24" s="59">
        <v>0.1</v>
      </c>
      <c r="Q24" s="59">
        <v>0.2</v>
      </c>
      <c r="R24" s="59">
        <v>3.2</v>
      </c>
      <c r="S24" s="59">
        <v>4.3</v>
      </c>
      <c r="T24" s="59">
        <v>0.7</v>
      </c>
      <c r="U24" s="59">
        <v>0</v>
      </c>
      <c r="V24" s="59">
        <v>0.3</v>
      </c>
      <c r="W24" s="59">
        <v>0.2</v>
      </c>
      <c r="X24" s="59">
        <v>48.9</v>
      </c>
      <c r="Y24" s="59">
        <v>0.3</v>
      </c>
      <c r="Z24" s="59">
        <v>1.2</v>
      </c>
      <c r="AA24" s="59">
        <v>3.5</v>
      </c>
      <c r="AB24" s="59">
        <v>1.4</v>
      </c>
      <c r="AC24" s="59">
        <v>7.3</v>
      </c>
      <c r="AD24" s="59">
        <v>0.6</v>
      </c>
      <c r="AE24" s="59">
        <v>0.9</v>
      </c>
      <c r="AF24" s="59">
        <v>0.3</v>
      </c>
      <c r="AG24" s="59">
        <v>15.8</v>
      </c>
      <c r="AH24" s="59">
        <v>29.8</v>
      </c>
      <c r="AI24" s="59">
        <v>5.5</v>
      </c>
      <c r="AJ24" s="60">
        <f t="shared" si="0"/>
        <v>456.70000000000005</v>
      </c>
      <c r="AK24" s="58">
        <v>292.86896267083802</v>
      </c>
      <c r="AL24" s="327">
        <v>0</v>
      </c>
      <c r="AM24" s="327">
        <v>20.3</v>
      </c>
      <c r="AN24" s="327">
        <v>-7.133787576114142</v>
      </c>
      <c r="AO24" s="327">
        <v>116.8301972795843</v>
      </c>
      <c r="AP24" s="58">
        <f t="shared" si="2"/>
        <v>422.86537237430821</v>
      </c>
      <c r="AQ24" s="61">
        <f t="shared" si="1"/>
        <v>879.56537237430825</v>
      </c>
      <c r="AR24" s="58"/>
      <c r="AS24" s="58"/>
      <c r="AT24" s="58"/>
      <c r="AU24" s="58"/>
      <c r="AV24" s="58"/>
      <c r="AW24" s="58"/>
      <c r="AX24" s="58"/>
      <c r="AY24" s="58"/>
      <c r="AZ24" s="58"/>
      <c r="BA24" s="58"/>
      <c r="BB24" s="58"/>
      <c r="BC24" s="58"/>
      <c r="BD24" s="58"/>
      <c r="BE24" s="58"/>
      <c r="BF24" s="58"/>
      <c r="BG24" s="58"/>
      <c r="BH24" s="58"/>
      <c r="BI24" s="58"/>
      <c r="BJ24" s="58"/>
      <c r="BK24" s="58"/>
      <c r="BL24" s="58"/>
      <c r="BM24" s="58"/>
      <c r="BN24" s="58"/>
      <c r="BO24" s="58"/>
      <c r="BP24" s="58"/>
      <c r="BQ24" s="58"/>
      <c r="BR24" s="58"/>
      <c r="BS24" s="58"/>
      <c r="BT24" s="58"/>
      <c r="BU24" s="58"/>
      <c r="BV24" s="58"/>
      <c r="BW24" s="58"/>
      <c r="BX24" s="58"/>
      <c r="BY24" s="58"/>
      <c r="BZ24" s="58"/>
      <c r="CA24" s="58"/>
      <c r="CB24" s="58"/>
      <c r="CC24" s="58"/>
      <c r="CD24" s="58"/>
      <c r="CE24" s="58"/>
      <c r="CF24" s="58"/>
      <c r="CG24" s="58"/>
      <c r="CH24" s="58"/>
      <c r="CI24" s="58"/>
      <c r="CJ24" s="58"/>
      <c r="CK24" s="58"/>
      <c r="CL24" s="58"/>
      <c r="CM24" s="58"/>
      <c r="CN24" s="58"/>
      <c r="CO24" s="58"/>
      <c r="CP24" s="58"/>
      <c r="CQ24" s="58"/>
      <c r="CR24" s="58"/>
      <c r="CS24" s="58"/>
      <c r="CT24" s="58"/>
      <c r="CU24" s="58"/>
      <c r="CV24" s="58"/>
      <c r="CW24" s="58"/>
      <c r="CX24" s="58"/>
      <c r="CY24" s="58"/>
      <c r="CZ24" s="58"/>
      <c r="DA24" s="58"/>
      <c r="DB24" s="58"/>
      <c r="DC24" s="58"/>
      <c r="DD24" s="58"/>
      <c r="DE24" s="58"/>
      <c r="DF24" s="58"/>
      <c r="DG24" s="58"/>
      <c r="DH24" s="58"/>
      <c r="DI24" s="58"/>
      <c r="DJ24" s="58"/>
      <c r="DK24" s="58"/>
      <c r="DL24" s="58"/>
      <c r="DM24" s="58"/>
      <c r="DN24" s="58"/>
      <c r="DO24" s="58"/>
      <c r="DP24" s="58"/>
      <c r="DQ24" s="58"/>
      <c r="DR24" s="58"/>
      <c r="DS24" s="58"/>
      <c r="DT24" s="58"/>
      <c r="DU24" s="58"/>
      <c r="DV24" s="58"/>
      <c r="DW24" s="58"/>
      <c r="DX24" s="58"/>
      <c r="DY24" s="58"/>
      <c r="DZ24" s="58"/>
      <c r="EA24" s="58"/>
      <c r="EB24" s="58"/>
      <c r="EC24" s="58"/>
      <c r="ED24" s="58"/>
      <c r="EE24" s="58"/>
      <c r="EF24" s="58"/>
      <c r="EG24" s="58"/>
      <c r="EH24" s="58"/>
      <c r="EI24" s="58"/>
      <c r="EJ24" s="58"/>
      <c r="EK24" s="58"/>
      <c r="EL24" s="58"/>
      <c r="EM24" s="58"/>
      <c r="EN24" s="58"/>
      <c r="EO24" s="58"/>
      <c r="EP24" s="58"/>
      <c r="EQ24" s="58"/>
      <c r="ER24" s="58"/>
      <c r="ES24" s="58"/>
      <c r="ET24" s="58"/>
      <c r="EU24" s="58"/>
      <c r="EV24" s="58"/>
      <c r="EW24" s="58"/>
      <c r="EX24" s="58"/>
      <c r="EY24" s="58"/>
      <c r="EZ24" s="58"/>
      <c r="FA24" s="58"/>
      <c r="FB24" s="58"/>
      <c r="FC24" s="58"/>
      <c r="FD24" s="58"/>
      <c r="FE24" s="58"/>
      <c r="FF24" s="58"/>
      <c r="FG24" s="58"/>
      <c r="FH24" s="58"/>
      <c r="FI24" s="58"/>
      <c r="FJ24" s="58"/>
      <c r="FK24" s="58"/>
      <c r="FL24" s="58"/>
      <c r="FM24" s="58"/>
      <c r="FN24" s="58"/>
      <c r="FO24" s="58"/>
      <c r="FP24" s="58"/>
      <c r="FQ24" s="58"/>
      <c r="FR24" s="58"/>
      <c r="FS24" s="58"/>
      <c r="FT24" s="58"/>
      <c r="FU24" s="58"/>
      <c r="FV24" s="58"/>
      <c r="FW24" s="58"/>
      <c r="FX24" s="58"/>
      <c r="FY24" s="58"/>
      <c r="FZ24" s="58"/>
      <c r="GA24" s="58"/>
      <c r="GB24" s="58"/>
      <c r="GC24" s="58"/>
      <c r="GD24" s="58"/>
      <c r="GE24" s="58"/>
    </row>
    <row r="25" spans="1:187" ht="17" customHeight="1">
      <c r="A25" s="53">
        <v>14</v>
      </c>
      <c r="B25" s="373" t="s">
        <v>594</v>
      </c>
      <c r="C25" s="59">
        <v>0.1</v>
      </c>
      <c r="D25" s="59">
        <v>0</v>
      </c>
      <c r="E25" s="59">
        <v>0</v>
      </c>
      <c r="F25" s="59">
        <v>0</v>
      </c>
      <c r="G25" s="59">
        <v>0</v>
      </c>
      <c r="H25" s="59">
        <v>2.2000000000000002</v>
      </c>
      <c r="I25" s="59">
        <v>1.8</v>
      </c>
      <c r="J25" s="59">
        <v>0.4</v>
      </c>
      <c r="K25" s="59">
        <v>1.3</v>
      </c>
      <c r="L25" s="59">
        <v>0.2</v>
      </c>
      <c r="M25" s="59">
        <v>0.4</v>
      </c>
      <c r="N25" s="59">
        <v>2</v>
      </c>
      <c r="O25" s="59">
        <v>11.3</v>
      </c>
      <c r="P25" s="59">
        <v>42.4</v>
      </c>
      <c r="Q25" s="59">
        <v>0</v>
      </c>
      <c r="R25" s="59">
        <v>0.2</v>
      </c>
      <c r="S25" s="59">
        <v>0.4</v>
      </c>
      <c r="T25" s="59">
        <v>0</v>
      </c>
      <c r="U25" s="59">
        <v>0</v>
      </c>
      <c r="V25" s="59">
        <v>0.2</v>
      </c>
      <c r="W25" s="59">
        <v>0.5</v>
      </c>
      <c r="X25" s="59">
        <v>0.1</v>
      </c>
      <c r="Y25" s="59">
        <v>0.1</v>
      </c>
      <c r="Z25" s="59">
        <v>0.2</v>
      </c>
      <c r="AA25" s="59">
        <v>0.1</v>
      </c>
      <c r="AB25" s="59">
        <v>0.1</v>
      </c>
      <c r="AC25" s="59">
        <v>0</v>
      </c>
      <c r="AD25" s="59">
        <v>0</v>
      </c>
      <c r="AE25" s="59">
        <v>0</v>
      </c>
      <c r="AF25" s="59">
        <v>0</v>
      </c>
      <c r="AG25" s="59">
        <v>1.8</v>
      </c>
      <c r="AH25" s="59">
        <v>0.1</v>
      </c>
      <c r="AI25" s="59">
        <v>0.7</v>
      </c>
      <c r="AJ25" s="60">
        <f>SUM(C25:AI25)</f>
        <v>66.600000000000009</v>
      </c>
      <c r="AK25" s="58">
        <v>188.63103732916201</v>
      </c>
      <c r="AL25" s="327">
        <v>0</v>
      </c>
      <c r="AM25" s="327">
        <v>0</v>
      </c>
      <c r="AN25" s="327">
        <v>-7.2662124238858574</v>
      </c>
      <c r="AO25" s="327">
        <v>23.969802720415711</v>
      </c>
      <c r="AP25" s="58">
        <f>SUM(AK25:AO25)</f>
        <v>205.33462762569187</v>
      </c>
      <c r="AQ25" s="61">
        <f>AP25+AJ25</f>
        <v>271.93462762569186</v>
      </c>
      <c r="AR25" s="58"/>
      <c r="AS25" s="58"/>
      <c r="AT25" s="58"/>
      <c r="AU25" s="58"/>
      <c r="AV25" s="58"/>
      <c r="AW25" s="58"/>
      <c r="AX25" s="58"/>
      <c r="AY25" s="58"/>
      <c r="AZ25" s="58"/>
      <c r="BA25" s="58"/>
      <c r="BB25" s="58"/>
      <c r="BC25" s="58"/>
      <c r="BD25" s="58"/>
      <c r="BE25" s="58"/>
      <c r="BF25" s="58"/>
      <c r="BG25" s="58"/>
      <c r="BH25" s="58"/>
      <c r="BI25" s="58"/>
      <c r="BJ25" s="58"/>
      <c r="BK25" s="58"/>
      <c r="BL25" s="58"/>
      <c r="BM25" s="58"/>
      <c r="BN25" s="58"/>
      <c r="BO25" s="58"/>
      <c r="BP25" s="58"/>
      <c r="BQ25" s="58"/>
      <c r="BR25" s="58"/>
      <c r="BS25" s="58"/>
      <c r="BT25" s="58"/>
      <c r="BU25" s="58"/>
      <c r="BV25" s="58"/>
      <c r="BW25" s="58"/>
      <c r="BX25" s="58"/>
      <c r="BY25" s="58"/>
      <c r="BZ25" s="58"/>
      <c r="CA25" s="58"/>
      <c r="CB25" s="58"/>
      <c r="CC25" s="58"/>
      <c r="CD25" s="58"/>
      <c r="CE25" s="58"/>
      <c r="CF25" s="58"/>
      <c r="CG25" s="58"/>
      <c r="CH25" s="58"/>
      <c r="CI25" s="58"/>
      <c r="CJ25" s="58"/>
      <c r="CK25" s="58"/>
      <c r="CL25" s="58"/>
      <c r="CM25" s="58"/>
      <c r="CN25" s="58"/>
      <c r="CO25" s="58"/>
      <c r="CP25" s="58"/>
      <c r="CQ25" s="58"/>
      <c r="CR25" s="58"/>
      <c r="CS25" s="58"/>
      <c r="CT25" s="58"/>
      <c r="CU25" s="58"/>
      <c r="CV25" s="58"/>
      <c r="CW25" s="58"/>
      <c r="CX25" s="58"/>
      <c r="CY25" s="58"/>
      <c r="CZ25" s="58"/>
      <c r="DA25" s="58"/>
      <c r="DB25" s="58"/>
      <c r="DC25" s="58"/>
      <c r="DD25" s="58"/>
      <c r="DE25" s="58"/>
      <c r="DF25" s="58"/>
      <c r="DG25" s="58"/>
      <c r="DH25" s="58"/>
      <c r="DI25" s="58"/>
      <c r="DJ25" s="58"/>
      <c r="DK25" s="58"/>
      <c r="DL25" s="58"/>
      <c r="DM25" s="58"/>
      <c r="DN25" s="58"/>
      <c r="DO25" s="58"/>
      <c r="DP25" s="58"/>
      <c r="DQ25" s="58"/>
      <c r="DR25" s="58"/>
      <c r="DS25" s="58"/>
      <c r="DT25" s="58"/>
      <c r="DU25" s="58"/>
      <c r="DV25" s="58"/>
      <c r="DW25" s="58"/>
      <c r="DX25" s="58"/>
      <c r="DY25" s="58"/>
      <c r="DZ25" s="58"/>
      <c r="EA25" s="58"/>
      <c r="EB25" s="58"/>
      <c r="EC25" s="58"/>
      <c r="ED25" s="58"/>
      <c r="EE25" s="58"/>
      <c r="EF25" s="58"/>
      <c r="EG25" s="58"/>
      <c r="EH25" s="58"/>
      <c r="EI25" s="58"/>
      <c r="EJ25" s="58"/>
      <c r="EK25" s="58"/>
      <c r="EL25" s="58"/>
      <c r="EM25" s="58"/>
      <c r="EN25" s="58"/>
      <c r="EO25" s="58"/>
      <c r="EP25" s="58"/>
      <c r="EQ25" s="58"/>
      <c r="ER25" s="58"/>
      <c r="ES25" s="58"/>
      <c r="ET25" s="58"/>
      <c r="EU25" s="58"/>
      <c r="EV25" s="58"/>
      <c r="EW25" s="58"/>
      <c r="EX25" s="58"/>
      <c r="EY25" s="58"/>
      <c r="EZ25" s="58"/>
      <c r="FA25" s="58"/>
      <c r="FB25" s="58"/>
      <c r="FC25" s="58"/>
      <c r="FD25" s="58"/>
      <c r="FE25" s="58"/>
      <c r="FF25" s="58"/>
      <c r="FG25" s="58"/>
      <c r="FH25" s="58"/>
      <c r="FI25" s="58"/>
      <c r="FJ25" s="58"/>
      <c r="FK25" s="58"/>
      <c r="FL25" s="58"/>
      <c r="FM25" s="58"/>
      <c r="FN25" s="58"/>
      <c r="FO25" s="58"/>
      <c r="FP25" s="58"/>
      <c r="FQ25" s="58"/>
      <c r="FR25" s="58"/>
      <c r="FS25" s="58"/>
      <c r="FT25" s="58"/>
      <c r="FU25" s="58"/>
      <c r="FV25" s="58"/>
      <c r="FW25" s="58"/>
      <c r="FX25" s="58"/>
      <c r="FY25" s="58"/>
      <c r="FZ25" s="58"/>
      <c r="GA25" s="58"/>
      <c r="GB25" s="58"/>
      <c r="GC25" s="58"/>
      <c r="GD25" s="58"/>
      <c r="GE25" s="58"/>
    </row>
    <row r="26" spans="1:187" ht="17" customHeight="1">
      <c r="A26" s="58">
        <v>15</v>
      </c>
      <c r="B26" s="373" t="s">
        <v>595</v>
      </c>
      <c r="C26" s="54">
        <v>76.8</v>
      </c>
      <c r="D26" s="54">
        <v>33.200000000000003</v>
      </c>
      <c r="E26" s="54">
        <v>3.6</v>
      </c>
      <c r="F26" s="54">
        <v>0.2</v>
      </c>
      <c r="G26" s="54">
        <v>0.2</v>
      </c>
      <c r="H26" s="54">
        <v>0.3</v>
      </c>
      <c r="I26" s="54">
        <v>0</v>
      </c>
      <c r="J26" s="54">
        <v>0.1</v>
      </c>
      <c r="K26" s="54">
        <v>0.1</v>
      </c>
      <c r="L26" s="54">
        <v>0</v>
      </c>
      <c r="M26" s="54">
        <v>0.1</v>
      </c>
      <c r="N26" s="54">
        <v>0.1</v>
      </c>
      <c r="O26" s="54">
        <v>0.2</v>
      </c>
      <c r="P26" s="54">
        <v>0</v>
      </c>
      <c r="Q26" s="54">
        <v>105</v>
      </c>
      <c r="R26" s="54">
        <v>0.7</v>
      </c>
      <c r="S26" s="54">
        <v>0.3</v>
      </c>
      <c r="T26" s="54">
        <v>0</v>
      </c>
      <c r="U26" s="54">
        <v>0</v>
      </c>
      <c r="V26" s="54">
        <v>0</v>
      </c>
      <c r="W26" s="54">
        <v>0.1</v>
      </c>
      <c r="X26" s="54">
        <v>63.9</v>
      </c>
      <c r="Y26" s="54">
        <v>0</v>
      </c>
      <c r="Z26" s="54">
        <v>343.4</v>
      </c>
      <c r="AA26" s="54">
        <v>0.3</v>
      </c>
      <c r="AB26" s="54">
        <v>2.5</v>
      </c>
      <c r="AC26" s="54">
        <v>0</v>
      </c>
      <c r="AD26" s="54">
        <v>0</v>
      </c>
      <c r="AE26" s="54">
        <v>0.1</v>
      </c>
      <c r="AF26" s="54">
        <v>0.1</v>
      </c>
      <c r="AG26" s="54">
        <v>0.4</v>
      </c>
      <c r="AH26" s="54">
        <v>0.3</v>
      </c>
      <c r="AI26" s="54">
        <v>0.3</v>
      </c>
      <c r="AJ26" s="55">
        <f t="shared" si="0"/>
        <v>632.29999999999984</v>
      </c>
      <c r="AK26" s="53">
        <v>0</v>
      </c>
      <c r="AL26" s="326">
        <v>0</v>
      </c>
      <c r="AM26" s="326">
        <v>0</v>
      </c>
      <c r="AN26" s="326">
        <v>-11.108099170389339</v>
      </c>
      <c r="AO26" s="326">
        <v>7.8062663462338779</v>
      </c>
      <c r="AP26" s="53">
        <f t="shared" si="2"/>
        <v>-3.3018328241554613</v>
      </c>
      <c r="AQ26" s="56">
        <f t="shared" si="1"/>
        <v>628.9981671758444</v>
      </c>
      <c r="AR26" s="53"/>
      <c r="AS26" s="53"/>
      <c r="AT26" s="53"/>
      <c r="AU26" s="53"/>
      <c r="AV26" s="53"/>
      <c r="AW26" s="53"/>
      <c r="AX26" s="53"/>
      <c r="AY26" s="53"/>
      <c r="AZ26" s="53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53"/>
      <c r="BO26" s="53"/>
      <c r="BP26" s="53"/>
      <c r="BQ26" s="53"/>
      <c r="BR26" s="53"/>
      <c r="BS26" s="53"/>
      <c r="BT26" s="53"/>
      <c r="BU26" s="53"/>
      <c r="BV26" s="53"/>
      <c r="BW26" s="53"/>
      <c r="BX26" s="53"/>
      <c r="BY26" s="53"/>
      <c r="BZ26" s="53"/>
      <c r="CA26" s="53"/>
      <c r="CB26" s="53"/>
      <c r="CC26" s="53"/>
      <c r="CD26" s="53"/>
      <c r="CE26" s="53"/>
      <c r="CF26" s="53"/>
      <c r="CG26" s="53"/>
      <c r="CH26" s="53"/>
      <c r="CI26" s="53"/>
      <c r="CJ26" s="53"/>
      <c r="CK26" s="53"/>
      <c r="CL26" s="53"/>
      <c r="CM26" s="53"/>
      <c r="CN26" s="53"/>
      <c r="CO26" s="53"/>
      <c r="CP26" s="53"/>
      <c r="CQ26" s="53"/>
      <c r="CR26" s="53"/>
      <c r="CS26" s="53"/>
      <c r="CT26" s="53"/>
      <c r="CU26" s="53"/>
      <c r="CV26" s="53"/>
      <c r="CW26" s="53"/>
      <c r="CX26" s="53"/>
      <c r="CY26" s="53"/>
      <c r="CZ26" s="53"/>
      <c r="DA26" s="53"/>
      <c r="DB26" s="53"/>
      <c r="DC26" s="53"/>
      <c r="DD26" s="53"/>
      <c r="DE26" s="53"/>
      <c r="DF26" s="53"/>
      <c r="DG26" s="53"/>
      <c r="DH26" s="53"/>
      <c r="DI26" s="53"/>
      <c r="DJ26" s="53"/>
      <c r="DK26" s="53"/>
      <c r="DL26" s="53"/>
      <c r="DM26" s="53"/>
      <c r="DN26" s="53"/>
      <c r="DO26" s="53"/>
      <c r="DP26" s="53"/>
      <c r="DQ26" s="53"/>
      <c r="DR26" s="53"/>
      <c r="DS26" s="53"/>
      <c r="DT26" s="53"/>
      <c r="DU26" s="53"/>
      <c r="DV26" s="53"/>
      <c r="DW26" s="53"/>
      <c r="DX26" s="53"/>
      <c r="DY26" s="53"/>
      <c r="DZ26" s="53"/>
      <c r="EA26" s="53"/>
      <c r="EB26" s="53"/>
      <c r="EC26" s="53"/>
      <c r="ED26" s="53"/>
      <c r="EE26" s="53"/>
      <c r="EF26" s="53"/>
      <c r="EG26" s="53"/>
      <c r="EH26" s="53"/>
      <c r="EI26" s="53"/>
      <c r="EJ26" s="53"/>
      <c r="EK26" s="53"/>
      <c r="EL26" s="53"/>
      <c r="EM26" s="53"/>
      <c r="EN26" s="53"/>
      <c r="EO26" s="53"/>
      <c r="EP26" s="53"/>
      <c r="EQ26" s="53"/>
      <c r="ER26" s="53"/>
      <c r="ES26" s="53"/>
      <c r="ET26" s="53"/>
      <c r="EU26" s="53"/>
      <c r="EV26" s="53"/>
      <c r="EW26" s="53"/>
      <c r="EX26" s="53"/>
      <c r="EY26" s="53"/>
      <c r="EZ26" s="53"/>
      <c r="FA26" s="53"/>
      <c r="FB26" s="53"/>
      <c r="FC26" s="53"/>
      <c r="FD26" s="53"/>
      <c r="FE26" s="53"/>
      <c r="FF26" s="53"/>
      <c r="FG26" s="53"/>
      <c r="FH26" s="53"/>
      <c r="FI26" s="53"/>
      <c r="FJ26" s="53"/>
      <c r="FK26" s="53"/>
      <c r="FL26" s="53"/>
      <c r="FM26" s="53"/>
      <c r="FN26" s="53"/>
      <c r="FO26" s="53"/>
      <c r="FP26" s="53"/>
      <c r="FQ26" s="53"/>
      <c r="FR26" s="53"/>
      <c r="FS26" s="53"/>
      <c r="FT26" s="53"/>
      <c r="FU26" s="53"/>
      <c r="FV26" s="53"/>
      <c r="FW26" s="53"/>
      <c r="FX26" s="53"/>
      <c r="FY26" s="53"/>
      <c r="FZ26" s="53"/>
      <c r="GA26" s="53"/>
      <c r="GB26" s="53"/>
      <c r="GC26" s="53"/>
      <c r="GD26" s="53"/>
      <c r="GE26" s="53"/>
    </row>
    <row r="27" spans="1:187" ht="17" customHeight="1">
      <c r="A27" s="58">
        <v>16</v>
      </c>
      <c r="B27" s="373" t="s">
        <v>596</v>
      </c>
      <c r="C27" s="54">
        <v>45.7</v>
      </c>
      <c r="D27" s="54">
        <v>4.7</v>
      </c>
      <c r="E27" s="54">
        <v>1.6</v>
      </c>
      <c r="F27" s="54">
        <v>0</v>
      </c>
      <c r="G27" s="54">
        <v>0.3</v>
      </c>
      <c r="H27" s="54">
        <v>25.8</v>
      </c>
      <c r="I27" s="54">
        <v>6.7</v>
      </c>
      <c r="J27" s="54">
        <v>6.3</v>
      </c>
      <c r="K27" s="54">
        <v>7.3</v>
      </c>
      <c r="L27" s="54">
        <v>0.5</v>
      </c>
      <c r="M27" s="54">
        <v>8.3000000000000007</v>
      </c>
      <c r="N27" s="54">
        <v>90.6</v>
      </c>
      <c r="O27" s="54">
        <v>1.6</v>
      </c>
      <c r="P27" s="54">
        <v>2</v>
      </c>
      <c r="Q27" s="54">
        <v>0.3</v>
      </c>
      <c r="R27" s="54">
        <v>176.1</v>
      </c>
      <c r="S27" s="54">
        <v>9.1</v>
      </c>
      <c r="T27" s="54">
        <v>32.200000000000003</v>
      </c>
      <c r="U27" s="54">
        <v>0.3</v>
      </c>
      <c r="V27" s="54">
        <v>2.6</v>
      </c>
      <c r="W27" s="54">
        <v>1.1000000000000001</v>
      </c>
      <c r="X27" s="54">
        <v>9.6</v>
      </c>
      <c r="Y27" s="54">
        <v>4.5999999999999996</v>
      </c>
      <c r="Z27" s="54">
        <v>2</v>
      </c>
      <c r="AA27" s="54">
        <v>99.7</v>
      </c>
      <c r="AB27" s="54">
        <v>72.5</v>
      </c>
      <c r="AC27" s="54">
        <v>11.9</v>
      </c>
      <c r="AD27" s="54">
        <v>4.5999999999999996</v>
      </c>
      <c r="AE27" s="54">
        <v>13</v>
      </c>
      <c r="AF27" s="54">
        <v>7.5</v>
      </c>
      <c r="AG27" s="54">
        <v>73.2</v>
      </c>
      <c r="AH27" s="54">
        <v>25.1</v>
      </c>
      <c r="AI27" s="54">
        <v>14.5</v>
      </c>
      <c r="AJ27" s="55">
        <f>SUM(C27:AI27)</f>
        <v>761.30000000000018</v>
      </c>
      <c r="AK27" s="53">
        <v>332.8</v>
      </c>
      <c r="AL27" s="326">
        <v>0</v>
      </c>
      <c r="AM27" s="326">
        <v>0.3</v>
      </c>
      <c r="AN27" s="326">
        <v>12.608099170389339</v>
      </c>
      <c r="AO27" s="326">
        <v>10.89373365376612</v>
      </c>
      <c r="AP27" s="53">
        <f>SUM(AK27:AO27)</f>
        <v>356.60183282415545</v>
      </c>
      <c r="AQ27" s="56">
        <f>AP27+AJ27</f>
        <v>1117.9018328241557</v>
      </c>
      <c r="AR27" s="53"/>
      <c r="AS27" s="53"/>
      <c r="AT27" s="53"/>
      <c r="AU27" s="53"/>
      <c r="AV27" s="53"/>
      <c r="AW27" s="53"/>
      <c r="AX27" s="53"/>
      <c r="AY27" s="53"/>
      <c r="AZ27" s="53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53"/>
      <c r="BO27" s="53"/>
      <c r="BP27" s="53"/>
      <c r="BQ27" s="53"/>
      <c r="BR27" s="53"/>
      <c r="BS27" s="53"/>
      <c r="BT27" s="53"/>
      <c r="BU27" s="53"/>
      <c r="BV27" s="53"/>
      <c r="BW27" s="53"/>
      <c r="BX27" s="53"/>
      <c r="BY27" s="53"/>
      <c r="BZ27" s="53"/>
      <c r="CA27" s="53"/>
      <c r="CB27" s="53"/>
      <c r="CC27" s="53"/>
      <c r="CD27" s="53"/>
      <c r="CE27" s="53"/>
      <c r="CF27" s="53"/>
      <c r="CG27" s="53"/>
      <c r="CH27" s="53"/>
      <c r="CI27" s="53"/>
      <c r="CJ27" s="53"/>
      <c r="CK27" s="53"/>
      <c r="CL27" s="53"/>
      <c r="CM27" s="53"/>
      <c r="CN27" s="53"/>
      <c r="CO27" s="53"/>
      <c r="CP27" s="53"/>
      <c r="CQ27" s="53"/>
      <c r="CR27" s="53"/>
      <c r="CS27" s="53"/>
      <c r="CT27" s="53"/>
      <c r="CU27" s="53"/>
      <c r="CV27" s="53"/>
      <c r="CW27" s="53"/>
      <c r="CX27" s="53"/>
      <c r="CY27" s="53"/>
      <c r="CZ27" s="53"/>
      <c r="DA27" s="53"/>
      <c r="DB27" s="53"/>
      <c r="DC27" s="53"/>
      <c r="DD27" s="53"/>
      <c r="DE27" s="53"/>
      <c r="DF27" s="53"/>
      <c r="DG27" s="53"/>
      <c r="DH27" s="53"/>
      <c r="DI27" s="53"/>
      <c r="DJ27" s="53"/>
      <c r="DK27" s="53"/>
      <c r="DL27" s="53"/>
      <c r="DM27" s="53"/>
      <c r="DN27" s="53"/>
      <c r="DO27" s="53"/>
      <c r="DP27" s="53"/>
      <c r="DQ27" s="53"/>
      <c r="DR27" s="53"/>
      <c r="DS27" s="53"/>
      <c r="DT27" s="53"/>
      <c r="DU27" s="53"/>
      <c r="DV27" s="53"/>
      <c r="DW27" s="53"/>
      <c r="DX27" s="53"/>
      <c r="DY27" s="53"/>
      <c r="DZ27" s="53"/>
      <c r="EA27" s="53"/>
      <c r="EB27" s="53"/>
      <c r="EC27" s="53"/>
      <c r="ED27" s="53"/>
      <c r="EE27" s="53"/>
      <c r="EF27" s="53"/>
      <c r="EG27" s="53"/>
      <c r="EH27" s="53"/>
      <c r="EI27" s="53"/>
      <c r="EJ27" s="53"/>
      <c r="EK27" s="53"/>
      <c r="EL27" s="53"/>
      <c r="EM27" s="53"/>
      <c r="EN27" s="53"/>
      <c r="EO27" s="53"/>
      <c r="EP27" s="53"/>
      <c r="EQ27" s="53"/>
      <c r="ER27" s="53"/>
      <c r="ES27" s="53"/>
      <c r="ET27" s="53"/>
      <c r="EU27" s="53"/>
      <c r="EV27" s="53"/>
      <c r="EW27" s="53"/>
      <c r="EX27" s="53"/>
      <c r="EY27" s="53"/>
      <c r="EZ27" s="53"/>
      <c r="FA27" s="53"/>
      <c r="FB27" s="53"/>
      <c r="FC27" s="53"/>
      <c r="FD27" s="53"/>
      <c r="FE27" s="53"/>
      <c r="FF27" s="53"/>
      <c r="FG27" s="53"/>
      <c r="FH27" s="53"/>
      <c r="FI27" s="53"/>
      <c r="FJ27" s="53"/>
      <c r="FK27" s="53"/>
      <c r="FL27" s="53"/>
      <c r="FM27" s="53"/>
      <c r="FN27" s="53"/>
      <c r="FO27" s="53"/>
      <c r="FP27" s="53"/>
      <c r="FQ27" s="53"/>
      <c r="FR27" s="53"/>
      <c r="FS27" s="53"/>
      <c r="FT27" s="53"/>
      <c r="FU27" s="53"/>
      <c r="FV27" s="53"/>
      <c r="FW27" s="53"/>
      <c r="FX27" s="53"/>
      <c r="FY27" s="53"/>
      <c r="FZ27" s="53"/>
      <c r="GA27" s="53"/>
      <c r="GB27" s="53"/>
      <c r="GC27" s="53"/>
      <c r="GD27" s="53"/>
      <c r="GE27" s="53"/>
    </row>
    <row r="28" spans="1:187" ht="17" customHeight="1">
      <c r="A28" s="53">
        <v>17</v>
      </c>
      <c r="B28" s="373" t="s">
        <v>11</v>
      </c>
      <c r="C28" s="59">
        <v>195</v>
      </c>
      <c r="D28" s="59">
        <v>29.5</v>
      </c>
      <c r="E28" s="59">
        <v>8.1</v>
      </c>
      <c r="F28" s="59">
        <v>1.5</v>
      </c>
      <c r="G28" s="59">
        <v>20.3</v>
      </c>
      <c r="H28" s="59">
        <v>37.200000000000003</v>
      </c>
      <c r="I28" s="59">
        <v>13.6</v>
      </c>
      <c r="J28" s="59">
        <v>8.1999999999999993</v>
      </c>
      <c r="K28" s="59">
        <v>20.7</v>
      </c>
      <c r="L28" s="59">
        <v>2.7</v>
      </c>
      <c r="M28" s="59">
        <v>20</v>
      </c>
      <c r="N28" s="59">
        <v>99</v>
      </c>
      <c r="O28" s="59">
        <v>9.6</v>
      </c>
      <c r="P28" s="59">
        <v>11.9</v>
      </c>
      <c r="Q28" s="59">
        <v>4.5999999999999996</v>
      </c>
      <c r="R28" s="59">
        <v>31.7</v>
      </c>
      <c r="S28" s="59">
        <v>473.5</v>
      </c>
      <c r="T28" s="59">
        <v>11.3</v>
      </c>
      <c r="U28" s="59">
        <v>1.6</v>
      </c>
      <c r="V28" s="59">
        <v>1.9</v>
      </c>
      <c r="W28" s="59">
        <v>1.8</v>
      </c>
      <c r="X28" s="59">
        <v>62.3</v>
      </c>
      <c r="Y28" s="59">
        <v>3.2</v>
      </c>
      <c r="Z28" s="59">
        <v>95.4</v>
      </c>
      <c r="AA28" s="59">
        <v>86.9</v>
      </c>
      <c r="AB28" s="59">
        <v>2.2999999999999998</v>
      </c>
      <c r="AC28" s="59">
        <v>20.399999999999999</v>
      </c>
      <c r="AD28" s="59">
        <v>2.6</v>
      </c>
      <c r="AE28" s="59">
        <v>1.9</v>
      </c>
      <c r="AF28" s="59">
        <v>1.7</v>
      </c>
      <c r="AG28" s="59">
        <v>14.7</v>
      </c>
      <c r="AH28" s="59">
        <v>116.5</v>
      </c>
      <c r="AI28" s="59">
        <v>161.30000000000001</v>
      </c>
      <c r="AJ28" s="60">
        <f t="shared" si="0"/>
        <v>1572.9000000000003</v>
      </c>
      <c r="AK28" s="58">
        <v>1530.3</v>
      </c>
      <c r="AL28" s="327">
        <v>0</v>
      </c>
      <c r="AM28" s="327">
        <v>2.8</v>
      </c>
      <c r="AN28" s="327">
        <v>200.5</v>
      </c>
      <c r="AO28" s="327">
        <v>397.1</v>
      </c>
      <c r="AP28" s="58">
        <f t="shared" si="2"/>
        <v>2130.6999999999998</v>
      </c>
      <c r="AQ28" s="61">
        <f t="shared" si="1"/>
        <v>3703.6000000000004</v>
      </c>
      <c r="AR28" s="58"/>
      <c r="AS28" s="58"/>
      <c r="AT28" s="58"/>
      <c r="AU28" s="58"/>
      <c r="AV28" s="58"/>
      <c r="AW28" s="58"/>
      <c r="AX28" s="58"/>
      <c r="AY28" s="58"/>
      <c r="AZ28" s="58"/>
      <c r="BA28" s="58"/>
      <c r="BB28" s="58"/>
      <c r="BC28" s="58"/>
      <c r="BD28" s="58"/>
      <c r="BE28" s="58"/>
      <c r="BF28" s="58"/>
      <c r="BG28" s="58"/>
      <c r="BH28" s="58"/>
      <c r="BI28" s="58"/>
      <c r="BJ28" s="58"/>
      <c r="BK28" s="58"/>
      <c r="BL28" s="58"/>
      <c r="BM28" s="58"/>
      <c r="BN28" s="58"/>
      <c r="BO28" s="58"/>
      <c r="BP28" s="58"/>
      <c r="BQ28" s="58"/>
      <c r="BR28" s="58"/>
      <c r="BS28" s="58"/>
      <c r="BT28" s="58"/>
      <c r="BU28" s="58"/>
      <c r="BV28" s="58"/>
      <c r="BW28" s="58"/>
      <c r="BX28" s="58"/>
      <c r="BY28" s="58"/>
      <c r="BZ28" s="58"/>
      <c r="CA28" s="58"/>
      <c r="CB28" s="58"/>
      <c r="CC28" s="58"/>
      <c r="CD28" s="58"/>
      <c r="CE28" s="58"/>
      <c r="CF28" s="58"/>
      <c r="CG28" s="58"/>
      <c r="CH28" s="58"/>
      <c r="CI28" s="58"/>
      <c r="CJ28" s="58"/>
      <c r="CK28" s="58"/>
      <c r="CL28" s="58"/>
      <c r="CM28" s="58"/>
      <c r="CN28" s="58"/>
      <c r="CO28" s="58"/>
      <c r="CP28" s="58"/>
      <c r="CQ28" s="58"/>
      <c r="CR28" s="58"/>
      <c r="CS28" s="58"/>
      <c r="CT28" s="58"/>
      <c r="CU28" s="58"/>
      <c r="CV28" s="58"/>
      <c r="CW28" s="58"/>
      <c r="CX28" s="58"/>
      <c r="CY28" s="58"/>
      <c r="CZ28" s="58"/>
      <c r="DA28" s="58"/>
      <c r="DB28" s="58"/>
      <c r="DC28" s="58"/>
      <c r="DD28" s="58"/>
      <c r="DE28" s="58"/>
      <c r="DF28" s="58"/>
      <c r="DG28" s="58"/>
      <c r="DH28" s="58"/>
      <c r="DI28" s="58"/>
      <c r="DJ28" s="58"/>
      <c r="DK28" s="58"/>
      <c r="DL28" s="58"/>
      <c r="DM28" s="58"/>
      <c r="DN28" s="58"/>
      <c r="DO28" s="58"/>
      <c r="DP28" s="58"/>
      <c r="DQ28" s="58"/>
      <c r="DR28" s="58"/>
      <c r="DS28" s="58"/>
      <c r="DT28" s="58"/>
      <c r="DU28" s="58"/>
      <c r="DV28" s="58"/>
      <c r="DW28" s="58"/>
      <c r="DX28" s="58"/>
      <c r="DY28" s="58"/>
      <c r="DZ28" s="58"/>
      <c r="EA28" s="58"/>
      <c r="EB28" s="58"/>
      <c r="EC28" s="58"/>
      <c r="ED28" s="58"/>
      <c r="EE28" s="58"/>
      <c r="EF28" s="58"/>
      <c r="EG28" s="58"/>
      <c r="EH28" s="58"/>
      <c r="EI28" s="58"/>
      <c r="EJ28" s="58"/>
      <c r="EK28" s="58"/>
      <c r="EL28" s="58"/>
      <c r="EM28" s="58"/>
      <c r="EN28" s="58"/>
      <c r="EO28" s="58"/>
      <c r="EP28" s="58"/>
      <c r="EQ28" s="58"/>
      <c r="ER28" s="58"/>
      <c r="ES28" s="58"/>
      <c r="ET28" s="58"/>
      <c r="EU28" s="58"/>
      <c r="EV28" s="58"/>
      <c r="EW28" s="58"/>
      <c r="EX28" s="58"/>
      <c r="EY28" s="58"/>
      <c r="EZ28" s="58"/>
      <c r="FA28" s="58"/>
      <c r="FB28" s="58"/>
      <c r="FC28" s="58"/>
      <c r="FD28" s="58"/>
      <c r="FE28" s="58"/>
      <c r="FF28" s="58"/>
      <c r="FG28" s="58"/>
      <c r="FH28" s="58"/>
      <c r="FI28" s="58"/>
      <c r="FJ28" s="58"/>
      <c r="FK28" s="58"/>
      <c r="FL28" s="58"/>
      <c r="FM28" s="58"/>
      <c r="FN28" s="58"/>
      <c r="FO28" s="58"/>
      <c r="FP28" s="58"/>
      <c r="FQ28" s="58"/>
      <c r="FR28" s="58"/>
      <c r="FS28" s="58"/>
      <c r="FT28" s="58"/>
      <c r="FU28" s="58"/>
      <c r="FV28" s="58"/>
      <c r="FW28" s="58"/>
      <c r="FX28" s="58"/>
      <c r="FY28" s="58"/>
      <c r="FZ28" s="58"/>
      <c r="GA28" s="58"/>
      <c r="GB28" s="58"/>
      <c r="GC28" s="58"/>
      <c r="GD28" s="58"/>
      <c r="GE28" s="58"/>
    </row>
    <row r="29" spans="1:187" ht="17" customHeight="1">
      <c r="A29" s="53">
        <v>18</v>
      </c>
      <c r="B29" s="373" t="s">
        <v>12</v>
      </c>
      <c r="C29" s="54">
        <v>1.4</v>
      </c>
      <c r="D29" s="54">
        <v>0.8</v>
      </c>
      <c r="E29" s="54">
        <v>3.4</v>
      </c>
      <c r="F29" s="54">
        <v>0</v>
      </c>
      <c r="G29" s="54">
        <v>1.8</v>
      </c>
      <c r="H29" s="54">
        <v>0.7</v>
      </c>
      <c r="I29" s="54">
        <v>0.1</v>
      </c>
      <c r="J29" s="54">
        <v>0.2</v>
      </c>
      <c r="K29" s="54">
        <v>0.2</v>
      </c>
      <c r="L29" s="54">
        <v>0.3</v>
      </c>
      <c r="M29" s="54">
        <v>0.6</v>
      </c>
      <c r="N29" s="54">
        <v>4.7</v>
      </c>
      <c r="O29" s="54">
        <v>0.1</v>
      </c>
      <c r="P29" s="54">
        <v>0</v>
      </c>
      <c r="Q29" s="54">
        <v>0.1</v>
      </c>
      <c r="R29" s="54">
        <v>0.6</v>
      </c>
      <c r="S29" s="54">
        <v>13.6</v>
      </c>
      <c r="T29" s="54">
        <v>62.1</v>
      </c>
      <c r="U29" s="54">
        <v>0.4</v>
      </c>
      <c r="V29" s="54">
        <v>5.9</v>
      </c>
      <c r="W29" s="54">
        <v>0.6</v>
      </c>
      <c r="X29" s="54">
        <v>0.3</v>
      </c>
      <c r="Y29" s="54">
        <v>1</v>
      </c>
      <c r="Z29" s="54">
        <v>559.79999999999995</v>
      </c>
      <c r="AA29" s="54">
        <v>2.1</v>
      </c>
      <c r="AB29" s="54">
        <v>1.3</v>
      </c>
      <c r="AC29" s="54">
        <v>0.6</v>
      </c>
      <c r="AD29" s="54">
        <v>1.2</v>
      </c>
      <c r="AE29" s="54">
        <v>1</v>
      </c>
      <c r="AF29" s="54">
        <v>0.2</v>
      </c>
      <c r="AG29" s="54">
        <v>0.4</v>
      </c>
      <c r="AH29" s="54">
        <v>5.7</v>
      </c>
      <c r="AI29" s="54">
        <v>7.1</v>
      </c>
      <c r="AJ29" s="55">
        <f t="shared" si="0"/>
        <v>678.30000000000007</v>
      </c>
      <c r="AK29" s="53">
        <v>135.6</v>
      </c>
      <c r="AL29" s="326">
        <v>0</v>
      </c>
      <c r="AM29" s="326">
        <v>0.8</v>
      </c>
      <c r="AN29" s="326">
        <v>-1</v>
      </c>
      <c r="AO29" s="326">
        <v>11.8</v>
      </c>
      <c r="AP29" s="53">
        <f t="shared" si="2"/>
        <v>147.20000000000002</v>
      </c>
      <c r="AQ29" s="56">
        <f t="shared" si="1"/>
        <v>825.50000000000011</v>
      </c>
      <c r="AR29" s="53"/>
      <c r="AS29" s="53"/>
      <c r="AT29" s="53"/>
      <c r="AU29" s="53"/>
      <c r="AV29" s="53"/>
      <c r="AW29" s="53"/>
      <c r="AX29" s="53"/>
      <c r="AY29" s="53"/>
      <c r="AZ29" s="53"/>
      <c r="BA29" s="53"/>
      <c r="BB29" s="53"/>
      <c r="BC29" s="53"/>
      <c r="BD29" s="53"/>
      <c r="BE29" s="53"/>
      <c r="BF29" s="53"/>
      <c r="BG29" s="53"/>
      <c r="BH29" s="53"/>
      <c r="BI29" s="53"/>
      <c r="BJ29" s="53"/>
      <c r="BK29" s="53"/>
      <c r="BL29" s="53"/>
      <c r="BM29" s="53"/>
      <c r="BN29" s="53"/>
      <c r="BO29" s="53"/>
      <c r="BP29" s="53"/>
      <c r="BQ29" s="53"/>
      <c r="BR29" s="53"/>
      <c r="BS29" s="53"/>
      <c r="BT29" s="53"/>
      <c r="BU29" s="53"/>
      <c r="BV29" s="53"/>
      <c r="BW29" s="53"/>
      <c r="BX29" s="53"/>
      <c r="BY29" s="53"/>
      <c r="BZ29" s="53"/>
      <c r="CA29" s="53"/>
      <c r="CB29" s="53"/>
      <c r="CC29" s="53"/>
      <c r="CD29" s="53"/>
      <c r="CE29" s="53"/>
      <c r="CF29" s="53"/>
      <c r="CG29" s="53"/>
      <c r="CH29" s="53"/>
      <c r="CI29" s="53"/>
      <c r="CJ29" s="53"/>
      <c r="CK29" s="53"/>
      <c r="CL29" s="53"/>
      <c r="CM29" s="53"/>
      <c r="CN29" s="53"/>
      <c r="CO29" s="53"/>
      <c r="CP29" s="53"/>
      <c r="CQ29" s="53"/>
      <c r="CR29" s="53"/>
      <c r="CS29" s="53"/>
      <c r="CT29" s="53"/>
      <c r="CU29" s="53"/>
      <c r="CV29" s="53"/>
      <c r="CW29" s="53"/>
      <c r="CX29" s="53"/>
      <c r="CY29" s="53"/>
      <c r="CZ29" s="53"/>
      <c r="DA29" s="53"/>
      <c r="DB29" s="53"/>
      <c r="DC29" s="53"/>
      <c r="DD29" s="53"/>
      <c r="DE29" s="53"/>
      <c r="DF29" s="53"/>
      <c r="DG29" s="53"/>
      <c r="DH29" s="53"/>
      <c r="DI29" s="53"/>
      <c r="DJ29" s="53"/>
      <c r="DK29" s="53"/>
      <c r="DL29" s="53"/>
      <c r="DM29" s="53"/>
      <c r="DN29" s="53"/>
      <c r="DO29" s="53"/>
      <c r="DP29" s="53"/>
      <c r="DQ29" s="53"/>
      <c r="DR29" s="53"/>
      <c r="DS29" s="53"/>
      <c r="DT29" s="53"/>
      <c r="DU29" s="53"/>
      <c r="DV29" s="53"/>
      <c r="DW29" s="53"/>
      <c r="DX29" s="53"/>
      <c r="DY29" s="53"/>
      <c r="DZ29" s="53"/>
      <c r="EA29" s="53"/>
      <c r="EB29" s="53"/>
      <c r="EC29" s="53"/>
      <c r="ED29" s="53"/>
      <c r="EE29" s="53"/>
      <c r="EF29" s="53"/>
      <c r="EG29" s="53"/>
      <c r="EH29" s="53"/>
      <c r="EI29" s="53"/>
      <c r="EJ29" s="53"/>
      <c r="EK29" s="53"/>
      <c r="EL29" s="53"/>
      <c r="EM29" s="53"/>
      <c r="EN29" s="53"/>
      <c r="EO29" s="53"/>
      <c r="EP29" s="53"/>
      <c r="EQ29" s="53"/>
      <c r="ER29" s="53"/>
      <c r="ES29" s="53"/>
      <c r="ET29" s="53"/>
      <c r="EU29" s="53"/>
      <c r="EV29" s="53"/>
      <c r="EW29" s="53"/>
      <c r="EX29" s="53"/>
      <c r="EY29" s="53"/>
      <c r="EZ29" s="53"/>
      <c r="FA29" s="53"/>
      <c r="FB29" s="53"/>
      <c r="FC29" s="53"/>
      <c r="FD29" s="53"/>
      <c r="FE29" s="53"/>
      <c r="FF29" s="53"/>
      <c r="FG29" s="53"/>
      <c r="FH29" s="53"/>
      <c r="FI29" s="53"/>
      <c r="FJ29" s="53"/>
      <c r="FK29" s="53"/>
      <c r="FL29" s="53"/>
      <c r="FM29" s="53"/>
      <c r="FN29" s="53"/>
      <c r="FO29" s="53"/>
      <c r="FP29" s="53"/>
      <c r="FQ29" s="53"/>
      <c r="FR29" s="53"/>
      <c r="FS29" s="53"/>
      <c r="FT29" s="53"/>
      <c r="FU29" s="53"/>
      <c r="FV29" s="53"/>
      <c r="FW29" s="53"/>
      <c r="FX29" s="53"/>
      <c r="FY29" s="53"/>
      <c r="FZ29" s="53"/>
      <c r="GA29" s="53"/>
      <c r="GB29" s="53"/>
      <c r="GC29" s="53"/>
      <c r="GD29" s="53"/>
      <c r="GE29" s="53"/>
    </row>
    <row r="30" spans="1:187" ht="17" customHeight="1">
      <c r="A30" s="58">
        <v>19</v>
      </c>
      <c r="B30" s="373" t="s">
        <v>13</v>
      </c>
      <c r="C30" s="59">
        <v>3.9</v>
      </c>
      <c r="D30" s="59">
        <v>1.7</v>
      </c>
      <c r="E30" s="59">
        <v>0.3</v>
      </c>
      <c r="F30" s="59">
        <v>0</v>
      </c>
      <c r="G30" s="59">
        <v>0</v>
      </c>
      <c r="H30" s="59">
        <v>0.2</v>
      </c>
      <c r="I30" s="59">
        <v>0</v>
      </c>
      <c r="J30" s="59">
        <v>0</v>
      </c>
      <c r="K30" s="59">
        <v>0</v>
      </c>
      <c r="L30" s="59">
        <v>0</v>
      </c>
      <c r="M30" s="59">
        <v>0</v>
      </c>
      <c r="N30" s="59">
        <v>4</v>
      </c>
      <c r="O30" s="59">
        <v>0</v>
      </c>
      <c r="P30" s="59">
        <v>0</v>
      </c>
      <c r="Q30" s="59">
        <v>0</v>
      </c>
      <c r="R30" s="59">
        <v>1.2</v>
      </c>
      <c r="S30" s="59">
        <v>59.9</v>
      </c>
      <c r="T30" s="59">
        <v>3.8</v>
      </c>
      <c r="U30" s="59">
        <v>9.8000000000000007</v>
      </c>
      <c r="V30" s="59">
        <v>0</v>
      </c>
      <c r="W30" s="59">
        <v>0</v>
      </c>
      <c r="X30" s="59">
        <v>8.5</v>
      </c>
      <c r="Y30" s="59">
        <v>0</v>
      </c>
      <c r="Z30" s="59">
        <v>27.2</v>
      </c>
      <c r="AA30" s="59">
        <v>0.5</v>
      </c>
      <c r="AB30" s="59">
        <v>0.2</v>
      </c>
      <c r="AC30" s="59">
        <v>0.1</v>
      </c>
      <c r="AD30" s="59">
        <v>0.1</v>
      </c>
      <c r="AE30" s="59">
        <v>0.9</v>
      </c>
      <c r="AF30" s="59">
        <v>0</v>
      </c>
      <c r="AG30" s="59">
        <v>0.1</v>
      </c>
      <c r="AH30" s="59">
        <v>0.1</v>
      </c>
      <c r="AI30" s="59">
        <v>0.7</v>
      </c>
      <c r="AJ30" s="60">
        <f t="shared" si="0"/>
        <v>123.19999999999999</v>
      </c>
      <c r="AK30" s="58">
        <v>7.1</v>
      </c>
      <c r="AL30" s="327">
        <v>0</v>
      </c>
      <c r="AM30" s="327">
        <v>0.7</v>
      </c>
      <c r="AN30" s="327">
        <v>6.8</v>
      </c>
      <c r="AO30" s="327">
        <v>61.9</v>
      </c>
      <c r="AP30" s="58">
        <f t="shared" si="2"/>
        <v>76.5</v>
      </c>
      <c r="AQ30" s="61">
        <f t="shared" si="1"/>
        <v>199.7</v>
      </c>
      <c r="AR30" s="58"/>
      <c r="AS30" s="58"/>
      <c r="AT30" s="58"/>
      <c r="AU30" s="58"/>
      <c r="AV30" s="58"/>
      <c r="AW30" s="58"/>
      <c r="AX30" s="58"/>
      <c r="AY30" s="58"/>
      <c r="AZ30" s="58"/>
      <c r="BA30" s="58"/>
      <c r="BB30" s="58"/>
      <c r="BC30" s="58"/>
      <c r="BD30" s="58"/>
      <c r="BE30" s="58"/>
      <c r="BF30" s="58"/>
      <c r="BG30" s="58"/>
      <c r="BH30" s="58"/>
      <c r="BI30" s="58"/>
      <c r="BJ30" s="58"/>
      <c r="BK30" s="58"/>
      <c r="BL30" s="58"/>
      <c r="BM30" s="58"/>
      <c r="BN30" s="58"/>
      <c r="BO30" s="58"/>
      <c r="BP30" s="58"/>
      <c r="BQ30" s="58"/>
      <c r="BR30" s="58"/>
      <c r="BS30" s="58"/>
      <c r="BT30" s="58"/>
      <c r="BU30" s="58"/>
      <c r="BV30" s="58"/>
      <c r="BW30" s="58"/>
      <c r="BX30" s="58"/>
      <c r="BY30" s="58"/>
      <c r="BZ30" s="58"/>
      <c r="CA30" s="58"/>
      <c r="CB30" s="58"/>
      <c r="CC30" s="58"/>
      <c r="CD30" s="58"/>
      <c r="CE30" s="58"/>
      <c r="CF30" s="58"/>
      <c r="CG30" s="58"/>
      <c r="CH30" s="58"/>
      <c r="CI30" s="58"/>
      <c r="CJ30" s="58"/>
      <c r="CK30" s="58"/>
      <c r="CL30" s="58"/>
      <c r="CM30" s="58"/>
      <c r="CN30" s="58"/>
      <c r="CO30" s="58"/>
      <c r="CP30" s="58"/>
      <c r="CQ30" s="58"/>
      <c r="CR30" s="58"/>
      <c r="CS30" s="58"/>
      <c r="CT30" s="58"/>
      <c r="CU30" s="58"/>
      <c r="CV30" s="58"/>
      <c r="CW30" s="58"/>
      <c r="CX30" s="58"/>
      <c r="CY30" s="58"/>
      <c r="CZ30" s="58"/>
      <c r="DA30" s="58"/>
      <c r="DB30" s="58"/>
      <c r="DC30" s="58"/>
      <c r="DD30" s="58"/>
      <c r="DE30" s="58"/>
      <c r="DF30" s="58"/>
      <c r="DG30" s="58"/>
      <c r="DH30" s="58"/>
      <c r="DI30" s="58"/>
      <c r="DJ30" s="58"/>
      <c r="DK30" s="58"/>
      <c r="DL30" s="58"/>
      <c r="DM30" s="58"/>
      <c r="DN30" s="58"/>
      <c r="DO30" s="58"/>
      <c r="DP30" s="58"/>
      <c r="DQ30" s="58"/>
      <c r="DR30" s="58"/>
      <c r="DS30" s="58"/>
      <c r="DT30" s="58"/>
      <c r="DU30" s="58"/>
      <c r="DV30" s="58"/>
      <c r="DW30" s="58"/>
      <c r="DX30" s="58"/>
      <c r="DY30" s="58"/>
      <c r="DZ30" s="58"/>
      <c r="EA30" s="58"/>
      <c r="EB30" s="58"/>
      <c r="EC30" s="58"/>
      <c r="ED30" s="58"/>
      <c r="EE30" s="58"/>
      <c r="EF30" s="58"/>
      <c r="EG30" s="58"/>
      <c r="EH30" s="58"/>
      <c r="EI30" s="58"/>
      <c r="EJ30" s="58"/>
      <c r="EK30" s="58"/>
      <c r="EL30" s="58"/>
      <c r="EM30" s="58"/>
      <c r="EN30" s="58"/>
      <c r="EO30" s="58"/>
      <c r="EP30" s="58"/>
      <c r="EQ30" s="58"/>
      <c r="ER30" s="58"/>
      <c r="ES30" s="58"/>
      <c r="ET30" s="58"/>
      <c r="EU30" s="58"/>
      <c r="EV30" s="58"/>
      <c r="EW30" s="58"/>
      <c r="EX30" s="58"/>
      <c r="EY30" s="58"/>
      <c r="EZ30" s="58"/>
      <c r="FA30" s="58"/>
      <c r="FB30" s="58"/>
      <c r="FC30" s="58"/>
      <c r="FD30" s="58"/>
      <c r="FE30" s="58"/>
      <c r="FF30" s="58"/>
      <c r="FG30" s="58"/>
      <c r="FH30" s="58"/>
      <c r="FI30" s="58"/>
      <c r="FJ30" s="58"/>
      <c r="FK30" s="58"/>
      <c r="FL30" s="58"/>
      <c r="FM30" s="58"/>
      <c r="FN30" s="58"/>
      <c r="FO30" s="58"/>
      <c r="FP30" s="58"/>
      <c r="FQ30" s="58"/>
      <c r="FR30" s="58"/>
      <c r="FS30" s="58"/>
      <c r="FT30" s="58"/>
      <c r="FU30" s="58"/>
      <c r="FV30" s="58"/>
      <c r="FW30" s="58"/>
      <c r="FX30" s="58"/>
      <c r="FY30" s="58"/>
      <c r="FZ30" s="58"/>
      <c r="GA30" s="58"/>
      <c r="GB30" s="58"/>
      <c r="GC30" s="58"/>
      <c r="GD30" s="58"/>
      <c r="GE30" s="58"/>
    </row>
    <row r="31" spans="1:187" ht="17" customHeight="1">
      <c r="A31" s="53">
        <v>20</v>
      </c>
      <c r="B31" s="373" t="s">
        <v>14</v>
      </c>
      <c r="C31" s="54">
        <v>5.5</v>
      </c>
      <c r="D31" s="54">
        <v>3.5</v>
      </c>
      <c r="E31" s="54">
        <v>0.2</v>
      </c>
      <c r="F31" s="54">
        <v>0.1</v>
      </c>
      <c r="G31" s="54">
        <v>24.8</v>
      </c>
      <c r="H31" s="54">
        <v>2.2000000000000002</v>
      </c>
      <c r="I31" s="54">
        <v>0.4</v>
      </c>
      <c r="J31" s="54">
        <v>0.5</v>
      </c>
      <c r="K31" s="54">
        <v>0.6</v>
      </c>
      <c r="L31" s="54">
        <v>0.1</v>
      </c>
      <c r="M31" s="54">
        <v>0.7</v>
      </c>
      <c r="N31" s="54">
        <v>1.5</v>
      </c>
      <c r="O31" s="54">
        <v>0.2</v>
      </c>
      <c r="P31" s="54">
        <v>0.1</v>
      </c>
      <c r="Q31" s="54">
        <v>0.7</v>
      </c>
      <c r="R31" s="54">
        <v>3.1</v>
      </c>
      <c r="S31" s="54">
        <v>66.7</v>
      </c>
      <c r="T31" s="54">
        <v>0.8</v>
      </c>
      <c r="U31" s="54">
        <v>0.1</v>
      </c>
      <c r="V31" s="54">
        <v>96.3</v>
      </c>
      <c r="W31" s="54">
        <v>49.2</v>
      </c>
      <c r="X31" s="54">
        <v>38.9</v>
      </c>
      <c r="Y31" s="54">
        <v>4.7</v>
      </c>
      <c r="Z31" s="54">
        <v>79.900000000000006</v>
      </c>
      <c r="AA31" s="54">
        <v>51.6</v>
      </c>
      <c r="AB31" s="54">
        <v>3</v>
      </c>
      <c r="AC31" s="54">
        <v>1.7</v>
      </c>
      <c r="AD31" s="54">
        <v>4.2</v>
      </c>
      <c r="AE31" s="54">
        <v>2.4</v>
      </c>
      <c r="AF31" s="54">
        <v>0.7</v>
      </c>
      <c r="AG31" s="54">
        <v>1.6</v>
      </c>
      <c r="AH31" s="54">
        <v>14.1</v>
      </c>
      <c r="AI31" s="54">
        <v>8.6</v>
      </c>
      <c r="AJ31" s="55">
        <f t="shared" si="0"/>
        <v>468.7</v>
      </c>
      <c r="AK31" s="53">
        <v>55.2</v>
      </c>
      <c r="AL31" s="326">
        <v>0</v>
      </c>
      <c r="AM31" s="326">
        <v>433.8</v>
      </c>
      <c r="AN31" s="326">
        <v>6.3</v>
      </c>
      <c r="AO31" s="326">
        <v>62.1</v>
      </c>
      <c r="AP31" s="53">
        <f t="shared" si="2"/>
        <v>557.4</v>
      </c>
      <c r="AQ31" s="56">
        <f t="shared" si="1"/>
        <v>1026.0999999999999</v>
      </c>
      <c r="AR31" s="53"/>
      <c r="AS31" s="53"/>
      <c r="AT31" s="53"/>
      <c r="AU31" s="53"/>
      <c r="AV31" s="53"/>
      <c r="AW31" s="53"/>
      <c r="AX31" s="53"/>
      <c r="AY31" s="53"/>
      <c r="AZ31" s="53"/>
      <c r="BA31" s="53"/>
      <c r="BB31" s="53"/>
      <c r="BC31" s="53"/>
      <c r="BD31" s="53"/>
      <c r="BE31" s="53"/>
      <c r="BF31" s="53"/>
      <c r="BG31" s="53"/>
      <c r="BH31" s="53"/>
      <c r="BI31" s="53"/>
      <c r="BJ31" s="53"/>
      <c r="BK31" s="53"/>
      <c r="BL31" s="53"/>
      <c r="BM31" s="53"/>
      <c r="BN31" s="53"/>
      <c r="BO31" s="53"/>
      <c r="BP31" s="53"/>
      <c r="BQ31" s="53"/>
      <c r="BR31" s="53"/>
      <c r="BS31" s="53"/>
      <c r="BT31" s="53"/>
      <c r="BU31" s="53"/>
      <c r="BV31" s="53"/>
      <c r="BW31" s="53"/>
      <c r="BX31" s="53"/>
      <c r="BY31" s="53"/>
      <c r="BZ31" s="53"/>
      <c r="CA31" s="53"/>
      <c r="CB31" s="53"/>
      <c r="CC31" s="53"/>
      <c r="CD31" s="53"/>
      <c r="CE31" s="53"/>
      <c r="CF31" s="53"/>
      <c r="CG31" s="53"/>
      <c r="CH31" s="53"/>
      <c r="CI31" s="53"/>
      <c r="CJ31" s="53"/>
      <c r="CK31" s="53"/>
      <c r="CL31" s="53"/>
      <c r="CM31" s="53"/>
      <c r="CN31" s="53"/>
      <c r="CO31" s="53"/>
      <c r="CP31" s="53"/>
      <c r="CQ31" s="53"/>
      <c r="CR31" s="53"/>
      <c r="CS31" s="53"/>
      <c r="CT31" s="53"/>
      <c r="CU31" s="53"/>
      <c r="CV31" s="53"/>
      <c r="CW31" s="53"/>
      <c r="CX31" s="53"/>
      <c r="CY31" s="53"/>
      <c r="CZ31" s="53"/>
      <c r="DA31" s="53"/>
      <c r="DB31" s="53"/>
      <c r="DC31" s="53"/>
      <c r="DD31" s="53"/>
      <c r="DE31" s="53"/>
      <c r="DF31" s="53"/>
      <c r="DG31" s="53"/>
      <c r="DH31" s="53"/>
      <c r="DI31" s="53"/>
      <c r="DJ31" s="53"/>
      <c r="DK31" s="53"/>
      <c r="DL31" s="53"/>
      <c r="DM31" s="53"/>
      <c r="DN31" s="53"/>
      <c r="DO31" s="53"/>
      <c r="DP31" s="53"/>
      <c r="DQ31" s="53"/>
      <c r="DR31" s="53"/>
      <c r="DS31" s="53"/>
      <c r="DT31" s="53"/>
      <c r="DU31" s="53"/>
      <c r="DV31" s="53"/>
      <c r="DW31" s="53"/>
      <c r="DX31" s="53"/>
      <c r="DY31" s="53"/>
      <c r="DZ31" s="53"/>
      <c r="EA31" s="53"/>
      <c r="EB31" s="53"/>
      <c r="EC31" s="53"/>
      <c r="ED31" s="53"/>
      <c r="EE31" s="53"/>
      <c r="EF31" s="53"/>
      <c r="EG31" s="53"/>
      <c r="EH31" s="53"/>
      <c r="EI31" s="53"/>
      <c r="EJ31" s="53"/>
      <c r="EK31" s="53"/>
      <c r="EL31" s="53"/>
      <c r="EM31" s="53"/>
      <c r="EN31" s="53"/>
      <c r="EO31" s="53"/>
      <c r="EP31" s="53"/>
      <c r="EQ31" s="53"/>
      <c r="ER31" s="53"/>
      <c r="ES31" s="53"/>
      <c r="ET31" s="53"/>
      <c r="EU31" s="53"/>
      <c r="EV31" s="53"/>
      <c r="EW31" s="53"/>
      <c r="EX31" s="53"/>
      <c r="EY31" s="53"/>
      <c r="EZ31" s="53"/>
      <c r="FA31" s="53"/>
      <c r="FB31" s="53"/>
      <c r="FC31" s="53"/>
      <c r="FD31" s="53"/>
      <c r="FE31" s="53"/>
      <c r="FF31" s="53"/>
      <c r="FG31" s="53"/>
      <c r="FH31" s="53"/>
      <c r="FI31" s="53"/>
      <c r="FJ31" s="53"/>
      <c r="FK31" s="53"/>
      <c r="FL31" s="53"/>
      <c r="FM31" s="53"/>
      <c r="FN31" s="53"/>
      <c r="FO31" s="53"/>
      <c r="FP31" s="53"/>
      <c r="FQ31" s="53"/>
      <c r="FR31" s="53"/>
      <c r="FS31" s="53"/>
      <c r="FT31" s="53"/>
      <c r="FU31" s="53"/>
      <c r="FV31" s="53"/>
      <c r="FW31" s="53"/>
      <c r="FX31" s="53"/>
      <c r="FY31" s="53"/>
      <c r="FZ31" s="53"/>
      <c r="GA31" s="53"/>
      <c r="GB31" s="53"/>
      <c r="GC31" s="53"/>
      <c r="GD31" s="53"/>
      <c r="GE31" s="53"/>
    </row>
    <row r="32" spans="1:187" ht="17" customHeight="1">
      <c r="A32" s="53">
        <v>21</v>
      </c>
      <c r="B32" s="373" t="s">
        <v>15</v>
      </c>
      <c r="C32" s="59">
        <v>1.6</v>
      </c>
      <c r="D32" s="59">
        <v>0.8</v>
      </c>
      <c r="E32" s="59">
        <v>0.1</v>
      </c>
      <c r="F32" s="59">
        <v>0</v>
      </c>
      <c r="G32" s="59">
        <v>0.1</v>
      </c>
      <c r="H32" s="59">
        <v>0.8</v>
      </c>
      <c r="I32" s="59">
        <v>0.1</v>
      </c>
      <c r="J32" s="59">
        <v>0.2</v>
      </c>
      <c r="K32" s="59">
        <v>0.2</v>
      </c>
      <c r="L32" s="59">
        <v>0</v>
      </c>
      <c r="M32" s="59">
        <v>0.2</v>
      </c>
      <c r="N32" s="59">
        <v>0.5</v>
      </c>
      <c r="O32" s="59">
        <v>0.1</v>
      </c>
      <c r="P32" s="59">
        <v>0</v>
      </c>
      <c r="Q32" s="59">
        <v>0.1</v>
      </c>
      <c r="R32" s="59">
        <v>0.3</v>
      </c>
      <c r="S32" s="59">
        <v>0.9</v>
      </c>
      <c r="T32" s="59">
        <v>0.1</v>
      </c>
      <c r="U32" s="59">
        <v>0</v>
      </c>
      <c r="V32" s="59">
        <v>12.8</v>
      </c>
      <c r="W32" s="59">
        <v>8</v>
      </c>
      <c r="X32" s="59">
        <v>2.6</v>
      </c>
      <c r="Y32" s="59">
        <v>0.3</v>
      </c>
      <c r="Z32" s="59">
        <v>0.7</v>
      </c>
      <c r="AA32" s="59">
        <v>2.5</v>
      </c>
      <c r="AB32" s="59">
        <v>1.4</v>
      </c>
      <c r="AC32" s="59">
        <v>0.5</v>
      </c>
      <c r="AD32" s="59">
        <v>11.2</v>
      </c>
      <c r="AE32" s="59">
        <v>1</v>
      </c>
      <c r="AF32" s="59">
        <v>0.2</v>
      </c>
      <c r="AG32" s="59">
        <v>0.5</v>
      </c>
      <c r="AH32" s="59">
        <v>0.6</v>
      </c>
      <c r="AI32" s="59">
        <v>2.8</v>
      </c>
      <c r="AJ32" s="60">
        <f t="shared" si="0"/>
        <v>51.199999999999996</v>
      </c>
      <c r="AK32" s="58">
        <v>103.5</v>
      </c>
      <c r="AL32" s="327">
        <v>0</v>
      </c>
      <c r="AM32" s="327">
        <v>130.5</v>
      </c>
      <c r="AN32" s="327">
        <v>18.100000000000001</v>
      </c>
      <c r="AO32" s="327">
        <v>103.4</v>
      </c>
      <c r="AP32" s="58">
        <f t="shared" si="2"/>
        <v>355.5</v>
      </c>
      <c r="AQ32" s="61">
        <f t="shared" si="1"/>
        <v>406.7</v>
      </c>
      <c r="AR32" s="58"/>
      <c r="AS32" s="58"/>
      <c r="AT32" s="58"/>
      <c r="AU32" s="58"/>
      <c r="AV32" s="58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8"/>
      <c r="BH32" s="58"/>
      <c r="BI32" s="58"/>
      <c r="BJ32" s="58"/>
      <c r="BK32" s="58"/>
      <c r="BL32" s="58"/>
      <c r="BM32" s="58"/>
      <c r="BN32" s="58"/>
      <c r="BO32" s="58"/>
      <c r="BP32" s="58"/>
      <c r="BQ32" s="58"/>
      <c r="BR32" s="58"/>
      <c r="BS32" s="58"/>
      <c r="BT32" s="58"/>
      <c r="BU32" s="58"/>
      <c r="BV32" s="58"/>
      <c r="BW32" s="58"/>
      <c r="BX32" s="58"/>
      <c r="BY32" s="58"/>
      <c r="BZ32" s="58"/>
      <c r="CA32" s="58"/>
      <c r="CB32" s="58"/>
      <c r="CC32" s="58"/>
      <c r="CD32" s="58"/>
      <c r="CE32" s="58"/>
      <c r="CF32" s="58"/>
      <c r="CG32" s="58"/>
      <c r="CH32" s="58"/>
      <c r="CI32" s="58"/>
      <c r="CJ32" s="58"/>
      <c r="CK32" s="58"/>
      <c r="CL32" s="58"/>
      <c r="CM32" s="58"/>
      <c r="CN32" s="58"/>
      <c r="CO32" s="58"/>
      <c r="CP32" s="58"/>
      <c r="CQ32" s="58"/>
      <c r="CR32" s="58"/>
      <c r="CS32" s="58"/>
      <c r="CT32" s="58"/>
      <c r="CU32" s="58"/>
      <c r="CV32" s="58"/>
      <c r="CW32" s="58"/>
      <c r="CX32" s="58"/>
      <c r="CY32" s="58"/>
      <c r="CZ32" s="58"/>
      <c r="DA32" s="58"/>
      <c r="DB32" s="58"/>
      <c r="DC32" s="58"/>
      <c r="DD32" s="58"/>
      <c r="DE32" s="58"/>
      <c r="DF32" s="58"/>
      <c r="DG32" s="58"/>
      <c r="DH32" s="58"/>
      <c r="DI32" s="58"/>
      <c r="DJ32" s="58"/>
      <c r="DK32" s="58"/>
      <c r="DL32" s="58"/>
      <c r="DM32" s="58"/>
      <c r="DN32" s="58"/>
      <c r="DO32" s="58"/>
      <c r="DP32" s="58"/>
      <c r="DQ32" s="58"/>
      <c r="DR32" s="58"/>
      <c r="DS32" s="58"/>
      <c r="DT32" s="58"/>
      <c r="DU32" s="58"/>
      <c r="DV32" s="58"/>
      <c r="DW32" s="58"/>
      <c r="DX32" s="58"/>
      <c r="DY32" s="58"/>
      <c r="DZ32" s="58"/>
      <c r="EA32" s="58"/>
      <c r="EB32" s="58"/>
      <c r="EC32" s="58"/>
      <c r="ED32" s="58"/>
      <c r="EE32" s="58"/>
      <c r="EF32" s="58"/>
      <c r="EG32" s="58"/>
      <c r="EH32" s="58"/>
      <c r="EI32" s="58"/>
      <c r="EJ32" s="58"/>
      <c r="EK32" s="58"/>
      <c r="EL32" s="58"/>
      <c r="EM32" s="58"/>
      <c r="EN32" s="58"/>
      <c r="EO32" s="58"/>
      <c r="EP32" s="58"/>
      <c r="EQ32" s="58"/>
      <c r="ER32" s="58"/>
      <c r="ES32" s="58"/>
      <c r="ET32" s="58"/>
      <c r="EU32" s="58"/>
      <c r="EV32" s="58"/>
      <c r="EW32" s="58"/>
      <c r="EX32" s="58"/>
      <c r="EY32" s="58"/>
      <c r="EZ32" s="58"/>
      <c r="FA32" s="58"/>
      <c r="FB32" s="58"/>
      <c r="FC32" s="58"/>
      <c r="FD32" s="58"/>
      <c r="FE32" s="58"/>
      <c r="FF32" s="58"/>
      <c r="FG32" s="58"/>
      <c r="FH32" s="58"/>
      <c r="FI32" s="58"/>
      <c r="FJ32" s="58"/>
      <c r="FK32" s="58"/>
      <c r="FL32" s="58"/>
      <c r="FM32" s="58"/>
      <c r="FN32" s="58"/>
      <c r="FO32" s="58"/>
      <c r="FP32" s="58"/>
      <c r="FQ32" s="58"/>
      <c r="FR32" s="58"/>
      <c r="FS32" s="58"/>
      <c r="FT32" s="58"/>
      <c r="FU32" s="58"/>
      <c r="FV32" s="58"/>
      <c r="FW32" s="58"/>
      <c r="FX32" s="58"/>
      <c r="FY32" s="58"/>
      <c r="FZ32" s="58"/>
      <c r="GA32" s="58"/>
      <c r="GB32" s="58"/>
      <c r="GC32" s="58"/>
      <c r="GD32" s="58"/>
      <c r="GE32" s="58"/>
    </row>
    <row r="33" spans="1:187" ht="17" customHeight="1">
      <c r="A33" s="58">
        <v>22</v>
      </c>
      <c r="B33" s="373" t="s">
        <v>16</v>
      </c>
      <c r="C33" s="54">
        <v>136.1</v>
      </c>
      <c r="D33" s="54">
        <v>109.5</v>
      </c>
      <c r="E33" s="54">
        <v>0</v>
      </c>
      <c r="F33" s="54">
        <v>0.5</v>
      </c>
      <c r="G33" s="54">
        <v>35</v>
      </c>
      <c r="H33" s="54">
        <v>29.8</v>
      </c>
      <c r="I33" s="54">
        <v>1.6</v>
      </c>
      <c r="J33" s="54">
        <v>6.2</v>
      </c>
      <c r="K33" s="54">
        <v>9.5</v>
      </c>
      <c r="L33" s="54">
        <v>0.7</v>
      </c>
      <c r="M33" s="54">
        <v>6.1</v>
      </c>
      <c r="N33" s="54">
        <v>16.100000000000001</v>
      </c>
      <c r="O33" s="54">
        <v>25.1</v>
      </c>
      <c r="P33" s="54">
        <v>3.7</v>
      </c>
      <c r="Q33" s="54">
        <v>5.2</v>
      </c>
      <c r="R33" s="54">
        <v>35.700000000000003</v>
      </c>
      <c r="S33" s="54">
        <v>39.1</v>
      </c>
      <c r="T33" s="54">
        <v>5</v>
      </c>
      <c r="U33" s="54">
        <v>0.6</v>
      </c>
      <c r="V33" s="54">
        <v>0.3</v>
      </c>
      <c r="W33" s="54">
        <v>8.6999999999999993</v>
      </c>
      <c r="X33" s="54">
        <v>13.9</v>
      </c>
      <c r="Y33" s="54">
        <v>3.9</v>
      </c>
      <c r="Z33" s="54">
        <v>11.4</v>
      </c>
      <c r="AA33" s="54">
        <v>41.4</v>
      </c>
      <c r="AB33" s="54">
        <v>344</v>
      </c>
      <c r="AC33" s="54">
        <v>2.2000000000000002</v>
      </c>
      <c r="AD33" s="54">
        <v>0.4</v>
      </c>
      <c r="AE33" s="54">
        <v>18</v>
      </c>
      <c r="AF33" s="54">
        <v>11.7</v>
      </c>
      <c r="AG33" s="54">
        <v>51.7</v>
      </c>
      <c r="AH33" s="54">
        <v>43</v>
      </c>
      <c r="AI33" s="54">
        <v>34</v>
      </c>
      <c r="AJ33" s="55">
        <f t="shared" si="0"/>
        <v>1050.1000000000001</v>
      </c>
      <c r="AK33" s="53">
        <v>275.3</v>
      </c>
      <c r="AL33" s="326">
        <v>0</v>
      </c>
      <c r="AM33" s="326">
        <v>51.6</v>
      </c>
      <c r="AN33" s="326">
        <v>44.8</v>
      </c>
      <c r="AO33" s="326">
        <v>31.6</v>
      </c>
      <c r="AP33" s="53">
        <f t="shared" si="2"/>
        <v>403.30000000000007</v>
      </c>
      <c r="AQ33" s="56">
        <f t="shared" si="1"/>
        <v>1453.4</v>
      </c>
      <c r="AR33" s="53"/>
      <c r="AS33" s="53"/>
      <c r="AT33" s="53"/>
      <c r="AU33" s="53"/>
      <c r="AV33" s="53"/>
      <c r="AW33" s="53"/>
      <c r="AX33" s="53"/>
      <c r="AY33" s="53"/>
      <c r="AZ33" s="53"/>
      <c r="BA33" s="53"/>
      <c r="BB33" s="53"/>
      <c r="BC33" s="53"/>
      <c r="BD33" s="53"/>
      <c r="BE33" s="53"/>
      <c r="BF33" s="53"/>
      <c r="BG33" s="53"/>
      <c r="BH33" s="53"/>
      <c r="BI33" s="53"/>
      <c r="BJ33" s="53"/>
      <c r="BK33" s="53"/>
      <c r="BL33" s="53"/>
      <c r="BM33" s="53"/>
      <c r="BN33" s="53"/>
      <c r="BO33" s="53"/>
      <c r="BP33" s="53"/>
      <c r="BQ33" s="53"/>
      <c r="BR33" s="53"/>
      <c r="BS33" s="53"/>
      <c r="BT33" s="53"/>
      <c r="BU33" s="53"/>
      <c r="BV33" s="53"/>
      <c r="BW33" s="53"/>
      <c r="BX33" s="53"/>
      <c r="BY33" s="53"/>
      <c r="BZ33" s="53"/>
      <c r="CA33" s="53"/>
      <c r="CB33" s="53"/>
      <c r="CC33" s="53"/>
      <c r="CD33" s="53"/>
      <c r="CE33" s="53"/>
      <c r="CF33" s="53"/>
      <c r="CG33" s="53"/>
      <c r="CH33" s="53"/>
      <c r="CI33" s="53"/>
      <c r="CJ33" s="53"/>
      <c r="CK33" s="53"/>
      <c r="CL33" s="53"/>
      <c r="CM33" s="53"/>
      <c r="CN33" s="53"/>
      <c r="CO33" s="53"/>
      <c r="CP33" s="53"/>
      <c r="CQ33" s="53"/>
      <c r="CR33" s="53"/>
      <c r="CS33" s="53"/>
      <c r="CT33" s="53"/>
      <c r="CU33" s="53"/>
      <c r="CV33" s="53"/>
      <c r="CW33" s="53"/>
      <c r="CX33" s="53"/>
      <c r="CY33" s="53"/>
      <c r="CZ33" s="53"/>
      <c r="DA33" s="53"/>
      <c r="DB33" s="53"/>
      <c r="DC33" s="53"/>
      <c r="DD33" s="53"/>
      <c r="DE33" s="53"/>
      <c r="DF33" s="53"/>
      <c r="DG33" s="53"/>
      <c r="DH33" s="53"/>
      <c r="DI33" s="53"/>
      <c r="DJ33" s="53"/>
      <c r="DK33" s="53"/>
      <c r="DL33" s="53"/>
      <c r="DM33" s="53"/>
      <c r="DN33" s="53"/>
      <c r="DO33" s="53"/>
      <c r="DP33" s="53"/>
      <c r="DQ33" s="53"/>
      <c r="DR33" s="53"/>
      <c r="DS33" s="53"/>
      <c r="DT33" s="53"/>
      <c r="DU33" s="53"/>
      <c r="DV33" s="53"/>
      <c r="DW33" s="53"/>
      <c r="DX33" s="53"/>
      <c r="DY33" s="53"/>
      <c r="DZ33" s="53"/>
      <c r="EA33" s="53"/>
      <c r="EB33" s="53"/>
      <c r="EC33" s="53"/>
      <c r="ED33" s="53"/>
      <c r="EE33" s="53"/>
      <c r="EF33" s="53"/>
      <c r="EG33" s="53"/>
      <c r="EH33" s="53"/>
      <c r="EI33" s="53"/>
      <c r="EJ33" s="53"/>
      <c r="EK33" s="53"/>
      <c r="EL33" s="53"/>
      <c r="EM33" s="53"/>
      <c r="EN33" s="53"/>
      <c r="EO33" s="53"/>
      <c r="EP33" s="53"/>
      <c r="EQ33" s="53"/>
      <c r="ER33" s="53"/>
      <c r="ES33" s="53"/>
      <c r="ET33" s="53"/>
      <c r="EU33" s="53"/>
      <c r="EV33" s="53"/>
      <c r="EW33" s="53"/>
      <c r="EX33" s="53"/>
      <c r="EY33" s="53"/>
      <c r="EZ33" s="53"/>
      <c r="FA33" s="53"/>
      <c r="FB33" s="53"/>
      <c r="FC33" s="53"/>
      <c r="FD33" s="53"/>
      <c r="FE33" s="53"/>
      <c r="FF33" s="53"/>
      <c r="FG33" s="53"/>
      <c r="FH33" s="53"/>
      <c r="FI33" s="53"/>
      <c r="FJ33" s="53"/>
      <c r="FK33" s="53"/>
      <c r="FL33" s="53"/>
      <c r="FM33" s="53"/>
      <c r="FN33" s="53"/>
      <c r="FO33" s="53"/>
      <c r="FP33" s="53"/>
      <c r="FQ33" s="53"/>
      <c r="FR33" s="53"/>
      <c r="FS33" s="53"/>
      <c r="FT33" s="53"/>
      <c r="FU33" s="53"/>
      <c r="FV33" s="53"/>
      <c r="FW33" s="53"/>
      <c r="FX33" s="53"/>
      <c r="FY33" s="53"/>
      <c r="FZ33" s="53"/>
      <c r="GA33" s="53"/>
      <c r="GB33" s="53"/>
      <c r="GC33" s="53"/>
      <c r="GD33" s="53"/>
      <c r="GE33" s="53"/>
    </row>
    <row r="34" spans="1:187" ht="17" customHeight="1">
      <c r="A34" s="53">
        <v>23</v>
      </c>
      <c r="B34" s="373" t="s">
        <v>17</v>
      </c>
      <c r="C34" s="59">
        <v>4.5999999999999996</v>
      </c>
      <c r="D34" s="59">
        <v>19.8</v>
      </c>
      <c r="E34" s="59">
        <v>0.2</v>
      </c>
      <c r="F34" s="59">
        <v>0</v>
      </c>
      <c r="G34" s="59">
        <v>2.4</v>
      </c>
      <c r="H34" s="59">
        <v>37.799999999999997</v>
      </c>
      <c r="I34" s="59">
        <v>18.7</v>
      </c>
      <c r="J34" s="59">
        <v>28.3</v>
      </c>
      <c r="K34" s="59">
        <v>38.700000000000003</v>
      </c>
      <c r="L34" s="59">
        <v>6.2</v>
      </c>
      <c r="M34" s="59">
        <v>17.7</v>
      </c>
      <c r="N34" s="59">
        <v>113.7</v>
      </c>
      <c r="O34" s="59">
        <v>25.1</v>
      </c>
      <c r="P34" s="59">
        <v>1</v>
      </c>
      <c r="Q34" s="59">
        <v>8.6</v>
      </c>
      <c r="R34" s="59">
        <v>13.8</v>
      </c>
      <c r="S34" s="59">
        <v>50.9</v>
      </c>
      <c r="T34" s="59">
        <v>21.4</v>
      </c>
      <c r="U34" s="59">
        <v>1.4</v>
      </c>
      <c r="V34" s="59">
        <v>15.2</v>
      </c>
      <c r="W34" s="59">
        <v>6.6</v>
      </c>
      <c r="X34" s="59">
        <v>13.2</v>
      </c>
      <c r="Y34" s="59">
        <v>357.8</v>
      </c>
      <c r="Z34" s="59">
        <v>4.3</v>
      </c>
      <c r="AA34" s="59">
        <v>281</v>
      </c>
      <c r="AB34" s="59">
        <v>38.299999999999997</v>
      </c>
      <c r="AC34" s="59">
        <v>49.4</v>
      </c>
      <c r="AD34" s="59">
        <v>14.5</v>
      </c>
      <c r="AE34" s="59">
        <v>24.7</v>
      </c>
      <c r="AF34" s="59">
        <v>103.9</v>
      </c>
      <c r="AG34" s="59">
        <v>80.5</v>
      </c>
      <c r="AH34" s="59">
        <v>214.1</v>
      </c>
      <c r="AI34" s="59">
        <v>65</v>
      </c>
      <c r="AJ34" s="60">
        <f t="shared" si="0"/>
        <v>1678.8</v>
      </c>
      <c r="AK34" s="58">
        <v>310.5</v>
      </c>
      <c r="AL34" s="327">
        <v>0</v>
      </c>
      <c r="AM34" s="327">
        <v>0</v>
      </c>
      <c r="AN34" s="327">
        <v>0</v>
      </c>
      <c r="AO34" s="327">
        <v>1394.8</v>
      </c>
      <c r="AP34" s="58">
        <f t="shared" si="2"/>
        <v>1705.3</v>
      </c>
      <c r="AQ34" s="61">
        <f t="shared" si="1"/>
        <v>3384.1</v>
      </c>
      <c r="AR34" s="58"/>
      <c r="AS34" s="58"/>
      <c r="AT34" s="58"/>
      <c r="AU34" s="58"/>
      <c r="AV34" s="58"/>
      <c r="AW34" s="58"/>
      <c r="AX34" s="58"/>
      <c r="AY34" s="58"/>
      <c r="AZ34" s="58"/>
      <c r="BA34" s="58"/>
      <c r="BB34" s="58"/>
      <c r="BC34" s="58"/>
      <c r="BD34" s="58"/>
      <c r="BE34" s="58"/>
      <c r="BF34" s="58"/>
      <c r="BG34" s="58"/>
      <c r="BH34" s="58"/>
      <c r="BI34" s="58"/>
      <c r="BJ34" s="58"/>
      <c r="BK34" s="58"/>
      <c r="BL34" s="58"/>
      <c r="BM34" s="58"/>
      <c r="BN34" s="58"/>
      <c r="BO34" s="58"/>
      <c r="BP34" s="58"/>
      <c r="BQ34" s="58"/>
      <c r="BR34" s="58"/>
      <c r="BS34" s="58"/>
      <c r="BT34" s="58"/>
      <c r="BU34" s="58"/>
      <c r="BV34" s="58"/>
      <c r="BW34" s="58"/>
      <c r="BX34" s="58"/>
      <c r="BY34" s="58"/>
      <c r="BZ34" s="58"/>
      <c r="CA34" s="58"/>
      <c r="CB34" s="58"/>
      <c r="CC34" s="58"/>
      <c r="CD34" s="58"/>
      <c r="CE34" s="58"/>
      <c r="CF34" s="58"/>
      <c r="CG34" s="58"/>
      <c r="CH34" s="58"/>
      <c r="CI34" s="58"/>
      <c r="CJ34" s="58"/>
      <c r="CK34" s="58"/>
      <c r="CL34" s="58"/>
      <c r="CM34" s="58"/>
      <c r="CN34" s="58"/>
      <c r="CO34" s="58"/>
      <c r="CP34" s="58"/>
      <c r="CQ34" s="58"/>
      <c r="CR34" s="58"/>
      <c r="CS34" s="58"/>
      <c r="CT34" s="58"/>
      <c r="CU34" s="58"/>
      <c r="CV34" s="58"/>
      <c r="CW34" s="58"/>
      <c r="CX34" s="58"/>
      <c r="CY34" s="58"/>
      <c r="CZ34" s="58"/>
      <c r="DA34" s="58"/>
      <c r="DB34" s="58"/>
      <c r="DC34" s="58"/>
      <c r="DD34" s="58"/>
      <c r="DE34" s="58"/>
      <c r="DF34" s="58"/>
      <c r="DG34" s="58"/>
      <c r="DH34" s="58"/>
      <c r="DI34" s="58"/>
      <c r="DJ34" s="58"/>
      <c r="DK34" s="58"/>
      <c r="DL34" s="58"/>
      <c r="DM34" s="58"/>
      <c r="DN34" s="58"/>
      <c r="DO34" s="58"/>
      <c r="DP34" s="58"/>
      <c r="DQ34" s="58"/>
      <c r="DR34" s="58"/>
      <c r="DS34" s="58"/>
      <c r="DT34" s="58"/>
      <c r="DU34" s="58"/>
      <c r="DV34" s="58"/>
      <c r="DW34" s="58"/>
      <c r="DX34" s="58"/>
      <c r="DY34" s="58"/>
      <c r="DZ34" s="58"/>
      <c r="EA34" s="58"/>
      <c r="EB34" s="58"/>
      <c r="EC34" s="58"/>
      <c r="ED34" s="58"/>
      <c r="EE34" s="58"/>
      <c r="EF34" s="58"/>
      <c r="EG34" s="58"/>
      <c r="EH34" s="58"/>
      <c r="EI34" s="58"/>
      <c r="EJ34" s="58"/>
      <c r="EK34" s="58"/>
      <c r="EL34" s="58"/>
      <c r="EM34" s="58"/>
      <c r="EN34" s="58"/>
      <c r="EO34" s="58"/>
      <c r="EP34" s="58"/>
      <c r="EQ34" s="58"/>
      <c r="ER34" s="58"/>
      <c r="ES34" s="58"/>
      <c r="ET34" s="58"/>
      <c r="EU34" s="58"/>
      <c r="EV34" s="58"/>
      <c r="EW34" s="58"/>
      <c r="EX34" s="58"/>
      <c r="EY34" s="58"/>
      <c r="EZ34" s="58"/>
      <c r="FA34" s="58"/>
      <c r="FB34" s="58"/>
      <c r="FC34" s="58"/>
      <c r="FD34" s="58"/>
      <c r="FE34" s="58"/>
      <c r="FF34" s="58"/>
      <c r="FG34" s="58"/>
      <c r="FH34" s="58"/>
      <c r="FI34" s="58"/>
      <c r="FJ34" s="58"/>
      <c r="FK34" s="58"/>
      <c r="FL34" s="58"/>
      <c r="FM34" s="58"/>
      <c r="FN34" s="58"/>
      <c r="FO34" s="58"/>
      <c r="FP34" s="58"/>
      <c r="FQ34" s="58"/>
      <c r="FR34" s="58"/>
      <c r="FS34" s="58"/>
      <c r="FT34" s="58"/>
      <c r="FU34" s="58"/>
      <c r="FV34" s="58"/>
      <c r="FW34" s="58"/>
      <c r="FX34" s="58"/>
      <c r="FY34" s="58"/>
      <c r="FZ34" s="58"/>
      <c r="GA34" s="58"/>
      <c r="GB34" s="58"/>
      <c r="GC34" s="58"/>
      <c r="GD34" s="58"/>
      <c r="GE34" s="58"/>
    </row>
    <row r="35" spans="1:187" ht="17" customHeight="1">
      <c r="A35" s="53">
        <v>24</v>
      </c>
      <c r="B35" s="373" t="s">
        <v>18</v>
      </c>
      <c r="C35" s="54">
        <v>0</v>
      </c>
      <c r="D35" s="54">
        <v>0</v>
      </c>
      <c r="E35" s="54">
        <v>0</v>
      </c>
      <c r="F35" s="54">
        <v>0</v>
      </c>
      <c r="G35" s="54">
        <v>0</v>
      </c>
      <c r="H35" s="54">
        <v>0</v>
      </c>
      <c r="I35" s="54">
        <v>0</v>
      </c>
      <c r="J35" s="54">
        <v>0</v>
      </c>
      <c r="K35" s="54">
        <v>0</v>
      </c>
      <c r="L35" s="54">
        <v>0</v>
      </c>
      <c r="M35" s="54">
        <v>0</v>
      </c>
      <c r="N35" s="54">
        <v>0</v>
      </c>
      <c r="O35" s="54">
        <v>0</v>
      </c>
      <c r="P35" s="54">
        <v>0</v>
      </c>
      <c r="Q35" s="54">
        <v>0</v>
      </c>
      <c r="R35" s="54">
        <v>0</v>
      </c>
      <c r="S35" s="54">
        <v>0</v>
      </c>
      <c r="T35" s="54">
        <v>0</v>
      </c>
      <c r="U35" s="54">
        <v>0</v>
      </c>
      <c r="V35" s="54">
        <v>17.2</v>
      </c>
      <c r="W35" s="54">
        <v>11.1</v>
      </c>
      <c r="X35" s="54">
        <v>0</v>
      </c>
      <c r="Y35" s="54">
        <v>0</v>
      </c>
      <c r="Z35" s="54">
        <v>183</v>
      </c>
      <c r="AA35" s="54">
        <v>0</v>
      </c>
      <c r="AB35" s="54">
        <v>0</v>
      </c>
      <c r="AC35" s="54">
        <v>0</v>
      </c>
      <c r="AD35" s="54">
        <v>236</v>
      </c>
      <c r="AE35" s="54">
        <v>5</v>
      </c>
      <c r="AF35" s="54">
        <v>17.8</v>
      </c>
      <c r="AG35" s="54">
        <v>7.2</v>
      </c>
      <c r="AH35" s="54">
        <v>0</v>
      </c>
      <c r="AI35" s="54">
        <v>6.9</v>
      </c>
      <c r="AJ35" s="55">
        <f t="shared" si="0"/>
        <v>484.2</v>
      </c>
      <c r="AK35" s="53">
        <v>127.9</v>
      </c>
      <c r="AL35" s="326">
        <v>0</v>
      </c>
      <c r="AM35" s="326">
        <v>5102.3</v>
      </c>
      <c r="AN35" s="326">
        <v>0</v>
      </c>
      <c r="AO35" s="326">
        <v>0</v>
      </c>
      <c r="AP35" s="53">
        <f t="shared" si="2"/>
        <v>5230.2</v>
      </c>
      <c r="AQ35" s="56">
        <f t="shared" si="1"/>
        <v>5714.4</v>
      </c>
      <c r="AR35" s="53"/>
      <c r="AS35" s="53"/>
      <c r="AT35" s="53"/>
      <c r="AU35" s="53"/>
      <c r="AV35" s="53"/>
      <c r="AW35" s="53"/>
      <c r="AX35" s="53"/>
      <c r="AY35" s="53"/>
      <c r="AZ35" s="53"/>
      <c r="BA35" s="53"/>
      <c r="BB35" s="53"/>
      <c r="BC35" s="53"/>
      <c r="BD35" s="53"/>
      <c r="BE35" s="53"/>
      <c r="BF35" s="53"/>
      <c r="BG35" s="53"/>
      <c r="BH35" s="53"/>
      <c r="BI35" s="53"/>
      <c r="BJ35" s="53"/>
      <c r="BK35" s="53"/>
      <c r="BL35" s="53"/>
      <c r="BM35" s="53"/>
      <c r="BN35" s="53"/>
      <c r="BO35" s="53"/>
      <c r="BP35" s="53"/>
      <c r="BQ35" s="53"/>
      <c r="BR35" s="53"/>
      <c r="BS35" s="53"/>
      <c r="BT35" s="53"/>
      <c r="BU35" s="53"/>
      <c r="BV35" s="53"/>
      <c r="BW35" s="53"/>
      <c r="BX35" s="53"/>
      <c r="BY35" s="53"/>
      <c r="BZ35" s="53"/>
      <c r="CA35" s="53"/>
      <c r="CB35" s="53"/>
      <c r="CC35" s="53"/>
      <c r="CD35" s="53"/>
      <c r="CE35" s="53"/>
      <c r="CF35" s="53"/>
      <c r="CG35" s="53"/>
      <c r="CH35" s="53"/>
      <c r="CI35" s="53"/>
      <c r="CJ35" s="53"/>
      <c r="CK35" s="53"/>
      <c r="CL35" s="53"/>
      <c r="CM35" s="53"/>
      <c r="CN35" s="53"/>
      <c r="CO35" s="53"/>
      <c r="CP35" s="53"/>
      <c r="CQ35" s="53"/>
      <c r="CR35" s="53"/>
      <c r="CS35" s="53"/>
      <c r="CT35" s="53"/>
      <c r="CU35" s="53"/>
      <c r="CV35" s="53"/>
      <c r="CW35" s="53"/>
      <c r="CX35" s="53"/>
      <c r="CY35" s="53"/>
      <c r="CZ35" s="53"/>
      <c r="DA35" s="53"/>
      <c r="DB35" s="53"/>
      <c r="DC35" s="53"/>
      <c r="DD35" s="53"/>
      <c r="DE35" s="53"/>
      <c r="DF35" s="53"/>
      <c r="DG35" s="53"/>
      <c r="DH35" s="53"/>
      <c r="DI35" s="53"/>
      <c r="DJ35" s="53"/>
      <c r="DK35" s="53"/>
      <c r="DL35" s="53"/>
      <c r="DM35" s="53"/>
      <c r="DN35" s="53"/>
      <c r="DO35" s="53"/>
      <c r="DP35" s="53"/>
      <c r="DQ35" s="53"/>
      <c r="DR35" s="53"/>
      <c r="DS35" s="53"/>
      <c r="DT35" s="53"/>
      <c r="DU35" s="53"/>
      <c r="DV35" s="53"/>
      <c r="DW35" s="53"/>
      <c r="DX35" s="53"/>
      <c r="DY35" s="53"/>
      <c r="DZ35" s="53"/>
      <c r="EA35" s="53"/>
      <c r="EB35" s="53"/>
      <c r="EC35" s="53"/>
      <c r="ED35" s="53"/>
      <c r="EE35" s="53"/>
      <c r="EF35" s="53"/>
      <c r="EG35" s="53"/>
      <c r="EH35" s="53"/>
      <c r="EI35" s="53"/>
      <c r="EJ35" s="53"/>
      <c r="EK35" s="53"/>
      <c r="EL35" s="53"/>
      <c r="EM35" s="53"/>
      <c r="EN35" s="53"/>
      <c r="EO35" s="53"/>
      <c r="EP35" s="53"/>
      <c r="EQ35" s="53"/>
      <c r="ER35" s="53"/>
      <c r="ES35" s="53"/>
      <c r="ET35" s="53"/>
      <c r="EU35" s="53"/>
      <c r="EV35" s="53"/>
      <c r="EW35" s="53"/>
      <c r="EX35" s="53"/>
      <c r="EY35" s="53"/>
      <c r="EZ35" s="53"/>
      <c r="FA35" s="53"/>
      <c r="FB35" s="53"/>
      <c r="FC35" s="53"/>
      <c r="FD35" s="53"/>
      <c r="FE35" s="53"/>
      <c r="FF35" s="53"/>
      <c r="FG35" s="53"/>
      <c r="FH35" s="53"/>
      <c r="FI35" s="53"/>
      <c r="FJ35" s="53"/>
      <c r="FK35" s="53"/>
      <c r="FL35" s="53"/>
      <c r="FM35" s="53"/>
      <c r="FN35" s="53"/>
      <c r="FO35" s="53"/>
      <c r="FP35" s="53"/>
      <c r="FQ35" s="53"/>
      <c r="FR35" s="53"/>
      <c r="FS35" s="53"/>
      <c r="FT35" s="53"/>
      <c r="FU35" s="53"/>
      <c r="FV35" s="53"/>
      <c r="FW35" s="53"/>
      <c r="FX35" s="53"/>
      <c r="FY35" s="53"/>
      <c r="FZ35" s="53"/>
      <c r="GA35" s="53"/>
      <c r="GB35" s="53"/>
      <c r="GC35" s="53"/>
      <c r="GD35" s="53"/>
      <c r="GE35" s="53"/>
    </row>
    <row r="36" spans="1:187" ht="17" customHeight="1">
      <c r="A36" s="58">
        <v>25</v>
      </c>
      <c r="B36" s="373" t="s">
        <v>19</v>
      </c>
      <c r="C36" s="59">
        <v>289.7</v>
      </c>
      <c r="D36" s="59">
        <v>119.9</v>
      </c>
      <c r="E36" s="59">
        <v>15.9</v>
      </c>
      <c r="F36" s="59">
        <v>1.3</v>
      </c>
      <c r="G36" s="59">
        <v>62.2</v>
      </c>
      <c r="H36" s="59">
        <v>407.1</v>
      </c>
      <c r="I36" s="59">
        <v>31.7</v>
      </c>
      <c r="J36" s="59">
        <v>91.4</v>
      </c>
      <c r="K36" s="59">
        <v>114.2</v>
      </c>
      <c r="L36" s="59">
        <v>3.3</v>
      </c>
      <c r="M36" s="59">
        <v>70.8</v>
      </c>
      <c r="N36" s="59">
        <v>195.1</v>
      </c>
      <c r="O36" s="59">
        <v>27.4</v>
      </c>
      <c r="P36" s="59">
        <v>25.1</v>
      </c>
      <c r="Q36" s="59">
        <v>71.099999999999994</v>
      </c>
      <c r="R36" s="59">
        <v>131.9</v>
      </c>
      <c r="S36" s="59">
        <v>356.4</v>
      </c>
      <c r="T36" s="59">
        <v>59.4</v>
      </c>
      <c r="U36" s="59">
        <v>5.0999999999999996</v>
      </c>
      <c r="V36" s="59">
        <v>122.9</v>
      </c>
      <c r="W36" s="59">
        <v>45.7</v>
      </c>
      <c r="X36" s="59">
        <v>113.2</v>
      </c>
      <c r="Y36" s="59">
        <v>10.4</v>
      </c>
      <c r="Z36" s="59">
        <v>414.1</v>
      </c>
      <c r="AA36" s="59">
        <v>415.9</v>
      </c>
      <c r="AB36" s="59">
        <v>538.79999999999995</v>
      </c>
      <c r="AC36" s="59">
        <v>75.599999999999994</v>
      </c>
      <c r="AD36" s="59">
        <v>127.7</v>
      </c>
      <c r="AE36" s="59">
        <v>24.8</v>
      </c>
      <c r="AF36" s="59">
        <v>20.6</v>
      </c>
      <c r="AG36" s="59">
        <v>105.8</v>
      </c>
      <c r="AH36" s="59">
        <v>125.7</v>
      </c>
      <c r="AI36" s="59">
        <v>171.7</v>
      </c>
      <c r="AJ36" s="60">
        <f t="shared" si="0"/>
        <v>4391.8999999999996</v>
      </c>
      <c r="AK36" s="58">
        <v>2679.4</v>
      </c>
      <c r="AL36" s="327">
        <v>0</v>
      </c>
      <c r="AM36" s="327">
        <v>991.6</v>
      </c>
      <c r="AN36" s="327">
        <v>256</v>
      </c>
      <c r="AO36" s="327">
        <v>1435.6</v>
      </c>
      <c r="AP36" s="58">
        <f t="shared" si="2"/>
        <v>5362.6</v>
      </c>
      <c r="AQ36" s="61">
        <f t="shared" si="1"/>
        <v>9754.5</v>
      </c>
      <c r="AR36" s="58"/>
      <c r="AS36" s="58"/>
      <c r="AT36" s="58"/>
      <c r="AU36" s="58"/>
      <c r="AV36" s="58"/>
      <c r="AW36" s="58"/>
      <c r="AX36" s="58"/>
      <c r="AY36" s="58"/>
      <c r="AZ36" s="58"/>
      <c r="BA36" s="58"/>
      <c r="BB36" s="58"/>
      <c r="BC36" s="58"/>
      <c r="BD36" s="58"/>
      <c r="BE36" s="58"/>
      <c r="BF36" s="58"/>
      <c r="BG36" s="58"/>
      <c r="BH36" s="58"/>
      <c r="BI36" s="58"/>
      <c r="BJ36" s="58"/>
      <c r="BK36" s="58"/>
      <c r="BL36" s="58"/>
      <c r="BM36" s="58"/>
      <c r="BN36" s="58"/>
      <c r="BO36" s="58"/>
      <c r="BP36" s="58"/>
      <c r="BQ36" s="58"/>
      <c r="BR36" s="58"/>
      <c r="BS36" s="58"/>
      <c r="BT36" s="58"/>
      <c r="BU36" s="58"/>
      <c r="BV36" s="58"/>
      <c r="BW36" s="58"/>
      <c r="BX36" s="58"/>
      <c r="BY36" s="58"/>
      <c r="BZ36" s="58"/>
      <c r="CA36" s="58"/>
      <c r="CB36" s="58"/>
      <c r="CC36" s="58"/>
      <c r="CD36" s="58"/>
      <c r="CE36" s="58"/>
      <c r="CF36" s="58"/>
      <c r="CG36" s="58"/>
      <c r="CH36" s="58"/>
      <c r="CI36" s="58"/>
      <c r="CJ36" s="58"/>
      <c r="CK36" s="58"/>
      <c r="CL36" s="58"/>
      <c r="CM36" s="58"/>
      <c r="CN36" s="58"/>
      <c r="CO36" s="58"/>
      <c r="CP36" s="58"/>
      <c r="CQ36" s="58"/>
      <c r="CR36" s="58"/>
      <c r="CS36" s="58"/>
      <c r="CT36" s="58"/>
      <c r="CU36" s="58"/>
      <c r="CV36" s="58"/>
      <c r="CW36" s="58"/>
      <c r="CX36" s="58"/>
      <c r="CY36" s="58"/>
      <c r="CZ36" s="58"/>
      <c r="DA36" s="58"/>
      <c r="DB36" s="58"/>
      <c r="DC36" s="58"/>
      <c r="DD36" s="58"/>
      <c r="DE36" s="58"/>
      <c r="DF36" s="58"/>
      <c r="DG36" s="58"/>
      <c r="DH36" s="58"/>
      <c r="DI36" s="58"/>
      <c r="DJ36" s="58"/>
      <c r="DK36" s="58"/>
      <c r="DL36" s="58"/>
      <c r="DM36" s="58"/>
      <c r="DN36" s="58"/>
      <c r="DO36" s="58"/>
      <c r="DP36" s="58"/>
      <c r="DQ36" s="58"/>
      <c r="DR36" s="58"/>
      <c r="DS36" s="58"/>
      <c r="DT36" s="58"/>
      <c r="DU36" s="58"/>
      <c r="DV36" s="58"/>
      <c r="DW36" s="58"/>
      <c r="DX36" s="58"/>
      <c r="DY36" s="58"/>
      <c r="DZ36" s="58"/>
      <c r="EA36" s="58"/>
      <c r="EB36" s="58"/>
      <c r="EC36" s="58"/>
      <c r="ED36" s="58"/>
      <c r="EE36" s="58"/>
      <c r="EF36" s="58"/>
      <c r="EG36" s="58"/>
      <c r="EH36" s="58"/>
      <c r="EI36" s="58"/>
      <c r="EJ36" s="58"/>
      <c r="EK36" s="58"/>
      <c r="EL36" s="58"/>
      <c r="EM36" s="58"/>
      <c r="EN36" s="58"/>
      <c r="EO36" s="58"/>
      <c r="EP36" s="58"/>
      <c r="EQ36" s="58"/>
      <c r="ER36" s="58"/>
      <c r="ES36" s="58"/>
      <c r="ET36" s="58"/>
      <c r="EU36" s="58"/>
      <c r="EV36" s="58"/>
      <c r="EW36" s="58"/>
      <c r="EX36" s="58"/>
      <c r="EY36" s="58"/>
      <c r="EZ36" s="58"/>
      <c r="FA36" s="58"/>
      <c r="FB36" s="58"/>
      <c r="FC36" s="58"/>
      <c r="FD36" s="58"/>
      <c r="FE36" s="58"/>
      <c r="FF36" s="58"/>
      <c r="FG36" s="58"/>
      <c r="FH36" s="58"/>
      <c r="FI36" s="58"/>
      <c r="FJ36" s="58"/>
      <c r="FK36" s="58"/>
      <c r="FL36" s="58"/>
      <c r="FM36" s="58"/>
      <c r="FN36" s="58"/>
      <c r="FO36" s="58"/>
      <c r="FP36" s="58"/>
      <c r="FQ36" s="58"/>
      <c r="FR36" s="58"/>
      <c r="FS36" s="58"/>
      <c r="FT36" s="58"/>
      <c r="FU36" s="58"/>
      <c r="FV36" s="58"/>
      <c r="FW36" s="58"/>
      <c r="FX36" s="58"/>
      <c r="FY36" s="58"/>
      <c r="FZ36" s="58"/>
      <c r="GA36" s="58"/>
      <c r="GB36" s="58"/>
      <c r="GC36" s="58"/>
      <c r="GD36" s="58"/>
      <c r="GE36" s="58"/>
    </row>
    <row r="37" spans="1:187" s="4" customFormat="1" ht="17" customHeight="1">
      <c r="A37" s="53">
        <v>26</v>
      </c>
      <c r="B37" s="373" t="s">
        <v>20</v>
      </c>
      <c r="C37" s="54">
        <v>354.5</v>
      </c>
      <c r="D37" s="54">
        <v>114.9</v>
      </c>
      <c r="E37" s="54">
        <v>2.2000000000000002</v>
      </c>
      <c r="F37" s="54">
        <v>0.4</v>
      </c>
      <c r="G37" s="54">
        <v>10.9</v>
      </c>
      <c r="H37" s="54">
        <v>95.3</v>
      </c>
      <c r="I37" s="54">
        <v>10.9</v>
      </c>
      <c r="J37" s="54">
        <v>10.9</v>
      </c>
      <c r="K37" s="54">
        <v>20.7</v>
      </c>
      <c r="L37" s="54">
        <v>1.3</v>
      </c>
      <c r="M37" s="54">
        <v>14</v>
      </c>
      <c r="N37" s="54">
        <v>22.2</v>
      </c>
      <c r="O37" s="54">
        <v>3.2</v>
      </c>
      <c r="P37" s="54">
        <v>1.5</v>
      </c>
      <c r="Q37" s="54">
        <v>5.2</v>
      </c>
      <c r="R37" s="54">
        <v>7.5</v>
      </c>
      <c r="S37" s="54">
        <v>50.9</v>
      </c>
      <c r="T37" s="54">
        <v>10.6</v>
      </c>
      <c r="U37" s="54">
        <v>0.9</v>
      </c>
      <c r="V37" s="54">
        <v>6</v>
      </c>
      <c r="W37" s="54">
        <v>24.5</v>
      </c>
      <c r="X37" s="54">
        <v>9.1</v>
      </c>
      <c r="Y37" s="54">
        <v>31.7</v>
      </c>
      <c r="Z37" s="54">
        <v>35.299999999999997</v>
      </c>
      <c r="AA37" s="54">
        <v>584.6</v>
      </c>
      <c r="AB37" s="54">
        <v>12</v>
      </c>
      <c r="AC37" s="54">
        <v>10.3</v>
      </c>
      <c r="AD37" s="54">
        <v>5.4</v>
      </c>
      <c r="AE37" s="54">
        <v>23</v>
      </c>
      <c r="AF37" s="54">
        <v>32.4</v>
      </c>
      <c r="AG37" s="54">
        <v>101.2</v>
      </c>
      <c r="AH37" s="54">
        <v>36</v>
      </c>
      <c r="AI37" s="54">
        <v>15</v>
      </c>
      <c r="AJ37" s="55">
        <f t="shared" si="0"/>
        <v>1664.5000000000002</v>
      </c>
      <c r="AK37" s="57">
        <v>1691.2</v>
      </c>
      <c r="AL37" s="328">
        <v>0</v>
      </c>
      <c r="AM37" s="328">
        <v>39.700000000000003</v>
      </c>
      <c r="AN37" s="328">
        <v>10.3</v>
      </c>
      <c r="AO37" s="328">
        <v>593</v>
      </c>
      <c r="AP37" s="57">
        <f t="shared" si="2"/>
        <v>2334.1999999999998</v>
      </c>
      <c r="AQ37" s="56">
        <f t="shared" si="1"/>
        <v>3998.7</v>
      </c>
      <c r="AR37" s="57"/>
      <c r="AS37" s="57"/>
      <c r="AT37" s="57"/>
      <c r="AU37" s="57"/>
      <c r="AV37" s="57"/>
      <c r="AW37" s="57"/>
      <c r="AX37" s="57"/>
      <c r="AY37" s="57"/>
      <c r="AZ37" s="57"/>
      <c r="BA37" s="57"/>
      <c r="BB37" s="57"/>
      <c r="BC37" s="57"/>
      <c r="BD37" s="57"/>
      <c r="BE37" s="57"/>
      <c r="BF37" s="57"/>
      <c r="BG37" s="57"/>
      <c r="BH37" s="57"/>
      <c r="BI37" s="57"/>
      <c r="BJ37" s="57"/>
      <c r="BK37" s="57"/>
      <c r="BL37" s="57"/>
      <c r="BM37" s="57"/>
      <c r="BN37" s="57"/>
      <c r="BO37" s="57"/>
      <c r="BP37" s="57"/>
      <c r="BQ37" s="57"/>
      <c r="BR37" s="57"/>
      <c r="BS37" s="57"/>
      <c r="BT37" s="57"/>
      <c r="BU37" s="57"/>
      <c r="BV37" s="57"/>
      <c r="BW37" s="57"/>
      <c r="BX37" s="57"/>
      <c r="BY37" s="57"/>
      <c r="BZ37" s="57"/>
      <c r="CA37" s="57"/>
      <c r="CB37" s="57"/>
      <c r="CC37" s="57"/>
      <c r="CD37" s="57"/>
      <c r="CE37" s="57"/>
      <c r="CF37" s="57"/>
      <c r="CG37" s="57"/>
      <c r="CH37" s="57"/>
      <c r="CI37" s="57"/>
      <c r="CJ37" s="57"/>
      <c r="CK37" s="57"/>
      <c r="CL37" s="57"/>
      <c r="CM37" s="57"/>
      <c r="CN37" s="57"/>
      <c r="CO37" s="57"/>
      <c r="CP37" s="57"/>
      <c r="CQ37" s="57"/>
      <c r="CR37" s="57"/>
      <c r="CS37" s="57"/>
      <c r="CT37" s="57"/>
      <c r="CU37" s="57"/>
      <c r="CV37" s="57"/>
      <c r="CW37" s="57"/>
      <c r="CX37" s="57"/>
      <c r="CY37" s="57"/>
      <c r="CZ37" s="57"/>
      <c r="DA37" s="57"/>
      <c r="DB37" s="57"/>
      <c r="DC37" s="57"/>
      <c r="DD37" s="57"/>
      <c r="DE37" s="57"/>
      <c r="DF37" s="57"/>
      <c r="DG37" s="57"/>
      <c r="DH37" s="57"/>
      <c r="DI37" s="57"/>
      <c r="DJ37" s="57"/>
      <c r="DK37" s="57"/>
      <c r="DL37" s="57"/>
      <c r="DM37" s="57"/>
      <c r="DN37" s="57"/>
      <c r="DO37" s="57"/>
      <c r="DP37" s="57"/>
      <c r="DQ37" s="57"/>
      <c r="DR37" s="57"/>
      <c r="DS37" s="57"/>
      <c r="DT37" s="57"/>
      <c r="DU37" s="57"/>
      <c r="DV37" s="57"/>
      <c r="DW37" s="57"/>
      <c r="DX37" s="57"/>
      <c r="DY37" s="57"/>
      <c r="DZ37" s="57"/>
      <c r="EA37" s="57"/>
      <c r="EB37" s="57"/>
      <c r="EC37" s="57"/>
      <c r="ED37" s="57"/>
      <c r="EE37" s="57"/>
      <c r="EF37" s="57"/>
      <c r="EG37" s="57"/>
      <c r="EH37" s="57"/>
      <c r="EI37" s="57"/>
      <c r="EJ37" s="57"/>
      <c r="EK37" s="57"/>
      <c r="EL37" s="57"/>
      <c r="EM37" s="57"/>
      <c r="EN37" s="57"/>
      <c r="EO37" s="57"/>
      <c r="EP37" s="57"/>
      <c r="EQ37" s="57"/>
      <c r="ER37" s="57"/>
      <c r="ES37" s="57"/>
      <c r="ET37" s="57"/>
      <c r="EU37" s="57"/>
      <c r="EV37" s="57"/>
      <c r="EW37" s="57"/>
      <c r="EX37" s="57"/>
      <c r="EY37" s="57"/>
      <c r="EZ37" s="57"/>
      <c r="FA37" s="57"/>
      <c r="FB37" s="57"/>
      <c r="FC37" s="57"/>
      <c r="FD37" s="57"/>
      <c r="FE37" s="57"/>
      <c r="FF37" s="57"/>
      <c r="FG37" s="57"/>
      <c r="FH37" s="57"/>
      <c r="FI37" s="57"/>
      <c r="FJ37" s="57"/>
      <c r="FK37" s="57"/>
      <c r="FL37" s="57"/>
      <c r="FM37" s="57"/>
      <c r="FN37" s="57"/>
      <c r="FO37" s="57"/>
      <c r="FP37" s="57"/>
      <c r="FQ37" s="57"/>
      <c r="FR37" s="57"/>
      <c r="FS37" s="57"/>
      <c r="FT37" s="57"/>
      <c r="FU37" s="57"/>
      <c r="FV37" s="57"/>
      <c r="FW37" s="57"/>
      <c r="FX37" s="57"/>
      <c r="FY37" s="57"/>
      <c r="FZ37" s="57"/>
      <c r="GA37" s="57"/>
      <c r="GB37" s="57"/>
      <c r="GC37" s="57"/>
      <c r="GD37" s="57"/>
      <c r="GE37" s="57"/>
    </row>
    <row r="38" spans="1:187" s="4" customFormat="1" ht="17" customHeight="1">
      <c r="A38" s="53">
        <v>27</v>
      </c>
      <c r="B38" s="373" t="s">
        <v>21</v>
      </c>
      <c r="C38" s="59">
        <v>13.3</v>
      </c>
      <c r="D38" s="59">
        <v>7.5</v>
      </c>
      <c r="E38" s="59">
        <v>0.6</v>
      </c>
      <c r="F38" s="59">
        <v>0.1</v>
      </c>
      <c r="G38" s="59">
        <v>2</v>
      </c>
      <c r="H38" s="59">
        <v>4.4000000000000004</v>
      </c>
      <c r="I38" s="59">
        <v>1.4</v>
      </c>
      <c r="J38" s="59">
        <v>1.6</v>
      </c>
      <c r="K38" s="59">
        <v>1.3</v>
      </c>
      <c r="L38" s="59">
        <v>0.4</v>
      </c>
      <c r="M38" s="59">
        <v>2.5</v>
      </c>
      <c r="N38" s="59">
        <v>5.3</v>
      </c>
      <c r="O38" s="59">
        <v>0.6</v>
      </c>
      <c r="P38" s="59">
        <v>0.3</v>
      </c>
      <c r="Q38" s="59">
        <v>0.7</v>
      </c>
      <c r="R38" s="59">
        <v>2.9</v>
      </c>
      <c r="S38" s="59">
        <v>11.3</v>
      </c>
      <c r="T38" s="59">
        <v>1.1000000000000001</v>
      </c>
      <c r="U38" s="59">
        <v>0.5</v>
      </c>
      <c r="V38" s="59">
        <v>8.6999999999999993</v>
      </c>
      <c r="W38" s="59">
        <v>2.4</v>
      </c>
      <c r="X38" s="59">
        <v>2.2000000000000002</v>
      </c>
      <c r="Y38" s="59">
        <v>19.7</v>
      </c>
      <c r="Z38" s="59">
        <v>8.6999999999999993</v>
      </c>
      <c r="AA38" s="59">
        <v>20.399999999999999</v>
      </c>
      <c r="AB38" s="59">
        <v>22.9</v>
      </c>
      <c r="AC38" s="59">
        <v>18.100000000000001</v>
      </c>
      <c r="AD38" s="59">
        <v>23.8</v>
      </c>
      <c r="AE38" s="59">
        <v>15.6</v>
      </c>
      <c r="AF38" s="59">
        <v>6.9</v>
      </c>
      <c r="AG38" s="59">
        <v>22.2</v>
      </c>
      <c r="AH38" s="59">
        <v>31.1</v>
      </c>
      <c r="AI38" s="59">
        <v>82.1</v>
      </c>
      <c r="AJ38" s="60">
        <f t="shared" si="0"/>
        <v>342.6</v>
      </c>
      <c r="AK38" s="62">
        <v>1236.5</v>
      </c>
      <c r="AL38" s="329">
        <v>0</v>
      </c>
      <c r="AM38" s="329">
        <v>3.4</v>
      </c>
      <c r="AN38" s="329">
        <v>0.9</v>
      </c>
      <c r="AO38" s="329">
        <v>708.7</v>
      </c>
      <c r="AP38" s="62">
        <f t="shared" si="2"/>
        <v>1949.5000000000002</v>
      </c>
      <c r="AQ38" s="61">
        <f t="shared" si="1"/>
        <v>2292.1000000000004</v>
      </c>
      <c r="AR38" s="62"/>
      <c r="AS38" s="62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 s="62"/>
      <c r="BZ38" s="62"/>
      <c r="CA38" s="62"/>
      <c r="CB38" s="62"/>
      <c r="CC38" s="62"/>
      <c r="CD38" s="62"/>
      <c r="CE38" s="62"/>
      <c r="CF38" s="62"/>
      <c r="CG38" s="62"/>
      <c r="CH38" s="62"/>
      <c r="CI38" s="62"/>
      <c r="CJ38" s="62"/>
      <c r="CK38" s="62"/>
      <c r="CL38" s="62"/>
      <c r="CM38" s="62"/>
      <c r="CN38" s="62"/>
      <c r="CO38" s="62"/>
      <c r="CP38" s="62"/>
      <c r="CQ38" s="62"/>
      <c r="CR38" s="62"/>
      <c r="CS38" s="62"/>
      <c r="CT38" s="62"/>
      <c r="CU38" s="62"/>
      <c r="CV38" s="62"/>
      <c r="CW38" s="62"/>
      <c r="CX38" s="62"/>
      <c r="CY38" s="62"/>
      <c r="CZ38" s="62"/>
      <c r="DA38" s="62"/>
      <c r="DB38" s="62"/>
      <c r="DC38" s="62"/>
      <c r="DD38" s="62"/>
      <c r="DE38" s="62"/>
      <c r="DF38" s="62"/>
      <c r="DG38" s="62"/>
      <c r="DH38" s="62"/>
      <c r="DI38" s="62"/>
      <c r="DJ38" s="62"/>
      <c r="DK38" s="62"/>
      <c r="DL38" s="62"/>
      <c r="DM38" s="62"/>
      <c r="DN38" s="62"/>
      <c r="DO38" s="62"/>
      <c r="DP38" s="62"/>
      <c r="DQ38" s="62"/>
      <c r="DR38" s="62"/>
      <c r="DS38" s="62"/>
      <c r="DT38" s="62"/>
      <c r="DU38" s="62"/>
      <c r="DV38" s="62"/>
      <c r="DW38" s="62"/>
      <c r="DX38" s="62"/>
      <c r="DY38" s="62"/>
      <c r="DZ38" s="62"/>
      <c r="EA38" s="62"/>
      <c r="EB38" s="62"/>
      <c r="EC38" s="62"/>
      <c r="ED38" s="62"/>
      <c r="EE38" s="62"/>
      <c r="EF38" s="62"/>
      <c r="EG38" s="62"/>
      <c r="EH38" s="62"/>
      <c r="EI38" s="62"/>
      <c r="EJ38" s="62"/>
      <c r="EK38" s="62"/>
      <c r="EL38" s="62"/>
      <c r="EM38" s="62"/>
      <c r="EN38" s="62"/>
      <c r="EO38" s="62"/>
      <c r="EP38" s="62"/>
      <c r="EQ38" s="62"/>
      <c r="ER38" s="62"/>
      <c r="ES38" s="62"/>
      <c r="ET38" s="62"/>
      <c r="EU38" s="62"/>
      <c r="EV38" s="62"/>
      <c r="EW38" s="62"/>
      <c r="EX38" s="62"/>
      <c r="EY38" s="62"/>
      <c r="EZ38" s="62"/>
      <c r="FA38" s="62"/>
      <c r="FB38" s="62"/>
      <c r="FC38" s="62"/>
      <c r="FD38" s="62"/>
      <c r="FE38" s="62"/>
      <c r="FF38" s="62"/>
      <c r="FG38" s="62"/>
      <c r="FH38" s="62"/>
      <c r="FI38" s="62"/>
      <c r="FJ38" s="62"/>
      <c r="FK38" s="62"/>
      <c r="FL38" s="62"/>
      <c r="FM38" s="62"/>
      <c r="FN38" s="62"/>
      <c r="FO38" s="62"/>
      <c r="FP38" s="62"/>
      <c r="FQ38" s="62"/>
      <c r="FR38" s="62"/>
      <c r="FS38" s="62"/>
      <c r="FT38" s="62"/>
      <c r="FU38" s="62"/>
      <c r="FV38" s="62"/>
      <c r="FW38" s="62"/>
      <c r="FX38" s="62"/>
      <c r="FY38" s="62"/>
      <c r="FZ38" s="62"/>
      <c r="GA38" s="62"/>
      <c r="GB38" s="62"/>
      <c r="GC38" s="62"/>
      <c r="GD38" s="62"/>
      <c r="GE38" s="62"/>
    </row>
    <row r="39" spans="1:187" s="4" customFormat="1" ht="17" customHeight="1">
      <c r="A39" s="58">
        <v>28</v>
      </c>
      <c r="B39" s="373" t="s">
        <v>22</v>
      </c>
      <c r="C39" s="54">
        <v>2.1</v>
      </c>
      <c r="D39" s="54">
        <v>0.9</v>
      </c>
      <c r="E39" s="54">
        <v>1.1000000000000001</v>
      </c>
      <c r="F39" s="54">
        <v>0</v>
      </c>
      <c r="G39" s="54">
        <v>1.2</v>
      </c>
      <c r="H39" s="54">
        <v>12.4</v>
      </c>
      <c r="I39" s="54">
        <v>0.4</v>
      </c>
      <c r="J39" s="54">
        <v>8.1</v>
      </c>
      <c r="K39" s="54">
        <v>9.1999999999999993</v>
      </c>
      <c r="L39" s="54">
        <v>0.5</v>
      </c>
      <c r="M39" s="54">
        <v>3.3</v>
      </c>
      <c r="N39" s="54">
        <v>3.7</v>
      </c>
      <c r="O39" s="54">
        <v>7.3</v>
      </c>
      <c r="P39" s="54">
        <v>0.7</v>
      </c>
      <c r="Q39" s="54">
        <v>2.5</v>
      </c>
      <c r="R39" s="54">
        <v>5.2</v>
      </c>
      <c r="S39" s="54">
        <v>9.1</v>
      </c>
      <c r="T39" s="54">
        <v>2.1</v>
      </c>
      <c r="U39" s="54">
        <v>2.7</v>
      </c>
      <c r="V39" s="54">
        <v>8</v>
      </c>
      <c r="W39" s="54">
        <v>8.3000000000000007</v>
      </c>
      <c r="X39" s="54">
        <v>8.9</v>
      </c>
      <c r="Y39" s="54">
        <v>1.3</v>
      </c>
      <c r="Z39" s="54">
        <v>6.8</v>
      </c>
      <c r="AA39" s="54">
        <v>773.2</v>
      </c>
      <c r="AB39" s="54">
        <v>32.6</v>
      </c>
      <c r="AC39" s="54">
        <v>20.100000000000001</v>
      </c>
      <c r="AD39" s="54">
        <v>556.79999999999995</v>
      </c>
      <c r="AE39" s="54">
        <v>84.2</v>
      </c>
      <c r="AF39" s="54">
        <v>33.700000000000003</v>
      </c>
      <c r="AG39" s="54">
        <v>156.1</v>
      </c>
      <c r="AH39" s="54">
        <v>94</v>
      </c>
      <c r="AI39" s="54">
        <v>37.5</v>
      </c>
      <c r="AJ39" s="55">
        <f t="shared" si="0"/>
        <v>1894</v>
      </c>
      <c r="AK39" s="57">
        <v>797.4</v>
      </c>
      <c r="AL39" s="328">
        <v>0</v>
      </c>
      <c r="AM39" s="328">
        <v>5.0999999999999996</v>
      </c>
      <c r="AN39" s="328">
        <v>1.3</v>
      </c>
      <c r="AO39" s="328">
        <v>18.3</v>
      </c>
      <c r="AP39" s="57">
        <f t="shared" si="2"/>
        <v>822.09999999999991</v>
      </c>
      <c r="AQ39" s="56">
        <f t="shared" si="1"/>
        <v>2716.1</v>
      </c>
      <c r="AR39" s="57"/>
      <c r="AS39" s="57"/>
      <c r="AT39" s="57"/>
      <c r="AU39" s="57"/>
      <c r="AV39" s="57"/>
      <c r="AW39" s="57"/>
      <c r="AX39" s="57"/>
      <c r="AY39" s="57"/>
      <c r="AZ39" s="57"/>
      <c r="BA39" s="57"/>
      <c r="BB39" s="57"/>
      <c r="BC39" s="57"/>
      <c r="BD39" s="57"/>
      <c r="BE39" s="57"/>
      <c r="BF39" s="57"/>
      <c r="BG39" s="57"/>
      <c r="BH39" s="57"/>
      <c r="BI39" s="57"/>
      <c r="BJ39" s="57"/>
      <c r="BK39" s="57"/>
      <c r="BL39" s="57"/>
      <c r="BM39" s="57"/>
      <c r="BN39" s="57"/>
      <c r="BO39" s="57"/>
      <c r="BP39" s="57"/>
      <c r="BQ39" s="57"/>
      <c r="BR39" s="57"/>
      <c r="BS39" s="57"/>
      <c r="BT39" s="57"/>
      <c r="BU39" s="57"/>
      <c r="BV39" s="57"/>
      <c r="BW39" s="57"/>
      <c r="BX39" s="57"/>
      <c r="BY39" s="57"/>
      <c r="BZ39" s="57"/>
      <c r="CA39" s="57"/>
      <c r="CB39" s="57"/>
      <c r="CC39" s="57"/>
      <c r="CD39" s="57"/>
      <c r="CE39" s="57"/>
      <c r="CF39" s="57"/>
      <c r="CG39" s="57"/>
      <c r="CH39" s="57"/>
      <c r="CI39" s="57"/>
      <c r="CJ39" s="57"/>
      <c r="CK39" s="57"/>
      <c r="CL39" s="57"/>
      <c r="CM39" s="57"/>
      <c r="CN39" s="57"/>
      <c r="CO39" s="57"/>
      <c r="CP39" s="57"/>
      <c r="CQ39" s="57"/>
      <c r="CR39" s="57"/>
      <c r="CS39" s="57"/>
      <c r="CT39" s="57"/>
      <c r="CU39" s="57"/>
      <c r="CV39" s="57"/>
      <c r="CW39" s="57"/>
      <c r="CX39" s="57"/>
      <c r="CY39" s="57"/>
      <c r="CZ39" s="57"/>
      <c r="DA39" s="57"/>
      <c r="DB39" s="57"/>
      <c r="DC39" s="57"/>
      <c r="DD39" s="57"/>
      <c r="DE39" s="57"/>
      <c r="DF39" s="57"/>
      <c r="DG39" s="57"/>
      <c r="DH39" s="57"/>
      <c r="DI39" s="57"/>
      <c r="DJ39" s="57"/>
      <c r="DK39" s="57"/>
      <c r="DL39" s="57"/>
      <c r="DM39" s="57"/>
      <c r="DN39" s="57"/>
      <c r="DO39" s="57"/>
      <c r="DP39" s="57"/>
      <c r="DQ39" s="57"/>
      <c r="DR39" s="57"/>
      <c r="DS39" s="57"/>
      <c r="DT39" s="57"/>
      <c r="DU39" s="57"/>
      <c r="DV39" s="57"/>
      <c r="DW39" s="57"/>
      <c r="DX39" s="57"/>
      <c r="DY39" s="57"/>
      <c r="DZ39" s="57"/>
      <c r="EA39" s="57"/>
      <c r="EB39" s="57"/>
      <c r="EC39" s="57"/>
      <c r="ED39" s="57"/>
      <c r="EE39" s="57"/>
      <c r="EF39" s="57"/>
      <c r="EG39" s="57"/>
      <c r="EH39" s="57"/>
      <c r="EI39" s="57"/>
      <c r="EJ39" s="57"/>
      <c r="EK39" s="57"/>
      <c r="EL39" s="57"/>
      <c r="EM39" s="57"/>
      <c r="EN39" s="57"/>
      <c r="EO39" s="57"/>
      <c r="EP39" s="57"/>
      <c r="EQ39" s="57"/>
      <c r="ER39" s="57"/>
      <c r="ES39" s="57"/>
      <c r="ET39" s="57"/>
      <c r="EU39" s="57"/>
      <c r="EV39" s="57"/>
      <c r="EW39" s="57"/>
      <c r="EX39" s="57"/>
      <c r="EY39" s="57"/>
      <c r="EZ39" s="57"/>
      <c r="FA39" s="57"/>
      <c r="FB39" s="57"/>
      <c r="FC39" s="57"/>
      <c r="FD39" s="57"/>
      <c r="FE39" s="57"/>
      <c r="FF39" s="57"/>
      <c r="FG39" s="57"/>
      <c r="FH39" s="57"/>
      <c r="FI39" s="57"/>
      <c r="FJ39" s="57"/>
      <c r="FK39" s="57"/>
      <c r="FL39" s="57"/>
      <c r="FM39" s="57"/>
      <c r="FN39" s="57"/>
      <c r="FO39" s="57"/>
      <c r="FP39" s="57"/>
      <c r="FQ39" s="57"/>
      <c r="FR39" s="57"/>
      <c r="FS39" s="57"/>
      <c r="FT39" s="57"/>
      <c r="FU39" s="57"/>
      <c r="FV39" s="57"/>
      <c r="FW39" s="57"/>
      <c r="FX39" s="57"/>
      <c r="FY39" s="57"/>
      <c r="FZ39" s="57"/>
      <c r="GA39" s="57"/>
      <c r="GB39" s="57"/>
      <c r="GC39" s="57"/>
      <c r="GD39" s="57"/>
      <c r="GE39" s="57"/>
    </row>
    <row r="40" spans="1:187" s="4" customFormat="1" ht="17" customHeight="1">
      <c r="A40" s="53">
        <v>29</v>
      </c>
      <c r="B40" s="373" t="s">
        <v>23</v>
      </c>
      <c r="C40" s="59">
        <v>286.60000000000002</v>
      </c>
      <c r="D40" s="59">
        <v>194</v>
      </c>
      <c r="E40" s="59">
        <v>0.6</v>
      </c>
      <c r="F40" s="59">
        <v>0.4</v>
      </c>
      <c r="G40" s="59">
        <v>1.4</v>
      </c>
      <c r="H40" s="59">
        <v>61.9</v>
      </c>
      <c r="I40" s="59">
        <v>18</v>
      </c>
      <c r="J40" s="59">
        <v>3.9</v>
      </c>
      <c r="K40" s="59">
        <v>44.4</v>
      </c>
      <c r="L40" s="59">
        <v>45.3</v>
      </c>
      <c r="M40" s="59">
        <v>36.700000000000003</v>
      </c>
      <c r="N40" s="59">
        <v>30.4</v>
      </c>
      <c r="O40" s="59">
        <v>11.2</v>
      </c>
      <c r="P40" s="59">
        <v>6.1</v>
      </c>
      <c r="Q40" s="59">
        <v>8</v>
      </c>
      <c r="R40" s="59">
        <v>18.399999999999999</v>
      </c>
      <c r="S40" s="59">
        <v>120.6</v>
      </c>
      <c r="T40" s="59">
        <v>3.3</v>
      </c>
      <c r="U40" s="59">
        <v>14.5</v>
      </c>
      <c r="V40" s="59">
        <v>12.4</v>
      </c>
      <c r="W40" s="59">
        <v>7.6</v>
      </c>
      <c r="X40" s="59">
        <v>83.4</v>
      </c>
      <c r="Y40" s="59">
        <v>8.1</v>
      </c>
      <c r="Z40" s="59">
        <v>55.9</v>
      </c>
      <c r="AA40" s="59">
        <v>724.9</v>
      </c>
      <c r="AB40" s="59">
        <v>84.5</v>
      </c>
      <c r="AC40" s="59">
        <v>18.3</v>
      </c>
      <c r="AD40" s="59">
        <v>14.2</v>
      </c>
      <c r="AE40" s="59">
        <v>267.2</v>
      </c>
      <c r="AF40" s="59">
        <v>10.7</v>
      </c>
      <c r="AG40" s="59">
        <v>79</v>
      </c>
      <c r="AH40" s="59">
        <v>86.5</v>
      </c>
      <c r="AI40" s="59">
        <v>79.3</v>
      </c>
      <c r="AJ40" s="60">
        <f t="shared" si="0"/>
        <v>2437.6999999999998</v>
      </c>
      <c r="AK40" s="62">
        <v>867.2</v>
      </c>
      <c r="AL40" s="329">
        <v>0</v>
      </c>
      <c r="AM40" s="329">
        <v>1.8</v>
      </c>
      <c r="AN40" s="329">
        <v>0.5</v>
      </c>
      <c r="AO40" s="329">
        <v>18.8</v>
      </c>
      <c r="AP40" s="62">
        <f t="shared" si="2"/>
        <v>888.3</v>
      </c>
      <c r="AQ40" s="61">
        <f t="shared" si="1"/>
        <v>3326</v>
      </c>
      <c r="AR40" s="62"/>
      <c r="AS40" s="62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 s="62"/>
      <c r="BZ40" s="62"/>
      <c r="CA40" s="62"/>
      <c r="CB40" s="62"/>
      <c r="CC40" s="62"/>
      <c r="CD40" s="62"/>
      <c r="CE40" s="62"/>
      <c r="CF40" s="62"/>
      <c r="CG40" s="62"/>
      <c r="CH40" s="62"/>
      <c r="CI40" s="62"/>
      <c r="CJ40" s="62"/>
      <c r="CK40" s="62"/>
      <c r="CL40" s="62"/>
      <c r="CM40" s="62"/>
      <c r="CN40" s="62"/>
      <c r="CO40" s="62"/>
      <c r="CP40" s="62"/>
      <c r="CQ40" s="62"/>
      <c r="CR40" s="62"/>
      <c r="CS40" s="62"/>
      <c r="CT40" s="62"/>
      <c r="CU40" s="62"/>
      <c r="CV40" s="62"/>
      <c r="CW40" s="62"/>
      <c r="CX40" s="62"/>
      <c r="CY40" s="62"/>
      <c r="CZ40" s="62"/>
      <c r="DA40" s="62"/>
      <c r="DB40" s="62"/>
      <c r="DC40" s="62"/>
      <c r="DD40" s="62"/>
      <c r="DE40" s="62"/>
      <c r="DF40" s="62"/>
      <c r="DG40" s="62"/>
      <c r="DH40" s="62"/>
      <c r="DI40" s="62"/>
      <c r="DJ40" s="62"/>
      <c r="DK40" s="62"/>
      <c r="DL40" s="62"/>
      <c r="DM40" s="62"/>
      <c r="DN40" s="62"/>
      <c r="DO40" s="62"/>
      <c r="DP40" s="62"/>
      <c r="DQ40" s="62"/>
      <c r="DR40" s="62"/>
      <c r="DS40" s="62"/>
      <c r="DT40" s="62"/>
      <c r="DU40" s="62"/>
      <c r="DV40" s="62"/>
      <c r="DW40" s="62"/>
      <c r="DX40" s="62"/>
      <c r="DY40" s="62"/>
      <c r="DZ40" s="62"/>
      <c r="EA40" s="62"/>
      <c r="EB40" s="62"/>
      <c r="EC40" s="62"/>
      <c r="ED40" s="62"/>
      <c r="EE40" s="62"/>
      <c r="EF40" s="62"/>
      <c r="EG40" s="62"/>
      <c r="EH40" s="62"/>
      <c r="EI40" s="62"/>
      <c r="EJ40" s="62"/>
      <c r="EK40" s="62"/>
      <c r="EL40" s="62"/>
      <c r="EM40" s="62"/>
      <c r="EN40" s="62"/>
      <c r="EO40" s="62"/>
      <c r="EP40" s="62"/>
      <c r="EQ40" s="62"/>
      <c r="ER40" s="62"/>
      <c r="ES40" s="62"/>
      <c r="ET40" s="62"/>
      <c r="EU40" s="62"/>
      <c r="EV40" s="62"/>
      <c r="EW40" s="62"/>
      <c r="EX40" s="62"/>
      <c r="EY40" s="62"/>
      <c r="EZ40" s="62"/>
      <c r="FA40" s="62"/>
      <c r="FB40" s="62"/>
      <c r="FC40" s="62"/>
      <c r="FD40" s="62"/>
      <c r="FE40" s="62"/>
      <c r="FF40" s="62"/>
      <c r="FG40" s="62"/>
      <c r="FH40" s="62"/>
      <c r="FI40" s="62"/>
      <c r="FJ40" s="62"/>
      <c r="FK40" s="62"/>
      <c r="FL40" s="62"/>
      <c r="FM40" s="62"/>
      <c r="FN40" s="62"/>
      <c r="FO40" s="62"/>
      <c r="FP40" s="62"/>
      <c r="FQ40" s="62"/>
      <c r="FR40" s="62"/>
      <c r="FS40" s="62"/>
      <c r="FT40" s="62"/>
      <c r="FU40" s="62"/>
      <c r="FV40" s="62"/>
      <c r="FW40" s="62"/>
      <c r="FX40" s="62"/>
      <c r="FY40" s="62"/>
      <c r="FZ40" s="62"/>
      <c r="GA40" s="62"/>
      <c r="GB40" s="62"/>
      <c r="GC40" s="62"/>
      <c r="GD40" s="62"/>
      <c r="GE40" s="62"/>
    </row>
    <row r="41" spans="1:187" s="4" customFormat="1" ht="17" customHeight="1">
      <c r="A41" s="53">
        <v>30</v>
      </c>
      <c r="B41" s="373" t="s">
        <v>24</v>
      </c>
      <c r="C41" s="54">
        <v>338.8</v>
      </c>
      <c r="D41" s="54">
        <v>87.4</v>
      </c>
      <c r="E41" s="54">
        <v>0.7</v>
      </c>
      <c r="F41" s="54">
        <v>0</v>
      </c>
      <c r="G41" s="54">
        <v>1.9</v>
      </c>
      <c r="H41" s="54">
        <v>9.3000000000000007</v>
      </c>
      <c r="I41" s="54">
        <v>0.4</v>
      </c>
      <c r="J41" s="54">
        <v>0.4</v>
      </c>
      <c r="K41" s="54">
        <v>4.2</v>
      </c>
      <c r="L41" s="54">
        <v>1.8</v>
      </c>
      <c r="M41" s="54">
        <v>4.4000000000000004</v>
      </c>
      <c r="N41" s="54">
        <v>6.6</v>
      </c>
      <c r="O41" s="54">
        <v>5.3</v>
      </c>
      <c r="P41" s="54">
        <v>1.6</v>
      </c>
      <c r="Q41" s="54">
        <v>1.7</v>
      </c>
      <c r="R41" s="54">
        <v>5</v>
      </c>
      <c r="S41" s="54">
        <v>11.8</v>
      </c>
      <c r="T41" s="54">
        <v>2.1</v>
      </c>
      <c r="U41" s="54">
        <v>0.7</v>
      </c>
      <c r="V41" s="54">
        <v>0.2</v>
      </c>
      <c r="W41" s="54">
        <v>0.2</v>
      </c>
      <c r="X41" s="54">
        <v>11.8</v>
      </c>
      <c r="Y41" s="54">
        <v>2.9</v>
      </c>
      <c r="Z41" s="54">
        <v>1.5</v>
      </c>
      <c r="AA41" s="54">
        <v>302</v>
      </c>
      <c r="AB41" s="54">
        <v>51.9</v>
      </c>
      <c r="AC41" s="54">
        <v>27.5</v>
      </c>
      <c r="AD41" s="54">
        <v>19.2</v>
      </c>
      <c r="AE41" s="54">
        <v>36.299999999999997</v>
      </c>
      <c r="AF41" s="54">
        <v>12.9</v>
      </c>
      <c r="AG41" s="54">
        <v>58.9</v>
      </c>
      <c r="AH41" s="54">
        <v>96.7</v>
      </c>
      <c r="AI41" s="54">
        <v>42.8</v>
      </c>
      <c r="AJ41" s="55">
        <f t="shared" si="0"/>
        <v>1148.8999999999999</v>
      </c>
      <c r="AK41" s="57">
        <v>1782.6</v>
      </c>
      <c r="AL41" s="328">
        <v>0</v>
      </c>
      <c r="AM41" s="328">
        <v>2.6</v>
      </c>
      <c r="AN41" s="328">
        <v>0.1</v>
      </c>
      <c r="AO41" s="328">
        <v>4.5</v>
      </c>
      <c r="AP41" s="57">
        <f t="shared" si="2"/>
        <v>1789.7999999999997</v>
      </c>
      <c r="AQ41" s="56">
        <f t="shared" si="1"/>
        <v>2938.7</v>
      </c>
      <c r="AR41" s="57"/>
      <c r="AS41" s="57"/>
      <c r="AT41" s="57"/>
      <c r="AU41" s="57"/>
      <c r="AV41" s="57"/>
      <c r="AW41" s="57"/>
      <c r="AX41" s="57"/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7"/>
      <c r="CL41" s="57"/>
      <c r="CM41" s="57"/>
      <c r="CN41" s="57"/>
      <c r="CO41" s="57"/>
      <c r="CP41" s="57"/>
      <c r="CQ41" s="57"/>
      <c r="CR41" s="57"/>
      <c r="CS41" s="57"/>
      <c r="CT41" s="57"/>
      <c r="CU41" s="57"/>
      <c r="CV41" s="57"/>
      <c r="CW41" s="57"/>
      <c r="CX41" s="57"/>
      <c r="CY41" s="57"/>
      <c r="CZ41" s="57"/>
      <c r="DA41" s="57"/>
      <c r="DB41" s="57"/>
      <c r="DC41" s="57"/>
      <c r="DD41" s="57"/>
      <c r="DE41" s="57"/>
      <c r="DF41" s="57"/>
      <c r="DG41" s="57"/>
      <c r="DH41" s="57"/>
      <c r="DI41" s="57"/>
      <c r="DJ41" s="57"/>
      <c r="DK41" s="57"/>
      <c r="DL41" s="57"/>
      <c r="DM41" s="57"/>
      <c r="DN41" s="57"/>
      <c r="DO41" s="57"/>
      <c r="DP41" s="57"/>
      <c r="DQ41" s="57"/>
      <c r="DR41" s="57"/>
      <c r="DS41" s="57"/>
      <c r="DT41" s="57"/>
      <c r="DU41" s="57"/>
      <c r="DV41" s="57"/>
      <c r="DW41" s="57"/>
      <c r="DX41" s="57"/>
      <c r="DY41" s="57"/>
      <c r="DZ41" s="57"/>
      <c r="EA41" s="57"/>
      <c r="EB41" s="57"/>
      <c r="EC41" s="57"/>
      <c r="ED41" s="57"/>
      <c r="EE41" s="57"/>
      <c r="EF41" s="57"/>
      <c r="EG41" s="57"/>
      <c r="EH41" s="57"/>
      <c r="EI41" s="57"/>
      <c r="EJ41" s="57"/>
      <c r="EK41" s="57"/>
      <c r="EL41" s="57"/>
      <c r="EM41" s="57"/>
      <c r="EN41" s="57"/>
      <c r="EO41" s="57"/>
      <c r="EP41" s="57"/>
      <c r="EQ41" s="57"/>
      <c r="ER41" s="57"/>
      <c r="ES41" s="57"/>
      <c r="ET41" s="57"/>
      <c r="EU41" s="57"/>
      <c r="EV41" s="57"/>
      <c r="EW41" s="57"/>
      <c r="EX41" s="57"/>
      <c r="EY41" s="57"/>
      <c r="EZ41" s="57"/>
      <c r="FA41" s="57"/>
      <c r="FB41" s="57"/>
      <c r="FC41" s="57"/>
      <c r="FD41" s="57"/>
      <c r="FE41" s="57"/>
      <c r="FF41" s="57"/>
      <c r="FG41" s="57"/>
      <c r="FH41" s="57"/>
      <c r="FI41" s="57"/>
      <c r="FJ41" s="57"/>
      <c r="FK41" s="57"/>
      <c r="FL41" s="57"/>
      <c r="FM41" s="57"/>
      <c r="FN41" s="57"/>
      <c r="FO41" s="57"/>
      <c r="FP41" s="57"/>
      <c r="FQ41" s="57"/>
      <c r="FR41" s="57"/>
      <c r="FS41" s="57"/>
      <c r="FT41" s="57"/>
      <c r="FU41" s="57"/>
      <c r="FV41" s="57"/>
      <c r="FW41" s="57"/>
      <c r="FX41" s="57"/>
      <c r="FY41" s="57"/>
      <c r="FZ41" s="57"/>
      <c r="GA41" s="57"/>
      <c r="GB41" s="57"/>
      <c r="GC41" s="57"/>
      <c r="GD41" s="57"/>
      <c r="GE41" s="57"/>
    </row>
    <row r="42" spans="1:187" s="4" customFormat="1" ht="17" customHeight="1">
      <c r="A42" s="58">
        <v>31</v>
      </c>
      <c r="B42" s="373" t="s">
        <v>25</v>
      </c>
      <c r="C42" s="59">
        <v>163.6</v>
      </c>
      <c r="D42" s="59">
        <v>92.9</v>
      </c>
      <c r="E42" s="59">
        <v>7.5</v>
      </c>
      <c r="F42" s="59">
        <v>0.6</v>
      </c>
      <c r="G42" s="59">
        <v>7.6</v>
      </c>
      <c r="H42" s="59">
        <v>40.6</v>
      </c>
      <c r="I42" s="59">
        <v>16.7</v>
      </c>
      <c r="J42" s="59">
        <v>17</v>
      </c>
      <c r="K42" s="59">
        <v>12.4</v>
      </c>
      <c r="L42" s="59">
        <v>4.5999999999999996</v>
      </c>
      <c r="M42" s="59">
        <v>30.5</v>
      </c>
      <c r="N42" s="59">
        <v>65.3</v>
      </c>
      <c r="O42" s="59">
        <v>7.5</v>
      </c>
      <c r="P42" s="59">
        <v>3</v>
      </c>
      <c r="Q42" s="59">
        <v>4.4000000000000004</v>
      </c>
      <c r="R42" s="59">
        <v>39.200000000000003</v>
      </c>
      <c r="S42" s="59">
        <v>98.7</v>
      </c>
      <c r="T42" s="59">
        <v>10.1</v>
      </c>
      <c r="U42" s="59">
        <v>5.9</v>
      </c>
      <c r="V42" s="59">
        <v>6.5</v>
      </c>
      <c r="W42" s="59">
        <v>2.2999999999999998</v>
      </c>
      <c r="X42" s="59">
        <v>21.3</v>
      </c>
      <c r="Y42" s="59">
        <v>52.8</v>
      </c>
      <c r="Z42" s="59">
        <v>36.9</v>
      </c>
      <c r="AA42" s="59">
        <v>254.8</v>
      </c>
      <c r="AB42" s="59">
        <v>112.2</v>
      </c>
      <c r="AC42" s="59">
        <v>76</v>
      </c>
      <c r="AD42" s="59">
        <v>155.5</v>
      </c>
      <c r="AE42" s="59">
        <v>137.80000000000001</v>
      </c>
      <c r="AF42" s="59">
        <v>33.200000000000003</v>
      </c>
      <c r="AG42" s="59">
        <v>53.3</v>
      </c>
      <c r="AH42" s="59">
        <v>78.8</v>
      </c>
      <c r="AI42" s="59">
        <v>199.6</v>
      </c>
      <c r="AJ42" s="60">
        <f t="shared" si="0"/>
        <v>1849.1</v>
      </c>
      <c r="AK42" s="62">
        <v>141.6</v>
      </c>
      <c r="AL42" s="329">
        <v>0</v>
      </c>
      <c r="AM42" s="329">
        <v>34.799999999999997</v>
      </c>
      <c r="AN42" s="329">
        <v>1.2</v>
      </c>
      <c r="AO42" s="329">
        <v>110.1</v>
      </c>
      <c r="AP42" s="62">
        <f t="shared" si="2"/>
        <v>287.69999999999993</v>
      </c>
      <c r="AQ42" s="61">
        <f t="shared" si="1"/>
        <v>2136.7999999999997</v>
      </c>
      <c r="AR42" s="62"/>
      <c r="AS42" s="62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 s="62"/>
      <c r="BZ42" s="62"/>
      <c r="CA42" s="62"/>
      <c r="CB42" s="62"/>
      <c r="CC42" s="62"/>
      <c r="CD42" s="62"/>
      <c r="CE42" s="62"/>
      <c r="CF42" s="62"/>
      <c r="CG42" s="62"/>
      <c r="CH42" s="62"/>
      <c r="CI42" s="62"/>
      <c r="CJ42" s="62"/>
      <c r="CK42" s="62"/>
      <c r="CL42" s="62"/>
      <c r="CM42" s="62"/>
      <c r="CN42" s="62"/>
      <c r="CO42" s="62"/>
      <c r="CP42" s="62"/>
      <c r="CQ42" s="62"/>
      <c r="CR42" s="62"/>
      <c r="CS42" s="62"/>
      <c r="CT42" s="62"/>
      <c r="CU42" s="62"/>
      <c r="CV42" s="62"/>
      <c r="CW42" s="62"/>
      <c r="CX42" s="62"/>
      <c r="CY42" s="62"/>
      <c r="CZ42" s="62"/>
      <c r="DA42" s="62"/>
      <c r="DB42" s="62"/>
      <c r="DC42" s="62"/>
      <c r="DD42" s="62"/>
      <c r="DE42" s="62"/>
      <c r="DF42" s="62"/>
      <c r="DG42" s="62"/>
      <c r="DH42" s="62"/>
      <c r="DI42" s="62"/>
      <c r="DJ42" s="62"/>
      <c r="DK42" s="62"/>
      <c r="DL42" s="62"/>
      <c r="DM42" s="62"/>
      <c r="DN42" s="62"/>
      <c r="DO42" s="62"/>
      <c r="DP42" s="62"/>
      <c r="DQ42" s="62"/>
      <c r="DR42" s="62"/>
      <c r="DS42" s="62"/>
      <c r="DT42" s="62"/>
      <c r="DU42" s="62"/>
      <c r="DV42" s="62"/>
      <c r="DW42" s="62"/>
      <c r="DX42" s="62"/>
      <c r="DY42" s="62"/>
      <c r="DZ42" s="62"/>
      <c r="EA42" s="62"/>
      <c r="EB42" s="62"/>
      <c r="EC42" s="62"/>
      <c r="ED42" s="62"/>
      <c r="EE42" s="62"/>
      <c r="EF42" s="62"/>
      <c r="EG42" s="62"/>
      <c r="EH42" s="62"/>
      <c r="EI42" s="62"/>
      <c r="EJ42" s="62"/>
      <c r="EK42" s="62"/>
      <c r="EL42" s="62"/>
      <c r="EM42" s="62"/>
      <c r="EN42" s="62"/>
      <c r="EO42" s="62"/>
      <c r="EP42" s="62"/>
      <c r="EQ42" s="62"/>
      <c r="ER42" s="62"/>
      <c r="ES42" s="62"/>
      <c r="ET42" s="62"/>
      <c r="EU42" s="62"/>
      <c r="EV42" s="62"/>
      <c r="EW42" s="62"/>
      <c r="EX42" s="62"/>
      <c r="EY42" s="62"/>
      <c r="EZ42" s="62"/>
      <c r="FA42" s="62"/>
      <c r="FB42" s="62"/>
      <c r="FC42" s="62"/>
      <c r="FD42" s="62"/>
      <c r="FE42" s="62"/>
      <c r="FF42" s="62"/>
      <c r="FG42" s="62"/>
      <c r="FH42" s="62"/>
      <c r="FI42" s="62"/>
      <c r="FJ42" s="62"/>
      <c r="FK42" s="62"/>
      <c r="FL42" s="62"/>
      <c r="FM42" s="62"/>
      <c r="FN42" s="62"/>
      <c r="FO42" s="62"/>
      <c r="FP42" s="62"/>
      <c r="FQ42" s="62"/>
      <c r="FR42" s="62"/>
      <c r="FS42" s="62"/>
      <c r="FT42" s="62"/>
      <c r="FU42" s="62"/>
      <c r="FV42" s="62"/>
      <c r="FW42" s="62"/>
      <c r="FX42" s="62"/>
      <c r="FY42" s="62"/>
      <c r="FZ42" s="62"/>
      <c r="GA42" s="62"/>
      <c r="GB42" s="62"/>
      <c r="GC42" s="62"/>
      <c r="GD42" s="62"/>
      <c r="GE42" s="62"/>
    </row>
    <row r="43" spans="1:187" s="4" customFormat="1" ht="17" customHeight="1">
      <c r="A43" s="53">
        <v>32</v>
      </c>
      <c r="B43" s="373" t="s">
        <v>597</v>
      </c>
      <c r="C43" s="54">
        <v>15.5</v>
      </c>
      <c r="D43" s="54">
        <v>4.2</v>
      </c>
      <c r="E43" s="54">
        <v>0.1</v>
      </c>
      <c r="F43" s="54">
        <v>0</v>
      </c>
      <c r="G43" s="54">
        <v>0.4</v>
      </c>
      <c r="H43" s="54">
        <v>8.1</v>
      </c>
      <c r="I43" s="54">
        <v>0.2</v>
      </c>
      <c r="J43" s="54">
        <v>0.5</v>
      </c>
      <c r="K43" s="54">
        <v>0.7</v>
      </c>
      <c r="L43" s="54">
        <v>0.1</v>
      </c>
      <c r="M43" s="54">
        <v>1.7</v>
      </c>
      <c r="N43" s="54">
        <v>2.7</v>
      </c>
      <c r="O43" s="54">
        <v>2.5</v>
      </c>
      <c r="P43" s="54">
        <v>0.2</v>
      </c>
      <c r="Q43" s="54">
        <v>0.4</v>
      </c>
      <c r="R43" s="54">
        <v>0.8</v>
      </c>
      <c r="S43" s="54">
        <v>2.2000000000000002</v>
      </c>
      <c r="T43" s="54">
        <v>0.4</v>
      </c>
      <c r="U43" s="54">
        <v>0</v>
      </c>
      <c r="V43" s="54">
        <v>13.8</v>
      </c>
      <c r="W43" s="54">
        <v>3.9</v>
      </c>
      <c r="X43" s="54">
        <v>1</v>
      </c>
      <c r="Y43" s="54">
        <v>19.5</v>
      </c>
      <c r="Z43" s="54">
        <v>8.6</v>
      </c>
      <c r="AA43" s="54">
        <v>14.8</v>
      </c>
      <c r="AB43" s="54">
        <v>4.7</v>
      </c>
      <c r="AC43" s="54">
        <v>18.3</v>
      </c>
      <c r="AD43" s="54">
        <v>22.9</v>
      </c>
      <c r="AE43" s="54">
        <v>35.700000000000003</v>
      </c>
      <c r="AF43" s="54">
        <v>3.1</v>
      </c>
      <c r="AG43" s="54">
        <v>28.7</v>
      </c>
      <c r="AH43" s="54">
        <v>41.6</v>
      </c>
      <c r="AI43" s="54">
        <v>33.799999999999997</v>
      </c>
      <c r="AJ43" s="55">
        <f>SUM(C43:AI43)</f>
        <v>291.09999999999997</v>
      </c>
      <c r="AK43" s="57">
        <v>3320.9642622548131</v>
      </c>
      <c r="AL43" s="328">
        <v>0</v>
      </c>
      <c r="AM43" s="328">
        <v>4.5999999999999996</v>
      </c>
      <c r="AN43" s="328">
        <v>1.120006004005107</v>
      </c>
      <c r="AO43" s="328">
        <v>7.2</v>
      </c>
      <c r="AP43" s="57">
        <f>SUM(AK43:AO43)</f>
        <v>3333.8842682588179</v>
      </c>
      <c r="AQ43" s="56">
        <f>AP43+AJ43</f>
        <v>3624.9842682588178</v>
      </c>
      <c r="AR43" s="57"/>
      <c r="AS43" s="57"/>
      <c r="AT43" s="57"/>
      <c r="AU43" s="57"/>
      <c r="AV43" s="57"/>
      <c r="AW43" s="57"/>
      <c r="AX43" s="57"/>
      <c r="AY43" s="57"/>
      <c r="AZ43" s="57"/>
      <c r="BA43" s="57"/>
      <c r="BB43" s="57"/>
      <c r="BC43" s="57"/>
      <c r="BD43" s="57"/>
      <c r="BE43" s="57"/>
      <c r="BF43" s="57"/>
      <c r="BG43" s="57"/>
      <c r="BH43" s="57"/>
      <c r="BI43" s="57"/>
      <c r="BJ43" s="57"/>
      <c r="BK43" s="57"/>
      <c r="BL43" s="57"/>
      <c r="BM43" s="57"/>
      <c r="BN43" s="57"/>
      <c r="BO43" s="57"/>
      <c r="BP43" s="57"/>
      <c r="BQ43" s="57"/>
      <c r="BR43" s="57"/>
      <c r="BS43" s="57"/>
      <c r="BT43" s="57"/>
      <c r="BU43" s="57"/>
      <c r="BV43" s="57"/>
      <c r="BW43" s="57"/>
      <c r="BX43" s="57"/>
      <c r="BY43" s="57"/>
      <c r="BZ43" s="57"/>
      <c r="CA43" s="57"/>
      <c r="CB43" s="57"/>
      <c r="CC43" s="57"/>
      <c r="CD43" s="57"/>
      <c r="CE43" s="57"/>
      <c r="CF43" s="57"/>
      <c r="CG43" s="57"/>
      <c r="CH43" s="57"/>
      <c r="CI43" s="57"/>
      <c r="CJ43" s="57"/>
      <c r="CK43" s="57"/>
      <c r="CL43" s="57"/>
      <c r="CM43" s="57"/>
      <c r="CN43" s="57"/>
      <c r="CO43" s="57"/>
      <c r="CP43" s="57"/>
      <c r="CQ43" s="57"/>
      <c r="CR43" s="57"/>
      <c r="CS43" s="57"/>
      <c r="CT43" s="57"/>
      <c r="CU43" s="57"/>
      <c r="CV43" s="57"/>
      <c r="CW43" s="57"/>
      <c r="CX43" s="57"/>
      <c r="CY43" s="57"/>
      <c r="CZ43" s="57"/>
      <c r="DA43" s="57"/>
      <c r="DB43" s="57"/>
      <c r="DC43" s="57"/>
      <c r="DD43" s="57"/>
      <c r="DE43" s="57"/>
      <c r="DF43" s="57"/>
      <c r="DG43" s="57"/>
      <c r="DH43" s="57"/>
      <c r="DI43" s="57"/>
      <c r="DJ43" s="57"/>
      <c r="DK43" s="57"/>
      <c r="DL43" s="57"/>
      <c r="DM43" s="57"/>
      <c r="DN43" s="57"/>
      <c r="DO43" s="57"/>
      <c r="DP43" s="57"/>
      <c r="DQ43" s="57"/>
      <c r="DR43" s="57"/>
      <c r="DS43" s="57"/>
      <c r="DT43" s="57"/>
      <c r="DU43" s="57"/>
      <c r="DV43" s="57"/>
      <c r="DW43" s="57"/>
      <c r="DX43" s="57"/>
      <c r="DY43" s="57"/>
      <c r="DZ43" s="57"/>
      <c r="EA43" s="57"/>
      <c r="EB43" s="57"/>
      <c r="EC43" s="57"/>
      <c r="ED43" s="57"/>
      <c r="EE43" s="57"/>
      <c r="EF43" s="57"/>
      <c r="EG43" s="57"/>
      <c r="EH43" s="57"/>
      <c r="EI43" s="57"/>
      <c r="EJ43" s="57"/>
      <c r="EK43" s="57"/>
      <c r="EL43" s="57"/>
      <c r="EM43" s="57"/>
      <c r="EN43" s="57"/>
      <c r="EO43" s="57"/>
      <c r="EP43" s="57"/>
      <c r="EQ43" s="57"/>
      <c r="ER43" s="57"/>
      <c r="ES43" s="57"/>
      <c r="ET43" s="57"/>
      <c r="EU43" s="57"/>
      <c r="EV43" s="57"/>
      <c r="EW43" s="57"/>
      <c r="EX43" s="57"/>
      <c r="EY43" s="57"/>
      <c r="EZ43" s="57"/>
      <c r="FA43" s="57"/>
      <c r="FB43" s="57"/>
      <c r="FC43" s="57"/>
      <c r="FD43" s="57"/>
      <c r="FE43" s="57"/>
      <c r="FF43" s="57"/>
      <c r="FG43" s="57"/>
      <c r="FH43" s="57"/>
      <c r="FI43" s="57"/>
      <c r="FJ43" s="57"/>
      <c r="FK43" s="57"/>
      <c r="FL43" s="57"/>
      <c r="FM43" s="57"/>
      <c r="FN43" s="57"/>
      <c r="FO43" s="57"/>
      <c r="FP43" s="57"/>
      <c r="FQ43" s="57"/>
      <c r="FR43" s="57"/>
      <c r="FS43" s="57"/>
      <c r="FT43" s="57"/>
      <c r="FU43" s="57"/>
      <c r="FV43" s="57"/>
      <c r="FW43" s="57"/>
      <c r="FX43" s="57"/>
      <c r="FY43" s="57"/>
      <c r="FZ43" s="57"/>
      <c r="GA43" s="57"/>
      <c r="GB43" s="57"/>
      <c r="GC43" s="57"/>
      <c r="GD43" s="57"/>
      <c r="GE43" s="57"/>
    </row>
    <row r="44" spans="1:187" s="4" customFormat="1" ht="17" customHeight="1">
      <c r="A44" s="53">
        <v>33</v>
      </c>
      <c r="B44" s="373" t="s">
        <v>598</v>
      </c>
      <c r="C44" s="54">
        <v>0.2</v>
      </c>
      <c r="D44" s="54">
        <v>0.3</v>
      </c>
      <c r="E44" s="54">
        <v>0.1</v>
      </c>
      <c r="F44" s="54">
        <v>0</v>
      </c>
      <c r="G44" s="54">
        <v>0</v>
      </c>
      <c r="H44" s="54">
        <v>0.1</v>
      </c>
      <c r="I44" s="54">
        <v>0</v>
      </c>
      <c r="J44" s="54">
        <v>0.1</v>
      </c>
      <c r="K44" s="54">
        <v>0.1</v>
      </c>
      <c r="L44" s="54">
        <v>0</v>
      </c>
      <c r="M44" s="54">
        <v>0.7</v>
      </c>
      <c r="N44" s="54">
        <v>0.2</v>
      </c>
      <c r="O44" s="54">
        <v>0</v>
      </c>
      <c r="P44" s="54">
        <v>0</v>
      </c>
      <c r="Q44" s="54">
        <v>0.9</v>
      </c>
      <c r="R44" s="54">
        <v>0</v>
      </c>
      <c r="S44" s="54">
        <v>0.1</v>
      </c>
      <c r="T44" s="54">
        <v>0</v>
      </c>
      <c r="U44" s="54">
        <v>0</v>
      </c>
      <c r="V44" s="54">
        <v>0</v>
      </c>
      <c r="W44" s="54">
        <v>0</v>
      </c>
      <c r="X44" s="54">
        <v>0</v>
      </c>
      <c r="Y44" s="54">
        <v>0.1</v>
      </c>
      <c r="Z44" s="54">
        <v>0</v>
      </c>
      <c r="AA44" s="54">
        <v>0.3</v>
      </c>
      <c r="AB44" s="54">
        <v>0.1</v>
      </c>
      <c r="AC44" s="54">
        <v>0.2</v>
      </c>
      <c r="AD44" s="54">
        <v>0.2</v>
      </c>
      <c r="AE44" s="54">
        <v>0.2</v>
      </c>
      <c r="AF44" s="54">
        <v>0</v>
      </c>
      <c r="AG44" s="54">
        <v>0.1</v>
      </c>
      <c r="AH44" s="54">
        <v>0.1</v>
      </c>
      <c r="AI44" s="54">
        <v>0.2</v>
      </c>
      <c r="AJ44" s="55">
        <f t="shared" si="0"/>
        <v>4.3</v>
      </c>
      <c r="AK44" s="57">
        <v>5307.235737745189</v>
      </c>
      <c r="AL44" s="328">
        <v>0</v>
      </c>
      <c r="AM44" s="328">
        <v>0</v>
      </c>
      <c r="AN44" s="328">
        <v>7.9993995994892431E-2</v>
      </c>
      <c r="AO44" s="328">
        <v>0.9</v>
      </c>
      <c r="AP44" s="57">
        <f t="shared" si="2"/>
        <v>5308.2157317411838</v>
      </c>
      <c r="AQ44" s="56">
        <f t="shared" si="1"/>
        <v>5312.515731741184</v>
      </c>
      <c r="AR44" s="57"/>
      <c r="AS44" s="57"/>
      <c r="AT44" s="57"/>
      <c r="AU44" s="57"/>
      <c r="AV44" s="57"/>
      <c r="AW44" s="57"/>
      <c r="AX44" s="57"/>
      <c r="AY44" s="57"/>
      <c r="AZ44" s="57"/>
      <c r="BA44" s="57"/>
      <c r="BB44" s="57"/>
      <c r="BC44" s="57"/>
      <c r="BD44" s="57"/>
      <c r="BE44" s="57"/>
      <c r="BF44" s="57"/>
      <c r="BG44" s="57"/>
      <c r="BH44" s="57"/>
      <c r="BI44" s="57"/>
      <c r="BJ44" s="57"/>
      <c r="BK44" s="57"/>
      <c r="BL44" s="57"/>
      <c r="BM44" s="57"/>
      <c r="BN44" s="57"/>
      <c r="BO44" s="57"/>
      <c r="BP44" s="57"/>
      <c r="BQ44" s="57"/>
      <c r="BR44" s="57"/>
      <c r="BS44" s="57"/>
      <c r="BT44" s="57"/>
      <c r="BU44" s="57"/>
      <c r="BV44" s="57"/>
      <c r="BW44" s="57"/>
      <c r="BX44" s="57"/>
      <c r="BY44" s="57"/>
      <c r="BZ44" s="57"/>
      <c r="CA44" s="57"/>
      <c r="CB44" s="57"/>
      <c r="CC44" s="57"/>
      <c r="CD44" s="57"/>
      <c r="CE44" s="57"/>
      <c r="CF44" s="57"/>
      <c r="CG44" s="57"/>
      <c r="CH44" s="57"/>
      <c r="CI44" s="57"/>
      <c r="CJ44" s="57"/>
      <c r="CK44" s="57"/>
      <c r="CL44" s="57"/>
      <c r="CM44" s="57"/>
      <c r="CN44" s="57"/>
      <c r="CO44" s="57"/>
      <c r="CP44" s="57"/>
      <c r="CQ44" s="57"/>
      <c r="CR44" s="57"/>
      <c r="CS44" s="57"/>
      <c r="CT44" s="57"/>
      <c r="CU44" s="57"/>
      <c r="CV44" s="57"/>
      <c r="CW44" s="57"/>
      <c r="CX44" s="57"/>
      <c r="CY44" s="57"/>
      <c r="CZ44" s="57"/>
      <c r="DA44" s="57"/>
      <c r="DB44" s="57"/>
      <c r="DC44" s="57"/>
      <c r="DD44" s="57"/>
      <c r="DE44" s="57"/>
      <c r="DF44" s="57"/>
      <c r="DG44" s="57"/>
      <c r="DH44" s="57"/>
      <c r="DI44" s="57"/>
      <c r="DJ44" s="57"/>
      <c r="DK44" s="57"/>
      <c r="DL44" s="57"/>
      <c r="DM44" s="57"/>
      <c r="DN44" s="57"/>
      <c r="DO44" s="57"/>
      <c r="DP44" s="57"/>
      <c r="DQ44" s="57"/>
      <c r="DR44" s="57"/>
      <c r="DS44" s="57"/>
      <c r="DT44" s="57"/>
      <c r="DU44" s="57"/>
      <c r="DV44" s="57"/>
      <c r="DW44" s="57"/>
      <c r="DX44" s="57"/>
      <c r="DY44" s="57"/>
      <c r="DZ44" s="57"/>
      <c r="EA44" s="57"/>
      <c r="EB44" s="57"/>
      <c r="EC44" s="57"/>
      <c r="ED44" s="57"/>
      <c r="EE44" s="57"/>
      <c r="EF44" s="57"/>
      <c r="EG44" s="57"/>
      <c r="EH44" s="57"/>
      <c r="EI44" s="57"/>
      <c r="EJ44" s="57"/>
      <c r="EK44" s="57"/>
      <c r="EL44" s="57"/>
      <c r="EM44" s="57"/>
      <c r="EN44" s="57"/>
      <c r="EO44" s="57"/>
      <c r="EP44" s="57"/>
      <c r="EQ44" s="57"/>
      <c r="ER44" s="57"/>
      <c r="ES44" s="57"/>
      <c r="ET44" s="57"/>
      <c r="EU44" s="57"/>
      <c r="EV44" s="57"/>
      <c r="EW44" s="57"/>
      <c r="EX44" s="57"/>
      <c r="EY44" s="57"/>
      <c r="EZ44" s="57"/>
      <c r="FA44" s="57"/>
      <c r="FB44" s="57"/>
      <c r="FC44" s="57"/>
      <c r="FD44" s="57"/>
      <c r="FE44" s="57"/>
      <c r="FF44" s="57"/>
      <c r="FG44" s="57"/>
      <c r="FH44" s="57"/>
      <c r="FI44" s="57"/>
      <c r="FJ44" s="57"/>
      <c r="FK44" s="57"/>
      <c r="FL44" s="57"/>
      <c r="FM44" s="57"/>
      <c r="FN44" s="57"/>
      <c r="FO44" s="57"/>
      <c r="FP44" s="57"/>
      <c r="FQ44" s="57"/>
      <c r="FR44" s="57"/>
      <c r="FS44" s="57"/>
      <c r="FT44" s="57"/>
      <c r="FU44" s="57"/>
      <c r="FV44" s="57"/>
      <c r="FW44" s="57"/>
      <c r="FX44" s="57"/>
      <c r="FY44" s="57"/>
      <c r="FZ44" s="57"/>
      <c r="GA44" s="57"/>
      <c r="GB44" s="57"/>
      <c r="GC44" s="57"/>
      <c r="GD44" s="57"/>
      <c r="GE44" s="57"/>
    </row>
    <row r="45" spans="1:187">
      <c r="B45" s="10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8"/>
    </row>
    <row r="46" spans="1:187">
      <c r="B46" s="6" t="s">
        <v>26</v>
      </c>
      <c r="C46" s="9">
        <f>SUM(C12:C44)</f>
        <v>2152.1999999999998</v>
      </c>
      <c r="D46" s="9">
        <f>SUM(D12:D44)</f>
        <v>1049.4000000000001</v>
      </c>
      <c r="E46" s="9">
        <f>SUM(E12:E44)</f>
        <v>69.800000000000011</v>
      </c>
      <c r="F46" s="9">
        <f>SUM(F12:F44)</f>
        <v>10.900000000000002</v>
      </c>
      <c r="G46" s="9">
        <f t="shared" ref="G46:AQ46" si="6">SUM(G12:G44)</f>
        <v>175.4</v>
      </c>
      <c r="H46" s="9">
        <f t="shared" si="6"/>
        <v>2597.6000000000004</v>
      </c>
      <c r="I46" s="9">
        <f t="shared" ref="I46:N46" si="7">SUM(I12:I44)</f>
        <v>709.20000000000027</v>
      </c>
      <c r="J46" s="9">
        <f t="shared" si="7"/>
        <v>511.4</v>
      </c>
      <c r="K46" s="9">
        <f t="shared" si="7"/>
        <v>1458.0000000000002</v>
      </c>
      <c r="L46" s="9">
        <f t="shared" si="7"/>
        <v>94.59999999999998</v>
      </c>
      <c r="M46" s="9">
        <f t="shared" si="7"/>
        <v>637.20000000000005</v>
      </c>
      <c r="N46" s="9">
        <f t="shared" si="7"/>
        <v>1120.3000000000002</v>
      </c>
      <c r="O46" s="9">
        <f t="shared" si="6"/>
        <v>279.49999999999994</v>
      </c>
      <c r="P46" s="9">
        <f>SUM(P12:P44)</f>
        <v>125.50000000000001</v>
      </c>
      <c r="Q46" s="9">
        <f t="shared" si="6"/>
        <v>389.69999999999987</v>
      </c>
      <c r="R46" s="9">
        <f>SUM(R12:R44)</f>
        <v>480.2</v>
      </c>
      <c r="S46" s="9">
        <f t="shared" si="6"/>
        <v>1442.1999999999998</v>
      </c>
      <c r="T46" s="9">
        <f t="shared" si="6"/>
        <v>360.90000000000003</v>
      </c>
      <c r="U46" s="9">
        <f t="shared" si="6"/>
        <v>45.699999999999996</v>
      </c>
      <c r="V46" s="9">
        <f t="shared" si="6"/>
        <v>334.09999999999997</v>
      </c>
      <c r="W46" s="9">
        <f t="shared" si="6"/>
        <v>184.8</v>
      </c>
      <c r="X46" s="9">
        <f t="shared" si="6"/>
        <v>514.70000000000005</v>
      </c>
      <c r="Y46" s="9">
        <f t="shared" si="6"/>
        <v>523.19999999999993</v>
      </c>
      <c r="Z46" s="9">
        <f t="shared" si="6"/>
        <v>2071.6999999999998</v>
      </c>
      <c r="AA46" s="9">
        <f t="shared" si="6"/>
        <v>3687.0000000000005</v>
      </c>
      <c r="AB46" s="9">
        <f t="shared" si="6"/>
        <v>1334.6000000000001</v>
      </c>
      <c r="AC46" s="9">
        <f t="shared" si="6"/>
        <v>959.99999999999989</v>
      </c>
      <c r="AD46" s="9">
        <f t="shared" si="6"/>
        <v>1222.9000000000001</v>
      </c>
      <c r="AE46" s="9">
        <f t="shared" si="6"/>
        <v>696.40000000000009</v>
      </c>
      <c r="AF46" s="9">
        <f t="shared" si="6"/>
        <v>300.39999999999998</v>
      </c>
      <c r="AG46" s="9">
        <f t="shared" si="6"/>
        <v>876.19999999999993</v>
      </c>
      <c r="AH46" s="9">
        <f>SUM(AH12:AH44)</f>
        <v>1060</v>
      </c>
      <c r="AI46" s="9">
        <f t="shared" si="6"/>
        <v>975.49999999999989</v>
      </c>
      <c r="AJ46" s="9">
        <f t="shared" si="6"/>
        <v>28451.199999999997</v>
      </c>
      <c r="AK46" s="9">
        <f t="shared" si="6"/>
        <v>29059.5</v>
      </c>
      <c r="AL46" s="9">
        <f t="shared" si="6"/>
        <v>0</v>
      </c>
      <c r="AM46" s="9">
        <f t="shared" si="6"/>
        <v>7357.0000000000009</v>
      </c>
      <c r="AN46" s="9">
        <f t="shared" si="6"/>
        <v>751.69999999999993</v>
      </c>
      <c r="AO46" s="9">
        <f t="shared" si="6"/>
        <v>12419.2</v>
      </c>
      <c r="AP46" s="9">
        <f t="shared" si="6"/>
        <v>49587.4</v>
      </c>
      <c r="AQ46" s="9">
        <f t="shared" si="6"/>
        <v>78038.599999999991</v>
      </c>
    </row>
    <row r="47" spans="1:187" ht="21" customHeight="1">
      <c r="B47" s="6" t="s">
        <v>263</v>
      </c>
      <c r="C47" s="9">
        <v>438.8</v>
      </c>
      <c r="D47" s="9">
        <v>187.6</v>
      </c>
      <c r="E47" s="9">
        <v>16.7</v>
      </c>
      <c r="F47" s="9">
        <v>6.3999999999999986</v>
      </c>
      <c r="G47" s="9">
        <v>96.699999999999989</v>
      </c>
      <c r="H47" s="9">
        <v>94.499999999999986</v>
      </c>
      <c r="I47" s="9">
        <v>33.6</v>
      </c>
      <c r="J47" s="9">
        <v>27.1</v>
      </c>
      <c r="K47" s="9">
        <v>105.4</v>
      </c>
      <c r="L47" s="9">
        <v>7.1999999999999993</v>
      </c>
      <c r="M47" s="9">
        <v>79.899999999999991</v>
      </c>
      <c r="N47" s="9">
        <v>471.4</v>
      </c>
      <c r="O47" s="9">
        <v>87.9</v>
      </c>
      <c r="P47" s="9">
        <v>46.600000000000009</v>
      </c>
      <c r="Q47" s="9">
        <v>21</v>
      </c>
      <c r="R47" s="9">
        <v>119</v>
      </c>
      <c r="S47" s="9">
        <v>900.30000000000007</v>
      </c>
      <c r="T47" s="9">
        <v>123.8</v>
      </c>
      <c r="U47" s="9">
        <v>38.6</v>
      </c>
      <c r="V47" s="9">
        <v>235.7</v>
      </c>
      <c r="W47" s="9">
        <v>81.599999999999994</v>
      </c>
      <c r="X47" s="9">
        <v>276.60000000000002</v>
      </c>
      <c r="Y47" s="9">
        <v>20.100000000000001</v>
      </c>
      <c r="Z47" s="9">
        <v>560.80000000000007</v>
      </c>
      <c r="AA47" s="9">
        <v>542.19999999999993</v>
      </c>
      <c r="AB47" s="9">
        <v>644.9</v>
      </c>
      <c r="AC47" s="9">
        <v>122</v>
      </c>
      <c r="AD47" s="9">
        <v>309.60000000000002</v>
      </c>
      <c r="AE47" s="9">
        <v>42.2</v>
      </c>
      <c r="AF47" s="9">
        <v>28</v>
      </c>
      <c r="AG47" s="9">
        <v>101</v>
      </c>
      <c r="AH47" s="9">
        <v>153.80000000000001</v>
      </c>
      <c r="AI47" s="9">
        <v>274.10000000000002</v>
      </c>
      <c r="AJ47" s="9">
        <f>SUM(C47:AI47)</f>
        <v>6295.1</v>
      </c>
    </row>
    <row r="48" spans="1:187" ht="16" customHeight="1">
      <c r="B48" s="10" t="s">
        <v>264</v>
      </c>
      <c r="C48" s="9">
        <v>133.7000000000003</v>
      </c>
      <c r="D48" s="9">
        <v>78.400000000000091</v>
      </c>
      <c r="E48" s="9">
        <v>3.6000000000000232</v>
      </c>
      <c r="F48" s="9">
        <v>0.89999999999999858</v>
      </c>
      <c r="G48" s="9">
        <v>20.599999999999991</v>
      </c>
      <c r="H48" s="9">
        <v>74.900000000000091</v>
      </c>
      <c r="I48" s="9">
        <v>9.4999999999996589</v>
      </c>
      <c r="J48" s="9">
        <v>7.8000000000000114</v>
      </c>
      <c r="K48" s="9">
        <v>27.199999999999591</v>
      </c>
      <c r="L48" s="9">
        <v>6.7000000000000446</v>
      </c>
      <c r="M48" s="9">
        <v>20.599999999999909</v>
      </c>
      <c r="N48" s="9">
        <v>55.499999999999893</v>
      </c>
      <c r="O48" s="9">
        <v>13.10000000000008</v>
      </c>
      <c r="P48" s="9">
        <v>5.5999999999999943</v>
      </c>
      <c r="Q48" s="9">
        <v>15.10000000000014</v>
      </c>
      <c r="R48" s="9">
        <v>26.89999999999986</v>
      </c>
      <c r="S48" s="9">
        <v>108.59999999999989</v>
      </c>
      <c r="T48" s="9">
        <v>26.099999999999909</v>
      </c>
      <c r="U48" s="9">
        <v>4.4000000000000199</v>
      </c>
      <c r="V48" s="9">
        <v>18.800000000000129</v>
      </c>
      <c r="W48" s="9">
        <v>9.3999999999999773</v>
      </c>
      <c r="X48" s="9">
        <v>42.599999999999802</v>
      </c>
      <c r="Y48" s="9">
        <v>24.700000000000269</v>
      </c>
      <c r="Z48" s="9">
        <v>89.999999999999545</v>
      </c>
      <c r="AA48" s="9">
        <v>293.89999999999873</v>
      </c>
      <c r="AB48" s="9">
        <v>188.7999999999995</v>
      </c>
      <c r="AC48" s="9">
        <v>51.199999999999818</v>
      </c>
      <c r="AD48" s="9">
        <v>79.600000000000136</v>
      </c>
      <c r="AE48" s="9">
        <v>52.599999999999909</v>
      </c>
      <c r="AF48" s="9">
        <v>19.39999999999964</v>
      </c>
      <c r="AG48" s="9">
        <v>53.699999999999818</v>
      </c>
      <c r="AH48" s="9">
        <v>59.399999999999643</v>
      </c>
      <c r="AI48" s="9">
        <v>76.199999999999818</v>
      </c>
      <c r="AJ48" s="9">
        <f>SUM(C48:AI48)</f>
        <v>1699.4999999999964</v>
      </c>
    </row>
    <row r="49" spans="2:36" ht="16" customHeight="1">
      <c r="B49" s="10" t="s">
        <v>265</v>
      </c>
      <c r="C49" s="7">
        <v>0</v>
      </c>
      <c r="D49" s="7">
        <v>0</v>
      </c>
      <c r="E49" s="7">
        <v>0</v>
      </c>
      <c r="F49" s="7">
        <v>0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  <c r="R49" s="7">
        <v>0</v>
      </c>
      <c r="S49" s="7">
        <v>0</v>
      </c>
      <c r="T49" s="7">
        <v>0</v>
      </c>
      <c r="U49" s="7">
        <v>0</v>
      </c>
      <c r="V49" s="7">
        <v>0</v>
      </c>
      <c r="W49" s="7">
        <v>0</v>
      </c>
      <c r="X49" s="7">
        <v>0</v>
      </c>
      <c r="Y49" s="7">
        <v>0</v>
      </c>
      <c r="Z49" s="7">
        <v>0</v>
      </c>
      <c r="AA49" s="7">
        <v>0</v>
      </c>
      <c r="AB49" s="7">
        <v>0</v>
      </c>
      <c r="AC49" s="7">
        <v>0</v>
      </c>
      <c r="AD49" s="7">
        <v>0</v>
      </c>
      <c r="AE49" s="7">
        <v>0</v>
      </c>
      <c r="AF49">
        <v>0</v>
      </c>
      <c r="AG49">
        <v>0</v>
      </c>
      <c r="AH49">
        <v>0</v>
      </c>
      <c r="AI49">
        <v>0</v>
      </c>
      <c r="AJ49">
        <f>SUM(C49:AI49)</f>
        <v>0</v>
      </c>
    </row>
    <row r="50" spans="2:36">
      <c r="B50" s="6" t="s">
        <v>266</v>
      </c>
      <c r="C50" s="9">
        <f t="shared" ref="C50:S50" si="8">C52+C55+C56+C57</f>
        <v>3577.4</v>
      </c>
      <c r="D50" s="9">
        <f>D52+D55+D56+D57</f>
        <v>1238</v>
      </c>
      <c r="E50" s="9">
        <f>E52+E55+E56+E57</f>
        <v>233.3</v>
      </c>
      <c r="F50" s="9">
        <f>F52+F55+F56+F57</f>
        <v>37.099999999999994</v>
      </c>
      <c r="G50" s="9">
        <f t="shared" si="8"/>
        <v>138.6</v>
      </c>
      <c r="H50" s="9">
        <f t="shared" si="8"/>
        <v>1417.1000000000001</v>
      </c>
      <c r="I50" s="9">
        <f t="shared" ref="I50:N50" si="9">I52+I55+I56+I57</f>
        <v>670.1</v>
      </c>
      <c r="J50" s="9">
        <f t="shared" si="9"/>
        <v>393.4</v>
      </c>
      <c r="K50" s="9">
        <f t="shared" si="9"/>
        <v>495.6</v>
      </c>
      <c r="L50" s="9">
        <f t="shared" si="9"/>
        <v>270.90000000000003</v>
      </c>
      <c r="M50" s="9">
        <f t="shared" si="9"/>
        <v>627.40000000000009</v>
      </c>
      <c r="N50" s="9">
        <f t="shared" si="9"/>
        <v>637.59999999999991</v>
      </c>
      <c r="O50" s="9">
        <f t="shared" si="8"/>
        <v>499.09999999999997</v>
      </c>
      <c r="P50" s="9">
        <f>P52+P55+P56+P57</f>
        <v>94.199999999999989</v>
      </c>
      <c r="Q50" s="9">
        <f t="shared" si="8"/>
        <v>203.10000000000002</v>
      </c>
      <c r="R50" s="9">
        <f>R52+R55+R56+R57</f>
        <v>491.9</v>
      </c>
      <c r="S50" s="9">
        <f t="shared" si="8"/>
        <v>1252.8999999999999</v>
      </c>
      <c r="T50" s="9">
        <f t="shared" ref="T50:AI50" si="10">T52+T55+T56+T57</f>
        <v>314.5</v>
      </c>
      <c r="U50" s="9">
        <f t="shared" si="10"/>
        <v>111.29999999999998</v>
      </c>
      <c r="V50" s="9">
        <f t="shared" si="10"/>
        <v>437.5</v>
      </c>
      <c r="W50" s="9">
        <f t="shared" si="10"/>
        <v>131.1</v>
      </c>
      <c r="X50" s="9">
        <f t="shared" si="10"/>
        <v>619.79999999999995</v>
      </c>
      <c r="Y50" s="9">
        <f t="shared" si="10"/>
        <v>2816.2</v>
      </c>
      <c r="Z50" s="9">
        <f t="shared" si="10"/>
        <v>2991.8999999999996</v>
      </c>
      <c r="AA50" s="9">
        <f t="shared" si="10"/>
        <v>5231.3999999999996</v>
      </c>
      <c r="AB50" s="9">
        <f t="shared" si="10"/>
        <v>1830.2</v>
      </c>
      <c r="AC50" s="9">
        <f t="shared" si="10"/>
        <v>1159</v>
      </c>
      <c r="AD50" s="9">
        <f t="shared" si="10"/>
        <v>1104.4000000000001</v>
      </c>
      <c r="AE50" s="9">
        <f t="shared" si="10"/>
        <v>2534.6999999999998</v>
      </c>
      <c r="AF50" s="9">
        <f t="shared" si="10"/>
        <v>2590.9</v>
      </c>
      <c r="AG50" s="9">
        <f t="shared" si="10"/>
        <v>1105.8000000000002</v>
      </c>
      <c r="AH50" s="9">
        <f>AH52+AH55+AH56+AH57</f>
        <v>2351.8999999999996</v>
      </c>
      <c r="AI50" s="9">
        <f t="shared" si="10"/>
        <v>3986.7999999999997</v>
      </c>
      <c r="AJ50" s="9">
        <f>SUM(C50:AI50)</f>
        <v>41595.100000000013</v>
      </c>
    </row>
    <row r="51" spans="2:36">
      <c r="B51" s="10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8"/>
    </row>
    <row r="52" spans="2:36">
      <c r="B52" s="10" t="s">
        <v>267</v>
      </c>
      <c r="C52" s="7">
        <v>309.7</v>
      </c>
      <c r="D52" s="7">
        <v>212.5</v>
      </c>
      <c r="E52" s="7">
        <v>41.5</v>
      </c>
      <c r="F52" s="7">
        <v>0.7</v>
      </c>
      <c r="G52" s="7">
        <v>31.8</v>
      </c>
      <c r="H52" s="7">
        <v>270.10000000000002</v>
      </c>
      <c r="I52" s="7">
        <v>95</v>
      </c>
      <c r="J52" s="7">
        <v>59.9</v>
      </c>
      <c r="K52" s="7">
        <v>225.9</v>
      </c>
      <c r="L52" s="7">
        <v>52.7</v>
      </c>
      <c r="M52" s="7">
        <v>65.2</v>
      </c>
      <c r="N52" s="7">
        <v>127.8</v>
      </c>
      <c r="O52" s="7">
        <v>99.3</v>
      </c>
      <c r="P52" s="7">
        <v>24.1</v>
      </c>
      <c r="Q52" s="7">
        <v>24.2</v>
      </c>
      <c r="R52" s="7">
        <v>69.7</v>
      </c>
      <c r="S52" s="7">
        <v>208.8</v>
      </c>
      <c r="T52" s="7">
        <v>81.2</v>
      </c>
      <c r="U52" s="7">
        <v>53.9</v>
      </c>
      <c r="V52" s="7">
        <v>73.5</v>
      </c>
      <c r="W52" s="7">
        <v>53.3</v>
      </c>
      <c r="X52" s="7">
        <v>121.6</v>
      </c>
      <c r="Y52" s="7">
        <v>654.9</v>
      </c>
      <c r="Z52" s="7">
        <v>1395</v>
      </c>
      <c r="AA52" s="7">
        <v>1889.2</v>
      </c>
      <c r="AB52" s="7">
        <v>582.1</v>
      </c>
      <c r="AC52" s="7">
        <v>397.5</v>
      </c>
      <c r="AD52" s="7">
        <v>233.1</v>
      </c>
      <c r="AE52" s="7">
        <v>662.8</v>
      </c>
      <c r="AF52" s="7">
        <v>147.6</v>
      </c>
      <c r="AG52" s="7">
        <v>354.4</v>
      </c>
      <c r="AH52" s="7">
        <v>1250.0999999999999</v>
      </c>
      <c r="AI52" s="7">
        <v>3963.7</v>
      </c>
      <c r="AJ52" s="7">
        <f>SUM(C52:AI52)</f>
        <v>13832.8</v>
      </c>
    </row>
    <row r="53" spans="2:36" ht="15">
      <c r="B53" s="371" t="s">
        <v>528</v>
      </c>
      <c r="C53" s="372">
        <v>306.7</v>
      </c>
      <c r="D53" s="372">
        <v>198.7</v>
      </c>
      <c r="E53" s="372">
        <v>37.299999999999997</v>
      </c>
      <c r="F53" s="372">
        <v>0.6</v>
      </c>
      <c r="G53" s="372">
        <v>28.1</v>
      </c>
      <c r="H53" s="372">
        <v>245.5</v>
      </c>
      <c r="I53" s="372">
        <v>70.099999999999994</v>
      </c>
      <c r="J53" s="372">
        <v>50.8</v>
      </c>
      <c r="K53" s="372">
        <v>192.4</v>
      </c>
      <c r="L53" s="372">
        <v>45.1</v>
      </c>
      <c r="M53" s="372">
        <v>57.5</v>
      </c>
      <c r="N53" s="372">
        <v>109.7</v>
      </c>
      <c r="O53" s="372">
        <v>88.3</v>
      </c>
      <c r="P53" s="372">
        <v>23.4</v>
      </c>
      <c r="Q53" s="372">
        <v>23.5</v>
      </c>
      <c r="R53" s="372">
        <v>62.7</v>
      </c>
      <c r="S53" s="372">
        <v>187.9</v>
      </c>
      <c r="T53" s="372">
        <v>73.8</v>
      </c>
      <c r="U53" s="372">
        <v>47.6</v>
      </c>
      <c r="V53" s="372">
        <v>70.099999999999994</v>
      </c>
      <c r="W53" s="372">
        <v>49.1</v>
      </c>
      <c r="X53" s="372">
        <v>114</v>
      </c>
      <c r="Y53" s="372">
        <v>526.9</v>
      </c>
      <c r="Z53" s="372">
        <v>1254.7</v>
      </c>
      <c r="AA53" s="372">
        <v>1607.1</v>
      </c>
      <c r="AB53" s="372">
        <v>510.8</v>
      </c>
      <c r="AC53" s="372">
        <v>343.9</v>
      </c>
      <c r="AD53" s="372">
        <v>207.4</v>
      </c>
      <c r="AE53" s="372">
        <v>556.1</v>
      </c>
      <c r="AF53" s="372">
        <v>130.30000000000001</v>
      </c>
      <c r="AG53" s="372">
        <v>309.8</v>
      </c>
      <c r="AH53" s="372">
        <v>1205.8</v>
      </c>
      <c r="AI53" s="372">
        <v>3819.6</v>
      </c>
      <c r="AJ53" s="372">
        <f t="shared" ref="AJ53:AJ55" si="11">SUM(C53:AI53)</f>
        <v>12555.300000000001</v>
      </c>
    </row>
    <row r="54" spans="2:36" ht="15">
      <c r="B54" s="371" t="s">
        <v>529</v>
      </c>
      <c r="C54" s="372">
        <v>3</v>
      </c>
      <c r="D54" s="372">
        <v>13.8</v>
      </c>
      <c r="E54" s="372">
        <v>4.2</v>
      </c>
      <c r="F54" s="372">
        <v>0</v>
      </c>
      <c r="G54" s="372">
        <v>3.7</v>
      </c>
      <c r="H54" s="372">
        <v>24.6</v>
      </c>
      <c r="I54" s="372">
        <v>24.9</v>
      </c>
      <c r="J54" s="372">
        <v>9</v>
      </c>
      <c r="K54" s="372">
        <v>33.6</v>
      </c>
      <c r="L54" s="372">
        <v>7.6</v>
      </c>
      <c r="M54" s="372">
        <v>7.7</v>
      </c>
      <c r="N54" s="372">
        <v>18</v>
      </c>
      <c r="O54" s="372">
        <v>11.1</v>
      </c>
      <c r="P54" s="372">
        <v>0.8</v>
      </c>
      <c r="Q54" s="372">
        <v>0.7</v>
      </c>
      <c r="R54" s="372">
        <v>6.9</v>
      </c>
      <c r="S54" s="372">
        <v>20.9</v>
      </c>
      <c r="T54" s="372">
        <v>7.3</v>
      </c>
      <c r="U54" s="372">
        <v>6.3</v>
      </c>
      <c r="V54" s="372">
        <v>3.4</v>
      </c>
      <c r="W54" s="372">
        <v>4.3</v>
      </c>
      <c r="X54" s="372">
        <v>7.7</v>
      </c>
      <c r="Y54" s="372">
        <v>128.1</v>
      </c>
      <c r="Z54" s="372">
        <v>140.30000000000001</v>
      </c>
      <c r="AA54" s="372">
        <v>282.10000000000002</v>
      </c>
      <c r="AB54" s="372">
        <v>71.3</v>
      </c>
      <c r="AC54" s="372">
        <v>53.5</v>
      </c>
      <c r="AD54" s="372">
        <v>25.7</v>
      </c>
      <c r="AE54" s="372">
        <v>106.7</v>
      </c>
      <c r="AF54" s="372">
        <v>17.3</v>
      </c>
      <c r="AG54" s="372">
        <v>44.6</v>
      </c>
      <c r="AH54" s="372">
        <v>44.3</v>
      </c>
      <c r="AI54" s="372">
        <v>144.1</v>
      </c>
      <c r="AJ54" s="372">
        <f t="shared" si="11"/>
        <v>1277.4999999999998</v>
      </c>
    </row>
    <row r="55" spans="2:36" ht="15">
      <c r="B55" s="373" t="s">
        <v>530</v>
      </c>
      <c r="C55" s="374">
        <v>892.1</v>
      </c>
      <c r="D55" s="374">
        <v>379.9</v>
      </c>
      <c r="E55" s="374">
        <v>45.5</v>
      </c>
      <c r="F55" s="374">
        <v>8.6999999999999993</v>
      </c>
      <c r="G55" s="374">
        <v>23</v>
      </c>
      <c r="H55" s="374">
        <v>13.8</v>
      </c>
      <c r="I55" s="374">
        <v>4.5999999999999996</v>
      </c>
      <c r="J55" s="374">
        <v>11.5</v>
      </c>
      <c r="K55" s="374">
        <v>88.6</v>
      </c>
      <c r="L55" s="374">
        <v>0</v>
      </c>
      <c r="M55" s="374">
        <v>22.9</v>
      </c>
      <c r="N55" s="374">
        <v>2</v>
      </c>
      <c r="O55" s="374">
        <v>115.6</v>
      </c>
      <c r="P55" s="374">
        <v>15.7</v>
      </c>
      <c r="Q55" s="374">
        <v>48.3</v>
      </c>
      <c r="R55" s="374">
        <v>35</v>
      </c>
      <c r="S55" s="374">
        <v>42.7</v>
      </c>
      <c r="T55" s="374">
        <v>39.299999999999997</v>
      </c>
      <c r="U55" s="374">
        <v>2.8</v>
      </c>
      <c r="V55" s="374">
        <v>110.4</v>
      </c>
      <c r="W55" s="374">
        <v>20.7</v>
      </c>
      <c r="X55" s="374">
        <v>184.1</v>
      </c>
      <c r="Y55" s="374">
        <v>0</v>
      </c>
      <c r="Z55" s="372">
        <v>597.1</v>
      </c>
      <c r="AA55" s="375">
        <v>1895.8</v>
      </c>
      <c r="AB55" s="375">
        <v>239.1</v>
      </c>
      <c r="AC55" s="375">
        <v>450.1</v>
      </c>
      <c r="AD55" s="375">
        <v>173.1</v>
      </c>
      <c r="AE55" s="375">
        <v>15.9</v>
      </c>
      <c r="AF55" s="375">
        <v>66.2</v>
      </c>
      <c r="AG55" s="375">
        <v>401.3</v>
      </c>
      <c r="AH55" s="375">
        <v>655.1</v>
      </c>
      <c r="AI55" s="375">
        <v>0</v>
      </c>
      <c r="AJ55" s="375">
        <f t="shared" si="11"/>
        <v>6600.9000000000005</v>
      </c>
    </row>
    <row r="56" spans="2:36">
      <c r="B56" s="10" t="s">
        <v>268</v>
      </c>
      <c r="C56" s="7">
        <v>2374.5</v>
      </c>
      <c r="D56" s="7">
        <v>635.1</v>
      </c>
      <c r="E56" s="7">
        <v>142.4</v>
      </c>
      <c r="F56" s="7">
        <v>27.7</v>
      </c>
      <c r="G56" s="7">
        <v>83.7</v>
      </c>
      <c r="H56" s="7">
        <v>1132.9000000000001</v>
      </c>
      <c r="I56" s="7">
        <v>570.20000000000005</v>
      </c>
      <c r="J56" s="7">
        <v>321.89999999999998</v>
      </c>
      <c r="K56" s="7">
        <v>180.3</v>
      </c>
      <c r="L56" s="7">
        <v>218.1</v>
      </c>
      <c r="M56" s="7">
        <v>538.70000000000005</v>
      </c>
      <c r="N56" s="7">
        <v>506.5</v>
      </c>
      <c r="O56" s="7">
        <v>283.89999999999998</v>
      </c>
      <c r="P56" s="7">
        <v>54.3</v>
      </c>
      <c r="Q56" s="7">
        <v>130.30000000000001</v>
      </c>
      <c r="R56" s="7">
        <v>386.2</v>
      </c>
      <c r="S56" s="7">
        <v>1000.8</v>
      </c>
      <c r="T56" s="7">
        <v>193.6</v>
      </c>
      <c r="U56" s="7">
        <v>54.5</v>
      </c>
      <c r="V56" s="7">
        <v>252.5</v>
      </c>
      <c r="W56" s="7">
        <v>56.7</v>
      </c>
      <c r="X56" s="7">
        <v>313.8</v>
      </c>
      <c r="Y56" s="7">
        <v>2161.1</v>
      </c>
      <c r="Z56" s="7">
        <v>995.3</v>
      </c>
      <c r="AA56" s="7">
        <v>1385</v>
      </c>
      <c r="AB56" s="7">
        <v>951.8</v>
      </c>
      <c r="AC56" s="7">
        <v>309.89999999999998</v>
      </c>
      <c r="AD56" s="7">
        <v>697.7</v>
      </c>
      <c r="AE56" s="7">
        <v>1742.6</v>
      </c>
      <c r="AF56" s="7">
        <v>2377.1</v>
      </c>
      <c r="AG56" s="7">
        <v>343.1</v>
      </c>
      <c r="AH56" s="7">
        <v>430.6</v>
      </c>
      <c r="AI56" s="7">
        <v>0</v>
      </c>
      <c r="AJ56" s="7">
        <f>SUM(C56:AI56)</f>
        <v>20852.799999999992</v>
      </c>
    </row>
    <row r="57" spans="2:36" ht="16" customHeight="1">
      <c r="B57" s="10" t="s">
        <v>269</v>
      </c>
      <c r="C57" s="376">
        <v>1.1000000000000001</v>
      </c>
      <c r="D57" s="376">
        <v>10.5</v>
      </c>
      <c r="E57" s="376">
        <v>3.9</v>
      </c>
      <c r="F57" s="376">
        <v>0</v>
      </c>
      <c r="G57" s="376">
        <v>0.1</v>
      </c>
      <c r="H57" s="376">
        <v>0.3</v>
      </c>
      <c r="I57" s="376">
        <v>0.3</v>
      </c>
      <c r="J57" s="376">
        <v>0.1</v>
      </c>
      <c r="K57" s="376">
        <v>0.8</v>
      </c>
      <c r="L57" s="376">
        <v>0.1</v>
      </c>
      <c r="M57" s="376">
        <v>0.6</v>
      </c>
      <c r="N57" s="376">
        <v>1.3</v>
      </c>
      <c r="O57" s="376">
        <v>0.3</v>
      </c>
      <c r="P57" s="376">
        <v>0.1</v>
      </c>
      <c r="Q57" s="376">
        <v>0.3</v>
      </c>
      <c r="R57" s="376">
        <v>1</v>
      </c>
      <c r="S57" s="376">
        <v>0.6</v>
      </c>
      <c r="T57" s="376">
        <v>0.4</v>
      </c>
      <c r="U57" s="376">
        <v>0.1</v>
      </c>
      <c r="V57" s="376">
        <v>1.1000000000000001</v>
      </c>
      <c r="W57" s="376">
        <v>0.4</v>
      </c>
      <c r="X57" s="376">
        <v>0.3</v>
      </c>
      <c r="Y57" s="376">
        <v>0.2</v>
      </c>
      <c r="Z57" s="376">
        <v>4.5</v>
      </c>
      <c r="AA57" s="376">
        <v>61.4</v>
      </c>
      <c r="AB57" s="376">
        <v>57.2</v>
      </c>
      <c r="AC57" s="376">
        <v>1.5</v>
      </c>
      <c r="AD57" s="376">
        <v>0.5</v>
      </c>
      <c r="AE57" s="376">
        <v>113.4</v>
      </c>
      <c r="AF57" s="376">
        <v>0</v>
      </c>
      <c r="AG57" s="376">
        <v>7</v>
      </c>
      <c r="AH57" s="376">
        <v>16.100000000000001</v>
      </c>
      <c r="AI57" s="376">
        <v>23.1</v>
      </c>
      <c r="AJ57" s="372">
        <f t="shared" ref="AJ57" si="12">SUM(C57:AI57)</f>
        <v>308.60000000000002</v>
      </c>
    </row>
    <row r="58" spans="2:36" ht="16" customHeight="1">
      <c r="B58" s="6" t="s">
        <v>270</v>
      </c>
      <c r="C58" s="9">
        <f t="shared" ref="C58:P58" si="13">SUM(C46:C50)</f>
        <v>6302.1</v>
      </c>
      <c r="D58" s="9">
        <f t="shared" si="13"/>
        <v>2553.4</v>
      </c>
      <c r="E58" s="9">
        <f t="shared" si="13"/>
        <v>323.40000000000003</v>
      </c>
      <c r="F58" s="9">
        <f t="shared" si="13"/>
        <v>55.3</v>
      </c>
      <c r="G58" s="9">
        <f t="shared" si="13"/>
        <v>431.29999999999995</v>
      </c>
      <c r="H58" s="9">
        <f t="shared" si="13"/>
        <v>4184.1000000000004</v>
      </c>
      <c r="I58" s="9">
        <f t="shared" si="13"/>
        <v>1422.4</v>
      </c>
      <c r="J58" s="9">
        <f t="shared" si="13"/>
        <v>939.69999999999993</v>
      </c>
      <c r="K58" s="9">
        <f t="shared" si="13"/>
        <v>2086.1999999999998</v>
      </c>
      <c r="L58" s="9">
        <f t="shared" si="13"/>
        <v>379.40000000000009</v>
      </c>
      <c r="M58" s="9">
        <f t="shared" si="13"/>
        <v>1365.1</v>
      </c>
      <c r="N58" s="9">
        <f t="shared" si="13"/>
        <v>2284.8000000000002</v>
      </c>
      <c r="O58" s="9">
        <f t="shared" si="13"/>
        <v>879.6</v>
      </c>
      <c r="P58" s="9">
        <f t="shared" si="13"/>
        <v>271.89999999999998</v>
      </c>
      <c r="Q58" s="9">
        <f t="shared" ref="Q58:AI58" si="14">SUM(Q46:Q50)</f>
        <v>628.90000000000009</v>
      </c>
      <c r="R58" s="9">
        <f>SUM(R46:R50)</f>
        <v>1118</v>
      </c>
      <c r="S58" s="9">
        <f t="shared" si="14"/>
        <v>3704</v>
      </c>
      <c r="T58" s="9">
        <f t="shared" si="14"/>
        <v>825.3</v>
      </c>
      <c r="U58" s="9">
        <f t="shared" si="14"/>
        <v>200</v>
      </c>
      <c r="V58" s="9">
        <f t="shared" si="14"/>
        <v>1026.1000000000001</v>
      </c>
      <c r="W58" s="9">
        <f t="shared" si="14"/>
        <v>406.9</v>
      </c>
      <c r="X58" s="9">
        <f t="shared" si="14"/>
        <v>1453.6999999999998</v>
      </c>
      <c r="Y58" s="9">
        <f t="shared" si="14"/>
        <v>3384.2</v>
      </c>
      <c r="Z58" s="9">
        <f t="shared" si="14"/>
        <v>5714.4</v>
      </c>
      <c r="AA58" s="9">
        <f t="shared" si="14"/>
        <v>9754.5</v>
      </c>
      <c r="AB58" s="9">
        <f t="shared" si="14"/>
        <v>3998.4999999999991</v>
      </c>
      <c r="AC58" s="9">
        <f t="shared" si="14"/>
        <v>2292.1999999999998</v>
      </c>
      <c r="AD58" s="9">
        <f t="shared" si="14"/>
        <v>2716.5</v>
      </c>
      <c r="AE58" s="9">
        <f t="shared" si="14"/>
        <v>3325.8999999999996</v>
      </c>
      <c r="AF58" s="9">
        <f t="shared" si="14"/>
        <v>2938.7</v>
      </c>
      <c r="AG58" s="9">
        <f t="shared" si="14"/>
        <v>2136.6999999999998</v>
      </c>
      <c r="AH58" s="9">
        <f>SUM(AH46:AH50)</f>
        <v>3625.0999999999995</v>
      </c>
      <c r="AI58" s="9">
        <f t="shared" si="14"/>
        <v>5312.5999999999995</v>
      </c>
      <c r="AJ58" s="9">
        <f>SUM(C58:AI58)</f>
        <v>78040.900000000009</v>
      </c>
    </row>
    <row r="59" spans="2:36" ht="16" customHeight="1">
      <c r="B59" s="10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8"/>
    </row>
    <row r="60" spans="2:36" ht="16" customHeight="1">
      <c r="B60" t="s">
        <v>271</v>
      </c>
      <c r="C60" s="8">
        <v>1</v>
      </c>
      <c r="D60" s="8">
        <v>2</v>
      </c>
      <c r="E60" s="8">
        <v>3</v>
      </c>
      <c r="F60" s="8">
        <v>4</v>
      </c>
      <c r="G60">
        <v>5</v>
      </c>
      <c r="H60">
        <v>6</v>
      </c>
      <c r="I60">
        <v>7</v>
      </c>
      <c r="J60">
        <v>8</v>
      </c>
      <c r="K60">
        <v>9</v>
      </c>
      <c r="L60">
        <v>10</v>
      </c>
      <c r="M60">
        <v>11</v>
      </c>
      <c r="N60">
        <v>12</v>
      </c>
      <c r="O60">
        <v>13</v>
      </c>
      <c r="P60">
        <v>14</v>
      </c>
      <c r="Q60">
        <v>15</v>
      </c>
      <c r="R60">
        <v>16</v>
      </c>
      <c r="S60">
        <v>17</v>
      </c>
      <c r="T60">
        <v>18</v>
      </c>
      <c r="U60">
        <v>19</v>
      </c>
      <c r="V60">
        <v>20</v>
      </c>
      <c r="W60">
        <v>21</v>
      </c>
      <c r="X60">
        <v>22</v>
      </c>
      <c r="Y60">
        <v>23</v>
      </c>
      <c r="Z60">
        <v>24</v>
      </c>
      <c r="AA60">
        <v>25</v>
      </c>
      <c r="AB60">
        <v>26</v>
      </c>
      <c r="AC60">
        <v>27</v>
      </c>
      <c r="AD60">
        <v>28</v>
      </c>
      <c r="AE60">
        <v>29</v>
      </c>
      <c r="AF60">
        <v>30</v>
      </c>
      <c r="AG60">
        <v>31</v>
      </c>
      <c r="AH60">
        <v>32</v>
      </c>
      <c r="AI60">
        <v>33</v>
      </c>
    </row>
    <row r="61" spans="2:36" ht="16" customHeight="1">
      <c r="B61" s="13">
        <v>1</v>
      </c>
      <c r="C61">
        <v>3.1624379175195567E-2</v>
      </c>
      <c r="D61">
        <v>3.6500352471214852E-2</v>
      </c>
      <c r="E61">
        <v>0</v>
      </c>
      <c r="F61">
        <v>0</v>
      </c>
      <c r="G61">
        <v>0</v>
      </c>
      <c r="H61">
        <v>0</v>
      </c>
      <c r="I61">
        <v>0.40410573678290207</v>
      </c>
      <c r="J61">
        <v>0</v>
      </c>
      <c r="K61">
        <v>0.39766081871345033</v>
      </c>
      <c r="L61">
        <v>5.7459146020031618E-2</v>
      </c>
      <c r="M61">
        <v>0.11317852172002052</v>
      </c>
      <c r="N61">
        <v>7.9656862745098034E-2</v>
      </c>
      <c r="O61">
        <v>8.1855388813096858E-3</v>
      </c>
      <c r="P61">
        <v>0</v>
      </c>
      <c r="Q61">
        <v>0</v>
      </c>
      <c r="R61">
        <v>0</v>
      </c>
      <c r="S61">
        <v>7.424406047516199E-3</v>
      </c>
      <c r="T61">
        <v>0</v>
      </c>
      <c r="U61">
        <v>0</v>
      </c>
      <c r="V61">
        <v>9.7456388266250842E-4</v>
      </c>
      <c r="W61">
        <v>1.4745637748832638E-3</v>
      </c>
      <c r="X61">
        <v>0</v>
      </c>
      <c r="Y61">
        <v>0</v>
      </c>
      <c r="Z61">
        <v>1.9424611507769846E-3</v>
      </c>
      <c r="AA61">
        <v>0</v>
      </c>
      <c r="AB61">
        <v>0</v>
      </c>
      <c r="AC61">
        <v>3.8085681877672105E-2</v>
      </c>
      <c r="AD61">
        <v>4.9328179642922883E-3</v>
      </c>
      <c r="AE61">
        <v>9.0201148561291686E-5</v>
      </c>
      <c r="AF61">
        <v>3.4028652125089328E-4</v>
      </c>
      <c r="AG61">
        <v>1.8720456779145413E-4</v>
      </c>
      <c r="AH61">
        <v>3.3102535102479938E-4</v>
      </c>
      <c r="AI61">
        <v>7.5292700372698879E-5</v>
      </c>
    </row>
    <row r="62" spans="2:36" ht="16" customHeight="1">
      <c r="B62" s="13">
        <v>2</v>
      </c>
      <c r="C62">
        <v>0</v>
      </c>
      <c r="D62">
        <v>1.3198088822746142E-2</v>
      </c>
      <c r="E62">
        <v>0</v>
      </c>
      <c r="F62">
        <v>0</v>
      </c>
      <c r="G62">
        <v>0</v>
      </c>
      <c r="H62">
        <v>0.38627183862718384</v>
      </c>
      <c r="I62">
        <v>0</v>
      </c>
      <c r="J62">
        <v>0.27583271256784081</v>
      </c>
      <c r="K62">
        <v>8.8198638673185701E-3</v>
      </c>
      <c r="L62">
        <v>0</v>
      </c>
      <c r="M62">
        <v>8.717310087173101E-3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2.923691647987525E-4</v>
      </c>
      <c r="W62">
        <v>4.915212582944213E-4</v>
      </c>
      <c r="X62">
        <v>0</v>
      </c>
      <c r="Y62">
        <v>0</v>
      </c>
      <c r="Z62">
        <v>4.8999020019599611E-4</v>
      </c>
      <c r="AA62">
        <v>0</v>
      </c>
      <c r="AB62">
        <v>0</v>
      </c>
      <c r="AC62">
        <v>8.7252421254689833E-5</v>
      </c>
      <c r="AD62">
        <v>1.3252346769740476E-3</v>
      </c>
      <c r="AE62">
        <v>3.0067049520430564E-5</v>
      </c>
      <c r="AF62">
        <v>1.0208595637526798E-4</v>
      </c>
      <c r="AG62">
        <v>4.6801141947863533E-5</v>
      </c>
      <c r="AH62">
        <v>5.5170891837466563E-5</v>
      </c>
      <c r="AI62">
        <v>1.882317509317472E-5</v>
      </c>
    </row>
    <row r="63" spans="2:36" ht="16" customHeight="1">
      <c r="B63" s="13">
        <v>3</v>
      </c>
      <c r="C63">
        <v>2.2214817283127842E-4</v>
      </c>
      <c r="D63">
        <v>3.1330774653403308E-4</v>
      </c>
      <c r="E63">
        <v>7.2356215213358055E-2</v>
      </c>
      <c r="F63">
        <v>0</v>
      </c>
      <c r="G63">
        <v>2.3185717597959662E-4</v>
      </c>
      <c r="H63">
        <v>1.4579001457900144E-3</v>
      </c>
      <c r="I63">
        <v>1.4060742407199099E-3</v>
      </c>
      <c r="J63">
        <v>2.0432052782803023E-2</v>
      </c>
      <c r="K63">
        <v>4.3619978909021188E-3</v>
      </c>
      <c r="L63">
        <v>6.5893516078017909E-3</v>
      </c>
      <c r="M63">
        <v>3.8092447439748009E-3</v>
      </c>
      <c r="N63">
        <v>2.8011204481792717E-3</v>
      </c>
      <c r="O63">
        <v>6.8212824010914052E-4</v>
      </c>
      <c r="P63">
        <v>0</v>
      </c>
      <c r="Q63">
        <v>0.2687231674352043</v>
      </c>
      <c r="R63">
        <v>2.6833631484794273E-4</v>
      </c>
      <c r="S63">
        <v>9.1792656587473E-4</v>
      </c>
      <c r="T63">
        <v>1.2116806009935783E-4</v>
      </c>
      <c r="U63">
        <v>5.0000000000000001E-4</v>
      </c>
      <c r="V63">
        <v>1.9491277653250168E-4</v>
      </c>
      <c r="W63">
        <v>2.4576062914721065E-4</v>
      </c>
      <c r="X63">
        <v>1.3757996835660731E-4</v>
      </c>
      <c r="Y63">
        <v>2.0684356716506116E-4</v>
      </c>
      <c r="Z63">
        <v>1.924961500769985E-4</v>
      </c>
      <c r="AA63">
        <v>6.0484904403096005E-4</v>
      </c>
      <c r="AB63">
        <v>2.5009378516943859E-4</v>
      </c>
      <c r="AC63">
        <v>3.9263589564610422E-4</v>
      </c>
      <c r="AD63">
        <v>9.2030185900975525E-4</v>
      </c>
      <c r="AE63">
        <v>3.9087164376559735E-4</v>
      </c>
      <c r="AF63">
        <v>1.3611460850035731E-4</v>
      </c>
      <c r="AG63">
        <v>2.3400570973931766E-4</v>
      </c>
      <c r="AH63">
        <v>2.4826901326859951E-4</v>
      </c>
      <c r="AI63">
        <v>3.764635018634944E-4</v>
      </c>
    </row>
    <row r="64" spans="2:36" ht="16" customHeight="1">
      <c r="B64" s="13">
        <v>4</v>
      </c>
      <c r="C64">
        <v>0</v>
      </c>
      <c r="D64">
        <v>0</v>
      </c>
      <c r="E64">
        <v>0</v>
      </c>
      <c r="F64">
        <v>3.6166365280289334E-3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2.500937851694386E-5</v>
      </c>
      <c r="AC64">
        <v>1.7450484250937967E-4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</row>
    <row r="65" spans="2:35" ht="16" customHeight="1">
      <c r="B65" s="10">
        <v>5</v>
      </c>
      <c r="C65">
        <v>1.5867726630805604E-4</v>
      </c>
      <c r="D65">
        <v>1.1749040495026238E-4</v>
      </c>
      <c r="E65">
        <v>0</v>
      </c>
      <c r="F65">
        <v>0</v>
      </c>
      <c r="G65">
        <v>3.941571991653142E-3</v>
      </c>
      <c r="H65">
        <v>2.3900002390000237E-5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5.9395248380129592E-4</v>
      </c>
      <c r="T65">
        <v>0.16163819217254333</v>
      </c>
      <c r="U65">
        <v>5.5000000000000005E-3</v>
      </c>
      <c r="V65">
        <v>9.7456388266250839E-5</v>
      </c>
      <c r="W65">
        <v>2.4576062914721065E-4</v>
      </c>
      <c r="X65">
        <v>0</v>
      </c>
      <c r="Y65">
        <v>0</v>
      </c>
      <c r="Z65">
        <v>3.0641887162256756E-2</v>
      </c>
      <c r="AA65">
        <v>1.2302014454866985E-4</v>
      </c>
      <c r="AB65">
        <v>2.500937851694386E-5</v>
      </c>
      <c r="AC65">
        <v>4.3626210627344917E-5</v>
      </c>
      <c r="AD65">
        <v>2.5768452052273147E-4</v>
      </c>
      <c r="AE65">
        <v>3.0067049520430564E-5</v>
      </c>
      <c r="AF65">
        <v>3.4028652125089328E-5</v>
      </c>
      <c r="AG65">
        <v>9.3602283895727066E-5</v>
      </c>
      <c r="AH65">
        <v>5.5170891837466563E-5</v>
      </c>
      <c r="AI65">
        <v>1.882317509317472E-5</v>
      </c>
    </row>
    <row r="66" spans="2:35" ht="16" customHeight="1">
      <c r="B66" s="10">
        <v>6</v>
      </c>
      <c r="C66">
        <v>1.4280953967725043E-4</v>
      </c>
      <c r="D66">
        <v>1.1749040495026238E-4</v>
      </c>
      <c r="E66">
        <v>0</v>
      </c>
      <c r="F66">
        <v>0</v>
      </c>
      <c r="G66">
        <v>2.3185717597959662E-4</v>
      </c>
      <c r="H66">
        <v>1.8881001888100189E-2</v>
      </c>
      <c r="I66">
        <v>0</v>
      </c>
      <c r="J66">
        <v>1.0641694157709909E-4</v>
      </c>
      <c r="K66">
        <v>3.7867893778161256E-3</v>
      </c>
      <c r="L66">
        <v>0</v>
      </c>
      <c r="M66">
        <v>2.5199619075525603E-2</v>
      </c>
      <c r="N66">
        <v>8.7535014005602242E-5</v>
      </c>
      <c r="O66">
        <v>0</v>
      </c>
      <c r="P66">
        <v>9.3416697315189409E-2</v>
      </c>
      <c r="Q66">
        <v>1.590077913817777E-4</v>
      </c>
      <c r="R66">
        <v>8.9445438282647596E-5</v>
      </c>
      <c r="S66">
        <v>2.1598272138228944E-4</v>
      </c>
      <c r="T66">
        <v>1.2116806009935783E-4</v>
      </c>
      <c r="U66">
        <v>0</v>
      </c>
      <c r="V66">
        <v>9.7456388266250839E-5</v>
      </c>
      <c r="W66">
        <v>2.4576062914721065E-4</v>
      </c>
      <c r="X66">
        <v>6.8789984178303654E-5</v>
      </c>
      <c r="Y66">
        <v>0</v>
      </c>
      <c r="Z66">
        <v>6.9998600027999444E-5</v>
      </c>
      <c r="AA66">
        <v>1.2302014454866985E-4</v>
      </c>
      <c r="AB66">
        <v>1.5005627110166315E-4</v>
      </c>
      <c r="AC66">
        <v>0.10256522118488788</v>
      </c>
      <c r="AD66">
        <v>3.6812074360390213E-5</v>
      </c>
      <c r="AE66">
        <v>3.0067049520430564E-5</v>
      </c>
      <c r="AF66">
        <v>3.4028652125089328E-5</v>
      </c>
      <c r="AG66">
        <v>9.3602283895727066E-5</v>
      </c>
      <c r="AH66">
        <v>9.1031971531819816E-4</v>
      </c>
      <c r="AI66">
        <v>3.764635018634944E-5</v>
      </c>
    </row>
    <row r="67" spans="2:35" ht="16" customHeight="1">
      <c r="B67" s="10">
        <v>7</v>
      </c>
      <c r="C67">
        <v>6.3470906523222415E-4</v>
      </c>
      <c r="D67">
        <v>5.0912508811780366E-4</v>
      </c>
      <c r="E67">
        <v>3.0921459492888061E-4</v>
      </c>
      <c r="F67">
        <v>0</v>
      </c>
      <c r="G67">
        <v>6.9557152793878977E-4</v>
      </c>
      <c r="H67">
        <v>4.3020004302000427E-4</v>
      </c>
      <c r="I67">
        <v>1.4060742407199099E-4</v>
      </c>
      <c r="J67">
        <v>4.2566776630839637E-4</v>
      </c>
      <c r="K67">
        <v>2.0611638385581439E-3</v>
      </c>
      <c r="L67">
        <v>0</v>
      </c>
      <c r="M67">
        <v>5.1864332283349204E-2</v>
      </c>
      <c r="N67">
        <v>3.5014005602240897E-4</v>
      </c>
      <c r="O67">
        <v>1.136880400181901E-4</v>
      </c>
      <c r="P67">
        <v>3.6778227289444655E-4</v>
      </c>
      <c r="Q67">
        <v>4.7702337414533302E-4</v>
      </c>
      <c r="R67">
        <v>4.4722719141323793E-4</v>
      </c>
      <c r="S67">
        <v>4.0496760259179265E-4</v>
      </c>
      <c r="T67">
        <v>3.6350418029807341E-4</v>
      </c>
      <c r="U67">
        <v>0</v>
      </c>
      <c r="V67">
        <v>3.8982555306500336E-4</v>
      </c>
      <c r="W67">
        <v>7.372818874416319E-4</v>
      </c>
      <c r="X67">
        <v>3.4394992089151823E-4</v>
      </c>
      <c r="Y67">
        <v>2.954908102358017E-5</v>
      </c>
      <c r="Z67">
        <v>2.7999440011199778E-4</v>
      </c>
      <c r="AA67">
        <v>5.4333897175662513E-4</v>
      </c>
      <c r="AB67">
        <v>5.2519694885582108E-4</v>
      </c>
      <c r="AC67">
        <v>1.1779076869383126E-2</v>
      </c>
      <c r="AD67">
        <v>1.8406037180195104E-4</v>
      </c>
      <c r="AE67">
        <v>9.0201148561291686E-5</v>
      </c>
      <c r="AF67">
        <v>1.0208595637526798E-4</v>
      </c>
      <c r="AG67">
        <v>4.6801141947863531E-4</v>
      </c>
      <c r="AH67">
        <v>3.8619624286226589E-4</v>
      </c>
      <c r="AI67">
        <v>1.5058540074539776E-4</v>
      </c>
    </row>
    <row r="68" spans="2:35" ht="16" customHeight="1">
      <c r="B68" s="10">
        <v>8</v>
      </c>
      <c r="C68">
        <v>4.7603179892416811E-5</v>
      </c>
      <c r="D68">
        <v>3.9163468316754135E-5</v>
      </c>
      <c r="E68">
        <v>0</v>
      </c>
      <c r="F68">
        <v>0</v>
      </c>
      <c r="G68">
        <v>0</v>
      </c>
      <c r="H68">
        <v>4.7800004780000475E-5</v>
      </c>
      <c r="I68">
        <v>0</v>
      </c>
      <c r="J68">
        <v>1.6601042886027456E-2</v>
      </c>
      <c r="K68">
        <v>3.345796184450197E-2</v>
      </c>
      <c r="L68">
        <v>0</v>
      </c>
      <c r="M68">
        <v>2.0438063145557104E-2</v>
      </c>
      <c r="N68">
        <v>4.3767507002801121E-5</v>
      </c>
      <c r="O68">
        <v>0</v>
      </c>
      <c r="P68">
        <v>0</v>
      </c>
      <c r="Q68">
        <v>0</v>
      </c>
      <c r="R68">
        <v>0</v>
      </c>
      <c r="S68">
        <v>2.699784017278618E-5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1.7499650006999861E-5</v>
      </c>
      <c r="AA68">
        <v>4.1006714849556617E-5</v>
      </c>
      <c r="AB68">
        <v>5.001875703388772E-5</v>
      </c>
      <c r="AC68">
        <v>1.6752464880900444E-2</v>
      </c>
      <c r="AD68">
        <v>0</v>
      </c>
      <c r="AE68">
        <v>0</v>
      </c>
      <c r="AF68">
        <v>0</v>
      </c>
      <c r="AG68">
        <v>4.6801141947863533E-5</v>
      </c>
      <c r="AH68">
        <v>2.7585445918733282E-4</v>
      </c>
      <c r="AI68">
        <v>1.882317509317472E-5</v>
      </c>
    </row>
    <row r="69" spans="2:35" ht="16" customHeight="1">
      <c r="B69" s="10">
        <v>9</v>
      </c>
      <c r="C69">
        <v>6.6644451849383541E-4</v>
      </c>
      <c r="D69">
        <v>5.4828855643455779E-4</v>
      </c>
      <c r="E69">
        <v>0</v>
      </c>
      <c r="F69">
        <v>0</v>
      </c>
      <c r="G69">
        <v>4.6371435195919323E-4</v>
      </c>
      <c r="H69">
        <v>1.6132501613250159E-2</v>
      </c>
      <c r="I69">
        <v>7.0303712035995494E-5</v>
      </c>
      <c r="J69">
        <v>3.1925082473129723E-4</v>
      </c>
      <c r="K69">
        <v>8.2877959927140268E-2</v>
      </c>
      <c r="L69">
        <v>0</v>
      </c>
      <c r="M69">
        <v>6.2852538275584208E-2</v>
      </c>
      <c r="N69">
        <v>2.6260504201680671E-4</v>
      </c>
      <c r="O69">
        <v>1.136880400181901E-4</v>
      </c>
      <c r="P69">
        <v>3.6778227289444655E-4</v>
      </c>
      <c r="Q69">
        <v>3.180155827635554E-4</v>
      </c>
      <c r="R69">
        <v>9.838998211091235E-4</v>
      </c>
      <c r="S69">
        <v>1.2688984881209504E-3</v>
      </c>
      <c r="T69">
        <v>2.4233612019871565E-4</v>
      </c>
      <c r="U69">
        <v>0</v>
      </c>
      <c r="V69">
        <v>2.923691647987525E-4</v>
      </c>
      <c r="W69">
        <v>7.372818874416319E-4</v>
      </c>
      <c r="X69">
        <v>2.0636995253491095E-4</v>
      </c>
      <c r="Y69">
        <v>0</v>
      </c>
      <c r="Z69">
        <v>1.924961500769985E-4</v>
      </c>
      <c r="AA69">
        <v>6.3560408016812757E-4</v>
      </c>
      <c r="AB69">
        <v>3.251219207202702E-4</v>
      </c>
      <c r="AC69">
        <v>2.2903760579356079E-2</v>
      </c>
      <c r="AD69">
        <v>1.1043622308117063E-4</v>
      </c>
      <c r="AE69">
        <v>9.0201148561291686E-5</v>
      </c>
      <c r="AF69">
        <v>1.0208595637526798E-4</v>
      </c>
      <c r="AG69">
        <v>5.1481256142649884E-4</v>
      </c>
      <c r="AH69">
        <v>6.6205070204959876E-4</v>
      </c>
      <c r="AI69">
        <v>9.4115875465873599E-5</v>
      </c>
    </row>
    <row r="70" spans="2:35" ht="16" customHeight="1">
      <c r="B70" s="10">
        <v>10</v>
      </c>
      <c r="C70">
        <v>4.7603179892416811E-5</v>
      </c>
      <c r="D70">
        <v>3.9163468316754135E-5</v>
      </c>
      <c r="E70">
        <v>0</v>
      </c>
      <c r="F70">
        <v>0</v>
      </c>
      <c r="G70">
        <v>0</v>
      </c>
      <c r="H70">
        <v>4.7800004780000475E-5</v>
      </c>
      <c r="I70">
        <v>0</v>
      </c>
      <c r="J70">
        <v>1.4472704054485475E-2</v>
      </c>
      <c r="K70">
        <v>7.5256447128750842E-3</v>
      </c>
      <c r="L70">
        <v>0</v>
      </c>
      <c r="M70">
        <v>7.6184894879496017E-3</v>
      </c>
      <c r="N70">
        <v>3.5232843137254902E-2</v>
      </c>
      <c r="O70">
        <v>0</v>
      </c>
      <c r="P70">
        <v>0</v>
      </c>
      <c r="Q70">
        <v>0</v>
      </c>
      <c r="R70">
        <v>8.9445438282647596E-5</v>
      </c>
      <c r="S70">
        <v>5.399568034557236E-5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3.4999300013999722E-5</v>
      </c>
      <c r="AA70">
        <v>5.1258393561945772E-5</v>
      </c>
      <c r="AB70">
        <v>5.001875703388772E-5</v>
      </c>
      <c r="AC70">
        <v>5.1915190646540446E-3</v>
      </c>
      <c r="AD70">
        <v>3.6812074360390213E-5</v>
      </c>
      <c r="AE70">
        <v>0</v>
      </c>
      <c r="AF70">
        <v>0</v>
      </c>
      <c r="AG70">
        <v>4.6801141947863533E-5</v>
      </c>
      <c r="AH70">
        <v>2.7585445918733282E-5</v>
      </c>
      <c r="AI70">
        <v>1.882317509317472E-5</v>
      </c>
    </row>
    <row r="71" spans="2:35" ht="16" customHeight="1">
      <c r="B71" s="10">
        <v>11</v>
      </c>
      <c r="C71">
        <v>2.6975135272369524E-4</v>
      </c>
      <c r="D71">
        <v>2.3968042609853527E-2</v>
      </c>
      <c r="E71">
        <v>0</v>
      </c>
      <c r="F71">
        <v>5.2441229656419529E-2</v>
      </c>
      <c r="G71">
        <v>2.3185717597959662E-4</v>
      </c>
      <c r="H71">
        <v>7.7197007719700759E-3</v>
      </c>
      <c r="I71">
        <v>7.0303712035995494E-5</v>
      </c>
      <c r="J71">
        <v>1.7133127593912955E-2</v>
      </c>
      <c r="K71">
        <v>1.7591793691879975E-2</v>
      </c>
      <c r="L71">
        <v>0</v>
      </c>
      <c r="M71">
        <v>8.9370742070178002E-3</v>
      </c>
      <c r="N71">
        <v>2.871148459383753E-2</v>
      </c>
      <c r="O71">
        <v>1.136880400181901E-4</v>
      </c>
      <c r="P71">
        <v>3.6778227289444655E-4</v>
      </c>
      <c r="Q71">
        <v>3.180155827635554E-4</v>
      </c>
      <c r="R71">
        <v>2.6833631484794273E-4</v>
      </c>
      <c r="S71">
        <v>5.6965442764578839E-3</v>
      </c>
      <c r="T71">
        <v>1.2116806009935783E-4</v>
      </c>
      <c r="U71">
        <v>0</v>
      </c>
      <c r="V71">
        <v>1.9491277653250168E-4</v>
      </c>
      <c r="W71">
        <v>2.4576062914721065E-4</v>
      </c>
      <c r="X71">
        <v>1.3757996835660731E-4</v>
      </c>
      <c r="Y71">
        <v>0</v>
      </c>
      <c r="Z71">
        <v>1.5749685006299875E-4</v>
      </c>
      <c r="AA71">
        <v>2.8704700394689627E-4</v>
      </c>
      <c r="AB71">
        <v>2.7510316368638249E-4</v>
      </c>
      <c r="AC71">
        <v>1.5225547508943374E-2</v>
      </c>
      <c r="AD71">
        <v>1.1043622308117063E-4</v>
      </c>
      <c r="AE71">
        <v>3.0067049520430564E-5</v>
      </c>
      <c r="AF71">
        <v>3.4028652125089328E-5</v>
      </c>
      <c r="AG71">
        <v>5.6629381756914876E-3</v>
      </c>
      <c r="AH71">
        <v>4.4136713469973251E-4</v>
      </c>
      <c r="AI71">
        <v>2.6352445130444602E-4</v>
      </c>
    </row>
    <row r="72" spans="2:35" ht="16" customHeight="1">
      <c r="B72" s="10">
        <v>12</v>
      </c>
      <c r="C72">
        <v>3.0148680598530644E-4</v>
      </c>
      <c r="D72">
        <v>2.741442782172789E-4</v>
      </c>
      <c r="E72">
        <v>0</v>
      </c>
      <c r="F72">
        <v>0</v>
      </c>
      <c r="G72">
        <v>4.6371435195919323E-4</v>
      </c>
      <c r="H72">
        <v>2.8680002868000285E-4</v>
      </c>
      <c r="I72">
        <v>7.0303712035995494E-5</v>
      </c>
      <c r="J72">
        <v>2.1283388315419818E-4</v>
      </c>
      <c r="K72">
        <v>1.4380212827149843E-4</v>
      </c>
      <c r="L72">
        <v>0</v>
      </c>
      <c r="M72">
        <v>1.4650941322980003E-4</v>
      </c>
      <c r="N72">
        <v>2.1883753501400558E-4</v>
      </c>
      <c r="O72">
        <v>1.136880400181901E-4</v>
      </c>
      <c r="P72">
        <v>3.6778227289444655E-4</v>
      </c>
      <c r="Q72">
        <v>3.180155827635554E-4</v>
      </c>
      <c r="R72">
        <v>2.6833631484794273E-4</v>
      </c>
      <c r="S72">
        <v>2.4298056155507559E-4</v>
      </c>
      <c r="T72">
        <v>2.4233612019871565E-4</v>
      </c>
      <c r="U72">
        <v>0</v>
      </c>
      <c r="V72">
        <v>2.923691647987525E-4</v>
      </c>
      <c r="W72">
        <v>4.915212582944213E-4</v>
      </c>
      <c r="X72">
        <v>2.0636995253491095E-4</v>
      </c>
      <c r="Y72">
        <v>0</v>
      </c>
      <c r="Z72">
        <v>1.7499650006999861E-4</v>
      </c>
      <c r="AA72">
        <v>3.0755036137167463E-4</v>
      </c>
      <c r="AB72">
        <v>3.0011254220332629E-4</v>
      </c>
      <c r="AC72">
        <v>4.9210365587645057E-2</v>
      </c>
      <c r="AD72">
        <v>1.1043622308117063E-4</v>
      </c>
      <c r="AE72">
        <v>3.0067049520430564E-5</v>
      </c>
      <c r="AF72">
        <v>6.8057304250178656E-5</v>
      </c>
      <c r="AG72">
        <v>3.3696822202461743E-3</v>
      </c>
      <c r="AH72">
        <v>2.151664781661196E-3</v>
      </c>
      <c r="AI72">
        <v>7.5292700372698879E-5</v>
      </c>
    </row>
    <row r="73" spans="2:35" ht="16" customHeight="1">
      <c r="B73" s="10">
        <v>13</v>
      </c>
      <c r="C73">
        <v>3.4908998587772328E-4</v>
      </c>
      <c r="D73">
        <v>1.2062348241560272E-2</v>
      </c>
      <c r="E73">
        <v>0</v>
      </c>
      <c r="F73">
        <v>4.8824593128390603E-2</v>
      </c>
      <c r="G73">
        <v>4.6371435195919323E-4</v>
      </c>
      <c r="H73">
        <v>4.0152004015200403E-3</v>
      </c>
      <c r="I73">
        <v>6.4679415073115847E-3</v>
      </c>
      <c r="J73">
        <v>2.5540065978503779E-3</v>
      </c>
      <c r="K73">
        <v>3.5950532067874608E-3</v>
      </c>
      <c r="L73">
        <v>6.0622034791776467E-3</v>
      </c>
      <c r="M73">
        <v>3.8092447439748009E-3</v>
      </c>
      <c r="N73">
        <v>5.2477240896358544E-2</v>
      </c>
      <c r="O73">
        <v>0.15120509322419282</v>
      </c>
      <c r="P73">
        <v>3.6778227289444655E-4</v>
      </c>
      <c r="Q73">
        <v>3.180155827635554E-4</v>
      </c>
      <c r="R73">
        <v>2.8622540250447231E-3</v>
      </c>
      <c r="S73">
        <v>1.1609071274298055E-3</v>
      </c>
      <c r="T73">
        <v>8.4817642069550466E-4</v>
      </c>
      <c r="U73">
        <v>0</v>
      </c>
      <c r="V73">
        <v>2.923691647987525E-4</v>
      </c>
      <c r="W73">
        <v>4.915212582944213E-4</v>
      </c>
      <c r="X73">
        <v>3.3638302263190485E-2</v>
      </c>
      <c r="Y73">
        <v>8.8647243070740504E-5</v>
      </c>
      <c r="Z73">
        <v>2.0999580008399833E-4</v>
      </c>
      <c r="AA73">
        <v>3.588087549336204E-4</v>
      </c>
      <c r="AB73">
        <v>3.50131299237214E-4</v>
      </c>
      <c r="AC73">
        <v>3.1847133757961785E-3</v>
      </c>
      <c r="AD73">
        <v>2.2087244616234125E-4</v>
      </c>
      <c r="AE73">
        <v>2.7060344568387507E-4</v>
      </c>
      <c r="AF73">
        <v>1.0208595637526798E-4</v>
      </c>
      <c r="AG73">
        <v>7.3945804277624387E-3</v>
      </c>
      <c r="AH73">
        <v>8.2204628837825172E-3</v>
      </c>
      <c r="AI73">
        <v>1.0352746301246095E-3</v>
      </c>
    </row>
    <row r="74" spans="2:35" ht="16" customHeight="1">
      <c r="B74" s="10">
        <v>14</v>
      </c>
      <c r="C74">
        <v>1.5867726630805604E-5</v>
      </c>
      <c r="D74">
        <v>0</v>
      </c>
      <c r="E74">
        <v>0</v>
      </c>
      <c r="F74">
        <v>0</v>
      </c>
      <c r="G74">
        <v>0</v>
      </c>
      <c r="H74">
        <v>5.2580005258000522E-4</v>
      </c>
      <c r="I74">
        <v>1.265466816647919E-3</v>
      </c>
      <c r="J74">
        <v>4.2566776630839637E-4</v>
      </c>
      <c r="K74">
        <v>6.2314255584315983E-4</v>
      </c>
      <c r="L74">
        <v>5.2714812862414331E-4</v>
      </c>
      <c r="M74">
        <v>2.9301882645960006E-4</v>
      </c>
      <c r="N74">
        <v>8.7535014005602233E-4</v>
      </c>
      <c r="O74">
        <v>1.284674852205548E-2</v>
      </c>
      <c r="P74">
        <v>0.15593968370724531</v>
      </c>
      <c r="Q74">
        <v>0</v>
      </c>
      <c r="R74">
        <v>1.7889087656529519E-4</v>
      </c>
      <c r="S74">
        <v>1.0799136069114472E-4</v>
      </c>
      <c r="T74">
        <v>0</v>
      </c>
      <c r="U74">
        <v>0</v>
      </c>
      <c r="V74">
        <v>1.9491277653250168E-4</v>
      </c>
      <c r="W74">
        <v>1.2288031457360531E-3</v>
      </c>
      <c r="X74">
        <v>6.8789984178303654E-5</v>
      </c>
      <c r="Y74">
        <v>2.954908102358017E-5</v>
      </c>
      <c r="Z74">
        <v>3.4999300013999722E-5</v>
      </c>
      <c r="AA74">
        <v>1.0251678712389154E-5</v>
      </c>
      <c r="AB74">
        <v>2.500937851694386E-5</v>
      </c>
      <c r="AC74">
        <v>0</v>
      </c>
      <c r="AD74">
        <v>0</v>
      </c>
      <c r="AE74">
        <v>0</v>
      </c>
      <c r="AF74">
        <v>0</v>
      </c>
      <c r="AG74">
        <v>8.4242055506154358E-4</v>
      </c>
      <c r="AH74">
        <v>2.7585445918733282E-5</v>
      </c>
      <c r="AI74">
        <v>1.3176222565222301E-4</v>
      </c>
    </row>
    <row r="75" spans="2:35" ht="16" customHeight="1">
      <c r="B75" s="10">
        <v>15</v>
      </c>
      <c r="C75">
        <v>1.2186414052458704E-2</v>
      </c>
      <c r="D75">
        <v>1.3002271481162373E-2</v>
      </c>
      <c r="E75">
        <v>1.1131725417439703E-2</v>
      </c>
      <c r="F75">
        <v>3.6166365280289334E-3</v>
      </c>
      <c r="G75">
        <v>4.6371435195919323E-4</v>
      </c>
      <c r="H75">
        <v>7.1700007170000712E-5</v>
      </c>
      <c r="I75">
        <v>0</v>
      </c>
      <c r="J75">
        <v>1.0641694157709909E-4</v>
      </c>
      <c r="K75">
        <v>4.7934042757166147E-5</v>
      </c>
      <c r="L75">
        <v>0</v>
      </c>
      <c r="M75">
        <v>7.3254706614900016E-5</v>
      </c>
      <c r="N75">
        <v>4.3767507002801121E-5</v>
      </c>
      <c r="O75">
        <v>2.2737608003638019E-4</v>
      </c>
      <c r="P75">
        <v>0</v>
      </c>
      <c r="Q75">
        <v>0.16695818095086656</v>
      </c>
      <c r="R75">
        <v>6.2611806797853301E-4</v>
      </c>
      <c r="S75">
        <v>8.0993520518358534E-5</v>
      </c>
      <c r="T75">
        <v>0</v>
      </c>
      <c r="U75">
        <v>0</v>
      </c>
      <c r="V75">
        <v>0</v>
      </c>
      <c r="W75">
        <v>2.4576062914721065E-4</v>
      </c>
      <c r="X75">
        <v>4.3956799889936032E-2</v>
      </c>
      <c r="Y75">
        <v>0</v>
      </c>
      <c r="Z75">
        <v>6.009379812403752E-2</v>
      </c>
      <c r="AA75">
        <v>3.0755036137167463E-5</v>
      </c>
      <c r="AB75">
        <v>6.2523446292359649E-4</v>
      </c>
      <c r="AC75">
        <v>0</v>
      </c>
      <c r="AD75">
        <v>0</v>
      </c>
      <c r="AE75">
        <v>3.0067049520430564E-5</v>
      </c>
      <c r="AF75">
        <v>3.4028652125089328E-5</v>
      </c>
      <c r="AG75">
        <v>1.8720456779145413E-4</v>
      </c>
      <c r="AH75">
        <v>8.2756337756199845E-5</v>
      </c>
      <c r="AI75">
        <v>5.6469525279524153E-5</v>
      </c>
    </row>
    <row r="76" spans="2:35" ht="16" customHeight="1">
      <c r="B76" s="10">
        <v>16</v>
      </c>
      <c r="C76">
        <v>7.2515510702781611E-3</v>
      </c>
      <c r="D76">
        <v>1.8406830108874442E-3</v>
      </c>
      <c r="E76">
        <v>4.9474335188620898E-3</v>
      </c>
      <c r="F76">
        <v>0</v>
      </c>
      <c r="G76">
        <v>6.9557152793878977E-4</v>
      </c>
      <c r="H76">
        <v>6.1662006166200616E-3</v>
      </c>
      <c r="I76">
        <v>4.7103487064116987E-3</v>
      </c>
      <c r="J76">
        <v>6.7042673193572419E-3</v>
      </c>
      <c r="K76">
        <v>3.4991851212731284E-3</v>
      </c>
      <c r="L76">
        <v>1.3178703215603581E-3</v>
      </c>
      <c r="M76">
        <v>6.0801406490367015E-3</v>
      </c>
      <c r="N76">
        <v>3.9653361344537806E-2</v>
      </c>
      <c r="O76">
        <v>1.8190086402910415E-3</v>
      </c>
      <c r="P76">
        <v>7.35564545788893E-3</v>
      </c>
      <c r="Q76">
        <v>4.7702337414533302E-4</v>
      </c>
      <c r="R76">
        <v>0.15751341681574238</v>
      </c>
      <c r="S76">
        <v>2.4568034557235418E-3</v>
      </c>
      <c r="T76">
        <v>3.9016115351993223E-2</v>
      </c>
      <c r="U76">
        <v>1.5E-3</v>
      </c>
      <c r="V76">
        <v>2.5338660949225217E-3</v>
      </c>
      <c r="W76">
        <v>2.7033669206193173E-3</v>
      </c>
      <c r="X76">
        <v>6.6038384811171504E-3</v>
      </c>
      <c r="Y76">
        <v>1.3592577270846876E-3</v>
      </c>
      <c r="Z76">
        <v>3.4999300013999722E-4</v>
      </c>
      <c r="AA76">
        <v>1.0220923676251987E-2</v>
      </c>
      <c r="AB76">
        <v>1.8131799424784299E-2</v>
      </c>
      <c r="AC76">
        <v>5.1915190646540446E-3</v>
      </c>
      <c r="AD76">
        <v>1.6933554205779495E-3</v>
      </c>
      <c r="AE76">
        <v>3.9087164376559735E-3</v>
      </c>
      <c r="AF76">
        <v>2.5521489093816995E-3</v>
      </c>
      <c r="AG76">
        <v>3.4258435905836104E-2</v>
      </c>
      <c r="AH76">
        <v>6.9239469256020536E-3</v>
      </c>
      <c r="AI76">
        <v>2.7293603885103343E-3</v>
      </c>
    </row>
    <row r="77" spans="2:35" ht="16" customHeight="1">
      <c r="B77" s="10">
        <v>17</v>
      </c>
      <c r="C77">
        <v>3.0942066930070927E-2</v>
      </c>
      <c r="D77">
        <v>1.1553223153442468E-2</v>
      </c>
      <c r="E77">
        <v>2.5046382189239328E-2</v>
      </c>
      <c r="F77">
        <v>2.7124773960217001E-2</v>
      </c>
      <c r="G77">
        <v>4.7067006723858107E-2</v>
      </c>
      <c r="H77">
        <v>8.8908008890800881E-3</v>
      </c>
      <c r="I77">
        <v>9.5613048368953877E-3</v>
      </c>
      <c r="J77">
        <v>8.7261892093221244E-3</v>
      </c>
      <c r="K77">
        <v>9.922346850733392E-3</v>
      </c>
      <c r="L77">
        <v>7.1164997364259342E-3</v>
      </c>
      <c r="M77">
        <v>1.4650941322980003E-2</v>
      </c>
      <c r="N77">
        <v>4.3329831932773108E-2</v>
      </c>
      <c r="O77">
        <v>1.0914051841746248E-2</v>
      </c>
      <c r="P77">
        <v>4.3766090474439134E-2</v>
      </c>
      <c r="Q77">
        <v>7.3143584035617725E-3</v>
      </c>
      <c r="R77">
        <v>2.8354203935599284E-2</v>
      </c>
      <c r="S77">
        <v>0.12783477321814254</v>
      </c>
      <c r="T77">
        <v>1.3691990791227434E-2</v>
      </c>
      <c r="U77">
        <v>8.0000000000000002E-3</v>
      </c>
      <c r="V77">
        <v>1.8516713770587658E-3</v>
      </c>
      <c r="W77">
        <v>4.4236913246497919E-3</v>
      </c>
      <c r="X77">
        <v>4.2856160143083168E-2</v>
      </c>
      <c r="Y77">
        <v>9.4557059275456544E-4</v>
      </c>
      <c r="Z77">
        <v>1.6694666106677868E-2</v>
      </c>
      <c r="AA77">
        <v>8.9087088010661748E-3</v>
      </c>
      <c r="AB77">
        <v>5.7521570588970868E-4</v>
      </c>
      <c r="AC77">
        <v>8.8997469679783607E-3</v>
      </c>
      <c r="AD77">
        <v>9.5711393337014549E-4</v>
      </c>
      <c r="AE77">
        <v>5.712739408881807E-4</v>
      </c>
      <c r="AF77">
        <v>5.784870861265186E-4</v>
      </c>
      <c r="AG77">
        <v>6.8797678663359389E-3</v>
      </c>
      <c r="AH77">
        <v>3.2137044495324271E-2</v>
      </c>
      <c r="AI77">
        <v>3.0361781425290824E-2</v>
      </c>
    </row>
    <row r="78" spans="2:35" ht="16" customHeight="1">
      <c r="B78" s="10">
        <v>18</v>
      </c>
      <c r="C78">
        <v>2.2214817283127842E-4</v>
      </c>
      <c r="D78">
        <v>3.1330774653403308E-4</v>
      </c>
      <c r="E78">
        <v>1.0513296227581941E-2</v>
      </c>
      <c r="F78">
        <v>0</v>
      </c>
      <c r="G78">
        <v>4.1734291676327386E-3</v>
      </c>
      <c r="H78">
        <v>1.6730001673000164E-4</v>
      </c>
      <c r="I78">
        <v>7.0303712035995494E-5</v>
      </c>
      <c r="J78">
        <v>2.1283388315419818E-4</v>
      </c>
      <c r="K78">
        <v>9.5868085514332294E-5</v>
      </c>
      <c r="L78">
        <v>7.9072219293621485E-4</v>
      </c>
      <c r="M78">
        <v>4.3952823968940007E-4</v>
      </c>
      <c r="N78">
        <v>2.0570728291316527E-3</v>
      </c>
      <c r="O78">
        <v>1.136880400181901E-4</v>
      </c>
      <c r="P78">
        <v>0</v>
      </c>
      <c r="Q78">
        <v>1.590077913817777E-4</v>
      </c>
      <c r="R78">
        <v>5.3667262969588547E-4</v>
      </c>
      <c r="S78">
        <v>3.67170626349892E-3</v>
      </c>
      <c r="T78">
        <v>7.5245365321701202E-2</v>
      </c>
      <c r="U78">
        <v>2E-3</v>
      </c>
      <c r="V78">
        <v>5.7499269077088003E-3</v>
      </c>
      <c r="W78">
        <v>1.4745637748832638E-3</v>
      </c>
      <c r="X78">
        <v>2.0636995253491095E-4</v>
      </c>
      <c r="Y78">
        <v>2.9549081023580166E-4</v>
      </c>
      <c r="Z78">
        <v>9.7963040739185214E-2</v>
      </c>
      <c r="AA78">
        <v>2.1528525296017224E-4</v>
      </c>
      <c r="AB78">
        <v>3.251219207202702E-4</v>
      </c>
      <c r="AC78">
        <v>2.6175726376406945E-4</v>
      </c>
      <c r="AD78">
        <v>4.4174489232468251E-4</v>
      </c>
      <c r="AE78">
        <v>3.0067049520430563E-4</v>
      </c>
      <c r="AF78">
        <v>6.8057304250178656E-5</v>
      </c>
      <c r="AG78">
        <v>1.8720456779145413E-4</v>
      </c>
      <c r="AH78">
        <v>1.572370417367797E-3</v>
      </c>
      <c r="AI78">
        <v>1.336445431615405E-3</v>
      </c>
    </row>
    <row r="79" spans="2:35" ht="16" customHeight="1">
      <c r="B79" s="10">
        <v>19</v>
      </c>
      <c r="C79">
        <v>6.1884133860141857E-4</v>
      </c>
      <c r="D79">
        <v>6.6577896138482018E-4</v>
      </c>
      <c r="E79">
        <v>9.2764378478664184E-4</v>
      </c>
      <c r="F79">
        <v>0</v>
      </c>
      <c r="G79">
        <v>0</v>
      </c>
      <c r="H79">
        <v>4.7800004780000475E-5</v>
      </c>
      <c r="I79">
        <v>0</v>
      </c>
      <c r="J79">
        <v>0</v>
      </c>
      <c r="K79">
        <v>0</v>
      </c>
      <c r="L79">
        <v>0</v>
      </c>
      <c r="M79">
        <v>0</v>
      </c>
      <c r="N79">
        <v>1.7507002801120447E-3</v>
      </c>
      <c r="O79">
        <v>0</v>
      </c>
      <c r="P79">
        <v>0</v>
      </c>
      <c r="Q79">
        <v>0</v>
      </c>
      <c r="R79">
        <v>1.0733452593917709E-3</v>
      </c>
      <c r="S79">
        <v>1.6171706263498918E-2</v>
      </c>
      <c r="T79">
        <v>4.604386283775597E-3</v>
      </c>
      <c r="U79">
        <v>4.9000000000000002E-2</v>
      </c>
      <c r="V79">
        <v>0</v>
      </c>
      <c r="W79">
        <v>0</v>
      </c>
      <c r="X79">
        <v>5.8471486551558097E-3</v>
      </c>
      <c r="Y79">
        <v>0</v>
      </c>
      <c r="Z79">
        <v>4.7599048019039622E-3</v>
      </c>
      <c r="AA79">
        <v>5.1258393561945772E-5</v>
      </c>
      <c r="AB79">
        <v>5.001875703388772E-5</v>
      </c>
      <c r="AC79">
        <v>4.3626210627344917E-5</v>
      </c>
      <c r="AD79">
        <v>3.6812074360390213E-5</v>
      </c>
      <c r="AE79">
        <v>2.7060344568387507E-4</v>
      </c>
      <c r="AF79">
        <v>0</v>
      </c>
      <c r="AG79">
        <v>4.6801141947863533E-5</v>
      </c>
      <c r="AH79">
        <v>2.7585445918733282E-5</v>
      </c>
      <c r="AI79">
        <v>1.3176222565222301E-4</v>
      </c>
    </row>
    <row r="80" spans="2:35" ht="16" customHeight="1">
      <c r="B80" s="10">
        <v>20</v>
      </c>
      <c r="C80">
        <v>8.7272496469430823E-4</v>
      </c>
      <c r="D80">
        <v>1.3707213910863945E-3</v>
      </c>
      <c r="E80">
        <v>6.1842918985776122E-4</v>
      </c>
      <c r="F80">
        <v>1.8083182640144667E-3</v>
      </c>
      <c r="G80">
        <v>5.7500579642939954E-2</v>
      </c>
      <c r="H80">
        <v>5.2580005258000522E-4</v>
      </c>
      <c r="I80">
        <v>2.8121484814398198E-4</v>
      </c>
      <c r="J80">
        <v>5.3208470788549539E-4</v>
      </c>
      <c r="K80">
        <v>2.8760425654299687E-4</v>
      </c>
      <c r="L80">
        <v>2.6357406431207165E-4</v>
      </c>
      <c r="M80">
        <v>5.1278294630430004E-4</v>
      </c>
      <c r="N80">
        <v>6.5651260504201675E-4</v>
      </c>
      <c r="O80">
        <v>2.2737608003638019E-4</v>
      </c>
      <c r="P80">
        <v>3.6778227289444655E-4</v>
      </c>
      <c r="Q80">
        <v>1.1130545396724437E-3</v>
      </c>
      <c r="R80">
        <v>2.7728085867620754E-3</v>
      </c>
      <c r="S80">
        <v>1.8007559395248382E-2</v>
      </c>
      <c r="T80">
        <v>9.693444807948626E-4</v>
      </c>
      <c r="U80">
        <v>5.0000000000000001E-4</v>
      </c>
      <c r="V80">
        <v>9.3850501900399549E-2</v>
      </c>
      <c r="W80">
        <v>0.12091422954042763</v>
      </c>
      <c r="X80">
        <v>2.6759303845360117E-2</v>
      </c>
      <c r="Y80">
        <v>1.388806808108268E-3</v>
      </c>
      <c r="Z80">
        <v>1.398222035559289E-2</v>
      </c>
      <c r="AA80">
        <v>5.2898662155928039E-3</v>
      </c>
      <c r="AB80">
        <v>7.5028135550831581E-4</v>
      </c>
      <c r="AC80">
        <v>7.416455806648635E-4</v>
      </c>
      <c r="AD80">
        <v>1.5461071231363888E-3</v>
      </c>
      <c r="AE80">
        <v>7.2160918849033349E-4</v>
      </c>
      <c r="AF80">
        <v>2.3820056487562527E-4</v>
      </c>
      <c r="AG80">
        <v>7.4881827116581653E-4</v>
      </c>
      <c r="AH80">
        <v>3.8895478745413926E-3</v>
      </c>
      <c r="AI80">
        <v>1.6187930580130257E-3</v>
      </c>
    </row>
    <row r="81" spans="2:39" ht="16" customHeight="1">
      <c r="B81" s="10">
        <v>21</v>
      </c>
      <c r="C81">
        <v>2.5388362609288966E-4</v>
      </c>
      <c r="D81">
        <v>3.1330774653403308E-4</v>
      </c>
      <c r="E81">
        <v>3.0921459492888061E-4</v>
      </c>
      <c r="F81">
        <v>0</v>
      </c>
      <c r="G81">
        <v>2.3185717597959662E-4</v>
      </c>
      <c r="H81">
        <v>1.912000191200019E-4</v>
      </c>
      <c r="I81">
        <v>7.0303712035995494E-5</v>
      </c>
      <c r="J81">
        <v>2.1283388315419818E-4</v>
      </c>
      <c r="K81">
        <v>9.5868085514332294E-5</v>
      </c>
      <c r="L81">
        <v>0</v>
      </c>
      <c r="M81">
        <v>1.4650941322980003E-4</v>
      </c>
      <c r="N81">
        <v>2.1883753501400558E-4</v>
      </c>
      <c r="O81">
        <v>1.136880400181901E-4</v>
      </c>
      <c r="P81">
        <v>0</v>
      </c>
      <c r="Q81">
        <v>1.590077913817777E-4</v>
      </c>
      <c r="R81">
        <v>2.6833631484794273E-4</v>
      </c>
      <c r="S81">
        <v>2.4298056155507559E-4</v>
      </c>
      <c r="T81">
        <v>1.2116806009935783E-4</v>
      </c>
      <c r="U81">
        <v>0</v>
      </c>
      <c r="V81">
        <v>1.2474417698080107E-2</v>
      </c>
      <c r="W81">
        <v>1.966085033177685E-2</v>
      </c>
      <c r="X81">
        <v>1.7885395886358948E-3</v>
      </c>
      <c r="Y81">
        <v>8.8647243070740504E-5</v>
      </c>
      <c r="Z81">
        <v>1.2249755004899903E-4</v>
      </c>
      <c r="AA81">
        <v>2.5629196780972886E-4</v>
      </c>
      <c r="AB81">
        <v>3.50131299237214E-4</v>
      </c>
      <c r="AC81">
        <v>2.1813105313672456E-4</v>
      </c>
      <c r="AD81">
        <v>4.1229523283637035E-3</v>
      </c>
      <c r="AE81">
        <v>3.0067049520430563E-4</v>
      </c>
      <c r="AF81">
        <v>6.8057304250178656E-5</v>
      </c>
      <c r="AG81">
        <v>2.3400570973931766E-4</v>
      </c>
      <c r="AH81">
        <v>1.6551267551239969E-4</v>
      </c>
      <c r="AI81">
        <v>5.2704890260889205E-4</v>
      </c>
    </row>
    <row r="82" spans="2:39" ht="16" customHeight="1">
      <c r="B82" s="10">
        <v>22</v>
      </c>
      <c r="C82">
        <v>2.1595975944526426E-2</v>
      </c>
      <c r="D82">
        <v>4.2883997806845771E-2</v>
      </c>
      <c r="E82">
        <v>0</v>
      </c>
      <c r="F82">
        <v>9.0415913200723331E-3</v>
      </c>
      <c r="G82">
        <v>8.1150011592858812E-2</v>
      </c>
      <c r="H82">
        <v>7.1222007122200707E-3</v>
      </c>
      <c r="I82">
        <v>1.1248593925759279E-3</v>
      </c>
      <c r="J82">
        <v>6.5978503777801437E-3</v>
      </c>
      <c r="K82">
        <v>4.5537340619307837E-3</v>
      </c>
      <c r="L82">
        <v>1.8450184501845014E-3</v>
      </c>
      <c r="M82">
        <v>4.4685371035089001E-3</v>
      </c>
      <c r="N82">
        <v>7.0465686274509805E-3</v>
      </c>
      <c r="O82">
        <v>2.8535698044565714E-2</v>
      </c>
      <c r="P82">
        <v>1.3607944097094522E-2</v>
      </c>
      <c r="Q82">
        <v>8.2684051518524398E-3</v>
      </c>
      <c r="R82">
        <v>3.1932021466905193E-2</v>
      </c>
      <c r="S82">
        <v>1.0556155507559395E-2</v>
      </c>
      <c r="T82">
        <v>6.0584030049678911E-3</v>
      </c>
      <c r="U82">
        <v>3.0000000000000001E-3</v>
      </c>
      <c r="V82">
        <v>2.923691647987525E-4</v>
      </c>
      <c r="W82">
        <v>2.1381174735807324E-2</v>
      </c>
      <c r="X82">
        <v>9.5618078007842066E-3</v>
      </c>
      <c r="Y82">
        <v>1.1524141599196266E-3</v>
      </c>
      <c r="Z82">
        <v>1.9949601007979842E-3</v>
      </c>
      <c r="AA82">
        <v>4.2441949869291094E-3</v>
      </c>
      <c r="AB82">
        <v>8.6032262098286877E-2</v>
      </c>
      <c r="AC82">
        <v>9.5977663380158811E-4</v>
      </c>
      <c r="AD82">
        <v>1.4724829744156085E-4</v>
      </c>
      <c r="AE82">
        <v>5.4120689136775016E-3</v>
      </c>
      <c r="AF82">
        <v>3.9813522986354511E-3</v>
      </c>
      <c r="AG82">
        <v>2.4196190387045447E-2</v>
      </c>
      <c r="AH82">
        <v>1.1861741745055311E-2</v>
      </c>
      <c r="AI82">
        <v>6.3998795316794043E-3</v>
      </c>
    </row>
    <row r="83" spans="2:39" ht="16" customHeight="1">
      <c r="B83" s="10">
        <v>23</v>
      </c>
      <c r="C83">
        <v>7.2991542501705772E-4</v>
      </c>
      <c r="D83">
        <v>7.7543667267173178E-3</v>
      </c>
      <c r="E83">
        <v>6.1842918985776122E-4</v>
      </c>
      <c r="F83">
        <v>0</v>
      </c>
      <c r="G83">
        <v>5.5645722235103182E-3</v>
      </c>
      <c r="H83">
        <v>9.0342009034200896E-3</v>
      </c>
      <c r="I83">
        <v>1.3146794150731157E-2</v>
      </c>
      <c r="J83">
        <v>3.0115994466319043E-2</v>
      </c>
      <c r="K83">
        <v>1.8550474547023299E-2</v>
      </c>
      <c r="L83">
        <v>1.6341591987348442E-2</v>
      </c>
      <c r="M83">
        <v>1.2966083070837301E-2</v>
      </c>
      <c r="N83">
        <v>4.9763655462184871E-2</v>
      </c>
      <c r="O83">
        <v>2.8535698044565714E-2</v>
      </c>
      <c r="P83">
        <v>3.677822728944465E-3</v>
      </c>
      <c r="Q83">
        <v>1.3674670058832879E-2</v>
      </c>
      <c r="R83">
        <v>1.2343470483005367E-2</v>
      </c>
      <c r="S83">
        <v>1.3741900647948163E-2</v>
      </c>
      <c r="T83">
        <v>2.5929964861262571E-2</v>
      </c>
      <c r="U83">
        <v>6.9999999999999993E-3</v>
      </c>
      <c r="V83">
        <v>1.4813371016470126E-2</v>
      </c>
      <c r="W83">
        <v>1.6220201523715901E-2</v>
      </c>
      <c r="X83">
        <v>9.0802779115360804E-3</v>
      </c>
      <c r="Y83">
        <v>0.10572661190236984</v>
      </c>
      <c r="Z83">
        <v>7.5248495030099402E-4</v>
      </c>
      <c r="AA83">
        <v>2.8807217181813522E-2</v>
      </c>
      <c r="AB83">
        <v>9.5785919719894967E-3</v>
      </c>
      <c r="AC83">
        <v>2.1551348049908384E-2</v>
      </c>
      <c r="AD83">
        <v>5.3377507822565803E-3</v>
      </c>
      <c r="AE83">
        <v>7.4265612315463489E-3</v>
      </c>
      <c r="AF83">
        <v>3.5355769557967813E-2</v>
      </c>
      <c r="AG83">
        <v>3.7674919268030141E-2</v>
      </c>
      <c r="AH83">
        <v>5.9060439712007952E-2</v>
      </c>
      <c r="AI83">
        <v>1.2235063810563567E-2</v>
      </c>
    </row>
    <row r="84" spans="2:39" ht="16" customHeight="1">
      <c r="B84" s="10">
        <v>24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1.6762498781795143E-2</v>
      </c>
      <c r="W84">
        <v>2.7279429835340378E-2</v>
      </c>
      <c r="X84">
        <v>0</v>
      </c>
      <c r="Y84">
        <v>0</v>
      </c>
      <c r="Z84">
        <v>3.2024359512809748E-2</v>
      </c>
      <c r="AA84">
        <v>0</v>
      </c>
      <c r="AB84">
        <v>0</v>
      </c>
      <c r="AC84">
        <v>0</v>
      </c>
      <c r="AD84">
        <v>8.6876495490520886E-2</v>
      </c>
      <c r="AE84">
        <v>1.5033524760215281E-3</v>
      </c>
      <c r="AF84">
        <v>6.0571000782659009E-3</v>
      </c>
      <c r="AG84">
        <v>3.3696822202461743E-3</v>
      </c>
      <c r="AH84">
        <v>0</v>
      </c>
      <c r="AI84">
        <v>1.2987990814290556E-3</v>
      </c>
    </row>
    <row r="85" spans="2:39" ht="16" customHeight="1">
      <c r="B85" s="15">
        <v>25</v>
      </c>
      <c r="C85">
        <v>4.5968804049443833E-2</v>
      </c>
      <c r="D85">
        <v>4.6956998511788202E-2</v>
      </c>
      <c r="E85">
        <v>4.9165120593692019E-2</v>
      </c>
      <c r="F85">
        <v>2.3508137432188068E-2</v>
      </c>
      <c r="G85">
        <v>0.1442151634593091</v>
      </c>
      <c r="H85">
        <v>9.7296909729690975E-2</v>
      </c>
      <c r="I85">
        <v>2.2286276715410572E-2</v>
      </c>
      <c r="J85">
        <v>9.7265084601468571E-2</v>
      </c>
      <c r="K85">
        <v>5.4740676828683735E-2</v>
      </c>
      <c r="L85">
        <v>8.6979441222983633E-3</v>
      </c>
      <c r="M85">
        <v>5.1864332283349204E-2</v>
      </c>
      <c r="N85">
        <v>8.5390406162464974E-2</v>
      </c>
      <c r="O85">
        <v>3.1150522964984082E-2</v>
      </c>
      <c r="P85">
        <v>9.2313350496506075E-2</v>
      </c>
      <c r="Q85">
        <v>0.11305453967244393</v>
      </c>
      <c r="R85">
        <v>0.11797853309481217</v>
      </c>
      <c r="S85">
        <v>9.6220302375809932E-2</v>
      </c>
      <c r="T85">
        <v>7.1973827699018542E-2</v>
      </c>
      <c r="U85">
        <v>2.5499999999999998E-2</v>
      </c>
      <c r="V85">
        <v>0.11977390117922229</v>
      </c>
      <c r="W85">
        <v>0.11231260752027526</v>
      </c>
      <c r="X85">
        <v>7.7870262089839729E-2</v>
      </c>
      <c r="Y85">
        <v>3.0731044264523375E-3</v>
      </c>
      <c r="Z85">
        <v>7.2466050678986427E-2</v>
      </c>
      <c r="AA85">
        <v>4.2636731764826491E-2</v>
      </c>
      <c r="AB85">
        <v>0.1347505314492935</v>
      </c>
      <c r="AC85">
        <v>3.2981415234272754E-2</v>
      </c>
      <c r="AD85">
        <v>4.7009018958218296E-2</v>
      </c>
      <c r="AE85">
        <v>7.45662828106678E-3</v>
      </c>
      <c r="AF85">
        <v>7.0099023377684019E-3</v>
      </c>
      <c r="AG85">
        <v>4.9515608180839617E-2</v>
      </c>
      <c r="AH85">
        <v>3.4674905519847733E-2</v>
      </c>
      <c r="AI85">
        <v>3.2319391634980987E-2</v>
      </c>
    </row>
    <row r="86" spans="2:39" ht="16" customHeight="1">
      <c r="B86" s="13">
        <v>26</v>
      </c>
      <c r="C86">
        <v>5.6251090906205864E-2</v>
      </c>
      <c r="D86">
        <v>4.4998825095950497E-2</v>
      </c>
      <c r="E86">
        <v>6.8027210884353739E-3</v>
      </c>
      <c r="F86">
        <v>7.2332730560578668E-3</v>
      </c>
      <c r="G86">
        <v>2.5272432181776029E-2</v>
      </c>
      <c r="H86">
        <v>2.2776702277670226E-2</v>
      </c>
      <c r="I86">
        <v>7.6631046119235097E-3</v>
      </c>
      <c r="J86">
        <v>1.1599446631903799E-2</v>
      </c>
      <c r="K86">
        <v>9.922346850733392E-3</v>
      </c>
      <c r="L86">
        <v>3.4264628360569315E-3</v>
      </c>
      <c r="M86">
        <v>1.0255658926086002E-2</v>
      </c>
      <c r="N86">
        <v>9.7163865546218472E-3</v>
      </c>
      <c r="O86">
        <v>3.6380172805820831E-3</v>
      </c>
      <c r="P86">
        <v>5.5167340934166977E-3</v>
      </c>
      <c r="Q86">
        <v>8.2684051518524398E-3</v>
      </c>
      <c r="R86">
        <v>6.7084078711985686E-3</v>
      </c>
      <c r="S86">
        <v>1.3741900647948163E-2</v>
      </c>
      <c r="T86">
        <v>1.2843814370531928E-2</v>
      </c>
      <c r="U86">
        <v>4.5000000000000005E-3</v>
      </c>
      <c r="V86">
        <v>5.8473832959750503E-3</v>
      </c>
      <c r="W86">
        <v>6.0211354141066604E-2</v>
      </c>
      <c r="X86">
        <v>6.2598885602256314E-3</v>
      </c>
      <c r="Y86">
        <v>9.3670586844749135E-3</v>
      </c>
      <c r="Z86">
        <v>6.1773764524709505E-3</v>
      </c>
      <c r="AA86">
        <v>5.9931313752626995E-2</v>
      </c>
      <c r="AB86">
        <v>3.0011254220332633E-3</v>
      </c>
      <c r="AC86">
        <v>4.4934996946165264E-3</v>
      </c>
      <c r="AD86">
        <v>1.9878520154610712E-3</v>
      </c>
      <c r="AE86">
        <v>6.9154213896990297E-3</v>
      </c>
      <c r="AF86">
        <v>1.1025283288528942E-2</v>
      </c>
      <c r="AG86">
        <v>4.7362755651237896E-2</v>
      </c>
      <c r="AH86">
        <v>9.9307605307439803E-3</v>
      </c>
      <c r="AI86">
        <v>2.8234762639762078E-3</v>
      </c>
    </row>
    <row r="87" spans="2:39" ht="16" customHeight="1">
      <c r="B87" s="10">
        <v>27</v>
      </c>
      <c r="C87">
        <v>2.1104076418971456E-3</v>
      </c>
      <c r="D87">
        <v>2.9372601237565598E-3</v>
      </c>
      <c r="E87">
        <v>1.8552875695732837E-3</v>
      </c>
      <c r="F87">
        <v>1.8083182640144667E-3</v>
      </c>
      <c r="G87">
        <v>4.6371435195919318E-3</v>
      </c>
      <c r="H87">
        <v>1.0516001051600104E-3</v>
      </c>
      <c r="I87">
        <v>9.8425196850393678E-4</v>
      </c>
      <c r="J87">
        <v>1.7026710652335855E-3</v>
      </c>
      <c r="K87">
        <v>6.2314255584315983E-4</v>
      </c>
      <c r="L87">
        <v>1.0542962572482866E-3</v>
      </c>
      <c r="M87">
        <v>1.8313676653725003E-3</v>
      </c>
      <c r="N87">
        <v>2.3196778711484589E-3</v>
      </c>
      <c r="O87">
        <v>6.8212824010914052E-4</v>
      </c>
      <c r="P87">
        <v>1.1033468186833395E-3</v>
      </c>
      <c r="Q87">
        <v>1.1130545396724437E-3</v>
      </c>
      <c r="R87">
        <v>2.5939177101967797E-3</v>
      </c>
      <c r="S87">
        <v>3.0507559395248382E-3</v>
      </c>
      <c r="T87">
        <v>1.332848661092936E-3</v>
      </c>
      <c r="U87">
        <v>2.5000000000000001E-3</v>
      </c>
      <c r="V87">
        <v>8.4787057791638216E-3</v>
      </c>
      <c r="W87">
        <v>5.8982550995330552E-3</v>
      </c>
      <c r="X87">
        <v>1.5133796519226804E-3</v>
      </c>
      <c r="Y87">
        <v>5.8211689616452927E-3</v>
      </c>
      <c r="Z87">
        <v>1.5224695506089877E-3</v>
      </c>
      <c r="AA87">
        <v>2.0913424573273873E-3</v>
      </c>
      <c r="AB87">
        <v>5.7271476803801439E-3</v>
      </c>
      <c r="AC87">
        <v>7.896344123549429E-3</v>
      </c>
      <c r="AD87">
        <v>8.761273697772869E-3</v>
      </c>
      <c r="AE87">
        <v>4.6904597251871674E-3</v>
      </c>
      <c r="AF87">
        <v>2.3479769966311638E-3</v>
      </c>
      <c r="AG87">
        <v>1.0389853512425704E-2</v>
      </c>
      <c r="AH87">
        <v>8.5790736807260515E-3</v>
      </c>
      <c r="AI87">
        <v>1.5453826751496444E-2</v>
      </c>
    </row>
    <row r="88" spans="2:39" ht="16" customHeight="1">
      <c r="B88" s="10">
        <v>28</v>
      </c>
      <c r="C88">
        <v>3.332222592469177E-4</v>
      </c>
      <c r="D88">
        <v>3.5247121485078721E-4</v>
      </c>
      <c r="E88">
        <v>3.4013605442176869E-3</v>
      </c>
      <c r="F88">
        <v>0</v>
      </c>
      <c r="G88">
        <v>2.7822861117551591E-3</v>
      </c>
      <c r="H88">
        <v>2.9636002963600297E-3</v>
      </c>
      <c r="I88">
        <v>2.8121484814398198E-4</v>
      </c>
      <c r="J88">
        <v>8.6197722677450253E-3</v>
      </c>
      <c r="K88">
        <v>4.409931933659285E-3</v>
      </c>
      <c r="L88">
        <v>1.3178703215603581E-3</v>
      </c>
      <c r="M88">
        <v>2.4174053182917004E-3</v>
      </c>
      <c r="N88">
        <v>1.6193977591036413E-3</v>
      </c>
      <c r="O88">
        <v>8.2992269213278767E-3</v>
      </c>
      <c r="P88">
        <v>2.5744759102611253E-3</v>
      </c>
      <c r="Q88">
        <v>3.975194784544442E-3</v>
      </c>
      <c r="R88">
        <v>4.6511627906976744E-3</v>
      </c>
      <c r="S88">
        <v>2.4568034557235418E-3</v>
      </c>
      <c r="T88">
        <v>2.5445292620865142E-3</v>
      </c>
      <c r="U88">
        <v>1.3500000000000002E-2</v>
      </c>
      <c r="V88">
        <v>7.7965110613000673E-3</v>
      </c>
      <c r="W88">
        <v>2.0398132219218483E-2</v>
      </c>
      <c r="X88">
        <v>6.1223085918690251E-3</v>
      </c>
      <c r="Y88">
        <v>3.8413805330654219E-4</v>
      </c>
      <c r="Z88">
        <v>1.1899762004759906E-3</v>
      </c>
      <c r="AA88">
        <v>7.9265979804192935E-2</v>
      </c>
      <c r="AB88">
        <v>8.1530573965236993E-3</v>
      </c>
      <c r="AC88">
        <v>8.7688683360963287E-3</v>
      </c>
      <c r="AD88">
        <v>0.20496963003865265</v>
      </c>
      <c r="AE88">
        <v>2.5316455696202535E-2</v>
      </c>
      <c r="AF88">
        <v>1.1467655766155105E-2</v>
      </c>
      <c r="AG88">
        <v>7.3056582580614968E-2</v>
      </c>
      <c r="AH88">
        <v>2.5930319163609283E-2</v>
      </c>
      <c r="AI88">
        <v>7.0586906599405192E-3</v>
      </c>
    </row>
    <row r="89" spans="2:39" ht="16" customHeight="1">
      <c r="B89" s="10">
        <v>29</v>
      </c>
      <c r="C89">
        <v>4.5476904523888861E-2</v>
      </c>
      <c r="D89">
        <v>7.5977128534503016E-2</v>
      </c>
      <c r="E89">
        <v>1.8552875695732837E-3</v>
      </c>
      <c r="F89">
        <v>7.2332730560578668E-3</v>
      </c>
      <c r="G89">
        <v>3.2460004637143523E-3</v>
      </c>
      <c r="H89">
        <v>1.4794101479410146E-2</v>
      </c>
      <c r="I89">
        <v>1.2654668166479189E-2</v>
      </c>
      <c r="J89">
        <v>4.150260721506864E-3</v>
      </c>
      <c r="K89">
        <v>2.1282714984181769E-2</v>
      </c>
      <c r="L89">
        <v>0.11939905113336845</v>
      </c>
      <c r="M89">
        <v>2.6884477327668306E-2</v>
      </c>
      <c r="N89">
        <v>1.3305322128851538E-2</v>
      </c>
      <c r="O89">
        <v>1.2733060482037288E-2</v>
      </c>
      <c r="P89">
        <v>2.2434718646561238E-2</v>
      </c>
      <c r="Q89">
        <v>1.2720623310542216E-2</v>
      </c>
      <c r="R89">
        <v>1.6457960644007154E-2</v>
      </c>
      <c r="S89">
        <v>3.2559395248380127E-2</v>
      </c>
      <c r="T89">
        <v>3.9985459832788074E-3</v>
      </c>
      <c r="U89">
        <v>7.2499999999999995E-2</v>
      </c>
      <c r="V89">
        <v>1.2084592145015104E-2</v>
      </c>
      <c r="W89">
        <v>1.8677807815188009E-2</v>
      </c>
      <c r="X89">
        <v>5.7370846804705243E-2</v>
      </c>
      <c r="Y89">
        <v>2.3934755629099937E-3</v>
      </c>
      <c r="Z89">
        <v>9.7823043539129219E-3</v>
      </c>
      <c r="AA89">
        <v>7.4314418986108979E-2</v>
      </c>
      <c r="AB89">
        <v>2.1132924846817561E-2</v>
      </c>
      <c r="AC89">
        <v>7.9835965448041193E-3</v>
      </c>
      <c r="AD89">
        <v>5.2273145591754094E-3</v>
      </c>
      <c r="AE89">
        <v>8.0339156318590468E-2</v>
      </c>
      <c r="AF89">
        <v>3.641065777384558E-3</v>
      </c>
      <c r="AG89">
        <v>3.6972902138812193E-2</v>
      </c>
      <c r="AH89">
        <v>2.3861410719704289E-2</v>
      </c>
      <c r="AI89">
        <v>1.4926777848887551E-2</v>
      </c>
    </row>
    <row r="90" spans="2:39" ht="16" customHeight="1">
      <c r="B90" s="10">
        <v>30</v>
      </c>
      <c r="C90">
        <v>5.3759857825169385E-2</v>
      </c>
      <c r="D90">
        <v>3.4228871308843112E-2</v>
      </c>
      <c r="E90">
        <v>2.1645021645021641E-3</v>
      </c>
      <c r="F90">
        <v>0</v>
      </c>
      <c r="G90">
        <v>4.4052863436123352E-3</v>
      </c>
      <c r="H90">
        <v>2.222700222270022E-3</v>
      </c>
      <c r="I90">
        <v>2.8121484814398198E-4</v>
      </c>
      <c r="J90">
        <v>4.2566776630839637E-4</v>
      </c>
      <c r="K90">
        <v>2.0132297958009781E-3</v>
      </c>
      <c r="L90">
        <v>4.7443331576172898E-3</v>
      </c>
      <c r="M90">
        <v>3.2232070910556006E-3</v>
      </c>
      <c r="N90">
        <v>2.8886554621848737E-3</v>
      </c>
      <c r="O90">
        <v>6.025466120964074E-3</v>
      </c>
      <c r="P90">
        <v>5.8845163663111448E-3</v>
      </c>
      <c r="Q90">
        <v>2.7031324534902207E-3</v>
      </c>
      <c r="R90">
        <v>4.4722719141323791E-3</v>
      </c>
      <c r="S90">
        <v>3.185745140388769E-3</v>
      </c>
      <c r="T90">
        <v>2.5445292620865142E-3</v>
      </c>
      <c r="U90">
        <v>3.4999999999999996E-3</v>
      </c>
      <c r="V90">
        <v>1.9491277653250168E-4</v>
      </c>
      <c r="W90">
        <v>4.915212582944213E-4</v>
      </c>
      <c r="X90">
        <v>8.1172181330398316E-3</v>
      </c>
      <c r="Y90">
        <v>8.5692334968382486E-4</v>
      </c>
      <c r="Z90">
        <v>2.6249475010499792E-4</v>
      </c>
      <c r="AA90">
        <v>3.0960069711415246E-2</v>
      </c>
      <c r="AB90">
        <v>1.2979867450293862E-2</v>
      </c>
      <c r="AC90">
        <v>1.1997207922519851E-2</v>
      </c>
      <c r="AD90">
        <v>7.0679182771949201E-3</v>
      </c>
      <c r="AE90">
        <v>1.0914338975916293E-2</v>
      </c>
      <c r="AF90">
        <v>4.3896961241365233E-3</v>
      </c>
      <c r="AG90">
        <v>2.7565872607291618E-2</v>
      </c>
      <c r="AH90">
        <v>2.6675126203415084E-2</v>
      </c>
      <c r="AI90">
        <v>8.0563189398787788E-3</v>
      </c>
    </row>
    <row r="91" spans="2:39" ht="16" customHeight="1">
      <c r="B91" s="10">
        <v>31</v>
      </c>
      <c r="C91">
        <v>2.5959600767997967E-2</v>
      </c>
      <c r="D91">
        <v>3.6382862066264586E-2</v>
      </c>
      <c r="E91">
        <v>2.3191094619666047E-2</v>
      </c>
      <c r="F91">
        <v>1.0849909584086799E-2</v>
      </c>
      <c r="G91">
        <v>1.7621145374449341E-2</v>
      </c>
      <c r="H91">
        <v>9.7034009703400974E-3</v>
      </c>
      <c r="I91">
        <v>1.1740719910011247E-2</v>
      </c>
      <c r="J91">
        <v>1.8090880068106843E-2</v>
      </c>
      <c r="K91">
        <v>5.943821301888602E-3</v>
      </c>
      <c r="L91">
        <v>1.2124406958355293E-2</v>
      </c>
      <c r="M91">
        <v>2.2342685517544505E-2</v>
      </c>
      <c r="N91">
        <v>2.8580182072829127E-2</v>
      </c>
      <c r="O91">
        <v>8.5266030013642566E-3</v>
      </c>
      <c r="P91">
        <v>1.1033468186833395E-2</v>
      </c>
      <c r="Q91">
        <v>6.9963428207982185E-3</v>
      </c>
      <c r="R91">
        <v>3.5062611806797858E-2</v>
      </c>
      <c r="S91">
        <v>2.6646868250539957E-2</v>
      </c>
      <c r="T91">
        <v>1.223797407003514E-2</v>
      </c>
      <c r="U91">
        <v>2.9500000000000002E-2</v>
      </c>
      <c r="V91">
        <v>6.3346652373063046E-3</v>
      </c>
      <c r="W91">
        <v>5.6524944703858441E-3</v>
      </c>
      <c r="X91">
        <v>1.4652266629978677E-2</v>
      </c>
      <c r="Y91">
        <v>1.5601914780450327E-2</v>
      </c>
      <c r="Z91">
        <v>6.4573708525829483E-3</v>
      </c>
      <c r="AA91">
        <v>2.6121277359167566E-2</v>
      </c>
      <c r="AB91">
        <v>2.806052269601101E-2</v>
      </c>
      <c r="AC91">
        <v>3.3155920076782135E-2</v>
      </c>
      <c r="AD91">
        <v>5.7242775630406771E-2</v>
      </c>
      <c r="AE91">
        <v>4.143239423915332E-2</v>
      </c>
      <c r="AF91">
        <v>1.1297512505529657E-2</v>
      </c>
      <c r="AG91">
        <v>2.4945008658211261E-2</v>
      </c>
      <c r="AH91">
        <v>2.1737331383961823E-2</v>
      </c>
      <c r="AI91">
        <v>3.7571057485976736E-2</v>
      </c>
    </row>
    <row r="92" spans="2:39" ht="16" customHeight="1">
      <c r="B92" s="10">
        <v>32</v>
      </c>
      <c r="C92">
        <v>2.4594976277748687E-3</v>
      </c>
      <c r="D92">
        <v>1.6448656693036736E-3</v>
      </c>
      <c r="E92">
        <v>3.0921459492888061E-4</v>
      </c>
      <c r="F92">
        <v>0</v>
      </c>
      <c r="G92">
        <v>9.2742870391838647E-4</v>
      </c>
      <c r="H92">
        <v>1.9359001935900192E-3</v>
      </c>
      <c r="I92">
        <v>1.4060742407199099E-4</v>
      </c>
      <c r="J92">
        <v>5.3208470788549539E-4</v>
      </c>
      <c r="K92">
        <v>3.3553829930016297E-4</v>
      </c>
      <c r="L92">
        <v>2.6357406431207165E-4</v>
      </c>
      <c r="M92">
        <v>1.2453300124533001E-3</v>
      </c>
      <c r="N92">
        <v>1.1817226890756302E-3</v>
      </c>
      <c r="O92">
        <v>2.8422010004547521E-3</v>
      </c>
      <c r="P92">
        <v>7.355645457888931E-4</v>
      </c>
      <c r="Q92">
        <v>6.360311655271108E-4</v>
      </c>
      <c r="R92">
        <v>7.1556350626118077E-4</v>
      </c>
      <c r="S92">
        <v>5.9395248380129592E-4</v>
      </c>
      <c r="T92">
        <v>4.846722403974313E-4</v>
      </c>
      <c r="U92">
        <v>0</v>
      </c>
      <c r="V92">
        <v>1.3448981580742616E-2</v>
      </c>
      <c r="W92">
        <v>9.5846645367412137E-3</v>
      </c>
      <c r="X92">
        <v>6.8789984178303646E-4</v>
      </c>
      <c r="Y92">
        <v>5.7620707995981327E-3</v>
      </c>
      <c r="Z92">
        <v>1.504969900601988E-3</v>
      </c>
      <c r="AA92">
        <v>1.5172484494335948E-3</v>
      </c>
      <c r="AB92">
        <v>1.1754407902963614E-3</v>
      </c>
      <c r="AC92">
        <v>7.9835965448041193E-3</v>
      </c>
      <c r="AD92">
        <v>8.429965028529357E-3</v>
      </c>
      <c r="AE92">
        <v>1.0733936678793712E-2</v>
      </c>
      <c r="AF92">
        <v>1.0548882158777691E-3</v>
      </c>
      <c r="AG92">
        <v>1.3431927739036833E-2</v>
      </c>
      <c r="AH92">
        <v>1.1475545502193044E-2</v>
      </c>
      <c r="AI92">
        <v>6.3622331814930542E-3</v>
      </c>
    </row>
    <row r="93" spans="2:39" ht="16" customHeight="1">
      <c r="B93" s="10">
        <v>33</v>
      </c>
      <c r="C93">
        <v>3.1735453261611207E-5</v>
      </c>
      <c r="D93">
        <v>1.1749040495026238E-4</v>
      </c>
      <c r="E93">
        <v>3.0921459492888061E-4</v>
      </c>
      <c r="F93">
        <v>0</v>
      </c>
      <c r="G93">
        <v>0</v>
      </c>
      <c r="H93">
        <v>2.3900002390000237E-5</v>
      </c>
      <c r="I93">
        <v>0</v>
      </c>
      <c r="J93">
        <v>1.0641694157709909E-4</v>
      </c>
      <c r="K93">
        <v>4.7934042757166147E-5</v>
      </c>
      <c r="L93">
        <v>0</v>
      </c>
      <c r="M93">
        <v>5.1278294630430004E-4</v>
      </c>
      <c r="N93">
        <v>8.7535014005602242E-5</v>
      </c>
      <c r="O93">
        <v>0</v>
      </c>
      <c r="P93">
        <v>0</v>
      </c>
      <c r="Q93">
        <v>1.4310701224359993E-3</v>
      </c>
      <c r="R93">
        <v>0</v>
      </c>
      <c r="S93">
        <v>2.699784017278618E-5</v>
      </c>
      <c r="T93">
        <v>0</v>
      </c>
      <c r="U93">
        <v>0</v>
      </c>
      <c r="V93">
        <v>0</v>
      </c>
      <c r="W93">
        <v>0</v>
      </c>
      <c r="X93">
        <v>0</v>
      </c>
      <c r="Y93">
        <v>2.954908102358017E-5</v>
      </c>
      <c r="Z93">
        <v>0</v>
      </c>
      <c r="AA93">
        <v>3.0755036137167463E-5</v>
      </c>
      <c r="AB93">
        <v>2.500937851694386E-5</v>
      </c>
      <c r="AC93">
        <v>8.7252421254689833E-5</v>
      </c>
      <c r="AD93">
        <v>7.3624148720780427E-5</v>
      </c>
      <c r="AE93">
        <v>6.0134099040861128E-5</v>
      </c>
      <c r="AF93">
        <v>0</v>
      </c>
      <c r="AG93">
        <v>4.6801141947863533E-5</v>
      </c>
      <c r="AH93">
        <v>2.7585445918733282E-5</v>
      </c>
      <c r="AI93">
        <v>3.764635018634944E-5</v>
      </c>
    </row>
    <row r="94" spans="2:39" ht="16" customHeight="1">
      <c r="B94" s="10"/>
    </row>
    <row r="95" spans="2:39">
      <c r="B95" s="10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</row>
    <row r="96" spans="2:39" ht="16" customHeight="1">
      <c r="B96" s="10" t="s">
        <v>272</v>
      </c>
      <c r="C96">
        <v>1</v>
      </c>
      <c r="D96">
        <v>2</v>
      </c>
      <c r="E96">
        <v>3</v>
      </c>
      <c r="F96">
        <v>4</v>
      </c>
      <c r="G96">
        <v>5</v>
      </c>
      <c r="H96">
        <v>6</v>
      </c>
      <c r="I96">
        <v>7</v>
      </c>
      <c r="J96">
        <v>8</v>
      </c>
      <c r="K96">
        <v>9</v>
      </c>
      <c r="L96">
        <v>10</v>
      </c>
      <c r="M96">
        <v>11</v>
      </c>
      <c r="N96">
        <v>12</v>
      </c>
      <c r="O96">
        <v>13</v>
      </c>
      <c r="P96">
        <v>14</v>
      </c>
      <c r="Q96">
        <v>15</v>
      </c>
      <c r="R96">
        <v>16</v>
      </c>
      <c r="S96">
        <v>17</v>
      </c>
      <c r="T96">
        <v>18</v>
      </c>
      <c r="U96">
        <v>19</v>
      </c>
      <c r="V96">
        <v>20</v>
      </c>
      <c r="W96">
        <v>21</v>
      </c>
      <c r="X96">
        <v>22</v>
      </c>
      <c r="Y96">
        <v>23</v>
      </c>
      <c r="Z96">
        <v>24</v>
      </c>
      <c r="AA96">
        <v>25</v>
      </c>
      <c r="AB96">
        <v>26</v>
      </c>
      <c r="AC96">
        <v>27</v>
      </c>
      <c r="AD96">
        <v>28</v>
      </c>
      <c r="AE96">
        <v>29</v>
      </c>
      <c r="AF96">
        <v>30</v>
      </c>
      <c r="AG96">
        <v>31</v>
      </c>
      <c r="AH96">
        <v>32</v>
      </c>
      <c r="AI96">
        <v>33</v>
      </c>
      <c r="AJ96"/>
      <c r="AK96"/>
      <c r="AL96"/>
      <c r="AM96"/>
    </row>
    <row r="97" spans="2:35" ht="16" customHeight="1">
      <c r="B97" s="13">
        <v>1</v>
      </c>
      <c r="C97">
        <v>1.0343164737876172</v>
      </c>
      <c r="D97">
        <v>4.3918152720398229E-2</v>
      </c>
      <c r="E97">
        <v>8.8025216781914474E-4</v>
      </c>
      <c r="F97">
        <v>1.0114632342865311E-2</v>
      </c>
      <c r="G97">
        <v>2.189307993086725E-3</v>
      </c>
      <c r="H97">
        <v>2.6904922257733905E-2</v>
      </c>
      <c r="I97">
        <v>0.41847237866099513</v>
      </c>
      <c r="J97">
        <v>1.7210742148367562E-2</v>
      </c>
      <c r="K97">
        <v>0.4548457871735857</v>
      </c>
      <c r="L97">
        <v>5.9884138734881596E-2</v>
      </c>
      <c r="M97">
        <v>0.17139458452944029</v>
      </c>
      <c r="N97">
        <v>9.1391389409363449E-2</v>
      </c>
      <c r="O97">
        <v>1.0712532162907825E-2</v>
      </c>
      <c r="P97">
        <v>4.5510528033366358E-3</v>
      </c>
      <c r="Q97">
        <v>1.4057830199076856E-3</v>
      </c>
      <c r="R97">
        <v>2.0858758195490125E-3</v>
      </c>
      <c r="S97">
        <v>1.1602735354718417E-2</v>
      </c>
      <c r="T97">
        <v>1.3712587112776288E-3</v>
      </c>
      <c r="U97">
        <v>6.8265264873102643E-4</v>
      </c>
      <c r="V97">
        <v>2.7272090287909553E-3</v>
      </c>
      <c r="W97">
        <v>3.832347952590227E-3</v>
      </c>
      <c r="X97">
        <v>1.7599057596244031E-3</v>
      </c>
      <c r="Y97">
        <v>5.8386181521614022E-4</v>
      </c>
      <c r="Z97">
        <v>3.2151190259804199E-3</v>
      </c>
      <c r="AA97">
        <v>1.9482901726508924E-3</v>
      </c>
      <c r="AB97">
        <v>1.5198515810661271E-3</v>
      </c>
      <c r="AC97">
        <v>6.6212307228144987E-2</v>
      </c>
      <c r="AD97">
        <v>8.2670951201463342E-3</v>
      </c>
      <c r="AE97">
        <v>1.0509805488777E-3</v>
      </c>
      <c r="AF97">
        <v>8.5499292009199375E-4</v>
      </c>
      <c r="AG97">
        <v>3.8797264977702803E-3</v>
      </c>
      <c r="AH97">
        <v>2.6836023272017065E-3</v>
      </c>
      <c r="AI97">
        <v>1.9744301452408568E-3</v>
      </c>
    </row>
    <row r="98" spans="2:35" ht="16" customHeight="1">
      <c r="B98" s="13">
        <v>2</v>
      </c>
      <c r="C98">
        <v>3.6874370811376759E-4</v>
      </c>
      <c r="D98">
        <v>1.0144327453357767</v>
      </c>
      <c r="E98">
        <v>1.9734800335368717E-4</v>
      </c>
      <c r="F98">
        <v>1.5872347180191509E-3</v>
      </c>
      <c r="G98">
        <v>5.7489361887836136E-4</v>
      </c>
      <c r="H98">
        <v>0.40017238492287133</v>
      </c>
      <c r="I98">
        <v>3.111877440621637E-4</v>
      </c>
      <c r="J98">
        <v>0.28529155951813429</v>
      </c>
      <c r="K98">
        <v>2.2643511293909509E-2</v>
      </c>
      <c r="L98">
        <v>1.919201208003282E-4</v>
      </c>
      <c r="M98">
        <v>2.6682265172884224E-2</v>
      </c>
      <c r="N98">
        <v>1.2128277930257049E-3</v>
      </c>
      <c r="O98">
        <v>8.2579671972659815E-4</v>
      </c>
      <c r="P98">
        <v>4.4518845708586281E-2</v>
      </c>
      <c r="Q98">
        <v>3.4998618558589268E-4</v>
      </c>
      <c r="R98">
        <v>4.3301861930133224E-4</v>
      </c>
      <c r="S98">
        <v>6.5865673621457138E-4</v>
      </c>
      <c r="T98">
        <v>3.4925722268578806E-4</v>
      </c>
      <c r="U98">
        <v>2.6211580612672976E-4</v>
      </c>
      <c r="V98">
        <v>1.0081740689608393E-3</v>
      </c>
      <c r="W98">
        <v>1.3130522357017377E-3</v>
      </c>
      <c r="X98">
        <v>3.2874705004022869E-4</v>
      </c>
      <c r="Y98">
        <v>3.5131898019540427E-4</v>
      </c>
      <c r="Z98">
        <v>7.9845172861546586E-4</v>
      </c>
      <c r="AA98">
        <v>5.3754300396589459E-4</v>
      </c>
      <c r="AB98">
        <v>5.4528771256789367E-4</v>
      </c>
      <c r="AC98">
        <v>4.7405781887785929E-2</v>
      </c>
      <c r="AD98">
        <v>2.475997395350643E-3</v>
      </c>
      <c r="AE98">
        <v>4.4672258042870617E-4</v>
      </c>
      <c r="AF98">
        <v>3.0782292093442759E-4</v>
      </c>
      <c r="AG98">
        <v>1.1484188895683736E-3</v>
      </c>
      <c r="AH98">
        <v>1.1421327058793718E-3</v>
      </c>
      <c r="AI98">
        <v>9.1571943472999013E-4</v>
      </c>
    </row>
    <row r="99" spans="2:35" ht="16" customHeight="1">
      <c r="B99" s="13">
        <v>3</v>
      </c>
      <c r="C99">
        <v>5.4111594036192054E-3</v>
      </c>
      <c r="D99">
        <v>6.3929234435516997E-3</v>
      </c>
      <c r="E99">
        <v>1.0824218068939198</v>
      </c>
      <c r="F99">
        <v>1.9786197570157492E-3</v>
      </c>
      <c r="G99">
        <v>2.2105682119494402E-3</v>
      </c>
      <c r="H99">
        <v>4.7513993121161375E-3</v>
      </c>
      <c r="I99">
        <v>3.8536371602553663E-3</v>
      </c>
      <c r="J99">
        <v>2.4947572624517182E-2</v>
      </c>
      <c r="K99">
        <v>8.9867554056319385E-3</v>
      </c>
      <c r="L99">
        <v>7.6576486748360902E-3</v>
      </c>
      <c r="M99">
        <v>6.6229637978074806E-3</v>
      </c>
      <c r="N99">
        <v>4.5318873931307234E-3</v>
      </c>
      <c r="O99">
        <v>1.7552597779381931E-3</v>
      </c>
      <c r="P99">
        <v>1.141581197207596E-3</v>
      </c>
      <c r="Q99">
        <v>0.34963342047252327</v>
      </c>
      <c r="R99">
        <v>1.6429810321993818E-3</v>
      </c>
      <c r="S99">
        <v>1.8249779669731018E-3</v>
      </c>
      <c r="T99">
        <v>9.3708939805040871E-4</v>
      </c>
      <c r="U99">
        <v>8.8275241747898074E-4</v>
      </c>
      <c r="V99">
        <v>1.0119178108816613E-3</v>
      </c>
      <c r="W99">
        <v>1.9397095178297766E-3</v>
      </c>
      <c r="X99">
        <v>1.609449329893332E-2</v>
      </c>
      <c r="Y99">
        <v>3.5899617627017873E-4</v>
      </c>
      <c r="Z99">
        <v>2.2342003061754431E-2</v>
      </c>
      <c r="AA99">
        <v>1.4360696353025674E-3</v>
      </c>
      <c r="AB99">
        <v>2.2365011061928849E-3</v>
      </c>
      <c r="AC99">
        <v>2.3896053870543859E-3</v>
      </c>
      <c r="AD99">
        <v>4.0148041579077956E-3</v>
      </c>
      <c r="AE99">
        <v>8.5562953020585665E-4</v>
      </c>
      <c r="AF99">
        <v>4.9171593457532424E-4</v>
      </c>
      <c r="AG99">
        <v>1.5347656713592987E-3</v>
      </c>
      <c r="AH99">
        <v>9.0776083718462617E-4</v>
      </c>
      <c r="AI99">
        <v>8.3261214863680625E-4</v>
      </c>
    </row>
    <row r="100" spans="2:35" ht="16" customHeight="1">
      <c r="B100" s="13">
        <v>4</v>
      </c>
      <c r="C100">
        <v>2.4141147195114398E-6</v>
      </c>
      <c r="D100">
        <v>2.4087629280667601E-6</v>
      </c>
      <c r="E100">
        <v>8.9464042394630031E-7</v>
      </c>
      <c r="F100">
        <v>1.0036305715063005</v>
      </c>
      <c r="G100">
        <v>2.3028566808258135E-6</v>
      </c>
      <c r="H100">
        <v>2.1967180664267828E-6</v>
      </c>
      <c r="I100">
        <v>1.5323474153402435E-6</v>
      </c>
      <c r="J100">
        <v>1.805168172190056E-6</v>
      </c>
      <c r="K100">
        <v>1.8964096612485258E-6</v>
      </c>
      <c r="L100">
        <v>7.2131884355111472E-7</v>
      </c>
      <c r="M100">
        <v>1.5474338383741858E-6</v>
      </c>
      <c r="N100">
        <v>1.5589855791845586E-6</v>
      </c>
      <c r="O100">
        <v>6.119252220412553E-7</v>
      </c>
      <c r="P100">
        <v>1.1723724464829991E-6</v>
      </c>
      <c r="Q100">
        <v>1.2872938296846505E-6</v>
      </c>
      <c r="R100">
        <v>1.4779379606984881E-6</v>
      </c>
      <c r="S100">
        <v>1.6742782471670279E-6</v>
      </c>
      <c r="T100">
        <v>1.4530871860244121E-6</v>
      </c>
      <c r="U100">
        <v>9.8399567832620871E-7</v>
      </c>
      <c r="V100">
        <v>2.4049596949367604E-6</v>
      </c>
      <c r="W100">
        <v>3.5506789154469831E-6</v>
      </c>
      <c r="X100">
        <v>1.0682584154177482E-6</v>
      </c>
      <c r="Y100">
        <v>1.5439468929650005E-6</v>
      </c>
      <c r="Z100">
        <v>1.0764407119757413E-6</v>
      </c>
      <c r="AA100">
        <v>2.642344181308246E-6</v>
      </c>
      <c r="AB100">
        <v>2.6869665617225613E-5</v>
      </c>
      <c r="AC100">
        <v>1.7751467593141027E-4</v>
      </c>
      <c r="AD100">
        <v>2.6766112739655706E-6</v>
      </c>
      <c r="AE100">
        <v>1.4456975538299306E-6</v>
      </c>
      <c r="AF100">
        <v>8.9004225906730866E-7</v>
      </c>
      <c r="AG100">
        <v>3.823465525744332E-6</v>
      </c>
      <c r="AH100">
        <v>2.3137701441126875E-6</v>
      </c>
      <c r="AI100">
        <v>3.2030439917030582E-6</v>
      </c>
    </row>
    <row r="101" spans="2:35" ht="16" customHeight="1">
      <c r="B101" s="15">
        <v>5</v>
      </c>
      <c r="C101">
        <v>4.2432897546696574E-4</v>
      </c>
      <c r="D101">
        <v>4.0192394723288186E-4</v>
      </c>
      <c r="E101">
        <v>2.1556631993105537E-3</v>
      </c>
      <c r="F101">
        <v>1.2054508388094207E-4</v>
      </c>
      <c r="G101">
        <v>1.0051149314757915</v>
      </c>
      <c r="H101">
        <v>3.7390833267577424E-4</v>
      </c>
      <c r="I101">
        <v>2.485546185225098E-4</v>
      </c>
      <c r="J101">
        <v>3.8832452342641512E-4</v>
      </c>
      <c r="K101">
        <v>3.6555803138186324E-4</v>
      </c>
      <c r="L101">
        <v>2.7420554935193311E-4</v>
      </c>
      <c r="M101">
        <v>3.2345885133919678E-4</v>
      </c>
      <c r="N101">
        <v>6.6071464312978474E-4</v>
      </c>
      <c r="O101">
        <v>1.867727195179686E-4</v>
      </c>
      <c r="P101">
        <v>2.8097550271381717E-4</v>
      </c>
      <c r="Q101">
        <v>9.1327934358878538E-4</v>
      </c>
      <c r="R101">
        <v>4.0664518218518623E-4</v>
      </c>
      <c r="S101">
        <v>1.7671284330688945E-3</v>
      </c>
      <c r="T101">
        <v>0.17586828350441153</v>
      </c>
      <c r="U101">
        <v>6.3736592773907252E-3</v>
      </c>
      <c r="V101">
        <v>2.3739085430733711E-3</v>
      </c>
      <c r="W101">
        <v>2.4792706294521558E-3</v>
      </c>
      <c r="X101">
        <v>4.1515645920555072E-4</v>
      </c>
      <c r="Y101">
        <v>9.8287875938414944E-5</v>
      </c>
      <c r="Z101">
        <v>4.985386743944098E-2</v>
      </c>
      <c r="AA101">
        <v>8.0395552820455493E-4</v>
      </c>
      <c r="AB101">
        <v>3.3338922089808321E-4</v>
      </c>
      <c r="AC101">
        <v>3.5311391388715216E-4</v>
      </c>
      <c r="AD101">
        <v>6.0299003904365185E-3</v>
      </c>
      <c r="AE101">
        <v>4.1417456972419746E-4</v>
      </c>
      <c r="AF101">
        <v>4.5039511127122387E-4</v>
      </c>
      <c r="AG101">
        <v>9.0320068953826963E-4</v>
      </c>
      <c r="AH101">
        <v>6.5646415275612995E-4</v>
      </c>
      <c r="AI101">
        <v>5.0757181298026032E-4</v>
      </c>
    </row>
    <row r="102" spans="2:35" ht="16" customHeight="1">
      <c r="B102" s="13">
        <v>6</v>
      </c>
      <c r="C102">
        <v>6.7127563384139608E-4</v>
      </c>
      <c r="D102">
        <v>1.4287193401175894E-3</v>
      </c>
      <c r="E102">
        <v>3.6744596759368599E-4</v>
      </c>
      <c r="F102">
        <v>1.792428713396839E-3</v>
      </c>
      <c r="G102">
        <v>1.1086352906099621E-3</v>
      </c>
      <c r="H102">
        <v>1.0204559657412147</v>
      </c>
      <c r="I102">
        <v>6.1735742193747586E-4</v>
      </c>
      <c r="J102">
        <v>1.4148311506602081E-3</v>
      </c>
      <c r="K102">
        <v>5.3766720272856389E-3</v>
      </c>
      <c r="L102">
        <v>3.7628647769291082E-4</v>
      </c>
      <c r="M102">
        <v>2.6836900951678969E-2</v>
      </c>
      <c r="N102">
        <v>1.6457268658747603E-3</v>
      </c>
      <c r="O102">
        <v>1.9609657816235843E-3</v>
      </c>
      <c r="P102">
        <v>0.11331330601265005</v>
      </c>
      <c r="Q102">
        <v>6.5269421971550826E-4</v>
      </c>
      <c r="R102">
        <v>7.7691661373489353E-4</v>
      </c>
      <c r="S102">
        <v>1.0854167494120425E-3</v>
      </c>
      <c r="T102">
        <v>6.7341942259722064E-4</v>
      </c>
      <c r="U102">
        <v>4.7024560492734991E-4</v>
      </c>
      <c r="V102">
        <v>1.3651421461971626E-3</v>
      </c>
      <c r="W102">
        <v>1.497710426307408E-3</v>
      </c>
      <c r="X102">
        <v>5.9520952070528561E-4</v>
      </c>
      <c r="Y102">
        <v>7.6487848194163968E-4</v>
      </c>
      <c r="Z102">
        <v>5.2861028352506356E-4</v>
      </c>
      <c r="AA102">
        <v>7.478849680424937E-4</v>
      </c>
      <c r="AB102">
        <v>1.0436838231249359E-3</v>
      </c>
      <c r="AC102">
        <v>0.10634596519736389</v>
      </c>
      <c r="AD102">
        <v>1.5211670693458278E-3</v>
      </c>
      <c r="AE102">
        <v>7.64147604920287E-4</v>
      </c>
      <c r="AF102">
        <v>3.8443233985050167E-4</v>
      </c>
      <c r="AG102">
        <v>1.8640654091165172E-3</v>
      </c>
      <c r="AH102">
        <v>2.1492200071171505E-3</v>
      </c>
      <c r="AI102">
        <v>1.8959613877319011E-3</v>
      </c>
    </row>
    <row r="103" spans="2:35" ht="16" customHeight="1">
      <c r="B103" s="13">
        <v>7</v>
      </c>
      <c r="C103">
        <v>9.1473823523532851E-4</v>
      </c>
      <c r="D103">
        <v>2.0877332884915709E-3</v>
      </c>
      <c r="E103">
        <v>4.9604845754986358E-4</v>
      </c>
      <c r="F103">
        <v>2.9044288937072876E-3</v>
      </c>
      <c r="G103">
        <v>1.0886876129155914E-3</v>
      </c>
      <c r="H103">
        <v>1.8997281438168847E-3</v>
      </c>
      <c r="I103">
        <v>1.0005903837822538</v>
      </c>
      <c r="J103">
        <v>2.1238236637686468E-3</v>
      </c>
      <c r="K103">
        <v>3.8780023972648132E-3</v>
      </c>
      <c r="L103">
        <v>1.436327630503887E-4</v>
      </c>
      <c r="M103">
        <v>5.2967686683900353E-2</v>
      </c>
      <c r="N103">
        <v>2.2092030019829675E-3</v>
      </c>
      <c r="O103">
        <v>2.7620824233887337E-4</v>
      </c>
      <c r="P103">
        <v>8.8315611089649919E-4</v>
      </c>
      <c r="Q103">
        <v>9.3112790195492017E-4</v>
      </c>
      <c r="R103">
        <v>8.4008035705456234E-4</v>
      </c>
      <c r="S103">
        <v>1.0589896347720051E-3</v>
      </c>
      <c r="T103">
        <v>7.6729591502724135E-4</v>
      </c>
      <c r="U103">
        <v>1.4878683108950883E-4</v>
      </c>
      <c r="V103">
        <v>7.4999727386030083E-4</v>
      </c>
      <c r="W103">
        <v>1.1648325466325584E-3</v>
      </c>
      <c r="X103">
        <v>6.1167182082772506E-4</v>
      </c>
      <c r="Y103">
        <v>1.6187017413275517E-4</v>
      </c>
      <c r="Z103">
        <v>6.0354795393443607E-4</v>
      </c>
      <c r="AA103">
        <v>8.1239098511254576E-4</v>
      </c>
      <c r="AB103">
        <v>8.4915756701124212E-4</v>
      </c>
      <c r="AC103">
        <v>1.3265959999376211E-2</v>
      </c>
      <c r="AD103">
        <v>6.1889825203082774E-4</v>
      </c>
      <c r="AE103">
        <v>2.7252783945249726E-4</v>
      </c>
      <c r="AF103">
        <v>1.8907396423292603E-4</v>
      </c>
      <c r="AG103">
        <v>1.1584238202121625E-3</v>
      </c>
      <c r="AH103">
        <v>6.9457351700323859E-4</v>
      </c>
      <c r="AI103">
        <v>5.0163052574155791E-4</v>
      </c>
    </row>
    <row r="104" spans="2:35" ht="16" customHeight="1">
      <c r="B104" s="13">
        <v>8</v>
      </c>
      <c r="C104">
        <v>1.8935002812323946E-4</v>
      </c>
      <c r="D104">
        <v>7.6122737369568904E-4</v>
      </c>
      <c r="E104">
        <v>7.733755454364349E-5</v>
      </c>
      <c r="F104">
        <v>1.2990504810726044E-3</v>
      </c>
      <c r="G104">
        <v>1.9726948846001744E-4</v>
      </c>
      <c r="H104">
        <v>1.2158605079725627E-3</v>
      </c>
      <c r="I104">
        <v>1.2029426774107865E-4</v>
      </c>
      <c r="J104">
        <v>1.0175963363383373</v>
      </c>
      <c r="K104">
        <v>3.7713828468028517E-2</v>
      </c>
      <c r="L104">
        <v>6.3334051340805346E-5</v>
      </c>
      <c r="M104">
        <v>2.3516515534942734E-2</v>
      </c>
      <c r="N104">
        <v>8.6164561642293025E-4</v>
      </c>
      <c r="O104">
        <v>6.2711233306369846E-5</v>
      </c>
      <c r="P104">
        <v>2.4389476320773026E-4</v>
      </c>
      <c r="Q104">
        <v>1.1860465783258905E-4</v>
      </c>
      <c r="R104">
        <v>1.8377211139373491E-4</v>
      </c>
      <c r="S104">
        <v>3.6585034682796357E-4</v>
      </c>
      <c r="T104">
        <v>1.2005560634281934E-4</v>
      </c>
      <c r="U104">
        <v>9.1875912895407079E-5</v>
      </c>
      <c r="V104">
        <v>2.4553348757699905E-4</v>
      </c>
      <c r="W104">
        <v>2.4266861244705466E-4</v>
      </c>
      <c r="X104">
        <v>1.0827140148699676E-4</v>
      </c>
      <c r="Y104">
        <v>1.3825874432711577E-4</v>
      </c>
      <c r="Z104">
        <v>1.1859116267963889E-4</v>
      </c>
      <c r="AA104">
        <v>1.9463947066131982E-4</v>
      </c>
      <c r="AB104">
        <v>2.3893638886486845E-4</v>
      </c>
      <c r="AC104">
        <v>1.8632759874713842E-2</v>
      </c>
      <c r="AD104">
        <v>2.8746634515022096E-4</v>
      </c>
      <c r="AE104">
        <v>1.4322366551158819E-4</v>
      </c>
      <c r="AF104">
        <v>6.9639748459107695E-5</v>
      </c>
      <c r="AG104">
        <v>4.8351550574663707E-4</v>
      </c>
      <c r="AH104">
        <v>5.4183968844491047E-4</v>
      </c>
      <c r="AI104">
        <v>3.6531008841555275E-4</v>
      </c>
    </row>
    <row r="105" spans="2:35" ht="16" customHeight="1">
      <c r="B105" s="13">
        <v>9</v>
      </c>
      <c r="C105">
        <v>1.1340595039604747E-3</v>
      </c>
      <c r="D105">
        <v>2.7136721206507575E-3</v>
      </c>
      <c r="E105">
        <v>2.5999030805563388E-4</v>
      </c>
      <c r="F105">
        <v>3.8965370299068915E-3</v>
      </c>
      <c r="G105">
        <v>1.098517852908161E-3</v>
      </c>
      <c r="H105">
        <v>1.9816112375356597E-2</v>
      </c>
      <c r="I105">
        <v>6.6572500728509108E-4</v>
      </c>
      <c r="J105">
        <v>2.6047157264394122E-3</v>
      </c>
      <c r="K105">
        <v>1.0925769195536774</v>
      </c>
      <c r="L105">
        <v>2.0876139109881256E-4</v>
      </c>
      <c r="M105">
        <v>7.0264983183851576E-2</v>
      </c>
      <c r="N105">
        <v>2.8425697312215227E-3</v>
      </c>
      <c r="O105">
        <v>3.8011262366261878E-4</v>
      </c>
      <c r="P105">
        <v>3.0505244866196779E-3</v>
      </c>
      <c r="Q105">
        <v>7.8601563236120652E-4</v>
      </c>
      <c r="R105">
        <v>1.7437661410680391E-3</v>
      </c>
      <c r="S105">
        <v>2.4092142047301046E-3</v>
      </c>
      <c r="T105">
        <v>7.7722997509936187E-4</v>
      </c>
      <c r="U105">
        <v>2.3618014766195244E-4</v>
      </c>
      <c r="V105">
        <v>8.8203324813910351E-4</v>
      </c>
      <c r="W105">
        <v>1.4074209213777804E-3</v>
      </c>
      <c r="X105">
        <v>6.2213426569567682E-4</v>
      </c>
      <c r="Y105">
        <v>2.456444192308023E-4</v>
      </c>
      <c r="Z105">
        <v>6.0349349664113141E-4</v>
      </c>
      <c r="AA105">
        <v>1.0728245798500534E-3</v>
      </c>
      <c r="AB105">
        <v>8.4655668789788779E-4</v>
      </c>
      <c r="AC105">
        <v>2.8744700768004502E-2</v>
      </c>
      <c r="AD105">
        <v>7.7583538032851185E-4</v>
      </c>
      <c r="AE105">
        <v>4.0127002160289375E-4</v>
      </c>
      <c r="AF105">
        <v>2.520297673939184E-4</v>
      </c>
      <c r="AG105">
        <v>1.6097790419602983E-3</v>
      </c>
      <c r="AH105">
        <v>1.2779981072112661E-3</v>
      </c>
      <c r="AI105">
        <v>7.7588782474306579E-4</v>
      </c>
    </row>
    <row r="106" spans="2:35" ht="16" customHeight="1">
      <c r="B106" s="13">
        <v>10</v>
      </c>
      <c r="C106">
        <v>1.2833250846765941E-4</v>
      </c>
      <c r="D106">
        <v>3.3466254286998004E-4</v>
      </c>
      <c r="E106">
        <v>4.2605152078854965E-5</v>
      </c>
      <c r="F106">
        <v>4.864113053234227E-4</v>
      </c>
      <c r="G106">
        <v>1.1335131272413838E-4</v>
      </c>
      <c r="H106">
        <v>4.4383742834415299E-4</v>
      </c>
      <c r="I106">
        <v>7.6977359111756924E-5</v>
      </c>
      <c r="J106">
        <v>1.5017083540531164E-2</v>
      </c>
      <c r="K106">
        <v>9.0114976894942536E-3</v>
      </c>
      <c r="L106">
        <v>1.0000339475402171</v>
      </c>
      <c r="M106">
        <v>8.6467158944706756E-3</v>
      </c>
      <c r="N106">
        <v>3.5569628385536539E-2</v>
      </c>
      <c r="O106">
        <v>3.7109386409629764E-5</v>
      </c>
      <c r="P106">
        <v>1.2023328166409268E-4</v>
      </c>
      <c r="Q106">
        <v>7.4359192260697675E-5</v>
      </c>
      <c r="R106">
        <v>2.0413952687751567E-4</v>
      </c>
      <c r="S106">
        <v>2.0847466128338051E-4</v>
      </c>
      <c r="T106">
        <v>7.6840371120930241E-5</v>
      </c>
      <c r="U106">
        <v>4.7558745423064638E-5</v>
      </c>
      <c r="V106">
        <v>1.2235343163684339E-4</v>
      </c>
      <c r="W106">
        <v>1.3052988484784397E-4</v>
      </c>
      <c r="X106">
        <v>6.4591330860879376E-5</v>
      </c>
      <c r="Y106">
        <v>6.0861492714533723E-5</v>
      </c>
      <c r="Z106">
        <v>9.5632727382398164E-5</v>
      </c>
      <c r="AA106">
        <v>1.4013852199320695E-4</v>
      </c>
      <c r="AB106">
        <v>1.5413486640946514E-4</v>
      </c>
      <c r="AC106">
        <v>7.6698772235634797E-3</v>
      </c>
      <c r="AD106">
        <v>1.8978199471744413E-4</v>
      </c>
      <c r="AE106">
        <v>7.037472072220292E-5</v>
      </c>
      <c r="AF106">
        <v>3.4974509605895569E-5</v>
      </c>
      <c r="AG106">
        <v>3.575083521301829E-4</v>
      </c>
      <c r="AH106">
        <v>2.2201237097197262E-4</v>
      </c>
      <c r="AI106">
        <v>1.7459336063145242E-4</v>
      </c>
    </row>
    <row r="107" spans="2:35" ht="16" customHeight="1">
      <c r="B107" s="13">
        <v>11</v>
      </c>
      <c r="C107">
        <v>9.2384300964111954E-4</v>
      </c>
      <c r="D107">
        <v>2.5210537031285805E-2</v>
      </c>
      <c r="E107">
        <v>4.7857467892329411E-4</v>
      </c>
      <c r="F107">
        <v>5.3634349081930106E-2</v>
      </c>
      <c r="G107">
        <v>1.0688711896039156E-3</v>
      </c>
      <c r="H107">
        <v>1.8536839897815762E-2</v>
      </c>
      <c r="I107">
        <v>6.6282215238001158E-4</v>
      </c>
      <c r="J107">
        <v>2.5082804343222444E-2</v>
      </c>
      <c r="K107">
        <v>2.1287481359874554E-2</v>
      </c>
      <c r="L107">
        <v>2.9451496177731941E-4</v>
      </c>
      <c r="M107">
        <v>1.0121062865526949</v>
      </c>
      <c r="N107">
        <v>2.9885770366161891E-2</v>
      </c>
      <c r="O107">
        <v>4.6948610133642718E-4</v>
      </c>
      <c r="P107">
        <v>3.1363509658184348E-3</v>
      </c>
      <c r="Q107">
        <v>8.6138942276093135E-4</v>
      </c>
      <c r="R107">
        <v>1.115461269832441E-3</v>
      </c>
      <c r="S107">
        <v>7.1079237956766152E-3</v>
      </c>
      <c r="T107">
        <v>7.0314597349843374E-4</v>
      </c>
      <c r="U107">
        <v>4.1199299093168113E-4</v>
      </c>
      <c r="V107">
        <v>6.8228774566540991E-4</v>
      </c>
      <c r="W107">
        <v>8.1920296925393568E-4</v>
      </c>
      <c r="X107">
        <v>7.8508720866203162E-4</v>
      </c>
      <c r="Y107">
        <v>2.7962310571326855E-4</v>
      </c>
      <c r="Z107">
        <v>6.3851602434969934E-4</v>
      </c>
      <c r="AA107">
        <v>8.3699653362789839E-4</v>
      </c>
      <c r="AB107">
        <v>8.3535706409407001E-4</v>
      </c>
      <c r="AC107">
        <v>2.0258385631826602E-2</v>
      </c>
      <c r="AD107">
        <v>1.0509651341666076E-3</v>
      </c>
      <c r="AE107">
        <v>5.1373651630783241E-4</v>
      </c>
      <c r="AF107">
        <v>2.1931422863224407E-4</v>
      </c>
      <c r="AG107">
        <v>6.5471391531693058E-3</v>
      </c>
      <c r="AH107">
        <v>1.2339274427811764E-3</v>
      </c>
      <c r="AI107">
        <v>1.1178037347816816E-3</v>
      </c>
    </row>
    <row r="108" spans="2:35" ht="16" customHeight="1">
      <c r="B108" s="13">
        <v>12</v>
      </c>
      <c r="C108">
        <v>7.3645208803272105E-4</v>
      </c>
      <c r="D108">
        <v>8.2629594038974535E-4</v>
      </c>
      <c r="E108">
        <v>3.0943086673750146E-4</v>
      </c>
      <c r="F108">
        <v>2.4981866382523156E-4</v>
      </c>
      <c r="G108">
        <v>1.0762756363832287E-3</v>
      </c>
      <c r="H108">
        <v>8.7468181562578011E-4</v>
      </c>
      <c r="I108">
        <v>5.2320966609983714E-4</v>
      </c>
      <c r="J108">
        <v>7.7344304912027888E-4</v>
      </c>
      <c r="K108">
        <v>6.9971405140702376E-4</v>
      </c>
      <c r="L108">
        <v>2.5074397377977236E-4</v>
      </c>
      <c r="M108">
        <v>6.4516484576410235E-4</v>
      </c>
      <c r="N108">
        <v>1.0007530666816271</v>
      </c>
      <c r="O108">
        <v>3.50033814664791E-4</v>
      </c>
      <c r="P108">
        <v>8.3254523793736151E-4</v>
      </c>
      <c r="Q108">
        <v>7.4567897553701862E-4</v>
      </c>
      <c r="R108">
        <v>8.5678718522878914E-4</v>
      </c>
      <c r="S108">
        <v>7.7857454569142681E-4</v>
      </c>
      <c r="T108">
        <v>7.30751241170204E-4</v>
      </c>
      <c r="U108">
        <v>3.7453577967925373E-4</v>
      </c>
      <c r="V108">
        <v>1.0390072621078532E-3</v>
      </c>
      <c r="W108">
        <v>1.2150188576127176E-3</v>
      </c>
      <c r="X108">
        <v>5.8451071450953726E-4</v>
      </c>
      <c r="Y108">
        <v>4.3931908457321174E-4</v>
      </c>
      <c r="Z108">
        <v>5.5533869773273113E-4</v>
      </c>
      <c r="AA108">
        <v>8.0222049596391065E-4</v>
      </c>
      <c r="AB108">
        <v>9.213958058283604E-4</v>
      </c>
      <c r="AC108">
        <v>5.0045755226084496E-2</v>
      </c>
      <c r="AD108">
        <v>1.1701878968945502E-3</v>
      </c>
      <c r="AE108">
        <v>5.7918780547641007E-4</v>
      </c>
      <c r="AF108">
        <v>2.9487353194569704E-4</v>
      </c>
      <c r="AG108">
        <v>4.3134828591098011E-3</v>
      </c>
      <c r="AH108">
        <v>2.8729803509081912E-3</v>
      </c>
      <c r="AI108">
        <v>1.1171920231517487E-3</v>
      </c>
    </row>
    <row r="109" spans="2:35" ht="16" customHeight="1">
      <c r="B109" s="15">
        <v>13</v>
      </c>
      <c r="C109">
        <v>2.3495269316578119E-3</v>
      </c>
      <c r="D109">
        <v>1.7458403810410236E-2</v>
      </c>
      <c r="E109">
        <v>6.1454937621077687E-4</v>
      </c>
      <c r="F109">
        <v>5.8883483495143621E-2</v>
      </c>
      <c r="G109">
        <v>4.7836312717127244E-3</v>
      </c>
      <c r="H109">
        <v>1.2723300124992966E-2</v>
      </c>
      <c r="I109">
        <v>8.9432973811431338E-3</v>
      </c>
      <c r="J109">
        <v>9.0780528226933107E-3</v>
      </c>
      <c r="K109">
        <v>6.9851566544386181E-3</v>
      </c>
      <c r="L109">
        <v>7.7675772328854942E-3</v>
      </c>
      <c r="M109">
        <v>7.2003371527035211E-3</v>
      </c>
      <c r="N109">
        <v>6.3900064300786374E-2</v>
      </c>
      <c r="O109">
        <v>1.1799551810559812</v>
      </c>
      <c r="P109">
        <v>3.2666996715308054E-3</v>
      </c>
      <c r="Q109">
        <v>1.5638048262474166E-3</v>
      </c>
      <c r="R109">
        <v>6.5380388094148393E-3</v>
      </c>
      <c r="S109">
        <v>2.9612549706945568E-3</v>
      </c>
      <c r="T109">
        <v>2.932547428100789E-3</v>
      </c>
      <c r="U109">
        <v>7.8254871808372095E-4</v>
      </c>
      <c r="V109">
        <v>1.1692887929926159E-3</v>
      </c>
      <c r="W109">
        <v>2.5584614702450514E-3</v>
      </c>
      <c r="X109">
        <v>4.0834545072100922E-2</v>
      </c>
      <c r="Y109">
        <v>5.7919389732289783E-4</v>
      </c>
      <c r="Z109">
        <v>1.274673360148039E-3</v>
      </c>
      <c r="AA109">
        <v>1.701295167978178E-3</v>
      </c>
      <c r="AB109">
        <v>4.7694428981901963E-3</v>
      </c>
      <c r="AC109">
        <v>9.6421260884362887E-3</v>
      </c>
      <c r="AD109">
        <v>1.7386453520408919E-3</v>
      </c>
      <c r="AE109">
        <v>1.4258022474764238E-3</v>
      </c>
      <c r="AF109">
        <v>5.9411949553677204E-4</v>
      </c>
      <c r="AG109">
        <v>1.1295224610501442E-2</v>
      </c>
      <c r="AH109">
        <v>1.1191875515181466E-2</v>
      </c>
      <c r="AI109">
        <v>2.3689962406419785E-3</v>
      </c>
    </row>
    <row r="110" spans="2:35" ht="16" customHeight="1">
      <c r="B110" s="15">
        <v>14</v>
      </c>
      <c r="C110">
        <v>1.1377494006382831E-4</v>
      </c>
      <c r="D110">
        <v>3.4953696702997688E-4</v>
      </c>
      <c r="E110">
        <v>5.2021821780426201E-5</v>
      </c>
      <c r="F110">
        <v>9.5062800326862313E-4</v>
      </c>
      <c r="G110">
        <v>1.4926186317630778E-4</v>
      </c>
      <c r="H110">
        <v>9.1033722710288836E-4</v>
      </c>
      <c r="I110">
        <v>1.6885374434349402E-3</v>
      </c>
      <c r="J110">
        <v>7.3393715589921611E-4</v>
      </c>
      <c r="K110">
        <v>1.0114557927571317E-3</v>
      </c>
      <c r="L110">
        <v>7.7274446789225761E-4</v>
      </c>
      <c r="M110">
        <v>6.8295952123289584E-4</v>
      </c>
      <c r="N110">
        <v>2.125106516181822E-3</v>
      </c>
      <c r="O110">
        <v>1.7989325228533727E-2</v>
      </c>
      <c r="P110">
        <v>1.1849220976283648</v>
      </c>
      <c r="Q110">
        <v>6.7175526980217554E-5</v>
      </c>
      <c r="R110">
        <v>4.2736096978370549E-4</v>
      </c>
      <c r="S110">
        <v>2.5649952531045094E-4</v>
      </c>
      <c r="T110">
        <v>1.0213657807294285E-4</v>
      </c>
      <c r="U110">
        <v>5.8424803480783746E-5</v>
      </c>
      <c r="V110">
        <v>3.2341393670234485E-4</v>
      </c>
      <c r="W110">
        <v>1.5992666163248356E-3</v>
      </c>
      <c r="X110">
        <v>7.5824590022207034E-4</v>
      </c>
      <c r="Y110">
        <v>7.1978154178108669E-5</v>
      </c>
      <c r="Z110">
        <v>9.8001685994574214E-5</v>
      </c>
      <c r="AA110">
        <v>1.0098114737809359E-4</v>
      </c>
      <c r="AB110">
        <v>1.6776539330471925E-4</v>
      </c>
      <c r="AC110">
        <v>3.8973096983461347E-4</v>
      </c>
      <c r="AD110">
        <v>1.3298966265757757E-4</v>
      </c>
      <c r="AE110">
        <v>8.1053411809996827E-5</v>
      </c>
      <c r="AF110">
        <v>2.9777605520650219E-5</v>
      </c>
      <c r="AG110">
        <v>1.2473623395346703E-3</v>
      </c>
      <c r="AH110">
        <v>2.588103910152672E-4</v>
      </c>
      <c r="AI110">
        <v>2.5254023718006437E-4</v>
      </c>
    </row>
    <row r="111" spans="2:35" ht="16" customHeight="1">
      <c r="B111" s="13">
        <v>15</v>
      </c>
      <c r="C111">
        <v>1.7110488436732678E-2</v>
      </c>
      <c r="D111">
        <v>1.9653534492036658E-2</v>
      </c>
      <c r="E111">
        <v>1.481679326233515E-2</v>
      </c>
      <c r="F111">
        <v>5.3921637254757968E-3</v>
      </c>
      <c r="G111">
        <v>5.6855607652077349E-3</v>
      </c>
      <c r="H111">
        <v>8.8611228982624947E-3</v>
      </c>
      <c r="I111">
        <v>7.1927731043034803E-3</v>
      </c>
      <c r="J111">
        <v>6.8549097762658556E-3</v>
      </c>
      <c r="K111">
        <v>8.7097944476068421E-3</v>
      </c>
      <c r="L111">
        <v>1.432580769114496E-3</v>
      </c>
      <c r="M111">
        <v>4.1660471422299734E-3</v>
      </c>
      <c r="N111">
        <v>2.7128052032520896E-3</v>
      </c>
      <c r="O111">
        <v>2.6298350737482368E-3</v>
      </c>
      <c r="P111">
        <v>2.3065198977003476E-3</v>
      </c>
      <c r="Q111">
        <v>1.2061550836790829</v>
      </c>
      <c r="R111">
        <v>3.5444471679076865E-3</v>
      </c>
      <c r="S111">
        <v>1.5120322918698572E-3</v>
      </c>
      <c r="T111">
        <v>1.8374300718530391E-3</v>
      </c>
      <c r="U111">
        <v>6.2265040084929189E-4</v>
      </c>
      <c r="V111">
        <v>1.9690872293246678E-3</v>
      </c>
      <c r="W111">
        <v>4.728467277581948E-3</v>
      </c>
      <c r="X111">
        <v>5.4129262977843644E-2</v>
      </c>
      <c r="Y111">
        <v>2.4248535162586441E-4</v>
      </c>
      <c r="Z111">
        <v>7.56847443320533E-2</v>
      </c>
      <c r="AA111">
        <v>1.6890149405525566E-3</v>
      </c>
      <c r="AB111">
        <v>5.9559657561229313E-3</v>
      </c>
      <c r="AC111">
        <v>2.5914464323228991E-3</v>
      </c>
      <c r="AD111">
        <v>8.8885850795573373E-3</v>
      </c>
      <c r="AE111">
        <v>1.0043030613835521E-3</v>
      </c>
      <c r="AF111">
        <v>9.781811963946055E-4</v>
      </c>
      <c r="AG111">
        <v>3.2109214728339892E-3</v>
      </c>
      <c r="AH111">
        <v>1.4057678649405934E-3</v>
      </c>
      <c r="AI111">
        <v>9.2034331897627108E-4</v>
      </c>
    </row>
    <row r="112" spans="2:35" ht="16" customHeight="1">
      <c r="B112" s="13">
        <v>16</v>
      </c>
      <c r="C112">
        <v>1.3971482517640934E-2</v>
      </c>
      <c r="D112">
        <v>8.579572701895969E-3</v>
      </c>
      <c r="E112">
        <v>9.6963952119998413E-3</v>
      </c>
      <c r="F112">
        <v>2.5723776914137217E-3</v>
      </c>
      <c r="G112">
        <v>7.1353643434599488E-3</v>
      </c>
      <c r="H112">
        <v>1.4510856019214225E-2</v>
      </c>
      <c r="I112">
        <v>1.2747086357928738E-2</v>
      </c>
      <c r="J112">
        <v>1.4419068940561931E-2</v>
      </c>
      <c r="K112">
        <v>1.3819260812586569E-2</v>
      </c>
      <c r="L112">
        <v>4.4908428110900277E-3</v>
      </c>
      <c r="M112">
        <v>1.4099140938409291E-2</v>
      </c>
      <c r="N112">
        <v>5.3314803168255161E-2</v>
      </c>
      <c r="O112">
        <v>5.0963714549759629E-3</v>
      </c>
      <c r="P112">
        <v>1.5700540841870864E-2</v>
      </c>
      <c r="Q112">
        <v>7.381962174455808E-3</v>
      </c>
      <c r="R112">
        <v>1.1927821001588375</v>
      </c>
      <c r="S112">
        <v>8.4967800770054079E-3</v>
      </c>
      <c r="T112">
        <v>5.4385011301755062E-2</v>
      </c>
      <c r="U112">
        <v>5.01492355342671E-3</v>
      </c>
      <c r="V112">
        <v>7.4225714236306395E-3</v>
      </c>
      <c r="W112">
        <v>9.4670704774221306E-3</v>
      </c>
      <c r="X112">
        <v>1.1962891817654718E-2</v>
      </c>
      <c r="Y112">
        <v>3.2244865111951131E-3</v>
      </c>
      <c r="Z112">
        <v>8.9133862796646722E-3</v>
      </c>
      <c r="AA112">
        <v>1.7558940170809011E-2</v>
      </c>
      <c r="AB112">
        <v>2.6908882002681805E-2</v>
      </c>
      <c r="AC112">
        <v>1.4624970249760587E-2</v>
      </c>
      <c r="AD112">
        <v>8.599047217288408E-3</v>
      </c>
      <c r="AE112">
        <v>8.1638813342153095E-3</v>
      </c>
      <c r="AF112">
        <v>4.4244210690223265E-3</v>
      </c>
      <c r="AG112">
        <v>4.637801493949617E-2</v>
      </c>
      <c r="AH112">
        <v>1.1865236745944628E-2</v>
      </c>
      <c r="AI112">
        <v>6.6619565123559087E-3</v>
      </c>
    </row>
    <row r="113" spans="2:35" ht="16" customHeight="1">
      <c r="B113" s="10">
        <v>17</v>
      </c>
      <c r="C113">
        <v>4.0664867609744151E-2</v>
      </c>
      <c r="D113">
        <v>2.077358806560628E-2</v>
      </c>
      <c r="E113">
        <v>3.323820856437941E-2</v>
      </c>
      <c r="F113">
        <v>3.4969464863046182E-2</v>
      </c>
      <c r="G113">
        <v>6.2040897413098428E-2</v>
      </c>
      <c r="H113">
        <v>2.2156597638278021E-2</v>
      </c>
      <c r="I113">
        <v>2.8611333452942804E-2</v>
      </c>
      <c r="J113">
        <v>2.0121721113695878E-2</v>
      </c>
      <c r="K113">
        <v>3.3736684586778851E-2</v>
      </c>
      <c r="L113">
        <v>1.1847778336529799E-2</v>
      </c>
      <c r="M113">
        <v>2.8681306237885174E-2</v>
      </c>
      <c r="N113">
        <v>5.9679310588946197E-2</v>
      </c>
      <c r="O113">
        <v>1.9183394127576754E-2</v>
      </c>
      <c r="P113">
        <v>6.5378332416401022E-2</v>
      </c>
      <c r="Q113">
        <v>2.3780715300551022E-2</v>
      </c>
      <c r="R113">
        <v>4.3845479961850183E-2</v>
      </c>
      <c r="S113">
        <v>1.1509215695736081</v>
      </c>
      <c r="T113">
        <v>3.1742273102468258E-2</v>
      </c>
      <c r="U113">
        <v>1.1635715942145653E-2</v>
      </c>
      <c r="V113">
        <v>6.4011079897015504E-3</v>
      </c>
      <c r="W113">
        <v>1.1348936608286831E-2</v>
      </c>
      <c r="X113">
        <v>5.3767321983587142E-2</v>
      </c>
      <c r="Y113">
        <v>2.1890474337182254E-3</v>
      </c>
      <c r="Z113">
        <v>2.8227826307856866E-2</v>
      </c>
      <c r="AA113">
        <v>1.3614795014784657E-2</v>
      </c>
      <c r="AB113">
        <v>8.798253945659619E-3</v>
      </c>
      <c r="AC113">
        <v>2.0944863729876979E-2</v>
      </c>
      <c r="AD113">
        <v>7.6202885152223485E-3</v>
      </c>
      <c r="AE113">
        <v>2.9811031561207562E-3</v>
      </c>
      <c r="AF113">
        <v>1.8360191020055897E-3</v>
      </c>
      <c r="AG113">
        <v>1.446471629219079E-2</v>
      </c>
      <c r="AH113">
        <v>4.0358568347229576E-2</v>
      </c>
      <c r="AI113">
        <v>3.7302720133856881E-2</v>
      </c>
    </row>
    <row r="114" spans="2:35" ht="16" customHeight="1">
      <c r="B114" s="10">
        <v>18</v>
      </c>
      <c r="C114">
        <v>8.4244308425731164E-4</v>
      </c>
      <c r="D114">
        <v>9.472590276312032E-4</v>
      </c>
      <c r="E114">
        <v>1.2691968927651953E-2</v>
      </c>
      <c r="F114">
        <v>3.5243942349133788E-4</v>
      </c>
      <c r="G114">
        <v>5.8076083290271177E-3</v>
      </c>
      <c r="H114">
        <v>9.5706017141875043E-4</v>
      </c>
      <c r="I114">
        <v>5.9452878736868521E-4</v>
      </c>
      <c r="J114">
        <v>1.2303650712783491E-3</v>
      </c>
      <c r="K114">
        <v>9.3166082495255078E-4</v>
      </c>
      <c r="L114">
        <v>1.2394316776719626E-3</v>
      </c>
      <c r="M114">
        <v>1.1047889542084939E-3</v>
      </c>
      <c r="N114">
        <v>3.0198887067201859E-3</v>
      </c>
      <c r="O114">
        <v>5.5664542617182443E-4</v>
      </c>
      <c r="P114">
        <v>7.1736791274222599E-4</v>
      </c>
      <c r="Q114">
        <v>4.732141537754724E-3</v>
      </c>
      <c r="R114">
        <v>1.4050061492409988E-3</v>
      </c>
      <c r="S114">
        <v>5.2205879038218E-3</v>
      </c>
      <c r="T114">
        <v>1.0827884747787759</v>
      </c>
      <c r="U114">
        <v>2.762965989110174E-3</v>
      </c>
      <c r="V114">
        <v>9.4543485507410045E-3</v>
      </c>
      <c r="W114">
        <v>6.5349402539143526E-3</v>
      </c>
      <c r="X114">
        <v>1.3059123828032683E-3</v>
      </c>
      <c r="Y114">
        <v>4.6840941735088636E-4</v>
      </c>
      <c r="Z114">
        <v>0.11049114632134585</v>
      </c>
      <c r="AA114">
        <v>1.7112727075505648E-3</v>
      </c>
      <c r="AB114">
        <v>9.5585545976021734E-4</v>
      </c>
      <c r="AC114">
        <v>1.0053343706176111E-3</v>
      </c>
      <c r="AD114">
        <v>1.3065778264109977E-2</v>
      </c>
      <c r="AE114">
        <v>1.0887461417233412E-3</v>
      </c>
      <c r="AF114">
        <v>9.8512305105148321E-4</v>
      </c>
      <c r="AG114">
        <v>1.9897530154564338E-3</v>
      </c>
      <c r="AH114">
        <v>2.5197363490907041E-3</v>
      </c>
      <c r="AI114">
        <v>2.0736451158876539E-3</v>
      </c>
    </row>
    <row r="115" spans="2:35" ht="16" customHeight="1">
      <c r="B115" s="10">
        <v>19</v>
      </c>
      <c r="C115">
        <v>1.6249414687844678E-3</v>
      </c>
      <c r="D115">
        <v>1.4969281010584134E-3</v>
      </c>
      <c r="E115">
        <v>1.734788194856091E-3</v>
      </c>
      <c r="F115">
        <v>7.081701138016667E-4</v>
      </c>
      <c r="G115">
        <v>1.6895054848326042E-3</v>
      </c>
      <c r="H115">
        <v>1.0094775447027906E-3</v>
      </c>
      <c r="I115">
        <v>9.0782838349225592E-4</v>
      </c>
      <c r="J115">
        <v>8.0615910959272582E-4</v>
      </c>
      <c r="K115">
        <v>1.1054728042195379E-3</v>
      </c>
      <c r="L115">
        <v>3.4682943269635753E-4</v>
      </c>
      <c r="M115">
        <v>7.8319776162695358E-4</v>
      </c>
      <c r="N115">
        <v>3.1450621823533955E-3</v>
      </c>
      <c r="O115">
        <v>5.9408953813750169E-4</v>
      </c>
      <c r="P115">
        <v>1.3646363694560213E-3</v>
      </c>
      <c r="Q115">
        <v>9.0889900946854868E-4</v>
      </c>
      <c r="R115">
        <v>2.4153294506948446E-3</v>
      </c>
      <c r="S115">
        <v>1.9769964696590651E-2</v>
      </c>
      <c r="T115">
        <v>6.0452440016378877E-3</v>
      </c>
      <c r="U115">
        <v>1.0518311048447526</v>
      </c>
      <c r="V115">
        <v>3.2983060206174793E-4</v>
      </c>
      <c r="W115">
        <v>6.4417972594776516E-4</v>
      </c>
      <c r="X115">
        <v>7.2454003558893006E-3</v>
      </c>
      <c r="Y115">
        <v>7.1580446735051962E-5</v>
      </c>
      <c r="Z115">
        <v>6.3170386699410459E-3</v>
      </c>
      <c r="AA115">
        <v>4.9739532102981989E-4</v>
      </c>
      <c r="AB115">
        <v>8.5032766952160992E-4</v>
      </c>
      <c r="AC115">
        <v>6.9975001466006295E-4</v>
      </c>
      <c r="AD115">
        <v>8.9525876180009221E-4</v>
      </c>
      <c r="AE115">
        <v>4.7077850391978203E-4</v>
      </c>
      <c r="AF115">
        <v>1.2499308288820888E-4</v>
      </c>
      <c r="AG115">
        <v>6.7902755945093427E-4</v>
      </c>
      <c r="AH115">
        <v>8.9213894249701089E-4</v>
      </c>
      <c r="AI115">
        <v>8.871280494321624E-4</v>
      </c>
    </row>
    <row r="116" spans="2:35" ht="16" customHeight="1">
      <c r="B116" s="10">
        <v>20</v>
      </c>
      <c r="C116">
        <v>3.6011973490903222E-3</v>
      </c>
      <c r="D116">
        <v>4.5418666884719421E-3</v>
      </c>
      <c r="E116">
        <v>2.292456057137837E-3</v>
      </c>
      <c r="F116">
        <v>3.5338384724389765E-3</v>
      </c>
      <c r="G116">
        <v>6.9231056769736746E-2</v>
      </c>
      <c r="H116">
        <v>4.0231773083767835E-3</v>
      </c>
      <c r="I116">
        <v>2.4191730177942137E-3</v>
      </c>
      <c r="J116">
        <v>3.550144673468023E-3</v>
      </c>
      <c r="K116">
        <v>3.3257207910988417E-3</v>
      </c>
      <c r="L116">
        <v>1.1761386598202106E-3</v>
      </c>
      <c r="M116">
        <v>2.7999432478820864E-3</v>
      </c>
      <c r="N116">
        <v>3.893832709419137E-3</v>
      </c>
      <c r="O116">
        <v>2.3685181209095476E-3</v>
      </c>
      <c r="P116">
        <v>3.8255322807060114E-3</v>
      </c>
      <c r="Q116">
        <v>4.046255051300492E-3</v>
      </c>
      <c r="R116">
        <v>7.1851061442594266E-3</v>
      </c>
      <c r="S116">
        <v>2.4711300652765434E-2</v>
      </c>
      <c r="T116">
        <v>1.4995683276544224E-2</v>
      </c>
      <c r="U116">
        <v>1.9302070005597768E-3</v>
      </c>
      <c r="V116">
        <v>1.1074007770463286</v>
      </c>
      <c r="W116">
        <v>0.13958347469513729</v>
      </c>
      <c r="X116">
        <v>3.2440823013979839E-2</v>
      </c>
      <c r="Y116">
        <v>2.0304296473605027E-3</v>
      </c>
      <c r="Z116">
        <v>2.1175686506888319E-2</v>
      </c>
      <c r="AA116">
        <v>7.8030239214956307E-3</v>
      </c>
      <c r="AB116">
        <v>5.1420558489251277E-3</v>
      </c>
      <c r="AC116">
        <v>2.708348695009047E-3</v>
      </c>
      <c r="AD116">
        <v>6.1777708515175439E-3</v>
      </c>
      <c r="AE116">
        <v>1.7499623773742355E-3</v>
      </c>
      <c r="AF116">
        <v>8.889215542090146E-4</v>
      </c>
      <c r="AG116">
        <v>3.6523350451296076E-3</v>
      </c>
      <c r="AH116">
        <v>6.4700745440168942E-3</v>
      </c>
      <c r="AI116">
        <v>3.4879930766966672E-3</v>
      </c>
    </row>
    <row r="117" spans="2:35" ht="16" customHeight="1">
      <c r="B117" s="10">
        <v>21</v>
      </c>
      <c r="C117">
        <v>5.3844474711999631E-4</v>
      </c>
      <c r="D117">
        <v>6.8318202135125004E-4</v>
      </c>
      <c r="E117">
        <v>4.9469861168729295E-4</v>
      </c>
      <c r="F117">
        <v>1.5922769679205088E-4</v>
      </c>
      <c r="G117">
        <v>1.5097619814834497E-3</v>
      </c>
      <c r="H117">
        <v>6.7529722957104462E-4</v>
      </c>
      <c r="I117">
        <v>3.6183548755751527E-4</v>
      </c>
      <c r="J117">
        <v>6.5242685666719964E-4</v>
      </c>
      <c r="K117">
        <v>5.34724190306815E-4</v>
      </c>
      <c r="L117">
        <v>1.5623542777466623E-4</v>
      </c>
      <c r="M117">
        <v>4.5670155584962664E-4</v>
      </c>
      <c r="N117">
        <v>5.4459756496693409E-4</v>
      </c>
      <c r="O117">
        <v>3.6814053932321926E-4</v>
      </c>
      <c r="P117">
        <v>3.3059374528221177E-4</v>
      </c>
      <c r="Q117">
        <v>5.9663529235527094E-4</v>
      </c>
      <c r="R117">
        <v>7.2693143673204516E-4</v>
      </c>
      <c r="S117">
        <v>8.2134850512726495E-4</v>
      </c>
      <c r="T117">
        <v>5.9747684431484742E-4</v>
      </c>
      <c r="U117">
        <v>2.1878069530837483E-4</v>
      </c>
      <c r="V117">
        <v>1.4305427317773683E-2</v>
      </c>
      <c r="W117">
        <v>1.0222061882597868</v>
      </c>
      <c r="X117">
        <v>2.4816561611728937E-3</v>
      </c>
      <c r="Y117">
        <v>1.6807899716774678E-4</v>
      </c>
      <c r="Z117">
        <v>6.0294285094643731E-4</v>
      </c>
      <c r="AA117">
        <v>9.7536954475431795E-4</v>
      </c>
      <c r="AB117">
        <v>8.2238180700165144E-4</v>
      </c>
      <c r="AC117">
        <v>5.3443947725146561E-4</v>
      </c>
      <c r="AD117">
        <v>5.5478558267893982E-3</v>
      </c>
      <c r="AE117">
        <v>5.8606884327357036E-4</v>
      </c>
      <c r="AF117">
        <v>1.9004391933961559E-4</v>
      </c>
      <c r="AG117">
        <v>9.1251146760629512E-4</v>
      </c>
      <c r="AH117">
        <v>5.3825772052188792E-4</v>
      </c>
      <c r="AI117">
        <v>7.3869485003274615E-4</v>
      </c>
    </row>
    <row r="118" spans="2:35" ht="16" customHeight="1">
      <c r="B118" s="10">
        <v>22</v>
      </c>
      <c r="C118">
        <v>3.153905922870745E-2</v>
      </c>
      <c r="D118">
        <v>5.377512438161209E-2</v>
      </c>
      <c r="E118">
        <v>3.5486795460736723E-3</v>
      </c>
      <c r="F118">
        <v>1.3844288074272446E-2</v>
      </c>
      <c r="G118">
        <v>8.9106819278771274E-2</v>
      </c>
      <c r="H118">
        <v>3.3737247728892271E-2</v>
      </c>
      <c r="I118">
        <v>1.6124765875784871E-2</v>
      </c>
      <c r="J118">
        <v>2.6200463644153505E-2</v>
      </c>
      <c r="K118">
        <v>2.3619302168249038E-2</v>
      </c>
      <c r="L118">
        <v>6.1858514689260005E-3</v>
      </c>
      <c r="M118">
        <v>1.5946488194092615E-2</v>
      </c>
      <c r="N118">
        <v>1.8275257499512886E-2</v>
      </c>
      <c r="O118">
        <v>3.6804909135776324E-2</v>
      </c>
      <c r="P118">
        <v>2.4320604363202703E-2</v>
      </c>
      <c r="Q118">
        <v>1.4782136152495426E-2</v>
      </c>
      <c r="R118">
        <v>4.3705715628166851E-2</v>
      </c>
      <c r="S118">
        <v>1.7753693939056604E-2</v>
      </c>
      <c r="T118">
        <v>2.7394962679375846E-2</v>
      </c>
      <c r="U118">
        <v>6.7009299782753544E-3</v>
      </c>
      <c r="V118">
        <v>4.5874464559286779E-3</v>
      </c>
      <c r="W118">
        <v>3.1424047416239234E-2</v>
      </c>
      <c r="X118">
        <v>1.0156779458238783</v>
      </c>
      <c r="Y118">
        <v>3.2304610266023102E-3</v>
      </c>
      <c r="Z118">
        <v>1.1113737366271536E-2</v>
      </c>
      <c r="AA118">
        <v>1.3456026963630373E-2</v>
      </c>
      <c r="AB118">
        <v>9.1741234921907097E-2</v>
      </c>
      <c r="AC118">
        <v>1.0982169158447798E-2</v>
      </c>
      <c r="AD118">
        <v>5.9516221151761535E-3</v>
      </c>
      <c r="AE118">
        <v>9.0853460125654879E-3</v>
      </c>
      <c r="AF118">
        <v>6.0441368777849622E-3</v>
      </c>
      <c r="AG118">
        <v>3.3993054039963298E-2</v>
      </c>
      <c r="AH118">
        <v>1.6541176015131595E-2</v>
      </c>
      <c r="AI118">
        <v>9.8073513771584457E-3</v>
      </c>
    </row>
    <row r="119" spans="2:35" ht="16" customHeight="1">
      <c r="B119" s="10">
        <v>23</v>
      </c>
      <c r="C119">
        <v>1.079343089484189E-2</v>
      </c>
      <c r="D119">
        <v>1.9857995384949513E-2</v>
      </c>
      <c r="E119">
        <v>6.4643346967605073E-3</v>
      </c>
      <c r="F119">
        <v>6.4272370171228853E-3</v>
      </c>
      <c r="G119">
        <v>1.9141949814831468E-2</v>
      </c>
      <c r="H119">
        <v>2.5433217433353816E-2</v>
      </c>
      <c r="I119">
        <v>2.1795427616880709E-2</v>
      </c>
      <c r="J119">
        <v>4.7251944270646905E-2</v>
      </c>
      <c r="K119">
        <v>3.4461705406344856E-2</v>
      </c>
      <c r="L119">
        <v>2.2620321682058513E-2</v>
      </c>
      <c r="M119">
        <v>2.6432446545593166E-2</v>
      </c>
      <c r="N119">
        <v>6.8800277748425079E-2</v>
      </c>
      <c r="O119">
        <v>4.2283555118469554E-2</v>
      </c>
      <c r="P119">
        <v>1.5983760433001704E-2</v>
      </c>
      <c r="Q119">
        <v>2.7949333739967899E-2</v>
      </c>
      <c r="R119">
        <v>2.7499901658259298E-2</v>
      </c>
      <c r="S119">
        <v>2.6885985428571093E-2</v>
      </c>
      <c r="T119">
        <v>4.1198357193450434E-2</v>
      </c>
      <c r="U119">
        <v>1.3265881770881182E-2</v>
      </c>
      <c r="V119">
        <v>2.7277186315943884E-2</v>
      </c>
      <c r="W119">
        <v>3.1138119943429847E-2</v>
      </c>
      <c r="X119">
        <v>2.0794637264043223E-2</v>
      </c>
      <c r="Y119">
        <v>1.1205048342013002</v>
      </c>
      <c r="Z119">
        <v>1.2394296268401273E-2</v>
      </c>
      <c r="AA119">
        <v>4.1530082215491745E-2</v>
      </c>
      <c r="AB119">
        <v>2.1627535105381492E-2</v>
      </c>
      <c r="AC119">
        <v>3.8394385177849141E-2</v>
      </c>
      <c r="AD119">
        <v>1.7393437375149583E-2</v>
      </c>
      <c r="AE119">
        <v>1.434352241746208E-2</v>
      </c>
      <c r="AF119">
        <v>4.1632060841538927E-2</v>
      </c>
      <c r="AG119">
        <v>5.3433692133091883E-2</v>
      </c>
      <c r="AH119">
        <v>7.414133110815542E-2</v>
      </c>
      <c r="AI119">
        <v>2.0088682650599089E-2</v>
      </c>
    </row>
    <row r="120" spans="2:35" ht="16" customHeight="1">
      <c r="B120" s="10">
        <v>24</v>
      </c>
      <c r="C120">
        <v>2.1391633731897277E-3</v>
      </c>
      <c r="D120">
        <v>2.4106716913751139E-3</v>
      </c>
      <c r="E120">
        <v>1.6094715989221876E-3</v>
      </c>
      <c r="F120">
        <v>8.6322153067886788E-4</v>
      </c>
      <c r="G120">
        <v>4.0619404699525734E-3</v>
      </c>
      <c r="H120">
        <v>2.9033750290276667E-3</v>
      </c>
      <c r="I120">
        <v>1.4942889205656373E-3</v>
      </c>
      <c r="J120">
        <v>3.3201073259291228E-3</v>
      </c>
      <c r="K120">
        <v>2.7395061712181643E-3</v>
      </c>
      <c r="L120">
        <v>1.3606600446433377E-3</v>
      </c>
      <c r="M120">
        <v>2.1933412837406678E-3</v>
      </c>
      <c r="N120">
        <v>2.4118781854978698E-3</v>
      </c>
      <c r="O120">
        <v>2.0931433875237895E-3</v>
      </c>
      <c r="P120">
        <v>2.5567956682715173E-3</v>
      </c>
      <c r="Q120">
        <v>2.9629121813437875E-3</v>
      </c>
      <c r="R120">
        <v>3.2959069915276728E-3</v>
      </c>
      <c r="S120">
        <v>2.9253497384468937E-3</v>
      </c>
      <c r="T120">
        <v>2.4395213063597085E-3</v>
      </c>
      <c r="U120">
        <v>2.9439247516597836E-3</v>
      </c>
      <c r="V120">
        <v>2.2439268830686008E-2</v>
      </c>
      <c r="W120">
        <v>3.5832068920264727E-2</v>
      </c>
      <c r="X120">
        <v>3.2679853778687412E-3</v>
      </c>
      <c r="Y120">
        <v>4.8703317876010605E-4</v>
      </c>
      <c r="Z120">
        <v>1.0352122042146579</v>
      </c>
      <c r="AA120">
        <v>1.1091447391714138E-2</v>
      </c>
      <c r="AB120">
        <v>3.4641695725796486E-3</v>
      </c>
      <c r="AC120">
        <v>2.8135915623655771E-3</v>
      </c>
      <c r="AD120">
        <v>0.11523524628919045</v>
      </c>
      <c r="AE120">
        <v>5.8352535927130578E-3</v>
      </c>
      <c r="AF120">
        <v>7.9818567494845966E-3</v>
      </c>
      <c r="AG120">
        <v>1.3787988039532271E-2</v>
      </c>
      <c r="AH120">
        <v>4.4468345514025861E-3</v>
      </c>
      <c r="AI120">
        <v>3.4560762750321639E-3</v>
      </c>
    </row>
    <row r="121" spans="2:35" ht="16" customHeight="1">
      <c r="B121" s="10">
        <v>25</v>
      </c>
      <c r="C121">
        <v>7.5143233635047893E-2</v>
      </c>
      <c r="D121">
        <v>7.8893822355927234E-2</v>
      </c>
      <c r="E121">
        <v>6.8882770225531631E-2</v>
      </c>
      <c r="F121">
        <v>4.0483085417528979E-2</v>
      </c>
      <c r="G121">
        <v>0.18653223423918125</v>
      </c>
      <c r="H121">
        <v>0.14895854078790688</v>
      </c>
      <c r="I121">
        <v>5.9817354632666013E-2</v>
      </c>
      <c r="J121">
        <v>0.13964645825357622</v>
      </c>
      <c r="K121">
        <v>0.11183301084480668</v>
      </c>
      <c r="L121">
        <v>2.027009765796579E-2</v>
      </c>
      <c r="M121">
        <v>9.1241756639039412E-2</v>
      </c>
      <c r="N121">
        <v>0.1225808610227138</v>
      </c>
      <c r="O121">
        <v>5.1551299966943395E-2</v>
      </c>
      <c r="P121">
        <v>0.14721544377418694</v>
      </c>
      <c r="Q121">
        <v>0.17385268940892054</v>
      </c>
      <c r="R121">
        <v>0.16603382221568042</v>
      </c>
      <c r="S121">
        <v>0.13279291849879685</v>
      </c>
      <c r="T121">
        <v>0.13031293838217484</v>
      </c>
      <c r="U121">
        <v>3.829005189371458E-2</v>
      </c>
      <c r="V121">
        <v>0.15222634180264089</v>
      </c>
      <c r="W121">
        <v>0.16288504722740491</v>
      </c>
      <c r="X121">
        <v>0.10957685095499202</v>
      </c>
      <c r="Y121">
        <v>8.6337712389157762E-3</v>
      </c>
      <c r="Z121">
        <v>0.11748896634224686</v>
      </c>
      <c r="AA121">
        <v>1.0713094757285908</v>
      </c>
      <c r="AB121">
        <v>0.16210254121585765</v>
      </c>
      <c r="AC121">
        <v>7.4943009370574354E-2</v>
      </c>
      <c r="AD121">
        <v>8.6880609730761837E-2</v>
      </c>
      <c r="AE121">
        <v>1.9254866656717471E-2</v>
      </c>
      <c r="AF121">
        <v>1.3704739260800663E-2</v>
      </c>
      <c r="AG121">
        <v>8.3529740868148558E-2</v>
      </c>
      <c r="AH121">
        <v>5.4041895354606129E-2</v>
      </c>
      <c r="AI121">
        <v>4.6871469313742121E-2</v>
      </c>
    </row>
    <row r="122" spans="2:35" ht="16" customHeight="1">
      <c r="B122" s="10">
        <v>26</v>
      </c>
      <c r="C122">
        <v>6.72572526327542E-2</v>
      </c>
      <c r="D122">
        <v>5.8400570164311535E-2</v>
      </c>
      <c r="E122">
        <v>1.4324251329121965E-2</v>
      </c>
      <c r="F122">
        <v>1.3044552034260587E-2</v>
      </c>
      <c r="G122">
        <v>4.1262709555517876E-2</v>
      </c>
      <c r="H122">
        <v>5.6176123815235839E-2</v>
      </c>
      <c r="I122">
        <v>3.8078428603888062E-2</v>
      </c>
      <c r="J122">
        <v>3.8549188983641083E-2</v>
      </c>
      <c r="K122">
        <v>4.8940110242409941E-2</v>
      </c>
      <c r="L122">
        <v>1.087399273736875E-2</v>
      </c>
      <c r="M122">
        <v>3.2456065827021083E-2</v>
      </c>
      <c r="N122">
        <v>2.8021404952841542E-2</v>
      </c>
      <c r="O122">
        <v>1.0450472102474975E-2</v>
      </c>
      <c r="P122">
        <v>2.3753925732089034E-2</v>
      </c>
      <c r="Q122">
        <v>2.5695151051586748E-2</v>
      </c>
      <c r="R122">
        <v>2.272914649813371E-2</v>
      </c>
      <c r="S122">
        <v>2.8204732993986459E-2</v>
      </c>
      <c r="T122">
        <v>2.9626805368995836E-2</v>
      </c>
      <c r="U122">
        <v>1.043766651251209E-2</v>
      </c>
      <c r="V122">
        <v>1.8937474408468009E-2</v>
      </c>
      <c r="W122">
        <v>7.5533827287169036E-2</v>
      </c>
      <c r="X122">
        <v>1.7402801357781619E-2</v>
      </c>
      <c r="Y122">
        <v>1.2350151464209759E-2</v>
      </c>
      <c r="Z122">
        <v>1.9236119787489049E-2</v>
      </c>
      <c r="AA122">
        <v>6.9094133188266238E-2</v>
      </c>
      <c r="AB122">
        <v>1.0168701191743781</v>
      </c>
      <c r="AC122">
        <v>2.2679300853447753E-2</v>
      </c>
      <c r="AD122">
        <v>1.4717662124309314E-2</v>
      </c>
      <c r="AE122">
        <v>1.2129793586538557E-2</v>
      </c>
      <c r="AF122">
        <v>1.3448906875286597E-2</v>
      </c>
      <c r="AG122">
        <v>5.780734226203809E-2</v>
      </c>
      <c r="AH122">
        <v>1.7613943432331206E-2</v>
      </c>
      <c r="AI122">
        <v>9.5013333157583577E-3</v>
      </c>
    </row>
    <row r="123" spans="2:35" ht="16" customHeight="1">
      <c r="B123" s="10">
        <v>27</v>
      </c>
      <c r="C123">
        <v>4.1449947435863001E-3</v>
      </c>
      <c r="D123">
        <v>5.3837436813746224E-3</v>
      </c>
      <c r="E123">
        <v>3.0552975125552736E-3</v>
      </c>
      <c r="F123">
        <v>2.7408099280810966E-3</v>
      </c>
      <c r="G123">
        <v>7.2351766585422835E-3</v>
      </c>
      <c r="H123">
        <v>4.4918145550825808E-3</v>
      </c>
      <c r="I123">
        <v>3.2921014062309234E-3</v>
      </c>
      <c r="J123">
        <v>4.782378896914216E-3</v>
      </c>
      <c r="K123">
        <v>3.8141594554682951E-3</v>
      </c>
      <c r="L123">
        <v>2.5601484101497366E-3</v>
      </c>
      <c r="M123">
        <v>4.1840173985518607E-3</v>
      </c>
      <c r="N123">
        <v>4.8855341759596457E-3</v>
      </c>
      <c r="O123">
        <v>1.9962328462060637E-3</v>
      </c>
      <c r="P123">
        <v>3.2896593201449447E-3</v>
      </c>
      <c r="Q123">
        <v>3.6676254245742472E-3</v>
      </c>
      <c r="R123">
        <v>5.1812371229536056E-3</v>
      </c>
      <c r="S123">
        <v>5.5175554674509611E-3</v>
      </c>
      <c r="T123">
        <v>4.0507982354128025E-3</v>
      </c>
      <c r="U123">
        <v>4.1225066343292998E-3</v>
      </c>
      <c r="V123">
        <v>1.1017730720658703E-2</v>
      </c>
      <c r="W123">
        <v>9.448352832014846E-3</v>
      </c>
      <c r="X123">
        <v>3.6054109304468813E-3</v>
      </c>
      <c r="Y123">
        <v>7.045611845748468E-3</v>
      </c>
      <c r="Z123">
        <v>3.3893856910141261E-3</v>
      </c>
      <c r="AA123">
        <v>5.1848787667218245E-3</v>
      </c>
      <c r="AB123">
        <v>7.6857356550693312E-3</v>
      </c>
      <c r="AC123">
        <v>1.0103185224854463</v>
      </c>
      <c r="AD123">
        <v>1.3173567723691734E-2</v>
      </c>
      <c r="AE123">
        <v>6.5162111019870794E-3</v>
      </c>
      <c r="AF123">
        <v>3.1544941052791538E-3</v>
      </c>
      <c r="AG123">
        <v>1.3546396208709042E-2</v>
      </c>
      <c r="AH123">
        <v>1.0686742403246375E-2</v>
      </c>
      <c r="AI123">
        <v>1.6926964673393302E-2</v>
      </c>
    </row>
    <row r="124" spans="2:35" ht="16" customHeight="1">
      <c r="B124" s="10">
        <v>28</v>
      </c>
      <c r="C124">
        <v>1.6032334289672032E-2</v>
      </c>
      <c r="D124">
        <v>1.8887440216163114E-2</v>
      </c>
      <c r="E124">
        <v>1.5473245459022145E-2</v>
      </c>
      <c r="F124">
        <v>7.63481031807415E-3</v>
      </c>
      <c r="G124">
        <v>2.8690042105702893E-2</v>
      </c>
      <c r="H124">
        <v>2.6797199969827119E-2</v>
      </c>
      <c r="I124">
        <v>1.219297411135916E-2</v>
      </c>
      <c r="J124">
        <v>3.2260630394331455E-2</v>
      </c>
      <c r="K124">
        <v>2.4876420141733864E-2</v>
      </c>
      <c r="L124">
        <v>1.0836859805248988E-2</v>
      </c>
      <c r="M124">
        <v>1.9840546408365686E-2</v>
      </c>
      <c r="N124">
        <v>2.2317399302343402E-2</v>
      </c>
      <c r="O124">
        <v>2.0852865775081254E-2</v>
      </c>
      <c r="P124">
        <v>2.4504300545422894E-2</v>
      </c>
      <c r="Q124">
        <v>2.9502193163147412E-2</v>
      </c>
      <c r="R124">
        <v>3.1269106999961285E-2</v>
      </c>
      <c r="S124">
        <v>2.411156594895247E-2</v>
      </c>
      <c r="T124">
        <v>2.1918609957977755E-2</v>
      </c>
      <c r="U124">
        <v>2.8730594147220848E-2</v>
      </c>
      <c r="V124">
        <v>3.0159176790653271E-2</v>
      </c>
      <c r="W124">
        <v>4.9131191183117505E-2</v>
      </c>
      <c r="X124">
        <v>2.5899661345774233E-2</v>
      </c>
      <c r="Y124">
        <v>3.9536835117858528E-3</v>
      </c>
      <c r="Z124">
        <v>1.7814546499426251E-2</v>
      </c>
      <c r="AA124">
        <v>0.11578734444259819</v>
      </c>
      <c r="AB124">
        <v>3.3453921050381426E-2</v>
      </c>
      <c r="AC124">
        <v>2.6556032389897476E-2</v>
      </c>
      <c r="AD124">
        <v>1.2763497336148559</v>
      </c>
      <c r="AE124">
        <v>4.2525812686581642E-2</v>
      </c>
      <c r="AF124">
        <v>1.7864640132583143E-2</v>
      </c>
      <c r="AG124">
        <v>0.10872190988623735</v>
      </c>
      <c r="AH124">
        <v>4.4022084066185893E-2</v>
      </c>
      <c r="AI124">
        <v>1.961048625047913E-2</v>
      </c>
    </row>
    <row r="125" spans="2:35" ht="16" customHeight="1">
      <c r="B125" s="13">
        <v>29</v>
      </c>
      <c r="C125">
        <v>6.5132842423336335E-2</v>
      </c>
      <c r="D125">
        <v>0.10220821763667351</v>
      </c>
      <c r="E125">
        <v>1.1687102755157327E-2</v>
      </c>
      <c r="F125">
        <v>1.7913384906765219E-2</v>
      </c>
      <c r="G125">
        <v>3.0746167459007212E-2</v>
      </c>
      <c r="H125">
        <v>7.0981118037638471E-2</v>
      </c>
      <c r="I125">
        <v>4.4492437139750859E-2</v>
      </c>
      <c r="J125">
        <v>4.9292917099555585E-2</v>
      </c>
      <c r="K125">
        <v>6.7099870481263535E-2</v>
      </c>
      <c r="L125">
        <v>0.13701390464051003</v>
      </c>
      <c r="M125">
        <v>5.7019468595759924E-2</v>
      </c>
      <c r="N125">
        <v>4.3186738951993674E-2</v>
      </c>
      <c r="O125">
        <v>2.6167535389939021E-2</v>
      </c>
      <c r="P125">
        <v>5.3150370836080471E-2</v>
      </c>
      <c r="Q125">
        <v>3.5860315572470221E-2</v>
      </c>
      <c r="R125">
        <v>4.2966574745940803E-2</v>
      </c>
      <c r="S125">
        <v>5.847313375804538E-2</v>
      </c>
      <c r="T125">
        <v>2.2800199962632037E-2</v>
      </c>
      <c r="U125">
        <v>8.9309895321122379E-2</v>
      </c>
      <c r="V125">
        <v>3.0407403015205527E-2</v>
      </c>
      <c r="W125">
        <v>4.2753462115117595E-2</v>
      </c>
      <c r="X125">
        <v>7.8871862783238197E-2</v>
      </c>
      <c r="Y125">
        <v>5.4621106674514744E-3</v>
      </c>
      <c r="Z125">
        <v>2.665886743496779E-2</v>
      </c>
      <c r="AA125">
        <v>9.3251994531320506E-2</v>
      </c>
      <c r="AB125">
        <v>4.5706710554048777E-2</v>
      </c>
      <c r="AC125">
        <v>3.2124307883073258E-2</v>
      </c>
      <c r="AD125">
        <v>2.1736160965689102E-2</v>
      </c>
      <c r="AE125">
        <v>1.0931436201114908</v>
      </c>
      <c r="AF125">
        <v>7.0477880782609118E-3</v>
      </c>
      <c r="AG125">
        <v>5.6133520820471808E-2</v>
      </c>
      <c r="AH125">
        <v>3.6550397570750459E-2</v>
      </c>
      <c r="AI125">
        <v>2.5207386300327036E-2</v>
      </c>
    </row>
    <row r="126" spans="2:35" ht="16" customHeight="1">
      <c r="B126" s="15">
        <v>30</v>
      </c>
      <c r="C126">
        <v>6.1703549628083498E-2</v>
      </c>
      <c r="D126">
        <v>4.4191463166512665E-2</v>
      </c>
      <c r="E126">
        <v>6.2032280628673163E-3</v>
      </c>
      <c r="F126">
        <v>3.6480414035240652E-3</v>
      </c>
      <c r="G126">
        <v>1.3615219250288538E-2</v>
      </c>
      <c r="H126">
        <v>2.5772049281210369E-2</v>
      </c>
      <c r="I126">
        <v>2.719861225613807E-2</v>
      </c>
      <c r="J126">
        <v>1.881742015696803E-2</v>
      </c>
      <c r="K126">
        <v>3.4273493017089485E-2</v>
      </c>
      <c r="L126">
        <v>1.1300314145020258E-2</v>
      </c>
      <c r="M126">
        <v>1.9406174985158051E-2</v>
      </c>
      <c r="N126">
        <v>1.5493453111393858E-2</v>
      </c>
      <c r="O126">
        <v>1.1098567300966408E-2</v>
      </c>
      <c r="P126">
        <v>1.6126813661718219E-2</v>
      </c>
      <c r="Q126">
        <v>1.1659029201039462E-2</v>
      </c>
      <c r="R126">
        <v>1.3904285312924371E-2</v>
      </c>
      <c r="S126">
        <v>1.1333018059534008E-2</v>
      </c>
      <c r="T126">
        <v>1.0026913810436407E-2</v>
      </c>
      <c r="U126">
        <v>7.6394790000570709E-3</v>
      </c>
      <c r="V126">
        <v>7.1747798689623526E-3</v>
      </c>
      <c r="W126">
        <v>9.1759884751598641E-3</v>
      </c>
      <c r="X126">
        <v>1.469639278532855E-2</v>
      </c>
      <c r="Y126">
        <v>2.4057234991739615E-3</v>
      </c>
      <c r="Z126">
        <v>6.45908159627056E-3</v>
      </c>
      <c r="AA126">
        <v>3.7916420554105039E-2</v>
      </c>
      <c r="AB126">
        <v>2.1449192899122893E-2</v>
      </c>
      <c r="AC126">
        <v>2.3099573442795181E-2</v>
      </c>
      <c r="AD126">
        <v>1.578744238544192E-2</v>
      </c>
      <c r="AE126">
        <v>1.5133153789494059E-2</v>
      </c>
      <c r="AF126">
        <v>1.0059043570170367</v>
      </c>
      <c r="AG126">
        <v>3.5219653525793426E-2</v>
      </c>
      <c r="AH126">
        <v>3.1500581742510275E-2</v>
      </c>
      <c r="AI126">
        <v>1.2190558699626586E-2</v>
      </c>
    </row>
    <row r="127" spans="2:35" ht="16" customHeight="1">
      <c r="B127" s="13">
        <v>31</v>
      </c>
      <c r="C127">
        <v>3.8880570771344686E-2</v>
      </c>
      <c r="D127">
        <v>5.2309598489570487E-2</v>
      </c>
      <c r="E127">
        <v>3.1495584548151982E-2</v>
      </c>
      <c r="F127">
        <v>1.7696265973796955E-2</v>
      </c>
      <c r="G127">
        <v>3.2339765275957423E-2</v>
      </c>
      <c r="H127">
        <v>3.9626561966084765E-2</v>
      </c>
      <c r="I127">
        <v>3.1175809314482307E-2</v>
      </c>
      <c r="J127">
        <v>4.3166540843384074E-2</v>
      </c>
      <c r="K127">
        <v>3.3131765764491838E-2</v>
      </c>
      <c r="L127">
        <v>2.2906777272012749E-2</v>
      </c>
      <c r="M127">
        <v>4.0373360327373396E-2</v>
      </c>
      <c r="N127">
        <v>4.6508989983262673E-2</v>
      </c>
      <c r="O127">
        <v>1.726038881577481E-2</v>
      </c>
      <c r="P127">
        <v>2.8282463216663487E-2</v>
      </c>
      <c r="Q127">
        <v>2.7880116015750783E-2</v>
      </c>
      <c r="R127">
        <v>5.4810613364129963E-2</v>
      </c>
      <c r="S127">
        <v>4.2642575379267016E-2</v>
      </c>
      <c r="T127">
        <v>2.8041500858393017E-2</v>
      </c>
      <c r="U127">
        <v>3.9990729459247407E-2</v>
      </c>
      <c r="V127">
        <v>1.7301747917601758E-2</v>
      </c>
      <c r="W127">
        <v>2.1179658177601687E-2</v>
      </c>
      <c r="X127">
        <v>2.7912106895447052E-2</v>
      </c>
      <c r="Y127">
        <v>1.9735652448698848E-2</v>
      </c>
      <c r="Z127">
        <v>1.8328751867945928E-2</v>
      </c>
      <c r="AA127">
        <v>4.4431115152356461E-2</v>
      </c>
      <c r="AB127">
        <v>4.1412662196651566E-2</v>
      </c>
      <c r="AC127">
        <v>4.9866157812585028E-2</v>
      </c>
      <c r="AD127">
        <v>8.2133442382930022E-2</v>
      </c>
      <c r="AE127">
        <v>5.1466810329654937E-2</v>
      </c>
      <c r="AF127">
        <v>1.5038067245070388E-2</v>
      </c>
      <c r="AG127">
        <v>1.0437558190047642</v>
      </c>
      <c r="AH127">
        <v>3.2939790608881227E-2</v>
      </c>
      <c r="AI127">
        <v>4.5253323256064834E-2</v>
      </c>
    </row>
    <row r="128" spans="2:35" ht="16" customHeight="1">
      <c r="B128" s="10">
        <v>32</v>
      </c>
      <c r="C128">
        <v>4.4426581864014745E-3</v>
      </c>
      <c r="D128">
        <v>4.4084095435637889E-3</v>
      </c>
      <c r="E128">
        <v>1.3113770957101751E-3</v>
      </c>
      <c r="F128">
        <v>1.0010620204433036E-3</v>
      </c>
      <c r="G128">
        <v>3.5811140317612094E-3</v>
      </c>
      <c r="H128">
        <v>4.9675764829760988E-3</v>
      </c>
      <c r="I128">
        <v>2.6273525372095103E-3</v>
      </c>
      <c r="J128">
        <v>3.2384465791326076E-3</v>
      </c>
      <c r="K128">
        <v>3.6227861291670185E-3</v>
      </c>
      <c r="L128">
        <v>2.5790342401050196E-3</v>
      </c>
      <c r="M128">
        <v>3.6844676117300614E-3</v>
      </c>
      <c r="N128">
        <v>3.7880377324548149E-3</v>
      </c>
      <c r="O128">
        <v>4.5841454333543624E-3</v>
      </c>
      <c r="P128">
        <v>2.8955789581932363E-3</v>
      </c>
      <c r="Q128">
        <v>2.5303096991644183E-3</v>
      </c>
      <c r="R128">
        <v>3.0406631010395251E-3</v>
      </c>
      <c r="S128">
        <v>2.9873477128767069E-3</v>
      </c>
      <c r="T128">
        <v>2.3388453544786626E-3</v>
      </c>
      <c r="U128">
        <v>2.0108527671878805E-3</v>
      </c>
      <c r="V128">
        <v>1.6611814564738966E-2</v>
      </c>
      <c r="W128">
        <v>1.3714644936906262E-2</v>
      </c>
      <c r="X128">
        <v>3.1972598454868607E-3</v>
      </c>
      <c r="Y128">
        <v>7.0230266289090055E-3</v>
      </c>
      <c r="Z128">
        <v>3.0746856470401035E-3</v>
      </c>
      <c r="AA128">
        <v>4.835664624834337E-3</v>
      </c>
      <c r="AB128">
        <v>3.2140294929326628E-3</v>
      </c>
      <c r="AC128">
        <v>1.0473098966709176E-2</v>
      </c>
      <c r="AD128">
        <v>1.2996084508400247E-2</v>
      </c>
      <c r="AE128">
        <v>1.3193632083502471E-2</v>
      </c>
      <c r="AF128">
        <v>1.8540625262915566E-3</v>
      </c>
      <c r="AG128">
        <v>1.6587891924095308E-2</v>
      </c>
      <c r="AH128">
        <v>1.013683345510078</v>
      </c>
      <c r="AI128">
        <v>7.9590657975929738E-3</v>
      </c>
    </row>
    <row r="129" spans="2:36" ht="16" customHeight="1">
      <c r="B129" s="10">
        <v>33</v>
      </c>
      <c r="C129">
        <v>7.2469657226486287E-5</v>
      </c>
      <c r="D129">
        <v>1.7954494562341715E-4</v>
      </c>
      <c r="E129">
        <v>3.6345515248178403E-4</v>
      </c>
      <c r="F129">
        <v>4.2169539596296087E-5</v>
      </c>
      <c r="G129">
        <v>2.49145353711888E-5</v>
      </c>
      <c r="H129">
        <v>1.1303538950039974E-4</v>
      </c>
      <c r="I129">
        <v>3.4848873556169616E-5</v>
      </c>
      <c r="J129">
        <v>1.8803881304256751E-4</v>
      </c>
      <c r="K129">
        <v>1.1427557573115456E-4</v>
      </c>
      <c r="L129">
        <v>1.8827681201978348E-5</v>
      </c>
      <c r="M129">
        <v>5.545832739290989E-4</v>
      </c>
      <c r="N129">
        <v>1.2658679064532637E-4</v>
      </c>
      <c r="O129">
        <v>1.2918298282949941E-5</v>
      </c>
      <c r="P129">
        <v>2.764118624113395E-5</v>
      </c>
      <c r="Q129">
        <v>1.848412958009434E-3</v>
      </c>
      <c r="R129">
        <v>2.2125208354352352E-5</v>
      </c>
      <c r="S129">
        <v>5.1576269734010134E-5</v>
      </c>
      <c r="T129">
        <v>1.5033241187365215E-5</v>
      </c>
      <c r="U129">
        <v>1.3410768320579173E-5</v>
      </c>
      <c r="V129">
        <v>1.6290713261259132E-5</v>
      </c>
      <c r="W129">
        <v>2.4806114345508691E-5</v>
      </c>
      <c r="X129">
        <v>9.7277038015701763E-5</v>
      </c>
      <c r="Y129">
        <v>3.6840889232720647E-5</v>
      </c>
      <c r="Z129">
        <v>1.252252554130732E-4</v>
      </c>
      <c r="AA129">
        <v>5.6646195442674115E-5</v>
      </c>
      <c r="AB129">
        <v>4.9131407908704326E-5</v>
      </c>
      <c r="AC129">
        <v>1.3202910755817545E-4</v>
      </c>
      <c r="AD129">
        <v>1.1965378230179486E-4</v>
      </c>
      <c r="AE129">
        <v>7.5764576413062831E-5</v>
      </c>
      <c r="AF129">
        <v>6.5892501215913912E-6</v>
      </c>
      <c r="AG129">
        <v>7.7091311501138764E-5</v>
      </c>
      <c r="AH129">
        <v>4.4826959423585948E-5</v>
      </c>
      <c r="AI129">
        <v>1.0000502392452826</v>
      </c>
    </row>
    <row r="130" spans="2:36" ht="16" customHeight="1">
      <c r="B130" s="10"/>
    </row>
    <row r="131" spans="2:36" ht="16" customHeight="1">
      <c r="B131" s="10"/>
    </row>
    <row r="132" spans="2:36" ht="16" customHeight="1">
      <c r="B132" s="10"/>
    </row>
    <row r="133" spans="2:36" ht="16" customHeight="1">
      <c r="B133" s="10"/>
    </row>
    <row r="134" spans="2:36">
      <c r="B134" s="10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2:36" ht="16" customHeight="1">
      <c r="B135" s="10" t="s">
        <v>273</v>
      </c>
      <c r="C135">
        <v>1</v>
      </c>
      <c r="D135">
        <v>2</v>
      </c>
      <c r="E135">
        <v>3</v>
      </c>
      <c r="F135">
        <v>4</v>
      </c>
      <c r="G135">
        <v>5</v>
      </c>
      <c r="H135">
        <v>6</v>
      </c>
      <c r="I135">
        <v>7</v>
      </c>
      <c r="J135">
        <v>8</v>
      </c>
      <c r="K135">
        <v>9</v>
      </c>
      <c r="L135">
        <v>10</v>
      </c>
      <c r="M135">
        <v>11</v>
      </c>
      <c r="N135">
        <v>12</v>
      </c>
      <c r="O135">
        <v>13</v>
      </c>
      <c r="P135">
        <v>14</v>
      </c>
      <c r="Q135">
        <v>15</v>
      </c>
      <c r="R135">
        <v>16</v>
      </c>
      <c r="S135">
        <v>17</v>
      </c>
      <c r="T135">
        <v>18</v>
      </c>
      <c r="U135">
        <v>19</v>
      </c>
      <c r="V135">
        <v>20</v>
      </c>
      <c r="W135">
        <v>21</v>
      </c>
      <c r="X135">
        <v>22</v>
      </c>
      <c r="Y135">
        <v>23</v>
      </c>
      <c r="Z135">
        <v>24</v>
      </c>
      <c r="AA135">
        <v>25</v>
      </c>
      <c r="AB135">
        <v>26</v>
      </c>
      <c r="AC135">
        <v>27</v>
      </c>
      <c r="AD135">
        <v>28</v>
      </c>
      <c r="AE135">
        <v>29</v>
      </c>
      <c r="AF135">
        <v>30</v>
      </c>
      <c r="AG135">
        <v>31</v>
      </c>
      <c r="AH135">
        <v>32</v>
      </c>
      <c r="AI135">
        <v>33</v>
      </c>
      <c r="AJ135">
        <v>34</v>
      </c>
    </row>
    <row r="136" spans="2:36" ht="16" customHeight="1">
      <c r="B136" s="10">
        <v>1</v>
      </c>
      <c r="C136">
        <f t="shared" ref="C136:AI136" si="15">C12</f>
        <v>199.3</v>
      </c>
      <c r="D136" s="323">
        <f t="shared" ref="D136:F155" si="16">D12</f>
        <v>93.2</v>
      </c>
      <c r="E136" s="323">
        <f t="shared" si="16"/>
        <v>0</v>
      </c>
      <c r="F136" s="323">
        <f t="shared" si="16"/>
        <v>0</v>
      </c>
      <c r="G136">
        <f t="shared" si="15"/>
        <v>0</v>
      </c>
      <c r="H136">
        <f t="shared" si="15"/>
        <v>0</v>
      </c>
      <c r="I136" s="323">
        <f t="shared" ref="I136:N145" si="17">I12</f>
        <v>574.79999999999995</v>
      </c>
      <c r="J136" s="323">
        <f t="shared" si="17"/>
        <v>0</v>
      </c>
      <c r="K136" s="323">
        <f t="shared" si="17"/>
        <v>829.6</v>
      </c>
      <c r="L136" s="323">
        <f t="shared" si="17"/>
        <v>21.8</v>
      </c>
      <c r="M136" s="323">
        <f t="shared" si="17"/>
        <v>154.5</v>
      </c>
      <c r="N136" s="323">
        <f t="shared" si="17"/>
        <v>182</v>
      </c>
      <c r="O136">
        <f t="shared" si="15"/>
        <v>7.2</v>
      </c>
      <c r="P136" s="323">
        <f t="shared" ref="P136:P168" si="18">P12</f>
        <v>0</v>
      </c>
      <c r="Q136">
        <f t="shared" si="15"/>
        <v>0</v>
      </c>
      <c r="R136" s="323">
        <f t="shared" ref="R136:R168" si="19">R12</f>
        <v>0</v>
      </c>
      <c r="S136">
        <f t="shared" si="15"/>
        <v>27.5</v>
      </c>
      <c r="T136">
        <f t="shared" si="15"/>
        <v>0</v>
      </c>
      <c r="U136">
        <f t="shared" si="15"/>
        <v>0</v>
      </c>
      <c r="V136">
        <f t="shared" si="15"/>
        <v>1</v>
      </c>
      <c r="W136">
        <f t="shared" si="15"/>
        <v>0.6</v>
      </c>
      <c r="X136">
        <f t="shared" si="15"/>
        <v>0</v>
      </c>
      <c r="Y136">
        <f t="shared" si="15"/>
        <v>0</v>
      </c>
      <c r="Z136">
        <f t="shared" si="15"/>
        <v>11.1</v>
      </c>
      <c r="AA136">
        <f t="shared" si="15"/>
        <v>0</v>
      </c>
      <c r="AB136">
        <f t="shared" si="15"/>
        <v>0</v>
      </c>
      <c r="AC136">
        <f t="shared" si="15"/>
        <v>87.3</v>
      </c>
      <c r="AD136">
        <f t="shared" si="15"/>
        <v>13.4</v>
      </c>
      <c r="AE136">
        <f t="shared" si="15"/>
        <v>0.3</v>
      </c>
      <c r="AF136">
        <f t="shared" si="15"/>
        <v>1</v>
      </c>
      <c r="AG136">
        <f t="shared" si="15"/>
        <v>0.4</v>
      </c>
      <c r="AH136" s="323">
        <f t="shared" ref="AH136:AH168" si="20">AH12</f>
        <v>1.2</v>
      </c>
      <c r="AI136">
        <f t="shared" si="15"/>
        <v>0.4</v>
      </c>
      <c r="AJ136">
        <f t="shared" ref="AJ136:AJ167" si="21">AK12*PMConsumo</f>
        <v>695.04569982388728</v>
      </c>
    </row>
    <row r="137" spans="2:36" ht="16" customHeight="1">
      <c r="B137" s="10">
        <v>2</v>
      </c>
      <c r="C137" s="323">
        <f>C13</f>
        <v>0</v>
      </c>
      <c r="D137" s="323">
        <f t="shared" si="16"/>
        <v>33.700000000000003</v>
      </c>
      <c r="E137" s="323">
        <f t="shared" si="16"/>
        <v>0</v>
      </c>
      <c r="F137" s="323">
        <f t="shared" si="16"/>
        <v>0</v>
      </c>
      <c r="G137" s="323">
        <f t="shared" ref="G137:H139" si="22">G13</f>
        <v>0</v>
      </c>
      <c r="H137" s="323">
        <f t="shared" si="22"/>
        <v>1616.2</v>
      </c>
      <c r="I137" s="323">
        <f t="shared" si="17"/>
        <v>0</v>
      </c>
      <c r="J137" s="323">
        <f t="shared" si="17"/>
        <v>259.2</v>
      </c>
      <c r="K137" s="323">
        <f t="shared" si="17"/>
        <v>18.399999999999999</v>
      </c>
      <c r="L137" s="323">
        <f t="shared" si="17"/>
        <v>0</v>
      </c>
      <c r="M137" s="323">
        <f t="shared" si="17"/>
        <v>11.9</v>
      </c>
      <c r="N137" s="323">
        <f t="shared" si="17"/>
        <v>0</v>
      </c>
      <c r="O137" s="323">
        <f>O13</f>
        <v>0</v>
      </c>
      <c r="P137" s="323">
        <f t="shared" si="18"/>
        <v>0</v>
      </c>
      <c r="Q137" s="323">
        <f>Q13</f>
        <v>0</v>
      </c>
      <c r="R137" s="323">
        <f t="shared" si="19"/>
        <v>0</v>
      </c>
      <c r="S137" s="323">
        <f t="shared" ref="S137:AG137" si="23">S13</f>
        <v>0</v>
      </c>
      <c r="T137" s="323">
        <f t="shared" si="23"/>
        <v>0</v>
      </c>
      <c r="U137" s="323">
        <f t="shared" si="23"/>
        <v>0</v>
      </c>
      <c r="V137" s="323">
        <f t="shared" si="23"/>
        <v>0.3</v>
      </c>
      <c r="W137" s="323">
        <f t="shared" si="23"/>
        <v>0.2</v>
      </c>
      <c r="X137" s="323">
        <f t="shared" si="23"/>
        <v>0</v>
      </c>
      <c r="Y137" s="323">
        <f t="shared" si="23"/>
        <v>0</v>
      </c>
      <c r="Z137" s="323">
        <f t="shared" si="23"/>
        <v>2.8</v>
      </c>
      <c r="AA137" s="323">
        <f t="shared" si="23"/>
        <v>0</v>
      </c>
      <c r="AB137" s="323">
        <f t="shared" si="23"/>
        <v>0</v>
      </c>
      <c r="AC137" s="323">
        <f t="shared" si="23"/>
        <v>0.2</v>
      </c>
      <c r="AD137" s="323">
        <f t="shared" si="23"/>
        <v>3.6</v>
      </c>
      <c r="AE137" s="323">
        <f t="shared" si="23"/>
        <v>0.1</v>
      </c>
      <c r="AF137" s="323">
        <f t="shared" si="23"/>
        <v>0.3</v>
      </c>
      <c r="AG137" s="323">
        <f t="shared" si="23"/>
        <v>0.1</v>
      </c>
      <c r="AH137" s="323">
        <f t="shared" si="20"/>
        <v>0.2</v>
      </c>
      <c r="AI137" s="323">
        <f>AI13</f>
        <v>0.1</v>
      </c>
      <c r="AJ137">
        <f t="shared" si="21"/>
        <v>251.72211517220379</v>
      </c>
    </row>
    <row r="138" spans="2:36" ht="16" customHeight="1">
      <c r="B138" s="10">
        <v>3</v>
      </c>
      <c r="C138" s="323">
        <f>C14</f>
        <v>1.4</v>
      </c>
      <c r="D138" s="323">
        <f t="shared" si="16"/>
        <v>0.8</v>
      </c>
      <c r="E138" s="323">
        <f t="shared" si="16"/>
        <v>23.4</v>
      </c>
      <c r="F138" s="323">
        <f t="shared" si="16"/>
        <v>0</v>
      </c>
      <c r="G138" s="323">
        <f t="shared" si="22"/>
        <v>0.1</v>
      </c>
      <c r="H138" s="323">
        <f t="shared" si="22"/>
        <v>6.1</v>
      </c>
      <c r="I138" s="323">
        <f t="shared" si="17"/>
        <v>2</v>
      </c>
      <c r="J138" s="323">
        <f t="shared" si="17"/>
        <v>19.2</v>
      </c>
      <c r="K138" s="323">
        <f t="shared" si="17"/>
        <v>9.1</v>
      </c>
      <c r="L138" s="323">
        <f t="shared" si="17"/>
        <v>2.5</v>
      </c>
      <c r="M138" s="323">
        <f t="shared" si="17"/>
        <v>5.2</v>
      </c>
      <c r="N138" s="323">
        <f t="shared" si="17"/>
        <v>6.4</v>
      </c>
      <c r="O138" s="323">
        <f>O14</f>
        <v>0.6</v>
      </c>
      <c r="P138" s="323">
        <f t="shared" si="18"/>
        <v>0</v>
      </c>
      <c r="Q138" s="323">
        <f>Q14</f>
        <v>169</v>
      </c>
      <c r="R138" s="323">
        <f t="shared" si="19"/>
        <v>0.3</v>
      </c>
      <c r="S138" s="323">
        <f t="shared" ref="S138:AG138" si="24">S14</f>
        <v>3.4</v>
      </c>
      <c r="T138" s="323">
        <f t="shared" si="24"/>
        <v>0.1</v>
      </c>
      <c r="U138" s="323">
        <f t="shared" si="24"/>
        <v>0.1</v>
      </c>
      <c r="V138" s="323">
        <f t="shared" si="24"/>
        <v>0.2</v>
      </c>
      <c r="W138" s="323">
        <f t="shared" si="24"/>
        <v>0.1</v>
      </c>
      <c r="X138" s="323">
        <f t="shared" si="24"/>
        <v>0.2</v>
      </c>
      <c r="Y138" s="323">
        <f t="shared" si="24"/>
        <v>0.7</v>
      </c>
      <c r="Z138" s="323">
        <f t="shared" si="24"/>
        <v>1.1000000000000001</v>
      </c>
      <c r="AA138" s="323">
        <f t="shared" si="24"/>
        <v>5.9</v>
      </c>
      <c r="AB138" s="323">
        <f t="shared" si="24"/>
        <v>1</v>
      </c>
      <c r="AC138" s="323">
        <f t="shared" si="24"/>
        <v>0.9</v>
      </c>
      <c r="AD138" s="323">
        <f t="shared" si="24"/>
        <v>2.5</v>
      </c>
      <c r="AE138" s="323">
        <f t="shared" si="24"/>
        <v>1.3</v>
      </c>
      <c r="AF138" s="323">
        <f t="shared" si="24"/>
        <v>0.4</v>
      </c>
      <c r="AG138" s="323">
        <f t="shared" si="24"/>
        <v>0.5</v>
      </c>
      <c r="AH138" s="323">
        <f t="shared" si="20"/>
        <v>0.9</v>
      </c>
      <c r="AI138" s="323">
        <f>AI14</f>
        <v>2</v>
      </c>
      <c r="AJ138">
        <f t="shared" si="21"/>
        <v>3.6334957727016328</v>
      </c>
    </row>
    <row r="139" spans="2:36" ht="16" customHeight="1">
      <c r="B139" s="10">
        <v>4</v>
      </c>
      <c r="C139" s="323">
        <f>C15</f>
        <v>0</v>
      </c>
      <c r="D139" s="323">
        <f t="shared" si="16"/>
        <v>0</v>
      </c>
      <c r="E139" s="323">
        <f t="shared" si="16"/>
        <v>0</v>
      </c>
      <c r="F139" s="323">
        <f t="shared" si="16"/>
        <v>0.2</v>
      </c>
      <c r="G139" s="323">
        <f t="shared" si="22"/>
        <v>0</v>
      </c>
      <c r="H139" s="323">
        <f t="shared" si="22"/>
        <v>0</v>
      </c>
      <c r="I139" s="323">
        <f t="shared" si="17"/>
        <v>0</v>
      </c>
      <c r="J139" s="323">
        <f t="shared" si="17"/>
        <v>0</v>
      </c>
      <c r="K139" s="323">
        <f t="shared" si="17"/>
        <v>0</v>
      </c>
      <c r="L139" s="323">
        <f t="shared" si="17"/>
        <v>0</v>
      </c>
      <c r="M139" s="323">
        <f t="shared" si="17"/>
        <v>0</v>
      </c>
      <c r="N139" s="323">
        <f t="shared" si="17"/>
        <v>0</v>
      </c>
      <c r="O139" s="323">
        <f>O15</f>
        <v>0</v>
      </c>
      <c r="P139" s="323">
        <f t="shared" si="18"/>
        <v>0</v>
      </c>
      <c r="Q139" s="323">
        <f>Q15</f>
        <v>0</v>
      </c>
      <c r="R139" s="323">
        <f t="shared" si="19"/>
        <v>0</v>
      </c>
      <c r="S139" s="323">
        <f t="shared" ref="S139:AG139" si="25">S15</f>
        <v>0</v>
      </c>
      <c r="T139" s="323">
        <f t="shared" si="25"/>
        <v>0</v>
      </c>
      <c r="U139" s="323">
        <f t="shared" si="25"/>
        <v>0</v>
      </c>
      <c r="V139" s="323">
        <f t="shared" si="25"/>
        <v>0</v>
      </c>
      <c r="W139" s="323">
        <f t="shared" si="25"/>
        <v>0</v>
      </c>
      <c r="X139" s="323">
        <f t="shared" si="25"/>
        <v>0</v>
      </c>
      <c r="Y139" s="323">
        <f t="shared" si="25"/>
        <v>0</v>
      </c>
      <c r="Z139" s="323">
        <f t="shared" si="25"/>
        <v>0</v>
      </c>
      <c r="AA139" s="323">
        <f t="shared" si="25"/>
        <v>0</v>
      </c>
      <c r="AB139" s="323">
        <f t="shared" si="25"/>
        <v>0.1</v>
      </c>
      <c r="AC139" s="323">
        <f t="shared" si="25"/>
        <v>0.4</v>
      </c>
      <c r="AD139" s="323">
        <f t="shared" si="25"/>
        <v>0</v>
      </c>
      <c r="AE139" s="323">
        <f t="shared" si="25"/>
        <v>0</v>
      </c>
      <c r="AF139" s="323">
        <f t="shared" si="25"/>
        <v>0</v>
      </c>
      <c r="AG139" s="323">
        <f t="shared" si="25"/>
        <v>0</v>
      </c>
      <c r="AH139" s="323">
        <f t="shared" si="20"/>
        <v>0</v>
      </c>
      <c r="AI139" s="323">
        <f>AI15</f>
        <v>0</v>
      </c>
      <c r="AJ139">
        <f t="shared" si="21"/>
        <v>54.098689231207409</v>
      </c>
    </row>
    <row r="140" spans="2:36" ht="16" customHeight="1">
      <c r="B140" s="10">
        <v>5</v>
      </c>
      <c r="C140">
        <f t="shared" ref="C140:AI140" si="26">C16</f>
        <v>1</v>
      </c>
      <c r="D140" s="323">
        <f t="shared" si="16"/>
        <v>0.3</v>
      </c>
      <c r="E140" s="323">
        <f t="shared" si="16"/>
        <v>0</v>
      </c>
      <c r="F140" s="323">
        <f t="shared" si="16"/>
        <v>0</v>
      </c>
      <c r="G140">
        <f t="shared" si="26"/>
        <v>1.7</v>
      </c>
      <c r="H140">
        <f t="shared" si="26"/>
        <v>0.1</v>
      </c>
      <c r="I140" s="323">
        <f t="shared" si="17"/>
        <v>0</v>
      </c>
      <c r="J140" s="323">
        <f t="shared" si="17"/>
        <v>0</v>
      </c>
      <c r="K140" s="323">
        <f t="shared" si="17"/>
        <v>0</v>
      </c>
      <c r="L140" s="323">
        <f t="shared" si="17"/>
        <v>0</v>
      </c>
      <c r="M140" s="323">
        <f t="shared" si="17"/>
        <v>0</v>
      </c>
      <c r="N140" s="323">
        <f t="shared" si="17"/>
        <v>0</v>
      </c>
      <c r="O140">
        <f t="shared" si="26"/>
        <v>0</v>
      </c>
      <c r="P140" s="323">
        <f t="shared" si="18"/>
        <v>0</v>
      </c>
      <c r="Q140">
        <f t="shared" si="26"/>
        <v>0</v>
      </c>
      <c r="R140" s="323">
        <f t="shared" si="19"/>
        <v>0</v>
      </c>
      <c r="S140">
        <f t="shared" si="26"/>
        <v>2.2000000000000002</v>
      </c>
      <c r="T140">
        <f t="shared" si="26"/>
        <v>133.4</v>
      </c>
      <c r="U140">
        <f t="shared" si="26"/>
        <v>1.1000000000000001</v>
      </c>
      <c r="V140">
        <f t="shared" si="26"/>
        <v>0.1</v>
      </c>
      <c r="W140">
        <f t="shared" si="26"/>
        <v>0.1</v>
      </c>
      <c r="X140">
        <f t="shared" si="26"/>
        <v>0</v>
      </c>
      <c r="Y140">
        <f t="shared" si="26"/>
        <v>0</v>
      </c>
      <c r="Z140">
        <f t="shared" si="26"/>
        <v>175.1</v>
      </c>
      <c r="AA140">
        <f t="shared" si="26"/>
        <v>1.2</v>
      </c>
      <c r="AB140">
        <f t="shared" si="26"/>
        <v>0.1</v>
      </c>
      <c r="AC140">
        <f t="shared" si="26"/>
        <v>0.1</v>
      </c>
      <c r="AD140">
        <f t="shared" si="26"/>
        <v>0.7</v>
      </c>
      <c r="AE140">
        <f t="shared" si="26"/>
        <v>0.1</v>
      </c>
      <c r="AF140">
        <f t="shared" si="26"/>
        <v>0.1</v>
      </c>
      <c r="AG140">
        <f t="shared" si="26"/>
        <v>0.2</v>
      </c>
      <c r="AH140" s="323">
        <f t="shared" si="20"/>
        <v>0.2</v>
      </c>
      <c r="AI140">
        <f t="shared" si="26"/>
        <v>0.1</v>
      </c>
      <c r="AJ140">
        <f t="shared" si="21"/>
        <v>59.2</v>
      </c>
    </row>
    <row r="141" spans="2:36" ht="16" customHeight="1">
      <c r="B141" s="10">
        <v>6</v>
      </c>
      <c r="C141">
        <f t="shared" ref="C141:AI141" si="27">C17</f>
        <v>0.9</v>
      </c>
      <c r="D141" s="323">
        <f t="shared" si="16"/>
        <v>0.3</v>
      </c>
      <c r="E141" s="323">
        <f t="shared" si="16"/>
        <v>0</v>
      </c>
      <c r="F141" s="323">
        <f t="shared" si="16"/>
        <v>0</v>
      </c>
      <c r="G141">
        <f t="shared" si="27"/>
        <v>0.1</v>
      </c>
      <c r="H141">
        <f t="shared" si="27"/>
        <v>79</v>
      </c>
      <c r="I141" s="323">
        <f t="shared" si="17"/>
        <v>0</v>
      </c>
      <c r="J141" s="323">
        <f t="shared" si="17"/>
        <v>0.1</v>
      </c>
      <c r="K141" s="323">
        <f t="shared" si="17"/>
        <v>7.9</v>
      </c>
      <c r="L141" s="323">
        <f t="shared" si="17"/>
        <v>0</v>
      </c>
      <c r="M141" s="323">
        <f t="shared" si="17"/>
        <v>34.4</v>
      </c>
      <c r="N141" s="323">
        <f t="shared" si="17"/>
        <v>0.2</v>
      </c>
      <c r="O141">
        <f t="shared" si="27"/>
        <v>0</v>
      </c>
      <c r="P141" s="323">
        <f t="shared" si="18"/>
        <v>25.4</v>
      </c>
      <c r="Q141">
        <f t="shared" si="27"/>
        <v>0.1</v>
      </c>
      <c r="R141" s="323">
        <f t="shared" si="19"/>
        <v>0.1</v>
      </c>
      <c r="S141">
        <f t="shared" si="27"/>
        <v>0.8</v>
      </c>
      <c r="T141">
        <f t="shared" si="27"/>
        <v>0.1</v>
      </c>
      <c r="U141">
        <f t="shared" si="27"/>
        <v>0</v>
      </c>
      <c r="V141">
        <f t="shared" si="27"/>
        <v>0.1</v>
      </c>
      <c r="W141">
        <f t="shared" si="27"/>
        <v>0.1</v>
      </c>
      <c r="X141">
        <f t="shared" si="27"/>
        <v>0.1</v>
      </c>
      <c r="Y141">
        <f t="shared" si="27"/>
        <v>0</v>
      </c>
      <c r="Z141">
        <f t="shared" si="27"/>
        <v>0.4</v>
      </c>
      <c r="AA141">
        <f t="shared" si="27"/>
        <v>1.2</v>
      </c>
      <c r="AB141">
        <f t="shared" si="27"/>
        <v>0.6</v>
      </c>
      <c r="AC141">
        <f t="shared" si="27"/>
        <v>235.1</v>
      </c>
      <c r="AD141">
        <f t="shared" si="27"/>
        <v>0.1</v>
      </c>
      <c r="AE141">
        <f t="shared" si="27"/>
        <v>0.1</v>
      </c>
      <c r="AF141">
        <f t="shared" si="27"/>
        <v>0.1</v>
      </c>
      <c r="AG141">
        <f t="shared" si="27"/>
        <v>0.2</v>
      </c>
      <c r="AH141" s="323">
        <f t="shared" si="20"/>
        <v>3.3</v>
      </c>
      <c r="AI141">
        <f t="shared" si="27"/>
        <v>0.2</v>
      </c>
      <c r="AJ141">
        <f t="shared" si="21"/>
        <v>1811.0917377908261</v>
      </c>
    </row>
    <row r="142" spans="2:36" ht="16" customHeight="1">
      <c r="B142" s="10">
        <v>7</v>
      </c>
      <c r="C142" s="323">
        <f t="shared" ref="C142:C147" si="28">C18</f>
        <v>4</v>
      </c>
      <c r="D142" s="323">
        <f t="shared" si="16"/>
        <v>1.3</v>
      </c>
      <c r="E142" s="323">
        <f t="shared" si="16"/>
        <v>0.1</v>
      </c>
      <c r="F142" s="323">
        <f t="shared" si="16"/>
        <v>0</v>
      </c>
      <c r="G142" s="323">
        <f t="shared" ref="G142:H147" si="29">G18</f>
        <v>0.3</v>
      </c>
      <c r="H142" s="323">
        <f t="shared" si="29"/>
        <v>1.8</v>
      </c>
      <c r="I142" s="323">
        <f t="shared" si="17"/>
        <v>0.2</v>
      </c>
      <c r="J142" s="323">
        <f t="shared" si="17"/>
        <v>0.4</v>
      </c>
      <c r="K142" s="323">
        <f t="shared" si="17"/>
        <v>4.3</v>
      </c>
      <c r="L142" s="323">
        <f t="shared" si="17"/>
        <v>0</v>
      </c>
      <c r="M142" s="323">
        <f t="shared" si="17"/>
        <v>70.8</v>
      </c>
      <c r="N142" s="323">
        <f t="shared" si="17"/>
        <v>0.8</v>
      </c>
      <c r="O142" s="323">
        <f t="shared" ref="O142:O147" si="30">O18</f>
        <v>0.1</v>
      </c>
      <c r="P142" s="323">
        <f t="shared" si="18"/>
        <v>0.1</v>
      </c>
      <c r="Q142" s="323">
        <f t="shared" ref="Q142:Q147" si="31">Q18</f>
        <v>0.3</v>
      </c>
      <c r="R142" s="323">
        <f t="shared" si="19"/>
        <v>0.5</v>
      </c>
      <c r="S142" s="323">
        <f t="shared" ref="S142:AG142" si="32">S18</f>
        <v>1.5</v>
      </c>
      <c r="T142" s="323">
        <f t="shared" si="32"/>
        <v>0.3</v>
      </c>
      <c r="U142" s="323">
        <f t="shared" si="32"/>
        <v>0</v>
      </c>
      <c r="V142" s="323">
        <f t="shared" si="32"/>
        <v>0.4</v>
      </c>
      <c r="W142" s="323">
        <f t="shared" si="32"/>
        <v>0.3</v>
      </c>
      <c r="X142" s="323">
        <f t="shared" si="32"/>
        <v>0.5</v>
      </c>
      <c r="Y142" s="323">
        <f t="shared" si="32"/>
        <v>0.1</v>
      </c>
      <c r="Z142" s="323">
        <f t="shared" si="32"/>
        <v>1.6</v>
      </c>
      <c r="AA142" s="323">
        <f t="shared" si="32"/>
        <v>5.3</v>
      </c>
      <c r="AB142" s="323">
        <f t="shared" si="32"/>
        <v>2.1</v>
      </c>
      <c r="AC142" s="323">
        <f t="shared" si="32"/>
        <v>27</v>
      </c>
      <c r="AD142" s="323">
        <f t="shared" si="32"/>
        <v>0.5</v>
      </c>
      <c r="AE142" s="323">
        <f t="shared" si="32"/>
        <v>0.3</v>
      </c>
      <c r="AF142" s="323">
        <f t="shared" si="32"/>
        <v>0.3</v>
      </c>
      <c r="AG142" s="323">
        <f t="shared" si="32"/>
        <v>1</v>
      </c>
      <c r="AH142" s="323">
        <f t="shared" si="20"/>
        <v>1.4</v>
      </c>
      <c r="AI142" s="323">
        <f t="shared" ref="AI142:AI147" si="33">AI18</f>
        <v>0.8</v>
      </c>
      <c r="AJ142">
        <f t="shared" si="21"/>
        <v>139.2904194227213</v>
      </c>
    </row>
    <row r="143" spans="2:36" ht="16" customHeight="1">
      <c r="B143" s="10">
        <v>8</v>
      </c>
      <c r="C143" s="323">
        <f t="shared" si="28"/>
        <v>0.3</v>
      </c>
      <c r="D143" s="323">
        <f t="shared" si="16"/>
        <v>0.1</v>
      </c>
      <c r="E143" s="323">
        <f t="shared" si="16"/>
        <v>0</v>
      </c>
      <c r="F143" s="323">
        <f t="shared" si="16"/>
        <v>0</v>
      </c>
      <c r="G143" s="323">
        <f t="shared" si="29"/>
        <v>0</v>
      </c>
      <c r="H143" s="323">
        <f t="shared" si="29"/>
        <v>0.2</v>
      </c>
      <c r="I143" s="323">
        <f t="shared" si="17"/>
        <v>0</v>
      </c>
      <c r="J143" s="323">
        <f t="shared" si="17"/>
        <v>15.6</v>
      </c>
      <c r="K143" s="323">
        <f t="shared" si="17"/>
        <v>69.8</v>
      </c>
      <c r="L143" s="323">
        <f t="shared" si="17"/>
        <v>0</v>
      </c>
      <c r="M143" s="323">
        <f t="shared" si="17"/>
        <v>27.9</v>
      </c>
      <c r="N143" s="323">
        <f t="shared" si="17"/>
        <v>0.1</v>
      </c>
      <c r="O143" s="323">
        <f t="shared" si="30"/>
        <v>0</v>
      </c>
      <c r="P143" s="323">
        <f t="shared" si="18"/>
        <v>0</v>
      </c>
      <c r="Q143" s="323">
        <f t="shared" si="31"/>
        <v>0</v>
      </c>
      <c r="R143" s="323">
        <f t="shared" si="19"/>
        <v>0</v>
      </c>
      <c r="S143" s="323">
        <f t="shared" ref="S143:AG143" si="34">S19</f>
        <v>0.1</v>
      </c>
      <c r="T143" s="323">
        <f t="shared" si="34"/>
        <v>0</v>
      </c>
      <c r="U143" s="323">
        <f t="shared" si="34"/>
        <v>0</v>
      </c>
      <c r="V143" s="323">
        <f t="shared" si="34"/>
        <v>0</v>
      </c>
      <c r="W143" s="323">
        <f t="shared" si="34"/>
        <v>0</v>
      </c>
      <c r="X143" s="323">
        <f t="shared" si="34"/>
        <v>0</v>
      </c>
      <c r="Y143" s="323">
        <f t="shared" si="34"/>
        <v>0</v>
      </c>
      <c r="Z143" s="323">
        <f t="shared" si="34"/>
        <v>0.1</v>
      </c>
      <c r="AA143" s="323">
        <f t="shared" si="34"/>
        <v>0.4</v>
      </c>
      <c r="AB143" s="323">
        <f t="shared" si="34"/>
        <v>0.2</v>
      </c>
      <c r="AC143" s="323">
        <f t="shared" si="34"/>
        <v>38.4</v>
      </c>
      <c r="AD143" s="323">
        <f t="shared" si="34"/>
        <v>0</v>
      </c>
      <c r="AE143" s="323">
        <f t="shared" si="34"/>
        <v>0</v>
      </c>
      <c r="AF143" s="323">
        <f t="shared" si="34"/>
        <v>0</v>
      </c>
      <c r="AG143" s="323">
        <f t="shared" si="34"/>
        <v>0.1</v>
      </c>
      <c r="AH143" s="323">
        <f t="shared" si="20"/>
        <v>1</v>
      </c>
      <c r="AI143" s="323">
        <f t="shared" si="33"/>
        <v>0.1</v>
      </c>
      <c r="AJ143">
        <f t="shared" si="21"/>
        <v>729.3483253855012</v>
      </c>
    </row>
    <row r="144" spans="2:36" ht="16" customHeight="1">
      <c r="B144" s="10">
        <v>9</v>
      </c>
      <c r="C144" s="323">
        <f t="shared" si="28"/>
        <v>4.2</v>
      </c>
      <c r="D144" s="323">
        <f t="shared" si="16"/>
        <v>1.4</v>
      </c>
      <c r="E144" s="323">
        <f t="shared" si="16"/>
        <v>0</v>
      </c>
      <c r="F144" s="323">
        <f t="shared" si="16"/>
        <v>0</v>
      </c>
      <c r="G144" s="323">
        <f t="shared" si="29"/>
        <v>0.2</v>
      </c>
      <c r="H144" s="323">
        <f t="shared" si="29"/>
        <v>67.5</v>
      </c>
      <c r="I144" s="323">
        <f t="shared" si="17"/>
        <v>0.1</v>
      </c>
      <c r="J144" s="323">
        <f t="shared" si="17"/>
        <v>0.3</v>
      </c>
      <c r="K144" s="323">
        <f t="shared" si="17"/>
        <v>172.9</v>
      </c>
      <c r="L144" s="323">
        <f t="shared" si="17"/>
        <v>0</v>
      </c>
      <c r="M144" s="323">
        <f t="shared" si="17"/>
        <v>85.8</v>
      </c>
      <c r="N144" s="323">
        <f t="shared" si="17"/>
        <v>0.6</v>
      </c>
      <c r="O144" s="323">
        <f t="shared" si="30"/>
        <v>0.1</v>
      </c>
      <c r="P144" s="323">
        <f t="shared" si="18"/>
        <v>0.1</v>
      </c>
      <c r="Q144" s="323">
        <f t="shared" si="31"/>
        <v>0.2</v>
      </c>
      <c r="R144" s="323">
        <f t="shared" si="19"/>
        <v>1.1000000000000001</v>
      </c>
      <c r="S144" s="323">
        <f t="shared" ref="S144:AG144" si="35">S20</f>
        <v>4.7</v>
      </c>
      <c r="T144" s="323">
        <f t="shared" si="35"/>
        <v>0.2</v>
      </c>
      <c r="U144" s="323">
        <f t="shared" si="35"/>
        <v>0</v>
      </c>
      <c r="V144" s="323">
        <f t="shared" si="35"/>
        <v>0.3</v>
      </c>
      <c r="W144" s="323">
        <f t="shared" si="35"/>
        <v>0.3</v>
      </c>
      <c r="X144" s="323">
        <f t="shared" si="35"/>
        <v>0.3</v>
      </c>
      <c r="Y144" s="323">
        <f t="shared" si="35"/>
        <v>0</v>
      </c>
      <c r="Z144" s="323">
        <f t="shared" si="35"/>
        <v>1.1000000000000001</v>
      </c>
      <c r="AA144" s="323">
        <f t="shared" si="35"/>
        <v>6.2</v>
      </c>
      <c r="AB144" s="323">
        <f t="shared" si="35"/>
        <v>1.3</v>
      </c>
      <c r="AC144" s="323">
        <f t="shared" si="35"/>
        <v>52.5</v>
      </c>
      <c r="AD144" s="323">
        <f t="shared" si="35"/>
        <v>0.3</v>
      </c>
      <c r="AE144" s="323">
        <f t="shared" si="35"/>
        <v>0.3</v>
      </c>
      <c r="AF144" s="323">
        <f t="shared" si="35"/>
        <v>0.3</v>
      </c>
      <c r="AG144" s="323">
        <f t="shared" si="35"/>
        <v>1.1000000000000001</v>
      </c>
      <c r="AH144" s="323">
        <f t="shared" si="20"/>
        <v>2.4</v>
      </c>
      <c r="AI144" s="323">
        <f t="shared" si="33"/>
        <v>0.5</v>
      </c>
      <c r="AJ144">
        <f t="shared" si="21"/>
        <v>1190.604164336359</v>
      </c>
    </row>
    <row r="145" spans="2:36" ht="16" customHeight="1">
      <c r="B145" s="10">
        <v>10</v>
      </c>
      <c r="C145" s="323">
        <f t="shared" si="28"/>
        <v>0.3</v>
      </c>
      <c r="D145" s="323">
        <f t="shared" si="16"/>
        <v>0.1</v>
      </c>
      <c r="E145" s="323">
        <f t="shared" si="16"/>
        <v>0</v>
      </c>
      <c r="F145" s="323">
        <f t="shared" si="16"/>
        <v>0</v>
      </c>
      <c r="G145" s="323">
        <f t="shared" si="29"/>
        <v>0</v>
      </c>
      <c r="H145" s="323">
        <f t="shared" si="29"/>
        <v>0.2</v>
      </c>
      <c r="I145" s="323">
        <f t="shared" si="17"/>
        <v>0</v>
      </c>
      <c r="J145" s="323">
        <f t="shared" si="17"/>
        <v>13.6</v>
      </c>
      <c r="K145" s="323">
        <f t="shared" si="17"/>
        <v>15.7</v>
      </c>
      <c r="L145" s="323">
        <f t="shared" si="17"/>
        <v>0</v>
      </c>
      <c r="M145" s="323">
        <f t="shared" si="17"/>
        <v>10.4</v>
      </c>
      <c r="N145" s="323">
        <f t="shared" si="17"/>
        <v>80.5</v>
      </c>
      <c r="O145" s="323">
        <f t="shared" si="30"/>
        <v>0</v>
      </c>
      <c r="P145" s="323">
        <f t="shared" si="18"/>
        <v>0</v>
      </c>
      <c r="Q145" s="323">
        <f t="shared" si="31"/>
        <v>0</v>
      </c>
      <c r="R145" s="323">
        <f t="shared" si="19"/>
        <v>0.1</v>
      </c>
      <c r="S145" s="323">
        <f t="shared" ref="S145:AG145" si="36">S21</f>
        <v>0.2</v>
      </c>
      <c r="T145" s="323">
        <f t="shared" si="36"/>
        <v>0</v>
      </c>
      <c r="U145" s="323">
        <f t="shared" si="36"/>
        <v>0</v>
      </c>
      <c r="V145" s="323">
        <f t="shared" si="36"/>
        <v>0</v>
      </c>
      <c r="W145" s="323">
        <f t="shared" si="36"/>
        <v>0</v>
      </c>
      <c r="X145" s="323">
        <f t="shared" si="36"/>
        <v>0</v>
      </c>
      <c r="Y145" s="323">
        <f t="shared" si="36"/>
        <v>0</v>
      </c>
      <c r="Z145" s="323">
        <f t="shared" si="36"/>
        <v>0.2</v>
      </c>
      <c r="AA145" s="323">
        <f t="shared" si="36"/>
        <v>0.5</v>
      </c>
      <c r="AB145" s="323">
        <f t="shared" si="36"/>
        <v>0.2</v>
      </c>
      <c r="AC145" s="323">
        <f t="shared" si="36"/>
        <v>11.9</v>
      </c>
      <c r="AD145" s="323">
        <f t="shared" si="36"/>
        <v>0.1</v>
      </c>
      <c r="AE145" s="323">
        <f t="shared" si="36"/>
        <v>0</v>
      </c>
      <c r="AF145" s="323">
        <f t="shared" si="36"/>
        <v>0</v>
      </c>
      <c r="AG145" s="323">
        <f t="shared" si="36"/>
        <v>0.1</v>
      </c>
      <c r="AH145" s="323">
        <f t="shared" si="20"/>
        <v>0.1</v>
      </c>
      <c r="AI145" s="323">
        <f t="shared" si="33"/>
        <v>0.1</v>
      </c>
      <c r="AJ145">
        <f t="shared" si="21"/>
        <v>193.22414144292441</v>
      </c>
    </row>
    <row r="146" spans="2:36" ht="16" customHeight="1">
      <c r="B146" s="10">
        <v>11</v>
      </c>
      <c r="C146" s="323">
        <f t="shared" si="28"/>
        <v>1.7</v>
      </c>
      <c r="D146" s="323">
        <f t="shared" si="16"/>
        <v>61.2</v>
      </c>
      <c r="E146" s="323">
        <f t="shared" si="16"/>
        <v>0</v>
      </c>
      <c r="F146" s="323">
        <f t="shared" si="16"/>
        <v>2.9</v>
      </c>
      <c r="G146" s="323">
        <f t="shared" si="29"/>
        <v>0.1</v>
      </c>
      <c r="H146" s="323">
        <f t="shared" si="29"/>
        <v>32.299999999999997</v>
      </c>
      <c r="I146" s="323">
        <f t="shared" ref="I146:N155" si="37">I22</f>
        <v>0.1</v>
      </c>
      <c r="J146" s="323">
        <f t="shared" si="37"/>
        <v>16.100000000000001</v>
      </c>
      <c r="K146" s="323">
        <f t="shared" si="37"/>
        <v>36.700000000000003</v>
      </c>
      <c r="L146" s="323">
        <f t="shared" si="37"/>
        <v>0</v>
      </c>
      <c r="M146" s="323">
        <f t="shared" si="37"/>
        <v>12.2</v>
      </c>
      <c r="N146" s="323">
        <f t="shared" si="37"/>
        <v>65.599999999999994</v>
      </c>
      <c r="O146" s="323">
        <f t="shared" si="30"/>
        <v>0.1</v>
      </c>
      <c r="P146" s="323">
        <f t="shared" si="18"/>
        <v>0.1</v>
      </c>
      <c r="Q146" s="323">
        <f t="shared" si="31"/>
        <v>0.2</v>
      </c>
      <c r="R146" s="323">
        <f t="shared" si="19"/>
        <v>0.3</v>
      </c>
      <c r="S146" s="323">
        <f t="shared" ref="S146:AG146" si="38">S22</f>
        <v>21.1</v>
      </c>
      <c r="T146" s="323">
        <f t="shared" si="38"/>
        <v>0.1</v>
      </c>
      <c r="U146" s="323">
        <f t="shared" si="38"/>
        <v>0</v>
      </c>
      <c r="V146" s="323">
        <f t="shared" si="38"/>
        <v>0.2</v>
      </c>
      <c r="W146" s="323">
        <f t="shared" si="38"/>
        <v>0.1</v>
      </c>
      <c r="X146" s="323">
        <f t="shared" si="38"/>
        <v>0.2</v>
      </c>
      <c r="Y146" s="323">
        <f t="shared" si="38"/>
        <v>0</v>
      </c>
      <c r="Z146" s="323">
        <f t="shared" si="38"/>
        <v>0.9</v>
      </c>
      <c r="AA146" s="323">
        <f t="shared" si="38"/>
        <v>2.8</v>
      </c>
      <c r="AB146" s="323">
        <f t="shared" si="38"/>
        <v>1.1000000000000001</v>
      </c>
      <c r="AC146" s="323">
        <f t="shared" si="38"/>
        <v>34.9</v>
      </c>
      <c r="AD146" s="323">
        <f t="shared" si="38"/>
        <v>0.3</v>
      </c>
      <c r="AE146" s="323">
        <f t="shared" si="38"/>
        <v>0.1</v>
      </c>
      <c r="AF146" s="323">
        <f t="shared" si="38"/>
        <v>0.1</v>
      </c>
      <c r="AG146" s="323">
        <f t="shared" si="38"/>
        <v>12.1</v>
      </c>
      <c r="AH146" s="323">
        <f t="shared" si="20"/>
        <v>1.6</v>
      </c>
      <c r="AI146" s="323">
        <f t="shared" si="33"/>
        <v>1.4</v>
      </c>
      <c r="AJ146">
        <f t="shared" si="21"/>
        <v>911.80419750450437</v>
      </c>
    </row>
    <row r="147" spans="2:36" ht="16" customHeight="1">
      <c r="B147" s="10">
        <v>12</v>
      </c>
      <c r="C147" s="323">
        <f t="shared" si="28"/>
        <v>1.9</v>
      </c>
      <c r="D147" s="323">
        <f t="shared" si="16"/>
        <v>0.7</v>
      </c>
      <c r="E147" s="323">
        <f t="shared" si="16"/>
        <v>0</v>
      </c>
      <c r="F147" s="323">
        <f t="shared" si="16"/>
        <v>0</v>
      </c>
      <c r="G147" s="323">
        <f t="shared" si="29"/>
        <v>0.2</v>
      </c>
      <c r="H147" s="323">
        <f t="shared" si="29"/>
        <v>1.2</v>
      </c>
      <c r="I147" s="323">
        <f t="shared" si="37"/>
        <v>0.1</v>
      </c>
      <c r="J147" s="323">
        <f t="shared" si="37"/>
        <v>0.2</v>
      </c>
      <c r="K147" s="323">
        <f t="shared" si="37"/>
        <v>0.3</v>
      </c>
      <c r="L147" s="323">
        <f t="shared" si="37"/>
        <v>0</v>
      </c>
      <c r="M147" s="323">
        <f t="shared" si="37"/>
        <v>0.2</v>
      </c>
      <c r="N147" s="323">
        <f t="shared" si="37"/>
        <v>0.5</v>
      </c>
      <c r="O147" s="323">
        <f t="shared" si="30"/>
        <v>0.1</v>
      </c>
      <c r="P147" s="323">
        <f t="shared" si="18"/>
        <v>0.1</v>
      </c>
      <c r="Q147" s="323">
        <f t="shared" si="31"/>
        <v>0.2</v>
      </c>
      <c r="R147" s="323">
        <f t="shared" si="19"/>
        <v>0.3</v>
      </c>
      <c r="S147" s="323">
        <f t="shared" ref="S147:AG147" si="39">S23</f>
        <v>0.9</v>
      </c>
      <c r="T147" s="323">
        <f t="shared" si="39"/>
        <v>0.2</v>
      </c>
      <c r="U147" s="323">
        <f t="shared" si="39"/>
        <v>0</v>
      </c>
      <c r="V147" s="323">
        <f t="shared" si="39"/>
        <v>0.3</v>
      </c>
      <c r="W147" s="323">
        <f t="shared" si="39"/>
        <v>0.2</v>
      </c>
      <c r="X147" s="323">
        <f t="shared" si="39"/>
        <v>0.3</v>
      </c>
      <c r="Y147" s="323">
        <f t="shared" si="39"/>
        <v>0</v>
      </c>
      <c r="Z147" s="323">
        <f t="shared" si="39"/>
        <v>1</v>
      </c>
      <c r="AA147" s="323">
        <f t="shared" si="39"/>
        <v>3</v>
      </c>
      <c r="AB147" s="323">
        <f t="shared" si="39"/>
        <v>1.2</v>
      </c>
      <c r="AC147" s="323">
        <f t="shared" si="39"/>
        <v>112.8</v>
      </c>
      <c r="AD147" s="323">
        <f t="shared" si="39"/>
        <v>0.3</v>
      </c>
      <c r="AE147" s="323">
        <f t="shared" si="39"/>
        <v>0.1</v>
      </c>
      <c r="AF147" s="323">
        <f t="shared" si="39"/>
        <v>0.2</v>
      </c>
      <c r="AG147" s="323">
        <f t="shared" si="39"/>
        <v>7.2</v>
      </c>
      <c r="AH147" s="323">
        <f t="shared" si="20"/>
        <v>7.8</v>
      </c>
      <c r="AI147" s="323">
        <f t="shared" si="33"/>
        <v>0.4</v>
      </c>
      <c r="AJ147">
        <f t="shared" si="21"/>
        <v>1836.6370141171631</v>
      </c>
    </row>
    <row r="148" spans="2:36" ht="16" customHeight="1">
      <c r="B148" s="10">
        <v>13</v>
      </c>
      <c r="C148">
        <f t="shared" ref="C148:AI148" si="40">C24</f>
        <v>2.2000000000000002</v>
      </c>
      <c r="D148" s="323">
        <f t="shared" si="16"/>
        <v>30.8</v>
      </c>
      <c r="E148" s="323">
        <f t="shared" si="16"/>
        <v>0</v>
      </c>
      <c r="F148" s="323">
        <f t="shared" si="16"/>
        <v>2.7</v>
      </c>
      <c r="G148">
        <f t="shared" si="40"/>
        <v>0.2</v>
      </c>
      <c r="H148">
        <f t="shared" si="40"/>
        <v>16.8</v>
      </c>
      <c r="I148" s="323">
        <f t="shared" si="37"/>
        <v>9.1999999999999993</v>
      </c>
      <c r="J148" s="323">
        <f t="shared" si="37"/>
        <v>2.4</v>
      </c>
      <c r="K148" s="323">
        <f t="shared" si="37"/>
        <v>7.5</v>
      </c>
      <c r="L148" s="323">
        <f t="shared" si="37"/>
        <v>2.2999999999999998</v>
      </c>
      <c r="M148" s="323">
        <f t="shared" si="37"/>
        <v>5.2</v>
      </c>
      <c r="N148" s="323">
        <f t="shared" si="37"/>
        <v>119.9</v>
      </c>
      <c r="O148">
        <f t="shared" si="40"/>
        <v>133</v>
      </c>
      <c r="P148" s="323">
        <f t="shared" si="18"/>
        <v>0.1</v>
      </c>
      <c r="Q148">
        <f t="shared" si="40"/>
        <v>0.2</v>
      </c>
      <c r="R148" s="323">
        <f t="shared" si="19"/>
        <v>3.2</v>
      </c>
      <c r="S148">
        <f t="shared" si="40"/>
        <v>4.3</v>
      </c>
      <c r="T148">
        <f t="shared" si="40"/>
        <v>0.7</v>
      </c>
      <c r="U148">
        <f t="shared" si="40"/>
        <v>0</v>
      </c>
      <c r="V148">
        <f t="shared" si="40"/>
        <v>0.3</v>
      </c>
      <c r="W148">
        <f t="shared" si="40"/>
        <v>0.2</v>
      </c>
      <c r="X148">
        <f t="shared" si="40"/>
        <v>48.9</v>
      </c>
      <c r="Y148">
        <f t="shared" si="40"/>
        <v>0.3</v>
      </c>
      <c r="Z148">
        <f t="shared" si="40"/>
        <v>1.2</v>
      </c>
      <c r="AA148">
        <f t="shared" si="40"/>
        <v>3.5</v>
      </c>
      <c r="AB148">
        <f t="shared" si="40"/>
        <v>1.4</v>
      </c>
      <c r="AC148">
        <f t="shared" si="40"/>
        <v>7.3</v>
      </c>
      <c r="AD148">
        <f t="shared" si="40"/>
        <v>0.6</v>
      </c>
      <c r="AE148">
        <f t="shared" si="40"/>
        <v>0.9</v>
      </c>
      <c r="AF148">
        <f t="shared" si="40"/>
        <v>0.3</v>
      </c>
      <c r="AG148">
        <f t="shared" si="40"/>
        <v>15.8</v>
      </c>
      <c r="AH148" s="323">
        <f t="shared" si="20"/>
        <v>29.8</v>
      </c>
      <c r="AI148">
        <f t="shared" si="40"/>
        <v>5.5</v>
      </c>
      <c r="AJ148">
        <f t="shared" si="21"/>
        <v>292.86896267083802</v>
      </c>
    </row>
    <row r="149" spans="2:36" ht="16" customHeight="1">
      <c r="B149" s="10">
        <v>14</v>
      </c>
      <c r="C149" s="323">
        <f>C25</f>
        <v>0.1</v>
      </c>
      <c r="D149" s="323">
        <f t="shared" si="16"/>
        <v>0</v>
      </c>
      <c r="E149" s="323">
        <f t="shared" si="16"/>
        <v>0</v>
      </c>
      <c r="F149" s="323">
        <f t="shared" si="16"/>
        <v>0</v>
      </c>
      <c r="G149" s="323">
        <f>G25</f>
        <v>0</v>
      </c>
      <c r="H149" s="323">
        <f>H25</f>
        <v>2.2000000000000002</v>
      </c>
      <c r="I149" s="323">
        <f t="shared" si="37"/>
        <v>1.8</v>
      </c>
      <c r="J149" s="323">
        <f t="shared" si="37"/>
        <v>0.4</v>
      </c>
      <c r="K149" s="323">
        <f t="shared" si="37"/>
        <v>1.3</v>
      </c>
      <c r="L149" s="323">
        <f t="shared" si="37"/>
        <v>0.2</v>
      </c>
      <c r="M149" s="323">
        <f t="shared" si="37"/>
        <v>0.4</v>
      </c>
      <c r="N149" s="323">
        <f t="shared" si="37"/>
        <v>2</v>
      </c>
      <c r="O149" s="323">
        <f>O25</f>
        <v>11.3</v>
      </c>
      <c r="P149" s="323">
        <f t="shared" si="18"/>
        <v>42.4</v>
      </c>
      <c r="Q149" s="323">
        <f>Q25</f>
        <v>0</v>
      </c>
      <c r="R149" s="323">
        <f t="shared" si="19"/>
        <v>0.2</v>
      </c>
      <c r="S149" s="323">
        <f t="shared" ref="S149:AG149" si="41">S25</f>
        <v>0.4</v>
      </c>
      <c r="T149" s="323">
        <f t="shared" si="41"/>
        <v>0</v>
      </c>
      <c r="U149" s="323">
        <f t="shared" si="41"/>
        <v>0</v>
      </c>
      <c r="V149" s="323">
        <f t="shared" si="41"/>
        <v>0.2</v>
      </c>
      <c r="W149" s="323">
        <f t="shared" si="41"/>
        <v>0.5</v>
      </c>
      <c r="X149" s="323">
        <f t="shared" si="41"/>
        <v>0.1</v>
      </c>
      <c r="Y149" s="323">
        <f t="shared" si="41"/>
        <v>0.1</v>
      </c>
      <c r="Z149" s="323">
        <f t="shared" si="41"/>
        <v>0.2</v>
      </c>
      <c r="AA149" s="323">
        <f t="shared" si="41"/>
        <v>0.1</v>
      </c>
      <c r="AB149" s="323">
        <f t="shared" si="41"/>
        <v>0.1</v>
      </c>
      <c r="AC149" s="323">
        <f t="shared" si="41"/>
        <v>0</v>
      </c>
      <c r="AD149" s="323">
        <f t="shared" si="41"/>
        <v>0</v>
      </c>
      <c r="AE149" s="323">
        <f t="shared" si="41"/>
        <v>0</v>
      </c>
      <c r="AF149" s="323">
        <f t="shared" si="41"/>
        <v>0</v>
      </c>
      <c r="AG149" s="323">
        <f t="shared" si="41"/>
        <v>1.8</v>
      </c>
      <c r="AH149" s="323">
        <f t="shared" si="20"/>
        <v>0.1</v>
      </c>
      <c r="AI149" s="323">
        <f>AI25</f>
        <v>0.7</v>
      </c>
      <c r="AJ149">
        <f t="shared" si="21"/>
        <v>188.63103732916201</v>
      </c>
    </row>
    <row r="150" spans="2:36" ht="16" customHeight="1">
      <c r="B150" s="10">
        <v>15</v>
      </c>
      <c r="C150">
        <f t="shared" ref="C150:AI150" si="42">C26</f>
        <v>76.8</v>
      </c>
      <c r="D150" s="323">
        <f t="shared" si="16"/>
        <v>33.200000000000003</v>
      </c>
      <c r="E150" s="323">
        <f t="shared" si="16"/>
        <v>3.6</v>
      </c>
      <c r="F150" s="323">
        <f t="shared" si="16"/>
        <v>0.2</v>
      </c>
      <c r="G150">
        <f t="shared" si="42"/>
        <v>0.2</v>
      </c>
      <c r="H150">
        <f t="shared" si="42"/>
        <v>0.3</v>
      </c>
      <c r="I150" s="323">
        <f t="shared" si="37"/>
        <v>0</v>
      </c>
      <c r="J150" s="323">
        <f t="shared" si="37"/>
        <v>0.1</v>
      </c>
      <c r="K150" s="323">
        <f t="shared" si="37"/>
        <v>0.1</v>
      </c>
      <c r="L150" s="323">
        <f t="shared" si="37"/>
        <v>0</v>
      </c>
      <c r="M150" s="323">
        <f t="shared" si="37"/>
        <v>0.1</v>
      </c>
      <c r="N150" s="323">
        <f t="shared" si="37"/>
        <v>0.1</v>
      </c>
      <c r="O150">
        <f t="shared" si="42"/>
        <v>0.2</v>
      </c>
      <c r="P150" s="323">
        <f t="shared" si="18"/>
        <v>0</v>
      </c>
      <c r="Q150">
        <f t="shared" si="42"/>
        <v>105</v>
      </c>
      <c r="R150" s="323">
        <f t="shared" si="19"/>
        <v>0.7</v>
      </c>
      <c r="S150">
        <f t="shared" si="42"/>
        <v>0.3</v>
      </c>
      <c r="T150">
        <f t="shared" si="42"/>
        <v>0</v>
      </c>
      <c r="U150">
        <f t="shared" si="42"/>
        <v>0</v>
      </c>
      <c r="V150">
        <f t="shared" si="42"/>
        <v>0</v>
      </c>
      <c r="W150">
        <f t="shared" si="42"/>
        <v>0.1</v>
      </c>
      <c r="X150">
        <f t="shared" si="42"/>
        <v>63.9</v>
      </c>
      <c r="Y150">
        <f t="shared" si="42"/>
        <v>0</v>
      </c>
      <c r="Z150">
        <f t="shared" si="42"/>
        <v>343.4</v>
      </c>
      <c r="AA150">
        <f t="shared" si="42"/>
        <v>0.3</v>
      </c>
      <c r="AB150">
        <f t="shared" si="42"/>
        <v>2.5</v>
      </c>
      <c r="AC150">
        <f t="shared" si="42"/>
        <v>0</v>
      </c>
      <c r="AD150">
        <f t="shared" si="42"/>
        <v>0</v>
      </c>
      <c r="AE150">
        <f t="shared" si="42"/>
        <v>0.1</v>
      </c>
      <c r="AF150">
        <f t="shared" si="42"/>
        <v>0.1</v>
      </c>
      <c r="AG150">
        <f t="shared" si="42"/>
        <v>0.4</v>
      </c>
      <c r="AH150" s="323">
        <f t="shared" si="20"/>
        <v>0.3</v>
      </c>
      <c r="AI150">
        <f t="shared" si="42"/>
        <v>0.3</v>
      </c>
      <c r="AJ150">
        <f t="shared" si="21"/>
        <v>0</v>
      </c>
    </row>
    <row r="151" spans="2:36" ht="16" customHeight="1">
      <c r="B151" s="10">
        <v>16</v>
      </c>
      <c r="C151" s="323">
        <f>C27</f>
        <v>45.7</v>
      </c>
      <c r="D151" s="323">
        <f t="shared" si="16"/>
        <v>4.7</v>
      </c>
      <c r="E151" s="323">
        <f t="shared" si="16"/>
        <v>1.6</v>
      </c>
      <c r="F151" s="323">
        <f t="shared" si="16"/>
        <v>0</v>
      </c>
      <c r="G151" s="323">
        <f>G27</f>
        <v>0.3</v>
      </c>
      <c r="H151" s="323">
        <f>H27</f>
        <v>25.8</v>
      </c>
      <c r="I151" s="323">
        <f t="shared" si="37"/>
        <v>6.7</v>
      </c>
      <c r="J151" s="323">
        <f t="shared" si="37"/>
        <v>6.3</v>
      </c>
      <c r="K151" s="323">
        <f t="shared" si="37"/>
        <v>7.3</v>
      </c>
      <c r="L151" s="323">
        <f t="shared" si="37"/>
        <v>0.5</v>
      </c>
      <c r="M151" s="323">
        <f t="shared" si="37"/>
        <v>8.3000000000000007</v>
      </c>
      <c r="N151" s="323">
        <f t="shared" si="37"/>
        <v>90.6</v>
      </c>
      <c r="O151" s="323">
        <f>O27</f>
        <v>1.6</v>
      </c>
      <c r="P151" s="323">
        <f t="shared" si="18"/>
        <v>2</v>
      </c>
      <c r="Q151" s="323">
        <f>Q27</f>
        <v>0.3</v>
      </c>
      <c r="R151" s="323">
        <f t="shared" si="19"/>
        <v>176.1</v>
      </c>
      <c r="S151" s="323">
        <f t="shared" ref="S151:AG151" si="43">S27</f>
        <v>9.1</v>
      </c>
      <c r="T151" s="323">
        <f t="shared" si="43"/>
        <v>32.200000000000003</v>
      </c>
      <c r="U151" s="323">
        <f t="shared" si="43"/>
        <v>0.3</v>
      </c>
      <c r="V151" s="323">
        <f t="shared" si="43"/>
        <v>2.6</v>
      </c>
      <c r="W151" s="323">
        <f t="shared" si="43"/>
        <v>1.1000000000000001</v>
      </c>
      <c r="X151" s="323">
        <f t="shared" si="43"/>
        <v>9.6</v>
      </c>
      <c r="Y151" s="323">
        <f t="shared" si="43"/>
        <v>4.5999999999999996</v>
      </c>
      <c r="Z151" s="323">
        <f t="shared" si="43"/>
        <v>2</v>
      </c>
      <c r="AA151" s="323">
        <f t="shared" si="43"/>
        <v>99.7</v>
      </c>
      <c r="AB151" s="323">
        <f t="shared" si="43"/>
        <v>72.5</v>
      </c>
      <c r="AC151" s="323">
        <f t="shared" si="43"/>
        <v>11.9</v>
      </c>
      <c r="AD151" s="323">
        <f t="shared" si="43"/>
        <v>4.5999999999999996</v>
      </c>
      <c r="AE151" s="323">
        <f t="shared" si="43"/>
        <v>13</v>
      </c>
      <c r="AF151" s="323">
        <f t="shared" si="43"/>
        <v>7.5</v>
      </c>
      <c r="AG151" s="323">
        <f t="shared" si="43"/>
        <v>73.2</v>
      </c>
      <c r="AH151" s="323">
        <f t="shared" si="20"/>
        <v>25.1</v>
      </c>
      <c r="AI151" s="323">
        <f>AI27</f>
        <v>14.5</v>
      </c>
      <c r="AJ151">
        <f t="shared" si="21"/>
        <v>332.8</v>
      </c>
    </row>
    <row r="152" spans="2:36" ht="16" customHeight="1">
      <c r="B152" s="13">
        <v>17</v>
      </c>
      <c r="C152">
        <f t="shared" ref="C152:AI152" si="44">C28</f>
        <v>195</v>
      </c>
      <c r="D152" s="323">
        <f t="shared" si="16"/>
        <v>29.5</v>
      </c>
      <c r="E152" s="323">
        <f t="shared" si="16"/>
        <v>8.1</v>
      </c>
      <c r="F152" s="323">
        <f t="shared" si="16"/>
        <v>1.5</v>
      </c>
      <c r="G152">
        <f t="shared" si="44"/>
        <v>20.3</v>
      </c>
      <c r="H152">
        <f t="shared" si="44"/>
        <v>37.200000000000003</v>
      </c>
      <c r="I152" s="323">
        <f t="shared" si="37"/>
        <v>13.6</v>
      </c>
      <c r="J152" s="323">
        <f t="shared" si="37"/>
        <v>8.1999999999999993</v>
      </c>
      <c r="K152" s="323">
        <f t="shared" si="37"/>
        <v>20.7</v>
      </c>
      <c r="L152" s="323">
        <f t="shared" si="37"/>
        <v>2.7</v>
      </c>
      <c r="M152" s="323">
        <f t="shared" si="37"/>
        <v>20</v>
      </c>
      <c r="N152" s="323">
        <f t="shared" si="37"/>
        <v>99</v>
      </c>
      <c r="O152">
        <f t="shared" si="44"/>
        <v>9.6</v>
      </c>
      <c r="P152" s="323">
        <f t="shared" si="18"/>
        <v>11.9</v>
      </c>
      <c r="Q152">
        <f t="shared" si="44"/>
        <v>4.5999999999999996</v>
      </c>
      <c r="R152" s="323">
        <f t="shared" si="19"/>
        <v>31.7</v>
      </c>
      <c r="S152">
        <f t="shared" si="44"/>
        <v>473.5</v>
      </c>
      <c r="T152">
        <f t="shared" si="44"/>
        <v>11.3</v>
      </c>
      <c r="U152">
        <f t="shared" si="44"/>
        <v>1.6</v>
      </c>
      <c r="V152">
        <f t="shared" si="44"/>
        <v>1.9</v>
      </c>
      <c r="W152">
        <f t="shared" si="44"/>
        <v>1.8</v>
      </c>
      <c r="X152">
        <f t="shared" si="44"/>
        <v>62.3</v>
      </c>
      <c r="Y152">
        <f t="shared" si="44"/>
        <v>3.2</v>
      </c>
      <c r="Z152">
        <f t="shared" si="44"/>
        <v>95.4</v>
      </c>
      <c r="AA152">
        <f t="shared" si="44"/>
        <v>86.9</v>
      </c>
      <c r="AB152">
        <f t="shared" si="44"/>
        <v>2.2999999999999998</v>
      </c>
      <c r="AC152">
        <f t="shared" si="44"/>
        <v>20.399999999999999</v>
      </c>
      <c r="AD152">
        <f t="shared" si="44"/>
        <v>2.6</v>
      </c>
      <c r="AE152">
        <f t="shared" si="44"/>
        <v>1.9</v>
      </c>
      <c r="AF152">
        <f t="shared" si="44"/>
        <v>1.7</v>
      </c>
      <c r="AG152">
        <f t="shared" si="44"/>
        <v>14.7</v>
      </c>
      <c r="AH152" s="323">
        <f t="shared" si="20"/>
        <v>116.5</v>
      </c>
      <c r="AI152">
        <f t="shared" si="44"/>
        <v>161.30000000000001</v>
      </c>
      <c r="AJ152">
        <f t="shared" si="21"/>
        <v>1530.3</v>
      </c>
    </row>
    <row r="153" spans="2:36" ht="16" customHeight="1">
      <c r="B153" s="15">
        <v>18</v>
      </c>
      <c r="C153">
        <f t="shared" ref="C153:AI153" si="45">C29</f>
        <v>1.4</v>
      </c>
      <c r="D153" s="323">
        <f t="shared" si="16"/>
        <v>0.8</v>
      </c>
      <c r="E153" s="323">
        <f t="shared" si="16"/>
        <v>3.4</v>
      </c>
      <c r="F153" s="323">
        <f t="shared" si="16"/>
        <v>0</v>
      </c>
      <c r="G153">
        <f t="shared" si="45"/>
        <v>1.8</v>
      </c>
      <c r="H153">
        <f t="shared" si="45"/>
        <v>0.7</v>
      </c>
      <c r="I153" s="323">
        <f t="shared" si="37"/>
        <v>0.1</v>
      </c>
      <c r="J153" s="323">
        <f t="shared" si="37"/>
        <v>0.2</v>
      </c>
      <c r="K153" s="323">
        <f t="shared" si="37"/>
        <v>0.2</v>
      </c>
      <c r="L153" s="323">
        <f t="shared" si="37"/>
        <v>0.3</v>
      </c>
      <c r="M153" s="323">
        <f t="shared" si="37"/>
        <v>0.6</v>
      </c>
      <c r="N153" s="323">
        <f t="shared" si="37"/>
        <v>4.7</v>
      </c>
      <c r="O153">
        <f t="shared" si="45"/>
        <v>0.1</v>
      </c>
      <c r="P153" s="323">
        <f t="shared" si="18"/>
        <v>0</v>
      </c>
      <c r="Q153">
        <f t="shared" si="45"/>
        <v>0.1</v>
      </c>
      <c r="R153" s="323">
        <f t="shared" si="19"/>
        <v>0.6</v>
      </c>
      <c r="S153">
        <f t="shared" si="45"/>
        <v>13.6</v>
      </c>
      <c r="T153">
        <f t="shared" si="45"/>
        <v>62.1</v>
      </c>
      <c r="U153">
        <f t="shared" si="45"/>
        <v>0.4</v>
      </c>
      <c r="V153">
        <f t="shared" si="45"/>
        <v>5.9</v>
      </c>
      <c r="W153">
        <f t="shared" si="45"/>
        <v>0.6</v>
      </c>
      <c r="X153">
        <f t="shared" si="45"/>
        <v>0.3</v>
      </c>
      <c r="Y153">
        <f t="shared" si="45"/>
        <v>1</v>
      </c>
      <c r="Z153">
        <f t="shared" si="45"/>
        <v>559.79999999999995</v>
      </c>
      <c r="AA153">
        <f t="shared" si="45"/>
        <v>2.1</v>
      </c>
      <c r="AB153">
        <f t="shared" si="45"/>
        <v>1.3</v>
      </c>
      <c r="AC153">
        <f t="shared" si="45"/>
        <v>0.6</v>
      </c>
      <c r="AD153">
        <f t="shared" si="45"/>
        <v>1.2</v>
      </c>
      <c r="AE153">
        <f t="shared" si="45"/>
        <v>1</v>
      </c>
      <c r="AF153">
        <f t="shared" si="45"/>
        <v>0.2</v>
      </c>
      <c r="AG153">
        <f t="shared" si="45"/>
        <v>0.4</v>
      </c>
      <c r="AH153" s="323">
        <f t="shared" si="20"/>
        <v>5.7</v>
      </c>
      <c r="AI153">
        <f t="shared" si="45"/>
        <v>7.1</v>
      </c>
      <c r="AJ153">
        <f t="shared" si="21"/>
        <v>135.6</v>
      </c>
    </row>
    <row r="154" spans="2:36" ht="16" customHeight="1">
      <c r="B154" s="13">
        <v>19</v>
      </c>
      <c r="C154">
        <f t="shared" ref="C154:AI154" si="46">C30</f>
        <v>3.9</v>
      </c>
      <c r="D154" s="323">
        <f t="shared" si="16"/>
        <v>1.7</v>
      </c>
      <c r="E154" s="323">
        <f t="shared" si="16"/>
        <v>0.3</v>
      </c>
      <c r="F154" s="323">
        <f t="shared" si="16"/>
        <v>0</v>
      </c>
      <c r="G154">
        <f t="shared" si="46"/>
        <v>0</v>
      </c>
      <c r="H154">
        <f t="shared" si="46"/>
        <v>0.2</v>
      </c>
      <c r="I154" s="323">
        <f t="shared" si="37"/>
        <v>0</v>
      </c>
      <c r="J154" s="323">
        <f t="shared" si="37"/>
        <v>0</v>
      </c>
      <c r="K154" s="323">
        <f t="shared" si="37"/>
        <v>0</v>
      </c>
      <c r="L154" s="323">
        <f t="shared" si="37"/>
        <v>0</v>
      </c>
      <c r="M154" s="323">
        <f t="shared" si="37"/>
        <v>0</v>
      </c>
      <c r="N154" s="323">
        <f t="shared" si="37"/>
        <v>4</v>
      </c>
      <c r="O154">
        <f t="shared" si="46"/>
        <v>0</v>
      </c>
      <c r="P154" s="323">
        <f t="shared" si="18"/>
        <v>0</v>
      </c>
      <c r="Q154">
        <f t="shared" si="46"/>
        <v>0</v>
      </c>
      <c r="R154" s="323">
        <f t="shared" si="19"/>
        <v>1.2</v>
      </c>
      <c r="S154">
        <f t="shared" si="46"/>
        <v>59.9</v>
      </c>
      <c r="T154">
        <f t="shared" si="46"/>
        <v>3.8</v>
      </c>
      <c r="U154">
        <f t="shared" si="46"/>
        <v>9.8000000000000007</v>
      </c>
      <c r="V154">
        <f t="shared" si="46"/>
        <v>0</v>
      </c>
      <c r="W154">
        <f t="shared" si="46"/>
        <v>0</v>
      </c>
      <c r="X154">
        <f t="shared" si="46"/>
        <v>8.5</v>
      </c>
      <c r="Y154">
        <f t="shared" si="46"/>
        <v>0</v>
      </c>
      <c r="Z154">
        <f t="shared" si="46"/>
        <v>27.2</v>
      </c>
      <c r="AA154">
        <f t="shared" si="46"/>
        <v>0.5</v>
      </c>
      <c r="AB154">
        <f t="shared" si="46"/>
        <v>0.2</v>
      </c>
      <c r="AC154">
        <f t="shared" si="46"/>
        <v>0.1</v>
      </c>
      <c r="AD154">
        <f t="shared" si="46"/>
        <v>0.1</v>
      </c>
      <c r="AE154">
        <f t="shared" si="46"/>
        <v>0.9</v>
      </c>
      <c r="AF154">
        <f t="shared" si="46"/>
        <v>0</v>
      </c>
      <c r="AG154">
        <f t="shared" si="46"/>
        <v>0.1</v>
      </c>
      <c r="AH154" s="323">
        <f t="shared" si="20"/>
        <v>0.1</v>
      </c>
      <c r="AI154">
        <f t="shared" si="46"/>
        <v>0.7</v>
      </c>
      <c r="AJ154">
        <f t="shared" si="21"/>
        <v>7.1</v>
      </c>
    </row>
    <row r="155" spans="2:36" ht="16" customHeight="1">
      <c r="B155" s="10">
        <v>20</v>
      </c>
      <c r="C155">
        <f t="shared" ref="C155:AI155" si="47">C31</f>
        <v>5.5</v>
      </c>
      <c r="D155" s="323">
        <f t="shared" si="16"/>
        <v>3.5</v>
      </c>
      <c r="E155" s="323">
        <f t="shared" si="16"/>
        <v>0.2</v>
      </c>
      <c r="F155" s="323">
        <f t="shared" si="16"/>
        <v>0.1</v>
      </c>
      <c r="G155">
        <f t="shared" si="47"/>
        <v>24.8</v>
      </c>
      <c r="H155">
        <f t="shared" si="47"/>
        <v>2.2000000000000002</v>
      </c>
      <c r="I155" s="323">
        <f t="shared" si="37"/>
        <v>0.4</v>
      </c>
      <c r="J155" s="323">
        <f t="shared" si="37"/>
        <v>0.5</v>
      </c>
      <c r="K155" s="323">
        <f t="shared" si="37"/>
        <v>0.6</v>
      </c>
      <c r="L155" s="323">
        <f t="shared" si="37"/>
        <v>0.1</v>
      </c>
      <c r="M155" s="323">
        <f t="shared" si="37"/>
        <v>0.7</v>
      </c>
      <c r="N155" s="323">
        <f t="shared" si="37"/>
        <v>1.5</v>
      </c>
      <c r="O155">
        <f t="shared" si="47"/>
        <v>0.2</v>
      </c>
      <c r="P155" s="323">
        <f t="shared" si="18"/>
        <v>0.1</v>
      </c>
      <c r="Q155">
        <f t="shared" si="47"/>
        <v>0.7</v>
      </c>
      <c r="R155" s="323">
        <f t="shared" si="19"/>
        <v>3.1</v>
      </c>
      <c r="S155">
        <f t="shared" si="47"/>
        <v>66.7</v>
      </c>
      <c r="T155">
        <f t="shared" si="47"/>
        <v>0.8</v>
      </c>
      <c r="U155">
        <f t="shared" si="47"/>
        <v>0.1</v>
      </c>
      <c r="V155">
        <f t="shared" si="47"/>
        <v>96.3</v>
      </c>
      <c r="W155">
        <f t="shared" si="47"/>
        <v>49.2</v>
      </c>
      <c r="X155">
        <f t="shared" si="47"/>
        <v>38.9</v>
      </c>
      <c r="Y155">
        <f t="shared" si="47"/>
        <v>4.7</v>
      </c>
      <c r="Z155">
        <f t="shared" si="47"/>
        <v>79.900000000000006</v>
      </c>
      <c r="AA155">
        <f t="shared" si="47"/>
        <v>51.6</v>
      </c>
      <c r="AB155">
        <f t="shared" si="47"/>
        <v>3</v>
      </c>
      <c r="AC155">
        <f t="shared" si="47"/>
        <v>1.7</v>
      </c>
      <c r="AD155">
        <f t="shared" si="47"/>
        <v>4.2</v>
      </c>
      <c r="AE155">
        <f t="shared" si="47"/>
        <v>2.4</v>
      </c>
      <c r="AF155">
        <f t="shared" si="47"/>
        <v>0.7</v>
      </c>
      <c r="AG155">
        <f t="shared" si="47"/>
        <v>1.6</v>
      </c>
      <c r="AH155" s="323">
        <f t="shared" si="20"/>
        <v>14.1</v>
      </c>
      <c r="AI155">
        <f t="shared" si="47"/>
        <v>8.6</v>
      </c>
      <c r="AJ155">
        <f t="shared" si="21"/>
        <v>55.2</v>
      </c>
    </row>
    <row r="156" spans="2:36" ht="16" customHeight="1">
      <c r="B156" s="10">
        <v>21</v>
      </c>
      <c r="C156">
        <f t="shared" ref="C156:AI156" si="48">C32</f>
        <v>1.6</v>
      </c>
      <c r="D156" s="323">
        <f t="shared" si="48"/>
        <v>0.8</v>
      </c>
      <c r="E156" s="323">
        <f t="shared" si="48"/>
        <v>0.1</v>
      </c>
      <c r="F156" s="323">
        <f t="shared" si="48"/>
        <v>0</v>
      </c>
      <c r="G156">
        <f t="shared" si="48"/>
        <v>0.1</v>
      </c>
      <c r="H156">
        <f t="shared" si="48"/>
        <v>0.8</v>
      </c>
      <c r="I156" s="323">
        <f t="shared" si="48"/>
        <v>0.1</v>
      </c>
      <c r="J156" s="323">
        <f t="shared" si="48"/>
        <v>0.2</v>
      </c>
      <c r="K156" s="323">
        <f t="shared" si="48"/>
        <v>0.2</v>
      </c>
      <c r="L156" s="323">
        <f t="shared" si="48"/>
        <v>0</v>
      </c>
      <c r="M156" s="323">
        <f t="shared" si="48"/>
        <v>0.2</v>
      </c>
      <c r="N156" s="323">
        <f t="shared" si="48"/>
        <v>0.5</v>
      </c>
      <c r="O156">
        <f t="shared" si="48"/>
        <v>0.1</v>
      </c>
      <c r="P156" s="323">
        <f t="shared" si="18"/>
        <v>0</v>
      </c>
      <c r="Q156">
        <f t="shared" si="48"/>
        <v>0.1</v>
      </c>
      <c r="R156" s="323">
        <f t="shared" si="19"/>
        <v>0.3</v>
      </c>
      <c r="S156">
        <f t="shared" si="48"/>
        <v>0.9</v>
      </c>
      <c r="T156">
        <f t="shared" si="48"/>
        <v>0.1</v>
      </c>
      <c r="U156">
        <f t="shared" si="48"/>
        <v>0</v>
      </c>
      <c r="V156">
        <f t="shared" si="48"/>
        <v>12.8</v>
      </c>
      <c r="W156">
        <f t="shared" si="48"/>
        <v>8</v>
      </c>
      <c r="X156">
        <f t="shared" si="48"/>
        <v>2.6</v>
      </c>
      <c r="Y156">
        <f t="shared" si="48"/>
        <v>0.3</v>
      </c>
      <c r="Z156">
        <f t="shared" si="48"/>
        <v>0.7</v>
      </c>
      <c r="AA156">
        <f t="shared" si="48"/>
        <v>2.5</v>
      </c>
      <c r="AB156">
        <f t="shared" si="48"/>
        <v>1.4</v>
      </c>
      <c r="AC156">
        <f t="shared" si="48"/>
        <v>0.5</v>
      </c>
      <c r="AD156">
        <f t="shared" si="48"/>
        <v>11.2</v>
      </c>
      <c r="AE156">
        <f t="shared" si="48"/>
        <v>1</v>
      </c>
      <c r="AF156">
        <f t="shared" si="48"/>
        <v>0.2</v>
      </c>
      <c r="AG156">
        <f t="shared" si="48"/>
        <v>0.5</v>
      </c>
      <c r="AH156" s="323">
        <f t="shared" si="20"/>
        <v>0.6</v>
      </c>
      <c r="AI156">
        <f t="shared" si="48"/>
        <v>2.8</v>
      </c>
      <c r="AJ156">
        <f t="shared" si="21"/>
        <v>103.5</v>
      </c>
    </row>
    <row r="157" spans="2:36" ht="16" customHeight="1">
      <c r="B157" s="10">
        <v>22</v>
      </c>
      <c r="C157">
        <f t="shared" ref="C157:AI157" si="49">C33</f>
        <v>136.1</v>
      </c>
      <c r="D157" s="323">
        <f t="shared" si="49"/>
        <v>109.5</v>
      </c>
      <c r="E157" s="323">
        <f t="shared" si="49"/>
        <v>0</v>
      </c>
      <c r="F157" s="323">
        <f t="shared" si="49"/>
        <v>0.5</v>
      </c>
      <c r="G157">
        <f t="shared" si="49"/>
        <v>35</v>
      </c>
      <c r="H157">
        <f t="shared" si="49"/>
        <v>29.8</v>
      </c>
      <c r="I157" s="323">
        <f t="shared" si="49"/>
        <v>1.6</v>
      </c>
      <c r="J157" s="323">
        <f t="shared" si="49"/>
        <v>6.2</v>
      </c>
      <c r="K157" s="323">
        <f t="shared" si="49"/>
        <v>9.5</v>
      </c>
      <c r="L157" s="323">
        <f t="shared" si="49"/>
        <v>0.7</v>
      </c>
      <c r="M157" s="323">
        <f t="shared" si="49"/>
        <v>6.1</v>
      </c>
      <c r="N157" s="323">
        <f t="shared" si="49"/>
        <v>16.100000000000001</v>
      </c>
      <c r="O157">
        <f t="shared" si="49"/>
        <v>25.1</v>
      </c>
      <c r="P157" s="323">
        <f t="shared" si="18"/>
        <v>3.7</v>
      </c>
      <c r="Q157">
        <f t="shared" si="49"/>
        <v>5.2</v>
      </c>
      <c r="R157" s="323">
        <f t="shared" si="19"/>
        <v>35.700000000000003</v>
      </c>
      <c r="S157">
        <f t="shared" si="49"/>
        <v>39.1</v>
      </c>
      <c r="T157">
        <f t="shared" si="49"/>
        <v>5</v>
      </c>
      <c r="U157">
        <f t="shared" si="49"/>
        <v>0.6</v>
      </c>
      <c r="V157">
        <f t="shared" si="49"/>
        <v>0.3</v>
      </c>
      <c r="W157">
        <f t="shared" si="49"/>
        <v>8.6999999999999993</v>
      </c>
      <c r="X157">
        <f t="shared" si="49"/>
        <v>13.9</v>
      </c>
      <c r="Y157">
        <f t="shared" si="49"/>
        <v>3.9</v>
      </c>
      <c r="Z157">
        <f t="shared" si="49"/>
        <v>11.4</v>
      </c>
      <c r="AA157">
        <f t="shared" si="49"/>
        <v>41.4</v>
      </c>
      <c r="AB157">
        <f t="shared" si="49"/>
        <v>344</v>
      </c>
      <c r="AC157">
        <f t="shared" si="49"/>
        <v>2.2000000000000002</v>
      </c>
      <c r="AD157">
        <f t="shared" si="49"/>
        <v>0.4</v>
      </c>
      <c r="AE157">
        <f t="shared" si="49"/>
        <v>18</v>
      </c>
      <c r="AF157">
        <f t="shared" si="49"/>
        <v>11.7</v>
      </c>
      <c r="AG157">
        <f t="shared" si="49"/>
        <v>51.7</v>
      </c>
      <c r="AH157" s="323">
        <f t="shared" si="20"/>
        <v>43</v>
      </c>
      <c r="AI157">
        <f t="shared" si="49"/>
        <v>34</v>
      </c>
      <c r="AJ157">
        <f t="shared" si="21"/>
        <v>275.3</v>
      </c>
    </row>
    <row r="158" spans="2:36" ht="16" customHeight="1">
      <c r="B158" s="10">
        <v>23</v>
      </c>
      <c r="C158">
        <f t="shared" ref="C158:AI158" si="50">C34</f>
        <v>4.5999999999999996</v>
      </c>
      <c r="D158" s="323">
        <f t="shared" si="50"/>
        <v>19.8</v>
      </c>
      <c r="E158" s="323">
        <f t="shared" si="50"/>
        <v>0.2</v>
      </c>
      <c r="F158" s="323">
        <f t="shared" si="50"/>
        <v>0</v>
      </c>
      <c r="G158">
        <f t="shared" si="50"/>
        <v>2.4</v>
      </c>
      <c r="H158">
        <f t="shared" si="50"/>
        <v>37.799999999999997</v>
      </c>
      <c r="I158" s="323">
        <f t="shared" si="50"/>
        <v>18.7</v>
      </c>
      <c r="J158" s="323">
        <f t="shared" si="50"/>
        <v>28.3</v>
      </c>
      <c r="K158" s="323">
        <f t="shared" si="50"/>
        <v>38.700000000000003</v>
      </c>
      <c r="L158" s="323">
        <f t="shared" si="50"/>
        <v>6.2</v>
      </c>
      <c r="M158" s="323">
        <f t="shared" si="50"/>
        <v>17.7</v>
      </c>
      <c r="N158" s="323">
        <f t="shared" si="50"/>
        <v>113.7</v>
      </c>
      <c r="O158">
        <f t="shared" si="50"/>
        <v>25.1</v>
      </c>
      <c r="P158" s="323">
        <f t="shared" si="18"/>
        <v>1</v>
      </c>
      <c r="Q158">
        <f t="shared" si="50"/>
        <v>8.6</v>
      </c>
      <c r="R158" s="323">
        <f t="shared" si="19"/>
        <v>13.8</v>
      </c>
      <c r="S158">
        <f t="shared" si="50"/>
        <v>50.9</v>
      </c>
      <c r="T158">
        <f t="shared" si="50"/>
        <v>21.4</v>
      </c>
      <c r="U158">
        <f t="shared" si="50"/>
        <v>1.4</v>
      </c>
      <c r="V158">
        <f t="shared" si="50"/>
        <v>15.2</v>
      </c>
      <c r="W158">
        <f t="shared" si="50"/>
        <v>6.6</v>
      </c>
      <c r="X158">
        <f t="shared" si="50"/>
        <v>13.2</v>
      </c>
      <c r="Y158">
        <f t="shared" si="50"/>
        <v>357.8</v>
      </c>
      <c r="Z158">
        <f t="shared" si="50"/>
        <v>4.3</v>
      </c>
      <c r="AA158">
        <f t="shared" si="50"/>
        <v>281</v>
      </c>
      <c r="AB158">
        <f t="shared" si="50"/>
        <v>38.299999999999997</v>
      </c>
      <c r="AC158">
        <f t="shared" si="50"/>
        <v>49.4</v>
      </c>
      <c r="AD158">
        <f t="shared" si="50"/>
        <v>14.5</v>
      </c>
      <c r="AE158">
        <f t="shared" si="50"/>
        <v>24.7</v>
      </c>
      <c r="AF158">
        <f t="shared" si="50"/>
        <v>103.9</v>
      </c>
      <c r="AG158">
        <f t="shared" si="50"/>
        <v>80.5</v>
      </c>
      <c r="AH158" s="323">
        <f t="shared" si="20"/>
        <v>214.1</v>
      </c>
      <c r="AI158">
        <f t="shared" si="50"/>
        <v>65</v>
      </c>
      <c r="AJ158">
        <f t="shared" si="21"/>
        <v>310.5</v>
      </c>
    </row>
    <row r="159" spans="2:36" ht="16" customHeight="1">
      <c r="B159" s="10">
        <v>24</v>
      </c>
      <c r="C159">
        <f t="shared" ref="C159:AI159" si="51">C35</f>
        <v>0</v>
      </c>
      <c r="D159" s="323">
        <f t="shared" si="51"/>
        <v>0</v>
      </c>
      <c r="E159" s="323">
        <f t="shared" si="51"/>
        <v>0</v>
      </c>
      <c r="F159" s="323">
        <f t="shared" si="51"/>
        <v>0</v>
      </c>
      <c r="G159">
        <f t="shared" si="51"/>
        <v>0</v>
      </c>
      <c r="H159">
        <f t="shared" si="51"/>
        <v>0</v>
      </c>
      <c r="I159" s="323">
        <f t="shared" si="51"/>
        <v>0</v>
      </c>
      <c r="J159" s="323">
        <f t="shared" si="51"/>
        <v>0</v>
      </c>
      <c r="K159" s="323">
        <f t="shared" si="51"/>
        <v>0</v>
      </c>
      <c r="L159" s="323">
        <f t="shared" si="51"/>
        <v>0</v>
      </c>
      <c r="M159" s="323">
        <f t="shared" si="51"/>
        <v>0</v>
      </c>
      <c r="N159" s="323">
        <f t="shared" si="51"/>
        <v>0</v>
      </c>
      <c r="O159">
        <f t="shared" si="51"/>
        <v>0</v>
      </c>
      <c r="P159" s="323">
        <f t="shared" si="18"/>
        <v>0</v>
      </c>
      <c r="Q159">
        <f t="shared" si="51"/>
        <v>0</v>
      </c>
      <c r="R159" s="323">
        <f t="shared" si="19"/>
        <v>0</v>
      </c>
      <c r="S159">
        <f t="shared" si="51"/>
        <v>0</v>
      </c>
      <c r="T159">
        <f t="shared" si="51"/>
        <v>0</v>
      </c>
      <c r="U159">
        <f t="shared" si="51"/>
        <v>0</v>
      </c>
      <c r="V159">
        <f t="shared" si="51"/>
        <v>17.2</v>
      </c>
      <c r="W159">
        <f t="shared" si="51"/>
        <v>11.1</v>
      </c>
      <c r="X159">
        <f t="shared" si="51"/>
        <v>0</v>
      </c>
      <c r="Y159">
        <f t="shared" si="51"/>
        <v>0</v>
      </c>
      <c r="Z159">
        <f t="shared" si="51"/>
        <v>183</v>
      </c>
      <c r="AA159">
        <f t="shared" si="51"/>
        <v>0</v>
      </c>
      <c r="AB159">
        <f t="shared" si="51"/>
        <v>0</v>
      </c>
      <c r="AC159">
        <f t="shared" si="51"/>
        <v>0</v>
      </c>
      <c r="AD159">
        <f t="shared" si="51"/>
        <v>236</v>
      </c>
      <c r="AE159">
        <f t="shared" si="51"/>
        <v>5</v>
      </c>
      <c r="AF159">
        <f t="shared" si="51"/>
        <v>17.8</v>
      </c>
      <c r="AG159">
        <f t="shared" si="51"/>
        <v>7.2</v>
      </c>
      <c r="AH159" s="323">
        <f t="shared" si="20"/>
        <v>0</v>
      </c>
      <c r="AI159">
        <f t="shared" si="51"/>
        <v>6.9</v>
      </c>
      <c r="AJ159">
        <f t="shared" si="21"/>
        <v>127.9</v>
      </c>
    </row>
    <row r="160" spans="2:36" ht="16" customHeight="1">
      <c r="B160" s="10">
        <v>25</v>
      </c>
      <c r="C160">
        <f t="shared" ref="C160:AI160" si="52">C36</f>
        <v>289.7</v>
      </c>
      <c r="D160" s="323">
        <f t="shared" si="52"/>
        <v>119.9</v>
      </c>
      <c r="E160" s="323">
        <f t="shared" si="52"/>
        <v>15.9</v>
      </c>
      <c r="F160" s="323">
        <f t="shared" si="52"/>
        <v>1.3</v>
      </c>
      <c r="G160">
        <f t="shared" si="52"/>
        <v>62.2</v>
      </c>
      <c r="H160">
        <f t="shared" si="52"/>
        <v>407.1</v>
      </c>
      <c r="I160" s="323">
        <f t="shared" si="52"/>
        <v>31.7</v>
      </c>
      <c r="J160" s="323">
        <f t="shared" si="52"/>
        <v>91.4</v>
      </c>
      <c r="K160" s="323">
        <f t="shared" si="52"/>
        <v>114.2</v>
      </c>
      <c r="L160" s="323">
        <f t="shared" si="52"/>
        <v>3.3</v>
      </c>
      <c r="M160" s="323">
        <f t="shared" si="52"/>
        <v>70.8</v>
      </c>
      <c r="N160" s="323">
        <f t="shared" si="52"/>
        <v>195.1</v>
      </c>
      <c r="O160">
        <f t="shared" si="52"/>
        <v>27.4</v>
      </c>
      <c r="P160" s="323">
        <f t="shared" si="18"/>
        <v>25.1</v>
      </c>
      <c r="Q160">
        <f t="shared" si="52"/>
        <v>71.099999999999994</v>
      </c>
      <c r="R160" s="323">
        <f t="shared" si="19"/>
        <v>131.9</v>
      </c>
      <c r="S160">
        <f t="shared" si="52"/>
        <v>356.4</v>
      </c>
      <c r="T160">
        <f t="shared" si="52"/>
        <v>59.4</v>
      </c>
      <c r="U160">
        <f t="shared" si="52"/>
        <v>5.0999999999999996</v>
      </c>
      <c r="V160">
        <f t="shared" si="52"/>
        <v>122.9</v>
      </c>
      <c r="W160">
        <f t="shared" si="52"/>
        <v>45.7</v>
      </c>
      <c r="X160">
        <f t="shared" si="52"/>
        <v>113.2</v>
      </c>
      <c r="Y160">
        <f t="shared" si="52"/>
        <v>10.4</v>
      </c>
      <c r="Z160">
        <f t="shared" si="52"/>
        <v>414.1</v>
      </c>
      <c r="AA160">
        <f t="shared" si="52"/>
        <v>415.9</v>
      </c>
      <c r="AB160">
        <f t="shared" si="52"/>
        <v>538.79999999999995</v>
      </c>
      <c r="AC160">
        <f t="shared" si="52"/>
        <v>75.599999999999994</v>
      </c>
      <c r="AD160">
        <f t="shared" si="52"/>
        <v>127.7</v>
      </c>
      <c r="AE160">
        <f t="shared" si="52"/>
        <v>24.8</v>
      </c>
      <c r="AF160">
        <f t="shared" si="52"/>
        <v>20.6</v>
      </c>
      <c r="AG160">
        <f t="shared" si="52"/>
        <v>105.8</v>
      </c>
      <c r="AH160" s="323">
        <f t="shared" si="20"/>
        <v>125.7</v>
      </c>
      <c r="AI160">
        <f t="shared" si="52"/>
        <v>171.7</v>
      </c>
      <c r="AJ160">
        <f t="shared" si="21"/>
        <v>2679.4</v>
      </c>
    </row>
    <row r="161" spans="2:40" ht="16" customHeight="1">
      <c r="B161" s="10">
        <v>26</v>
      </c>
      <c r="C161">
        <f t="shared" ref="C161:AI161" si="53">C37</f>
        <v>354.5</v>
      </c>
      <c r="D161" s="323">
        <f t="shared" si="53"/>
        <v>114.9</v>
      </c>
      <c r="E161" s="323">
        <f t="shared" si="53"/>
        <v>2.2000000000000002</v>
      </c>
      <c r="F161" s="323">
        <f t="shared" si="53"/>
        <v>0.4</v>
      </c>
      <c r="G161">
        <f t="shared" si="53"/>
        <v>10.9</v>
      </c>
      <c r="H161">
        <f t="shared" si="53"/>
        <v>95.3</v>
      </c>
      <c r="I161" s="323">
        <f t="shared" si="53"/>
        <v>10.9</v>
      </c>
      <c r="J161" s="323">
        <f t="shared" si="53"/>
        <v>10.9</v>
      </c>
      <c r="K161" s="323">
        <f t="shared" si="53"/>
        <v>20.7</v>
      </c>
      <c r="L161" s="323">
        <f t="shared" si="53"/>
        <v>1.3</v>
      </c>
      <c r="M161" s="323">
        <f t="shared" si="53"/>
        <v>14</v>
      </c>
      <c r="N161" s="323">
        <f t="shared" si="53"/>
        <v>22.2</v>
      </c>
      <c r="O161">
        <f t="shared" si="53"/>
        <v>3.2</v>
      </c>
      <c r="P161" s="323">
        <f t="shared" si="18"/>
        <v>1.5</v>
      </c>
      <c r="Q161">
        <f t="shared" si="53"/>
        <v>5.2</v>
      </c>
      <c r="R161" s="323">
        <f t="shared" si="19"/>
        <v>7.5</v>
      </c>
      <c r="S161">
        <f t="shared" si="53"/>
        <v>50.9</v>
      </c>
      <c r="T161">
        <f t="shared" si="53"/>
        <v>10.6</v>
      </c>
      <c r="U161">
        <f t="shared" si="53"/>
        <v>0.9</v>
      </c>
      <c r="V161">
        <f t="shared" si="53"/>
        <v>6</v>
      </c>
      <c r="W161">
        <f t="shared" si="53"/>
        <v>24.5</v>
      </c>
      <c r="X161">
        <f t="shared" si="53"/>
        <v>9.1</v>
      </c>
      <c r="Y161">
        <f t="shared" si="53"/>
        <v>31.7</v>
      </c>
      <c r="Z161">
        <f t="shared" si="53"/>
        <v>35.299999999999997</v>
      </c>
      <c r="AA161">
        <f t="shared" si="53"/>
        <v>584.6</v>
      </c>
      <c r="AB161">
        <f t="shared" si="53"/>
        <v>12</v>
      </c>
      <c r="AC161">
        <f t="shared" si="53"/>
        <v>10.3</v>
      </c>
      <c r="AD161">
        <f t="shared" si="53"/>
        <v>5.4</v>
      </c>
      <c r="AE161">
        <f t="shared" si="53"/>
        <v>23</v>
      </c>
      <c r="AF161">
        <f t="shared" si="53"/>
        <v>32.4</v>
      </c>
      <c r="AG161">
        <f t="shared" si="53"/>
        <v>101.2</v>
      </c>
      <c r="AH161" s="323">
        <f t="shared" si="20"/>
        <v>36</v>
      </c>
      <c r="AI161">
        <f t="shared" si="53"/>
        <v>15</v>
      </c>
      <c r="AJ161">
        <f t="shared" si="21"/>
        <v>1691.2</v>
      </c>
    </row>
    <row r="162" spans="2:40" ht="16" customHeight="1">
      <c r="B162" s="10">
        <v>27</v>
      </c>
      <c r="C162">
        <f t="shared" ref="C162:AI162" si="54">C38</f>
        <v>13.3</v>
      </c>
      <c r="D162" s="323">
        <f t="shared" si="54"/>
        <v>7.5</v>
      </c>
      <c r="E162" s="323">
        <f t="shared" si="54"/>
        <v>0.6</v>
      </c>
      <c r="F162" s="323">
        <f t="shared" si="54"/>
        <v>0.1</v>
      </c>
      <c r="G162">
        <f t="shared" si="54"/>
        <v>2</v>
      </c>
      <c r="H162">
        <f t="shared" si="54"/>
        <v>4.4000000000000004</v>
      </c>
      <c r="I162" s="323">
        <f t="shared" si="54"/>
        <v>1.4</v>
      </c>
      <c r="J162" s="323">
        <f t="shared" si="54"/>
        <v>1.6</v>
      </c>
      <c r="K162" s="323">
        <f t="shared" si="54"/>
        <v>1.3</v>
      </c>
      <c r="L162" s="323">
        <f t="shared" si="54"/>
        <v>0.4</v>
      </c>
      <c r="M162" s="323">
        <f t="shared" si="54"/>
        <v>2.5</v>
      </c>
      <c r="N162" s="323">
        <f t="shared" si="54"/>
        <v>5.3</v>
      </c>
      <c r="O162">
        <f t="shared" si="54"/>
        <v>0.6</v>
      </c>
      <c r="P162" s="323">
        <f t="shared" si="18"/>
        <v>0.3</v>
      </c>
      <c r="Q162">
        <f t="shared" si="54"/>
        <v>0.7</v>
      </c>
      <c r="R162" s="323">
        <f t="shared" si="19"/>
        <v>2.9</v>
      </c>
      <c r="S162">
        <f t="shared" si="54"/>
        <v>11.3</v>
      </c>
      <c r="T162">
        <f t="shared" si="54"/>
        <v>1.1000000000000001</v>
      </c>
      <c r="U162">
        <f t="shared" si="54"/>
        <v>0.5</v>
      </c>
      <c r="V162">
        <f t="shared" si="54"/>
        <v>8.6999999999999993</v>
      </c>
      <c r="W162">
        <f t="shared" si="54"/>
        <v>2.4</v>
      </c>
      <c r="X162">
        <f t="shared" si="54"/>
        <v>2.2000000000000002</v>
      </c>
      <c r="Y162">
        <f t="shared" si="54"/>
        <v>19.7</v>
      </c>
      <c r="Z162">
        <f t="shared" si="54"/>
        <v>8.6999999999999993</v>
      </c>
      <c r="AA162">
        <f t="shared" si="54"/>
        <v>20.399999999999999</v>
      </c>
      <c r="AB162">
        <f t="shared" si="54"/>
        <v>22.9</v>
      </c>
      <c r="AC162">
        <f t="shared" si="54"/>
        <v>18.100000000000001</v>
      </c>
      <c r="AD162">
        <f t="shared" si="54"/>
        <v>23.8</v>
      </c>
      <c r="AE162">
        <f t="shared" si="54"/>
        <v>15.6</v>
      </c>
      <c r="AF162">
        <f t="shared" si="54"/>
        <v>6.9</v>
      </c>
      <c r="AG162">
        <f t="shared" si="54"/>
        <v>22.2</v>
      </c>
      <c r="AH162" s="323">
        <f t="shared" si="20"/>
        <v>31.1</v>
      </c>
      <c r="AI162">
        <f t="shared" si="54"/>
        <v>82.1</v>
      </c>
      <c r="AJ162">
        <f t="shared" si="21"/>
        <v>1236.5</v>
      </c>
    </row>
    <row r="163" spans="2:40" ht="16" customHeight="1">
      <c r="B163" s="10">
        <v>28</v>
      </c>
      <c r="C163">
        <f t="shared" ref="C163:AI163" si="55">C39</f>
        <v>2.1</v>
      </c>
      <c r="D163" s="323">
        <f t="shared" si="55"/>
        <v>0.9</v>
      </c>
      <c r="E163" s="323">
        <f t="shared" si="55"/>
        <v>1.1000000000000001</v>
      </c>
      <c r="F163" s="323">
        <f t="shared" si="55"/>
        <v>0</v>
      </c>
      <c r="G163">
        <f t="shared" si="55"/>
        <v>1.2</v>
      </c>
      <c r="H163">
        <f t="shared" si="55"/>
        <v>12.4</v>
      </c>
      <c r="I163" s="323">
        <f t="shared" si="55"/>
        <v>0.4</v>
      </c>
      <c r="J163" s="323">
        <f t="shared" si="55"/>
        <v>8.1</v>
      </c>
      <c r="K163" s="323">
        <f t="shared" si="55"/>
        <v>9.1999999999999993</v>
      </c>
      <c r="L163" s="323">
        <f t="shared" si="55"/>
        <v>0.5</v>
      </c>
      <c r="M163" s="323">
        <f t="shared" si="55"/>
        <v>3.3</v>
      </c>
      <c r="N163" s="323">
        <f t="shared" si="55"/>
        <v>3.7</v>
      </c>
      <c r="O163">
        <f t="shared" si="55"/>
        <v>7.3</v>
      </c>
      <c r="P163" s="323">
        <f t="shared" si="18"/>
        <v>0.7</v>
      </c>
      <c r="Q163">
        <f t="shared" si="55"/>
        <v>2.5</v>
      </c>
      <c r="R163" s="323">
        <f t="shared" si="19"/>
        <v>5.2</v>
      </c>
      <c r="S163">
        <f t="shared" si="55"/>
        <v>9.1</v>
      </c>
      <c r="T163">
        <f t="shared" si="55"/>
        <v>2.1</v>
      </c>
      <c r="U163">
        <f t="shared" si="55"/>
        <v>2.7</v>
      </c>
      <c r="V163">
        <f t="shared" si="55"/>
        <v>8</v>
      </c>
      <c r="W163">
        <f t="shared" si="55"/>
        <v>8.3000000000000007</v>
      </c>
      <c r="X163">
        <f t="shared" si="55"/>
        <v>8.9</v>
      </c>
      <c r="Y163">
        <f t="shared" si="55"/>
        <v>1.3</v>
      </c>
      <c r="Z163">
        <f t="shared" si="55"/>
        <v>6.8</v>
      </c>
      <c r="AA163">
        <f t="shared" si="55"/>
        <v>773.2</v>
      </c>
      <c r="AB163">
        <f t="shared" si="55"/>
        <v>32.6</v>
      </c>
      <c r="AC163">
        <f t="shared" si="55"/>
        <v>20.100000000000001</v>
      </c>
      <c r="AD163">
        <f t="shared" si="55"/>
        <v>556.79999999999995</v>
      </c>
      <c r="AE163">
        <f t="shared" si="55"/>
        <v>84.2</v>
      </c>
      <c r="AF163">
        <f t="shared" si="55"/>
        <v>33.700000000000003</v>
      </c>
      <c r="AG163">
        <f t="shared" si="55"/>
        <v>156.1</v>
      </c>
      <c r="AH163" s="323">
        <f t="shared" si="20"/>
        <v>94</v>
      </c>
      <c r="AI163">
        <f t="shared" si="55"/>
        <v>37.5</v>
      </c>
      <c r="AJ163">
        <f t="shared" si="21"/>
        <v>797.4</v>
      </c>
    </row>
    <row r="164" spans="2:40" ht="16" customHeight="1">
      <c r="B164" s="10">
        <v>29</v>
      </c>
      <c r="C164">
        <f t="shared" ref="C164:AI164" si="56">C40</f>
        <v>286.60000000000002</v>
      </c>
      <c r="D164" s="323">
        <f t="shared" si="56"/>
        <v>194</v>
      </c>
      <c r="E164" s="323">
        <f t="shared" si="56"/>
        <v>0.6</v>
      </c>
      <c r="F164" s="323">
        <f t="shared" si="56"/>
        <v>0.4</v>
      </c>
      <c r="G164">
        <f t="shared" si="56"/>
        <v>1.4</v>
      </c>
      <c r="H164">
        <f t="shared" si="56"/>
        <v>61.9</v>
      </c>
      <c r="I164" s="323">
        <f t="shared" si="56"/>
        <v>18</v>
      </c>
      <c r="J164" s="323">
        <f t="shared" si="56"/>
        <v>3.9</v>
      </c>
      <c r="K164" s="323">
        <f t="shared" si="56"/>
        <v>44.4</v>
      </c>
      <c r="L164" s="323">
        <f t="shared" si="56"/>
        <v>45.3</v>
      </c>
      <c r="M164" s="323">
        <f t="shared" si="56"/>
        <v>36.700000000000003</v>
      </c>
      <c r="N164" s="323">
        <f t="shared" si="56"/>
        <v>30.4</v>
      </c>
      <c r="O164">
        <f t="shared" si="56"/>
        <v>11.2</v>
      </c>
      <c r="P164" s="323">
        <f t="shared" si="18"/>
        <v>6.1</v>
      </c>
      <c r="Q164">
        <f t="shared" si="56"/>
        <v>8</v>
      </c>
      <c r="R164" s="323">
        <f t="shared" si="19"/>
        <v>18.399999999999999</v>
      </c>
      <c r="S164">
        <f t="shared" si="56"/>
        <v>120.6</v>
      </c>
      <c r="T164">
        <f t="shared" si="56"/>
        <v>3.3</v>
      </c>
      <c r="U164">
        <f t="shared" si="56"/>
        <v>14.5</v>
      </c>
      <c r="V164">
        <f t="shared" si="56"/>
        <v>12.4</v>
      </c>
      <c r="W164">
        <f t="shared" si="56"/>
        <v>7.6</v>
      </c>
      <c r="X164">
        <f t="shared" si="56"/>
        <v>83.4</v>
      </c>
      <c r="Y164">
        <f t="shared" si="56"/>
        <v>8.1</v>
      </c>
      <c r="Z164">
        <f t="shared" si="56"/>
        <v>55.9</v>
      </c>
      <c r="AA164">
        <f t="shared" si="56"/>
        <v>724.9</v>
      </c>
      <c r="AB164">
        <f t="shared" si="56"/>
        <v>84.5</v>
      </c>
      <c r="AC164">
        <f t="shared" si="56"/>
        <v>18.3</v>
      </c>
      <c r="AD164">
        <f t="shared" si="56"/>
        <v>14.2</v>
      </c>
      <c r="AE164">
        <f t="shared" si="56"/>
        <v>267.2</v>
      </c>
      <c r="AF164">
        <f t="shared" si="56"/>
        <v>10.7</v>
      </c>
      <c r="AG164">
        <f t="shared" si="56"/>
        <v>79</v>
      </c>
      <c r="AH164" s="323">
        <f t="shared" si="20"/>
        <v>86.5</v>
      </c>
      <c r="AI164">
        <f t="shared" si="56"/>
        <v>79.3</v>
      </c>
      <c r="AJ164">
        <f t="shared" si="21"/>
        <v>867.2</v>
      </c>
    </row>
    <row r="165" spans="2:40" ht="16" customHeight="1">
      <c r="B165" s="10">
        <v>30</v>
      </c>
      <c r="C165">
        <f t="shared" ref="C165:AI165" si="57">C41</f>
        <v>338.8</v>
      </c>
      <c r="D165" s="323">
        <f t="shared" si="57"/>
        <v>87.4</v>
      </c>
      <c r="E165" s="323">
        <f t="shared" si="57"/>
        <v>0.7</v>
      </c>
      <c r="F165" s="323">
        <f t="shared" si="57"/>
        <v>0</v>
      </c>
      <c r="G165">
        <f t="shared" si="57"/>
        <v>1.9</v>
      </c>
      <c r="H165">
        <f t="shared" si="57"/>
        <v>9.3000000000000007</v>
      </c>
      <c r="I165" s="323">
        <f t="shared" si="57"/>
        <v>0.4</v>
      </c>
      <c r="J165" s="323">
        <f t="shared" si="57"/>
        <v>0.4</v>
      </c>
      <c r="K165" s="323">
        <f t="shared" si="57"/>
        <v>4.2</v>
      </c>
      <c r="L165" s="323">
        <f t="shared" si="57"/>
        <v>1.8</v>
      </c>
      <c r="M165" s="323">
        <f t="shared" si="57"/>
        <v>4.4000000000000004</v>
      </c>
      <c r="N165" s="323">
        <f t="shared" si="57"/>
        <v>6.6</v>
      </c>
      <c r="O165">
        <f t="shared" si="57"/>
        <v>5.3</v>
      </c>
      <c r="P165" s="323">
        <f t="shared" si="18"/>
        <v>1.6</v>
      </c>
      <c r="Q165">
        <f t="shared" si="57"/>
        <v>1.7</v>
      </c>
      <c r="R165" s="323">
        <f t="shared" si="19"/>
        <v>5</v>
      </c>
      <c r="S165">
        <f t="shared" si="57"/>
        <v>11.8</v>
      </c>
      <c r="T165">
        <f t="shared" si="57"/>
        <v>2.1</v>
      </c>
      <c r="U165">
        <f t="shared" si="57"/>
        <v>0.7</v>
      </c>
      <c r="V165">
        <f t="shared" si="57"/>
        <v>0.2</v>
      </c>
      <c r="W165">
        <f t="shared" si="57"/>
        <v>0.2</v>
      </c>
      <c r="X165">
        <f t="shared" si="57"/>
        <v>11.8</v>
      </c>
      <c r="Y165">
        <f t="shared" si="57"/>
        <v>2.9</v>
      </c>
      <c r="Z165">
        <f t="shared" si="57"/>
        <v>1.5</v>
      </c>
      <c r="AA165">
        <f t="shared" si="57"/>
        <v>302</v>
      </c>
      <c r="AB165">
        <f t="shared" si="57"/>
        <v>51.9</v>
      </c>
      <c r="AC165">
        <f t="shared" si="57"/>
        <v>27.5</v>
      </c>
      <c r="AD165">
        <f t="shared" si="57"/>
        <v>19.2</v>
      </c>
      <c r="AE165">
        <f t="shared" si="57"/>
        <v>36.299999999999997</v>
      </c>
      <c r="AF165">
        <f t="shared" si="57"/>
        <v>12.9</v>
      </c>
      <c r="AG165">
        <f t="shared" si="57"/>
        <v>58.9</v>
      </c>
      <c r="AH165" s="323">
        <f t="shared" si="20"/>
        <v>96.7</v>
      </c>
      <c r="AI165">
        <f t="shared" si="57"/>
        <v>42.8</v>
      </c>
      <c r="AJ165">
        <f t="shared" si="21"/>
        <v>1782.6</v>
      </c>
    </row>
    <row r="166" spans="2:40" ht="16" customHeight="1">
      <c r="B166" s="10">
        <v>31</v>
      </c>
      <c r="C166">
        <f t="shared" ref="C166:AI166" si="58">C42</f>
        <v>163.6</v>
      </c>
      <c r="D166" s="323">
        <f t="shared" si="58"/>
        <v>92.9</v>
      </c>
      <c r="E166" s="323">
        <f t="shared" si="58"/>
        <v>7.5</v>
      </c>
      <c r="F166" s="323">
        <f t="shared" si="58"/>
        <v>0.6</v>
      </c>
      <c r="G166">
        <f t="shared" si="58"/>
        <v>7.6</v>
      </c>
      <c r="H166">
        <f t="shared" si="58"/>
        <v>40.6</v>
      </c>
      <c r="I166" s="323">
        <f t="shared" si="58"/>
        <v>16.7</v>
      </c>
      <c r="J166" s="323">
        <f t="shared" si="58"/>
        <v>17</v>
      </c>
      <c r="K166" s="323">
        <f t="shared" si="58"/>
        <v>12.4</v>
      </c>
      <c r="L166" s="323">
        <f t="shared" si="58"/>
        <v>4.5999999999999996</v>
      </c>
      <c r="M166" s="323">
        <f t="shared" si="58"/>
        <v>30.5</v>
      </c>
      <c r="N166" s="323">
        <f t="shared" si="58"/>
        <v>65.3</v>
      </c>
      <c r="O166">
        <f t="shared" si="58"/>
        <v>7.5</v>
      </c>
      <c r="P166" s="323">
        <f t="shared" si="18"/>
        <v>3</v>
      </c>
      <c r="Q166">
        <f t="shared" si="58"/>
        <v>4.4000000000000004</v>
      </c>
      <c r="R166" s="323">
        <f t="shared" si="19"/>
        <v>39.200000000000003</v>
      </c>
      <c r="S166">
        <f t="shared" si="58"/>
        <v>98.7</v>
      </c>
      <c r="T166">
        <f t="shared" si="58"/>
        <v>10.1</v>
      </c>
      <c r="U166">
        <f t="shared" si="58"/>
        <v>5.9</v>
      </c>
      <c r="V166">
        <f t="shared" si="58"/>
        <v>6.5</v>
      </c>
      <c r="W166">
        <f t="shared" si="58"/>
        <v>2.2999999999999998</v>
      </c>
      <c r="X166">
        <f t="shared" si="58"/>
        <v>21.3</v>
      </c>
      <c r="Y166">
        <f t="shared" si="58"/>
        <v>52.8</v>
      </c>
      <c r="Z166">
        <f t="shared" si="58"/>
        <v>36.9</v>
      </c>
      <c r="AA166">
        <f t="shared" si="58"/>
        <v>254.8</v>
      </c>
      <c r="AB166">
        <f t="shared" si="58"/>
        <v>112.2</v>
      </c>
      <c r="AC166">
        <f t="shared" si="58"/>
        <v>76</v>
      </c>
      <c r="AD166">
        <f t="shared" si="58"/>
        <v>155.5</v>
      </c>
      <c r="AE166">
        <f t="shared" si="58"/>
        <v>137.80000000000001</v>
      </c>
      <c r="AF166">
        <f t="shared" si="58"/>
        <v>33.200000000000003</v>
      </c>
      <c r="AG166">
        <f t="shared" si="58"/>
        <v>53.3</v>
      </c>
      <c r="AH166" s="323">
        <f t="shared" si="20"/>
        <v>78.8</v>
      </c>
      <c r="AI166">
        <f t="shared" si="58"/>
        <v>199.6</v>
      </c>
      <c r="AJ166">
        <f t="shared" si="21"/>
        <v>141.6</v>
      </c>
    </row>
    <row r="167" spans="2:40" ht="16" customHeight="1">
      <c r="B167" s="15">
        <v>32</v>
      </c>
      <c r="C167" s="323">
        <f>C43</f>
        <v>15.5</v>
      </c>
      <c r="D167" s="323">
        <f t="shared" ref="D167:F186" si="59">D43</f>
        <v>4.2</v>
      </c>
      <c r="E167" s="323">
        <f t="shared" si="59"/>
        <v>0.1</v>
      </c>
      <c r="F167" s="323">
        <f t="shared" si="59"/>
        <v>0</v>
      </c>
      <c r="G167" s="323">
        <f>G43</f>
        <v>0.4</v>
      </c>
      <c r="H167" s="323">
        <f>H43</f>
        <v>8.1</v>
      </c>
      <c r="I167" s="323">
        <f t="shared" ref="I167:N176" si="60">I43</f>
        <v>0.2</v>
      </c>
      <c r="J167" s="323">
        <f t="shared" si="60"/>
        <v>0.5</v>
      </c>
      <c r="K167" s="323">
        <f t="shared" si="60"/>
        <v>0.7</v>
      </c>
      <c r="L167" s="323">
        <f t="shared" si="60"/>
        <v>0.1</v>
      </c>
      <c r="M167" s="323">
        <f t="shared" si="60"/>
        <v>1.7</v>
      </c>
      <c r="N167" s="323">
        <f t="shared" si="60"/>
        <v>2.7</v>
      </c>
      <c r="O167" s="323">
        <f>O43</f>
        <v>2.5</v>
      </c>
      <c r="P167" s="323">
        <f t="shared" si="18"/>
        <v>0.2</v>
      </c>
      <c r="Q167" s="323">
        <f>Q43</f>
        <v>0.4</v>
      </c>
      <c r="R167" s="323">
        <f t="shared" si="19"/>
        <v>0.8</v>
      </c>
      <c r="S167" s="323">
        <f t="shared" ref="S167:AG167" si="61">S43</f>
        <v>2.2000000000000002</v>
      </c>
      <c r="T167" s="323">
        <f t="shared" si="61"/>
        <v>0.4</v>
      </c>
      <c r="U167" s="323">
        <f t="shared" si="61"/>
        <v>0</v>
      </c>
      <c r="V167" s="323">
        <f t="shared" si="61"/>
        <v>13.8</v>
      </c>
      <c r="W167" s="323">
        <f t="shared" si="61"/>
        <v>3.9</v>
      </c>
      <c r="X167" s="323">
        <f t="shared" si="61"/>
        <v>1</v>
      </c>
      <c r="Y167" s="323">
        <f t="shared" si="61"/>
        <v>19.5</v>
      </c>
      <c r="Z167" s="323">
        <f t="shared" si="61"/>
        <v>8.6</v>
      </c>
      <c r="AA167" s="323">
        <f t="shared" si="61"/>
        <v>14.8</v>
      </c>
      <c r="AB167" s="323">
        <f t="shared" si="61"/>
        <v>4.7</v>
      </c>
      <c r="AC167" s="323">
        <f t="shared" si="61"/>
        <v>18.3</v>
      </c>
      <c r="AD167" s="323">
        <f t="shared" si="61"/>
        <v>22.9</v>
      </c>
      <c r="AE167" s="323">
        <f t="shared" si="61"/>
        <v>35.700000000000003</v>
      </c>
      <c r="AF167" s="323">
        <f t="shared" si="61"/>
        <v>3.1</v>
      </c>
      <c r="AG167" s="323">
        <f t="shared" si="61"/>
        <v>28.7</v>
      </c>
      <c r="AH167" s="323">
        <f t="shared" si="20"/>
        <v>41.6</v>
      </c>
      <c r="AI167" s="323">
        <f>AI43</f>
        <v>33.799999999999997</v>
      </c>
      <c r="AJ167">
        <f t="shared" si="21"/>
        <v>3320.9642622548131</v>
      </c>
    </row>
    <row r="168" spans="2:40" ht="16" customHeight="1">
      <c r="B168" s="15">
        <v>33</v>
      </c>
      <c r="C168">
        <f t="shared" ref="C168:AI168" si="62">C44</f>
        <v>0.2</v>
      </c>
      <c r="D168" s="323">
        <f t="shared" si="59"/>
        <v>0.3</v>
      </c>
      <c r="E168" s="323">
        <f t="shared" si="59"/>
        <v>0.1</v>
      </c>
      <c r="F168" s="323">
        <f t="shared" si="59"/>
        <v>0</v>
      </c>
      <c r="G168">
        <f t="shared" si="62"/>
        <v>0</v>
      </c>
      <c r="H168">
        <f t="shared" si="62"/>
        <v>0.1</v>
      </c>
      <c r="I168" s="323">
        <f t="shared" si="60"/>
        <v>0</v>
      </c>
      <c r="J168" s="323">
        <f t="shared" si="60"/>
        <v>0.1</v>
      </c>
      <c r="K168" s="323">
        <f t="shared" si="60"/>
        <v>0.1</v>
      </c>
      <c r="L168" s="323">
        <f t="shared" si="60"/>
        <v>0</v>
      </c>
      <c r="M168" s="323">
        <f t="shared" si="60"/>
        <v>0.7</v>
      </c>
      <c r="N168" s="323">
        <f t="shared" si="60"/>
        <v>0.2</v>
      </c>
      <c r="O168">
        <f t="shared" si="62"/>
        <v>0</v>
      </c>
      <c r="P168" s="323">
        <f t="shared" si="18"/>
        <v>0</v>
      </c>
      <c r="Q168">
        <f t="shared" si="62"/>
        <v>0.9</v>
      </c>
      <c r="R168" s="323">
        <f t="shared" si="19"/>
        <v>0</v>
      </c>
      <c r="S168">
        <f t="shared" si="62"/>
        <v>0.1</v>
      </c>
      <c r="T168">
        <f t="shared" si="62"/>
        <v>0</v>
      </c>
      <c r="U168">
        <f t="shared" si="62"/>
        <v>0</v>
      </c>
      <c r="V168">
        <f t="shared" si="62"/>
        <v>0</v>
      </c>
      <c r="W168">
        <f t="shared" si="62"/>
        <v>0</v>
      </c>
      <c r="X168">
        <f t="shared" si="62"/>
        <v>0</v>
      </c>
      <c r="Y168">
        <f t="shared" si="62"/>
        <v>0.1</v>
      </c>
      <c r="Z168">
        <f t="shared" si="62"/>
        <v>0</v>
      </c>
      <c r="AA168">
        <f t="shared" si="62"/>
        <v>0.3</v>
      </c>
      <c r="AB168">
        <f t="shared" si="62"/>
        <v>0.1</v>
      </c>
      <c r="AC168">
        <f t="shared" si="62"/>
        <v>0.2</v>
      </c>
      <c r="AD168">
        <f t="shared" si="62"/>
        <v>0.2</v>
      </c>
      <c r="AE168">
        <f t="shared" si="62"/>
        <v>0.2</v>
      </c>
      <c r="AF168">
        <f t="shared" si="62"/>
        <v>0</v>
      </c>
      <c r="AG168">
        <f t="shared" si="62"/>
        <v>0.1</v>
      </c>
      <c r="AH168" s="323">
        <f t="shared" si="20"/>
        <v>0.1</v>
      </c>
      <c r="AI168">
        <f t="shared" si="62"/>
        <v>0.2</v>
      </c>
      <c r="AJ168">
        <f t="shared" ref="AJ168:AJ169" si="63">AK44*PMConsumo</f>
        <v>5307.235737745189</v>
      </c>
    </row>
    <row r="169" spans="2:40" ht="16" customHeight="1">
      <c r="B169" s="10">
        <v>34</v>
      </c>
      <c r="C169">
        <f t="shared" ref="C169:AI169" si="64">C52</f>
        <v>309.7</v>
      </c>
      <c r="D169" s="323">
        <f>D52</f>
        <v>212.5</v>
      </c>
      <c r="E169" s="323">
        <f>E52</f>
        <v>41.5</v>
      </c>
      <c r="F169" s="323">
        <f>F52</f>
        <v>0.7</v>
      </c>
      <c r="G169">
        <f t="shared" si="64"/>
        <v>31.8</v>
      </c>
      <c r="H169">
        <f t="shared" si="64"/>
        <v>270.10000000000002</v>
      </c>
      <c r="I169" s="323">
        <f t="shared" ref="I169:N169" si="65">I52</f>
        <v>95</v>
      </c>
      <c r="J169" s="323">
        <f t="shared" si="65"/>
        <v>59.9</v>
      </c>
      <c r="K169" s="323">
        <f t="shared" si="65"/>
        <v>225.9</v>
      </c>
      <c r="L169" s="323">
        <f t="shared" si="65"/>
        <v>52.7</v>
      </c>
      <c r="M169" s="323">
        <f t="shared" si="65"/>
        <v>65.2</v>
      </c>
      <c r="N169" s="323">
        <f t="shared" si="65"/>
        <v>127.8</v>
      </c>
      <c r="O169">
        <f t="shared" si="64"/>
        <v>99.3</v>
      </c>
      <c r="P169" s="323">
        <f>P52</f>
        <v>24.1</v>
      </c>
      <c r="Q169">
        <f t="shared" si="64"/>
        <v>24.2</v>
      </c>
      <c r="R169" s="323">
        <f>R52</f>
        <v>69.7</v>
      </c>
      <c r="S169">
        <f t="shared" si="64"/>
        <v>208.8</v>
      </c>
      <c r="T169">
        <f t="shared" si="64"/>
        <v>81.2</v>
      </c>
      <c r="U169">
        <f t="shared" si="64"/>
        <v>53.9</v>
      </c>
      <c r="V169">
        <f t="shared" si="64"/>
        <v>73.5</v>
      </c>
      <c r="W169">
        <f t="shared" si="64"/>
        <v>53.3</v>
      </c>
      <c r="X169">
        <f t="shared" si="64"/>
        <v>121.6</v>
      </c>
      <c r="Y169">
        <f t="shared" si="64"/>
        <v>654.9</v>
      </c>
      <c r="Z169">
        <f t="shared" si="64"/>
        <v>1395</v>
      </c>
      <c r="AA169">
        <f t="shared" si="64"/>
        <v>1889.2</v>
      </c>
      <c r="AB169">
        <f t="shared" si="64"/>
        <v>582.1</v>
      </c>
      <c r="AC169">
        <f t="shared" si="64"/>
        <v>397.5</v>
      </c>
      <c r="AD169">
        <f t="shared" si="64"/>
        <v>233.1</v>
      </c>
      <c r="AE169">
        <f t="shared" si="64"/>
        <v>662.8</v>
      </c>
      <c r="AF169">
        <f t="shared" si="64"/>
        <v>147.6</v>
      </c>
      <c r="AG169">
        <f t="shared" si="64"/>
        <v>354.4</v>
      </c>
      <c r="AH169" s="323">
        <f>AH52</f>
        <v>1250.0999999999999</v>
      </c>
      <c r="AI169">
        <f t="shared" si="64"/>
        <v>3963.7</v>
      </c>
      <c r="AJ169">
        <f t="shared" si="63"/>
        <v>0</v>
      </c>
    </row>
    <row r="170" spans="2:40">
      <c r="B170" s="10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</row>
    <row r="171" spans="2:40" ht="16" customHeight="1">
      <c r="B171" s="10" t="s">
        <v>474</v>
      </c>
      <c r="C171" s="323">
        <f t="shared" ref="C171:AI171" si="66">C58</f>
        <v>6302.1</v>
      </c>
      <c r="D171" s="323">
        <f>D58</f>
        <v>2553.4</v>
      </c>
      <c r="E171" s="323">
        <f>E58</f>
        <v>323.40000000000003</v>
      </c>
      <c r="F171" s="323">
        <f>F58</f>
        <v>55.3</v>
      </c>
      <c r="G171" s="323">
        <f t="shared" si="66"/>
        <v>431.29999999999995</v>
      </c>
      <c r="H171" s="323">
        <f t="shared" si="66"/>
        <v>4184.1000000000004</v>
      </c>
      <c r="I171" s="323">
        <f t="shared" ref="I171:N171" si="67">I58</f>
        <v>1422.4</v>
      </c>
      <c r="J171" s="323">
        <f t="shared" si="67"/>
        <v>939.69999999999993</v>
      </c>
      <c r="K171" s="323">
        <f t="shared" si="67"/>
        <v>2086.1999999999998</v>
      </c>
      <c r="L171" s="323">
        <f t="shared" si="67"/>
        <v>379.40000000000009</v>
      </c>
      <c r="M171" s="323">
        <f t="shared" si="67"/>
        <v>1365.1</v>
      </c>
      <c r="N171" s="323">
        <f t="shared" si="67"/>
        <v>2284.8000000000002</v>
      </c>
      <c r="O171" s="323">
        <f t="shared" si="66"/>
        <v>879.6</v>
      </c>
      <c r="P171" s="323">
        <f>P58</f>
        <v>271.89999999999998</v>
      </c>
      <c r="Q171" s="323">
        <f t="shared" si="66"/>
        <v>628.90000000000009</v>
      </c>
      <c r="R171" s="323">
        <f>R58</f>
        <v>1118</v>
      </c>
      <c r="S171" s="323">
        <f t="shared" si="66"/>
        <v>3704</v>
      </c>
      <c r="T171" s="323">
        <f t="shared" si="66"/>
        <v>825.3</v>
      </c>
      <c r="U171" s="323">
        <f t="shared" si="66"/>
        <v>200</v>
      </c>
      <c r="V171" s="323">
        <f t="shared" si="66"/>
        <v>1026.1000000000001</v>
      </c>
      <c r="W171" s="323">
        <f t="shared" si="66"/>
        <v>406.9</v>
      </c>
      <c r="X171" s="323">
        <f t="shared" si="66"/>
        <v>1453.6999999999998</v>
      </c>
      <c r="Y171" s="323">
        <f t="shared" si="66"/>
        <v>3384.2</v>
      </c>
      <c r="Z171" s="323">
        <f t="shared" si="66"/>
        <v>5714.4</v>
      </c>
      <c r="AA171" s="323">
        <f t="shared" si="66"/>
        <v>9754.5</v>
      </c>
      <c r="AB171" s="323">
        <f t="shared" si="66"/>
        <v>3998.4999999999991</v>
      </c>
      <c r="AC171" s="323">
        <f t="shared" si="66"/>
        <v>2292.1999999999998</v>
      </c>
      <c r="AD171" s="323">
        <f t="shared" si="66"/>
        <v>2716.5</v>
      </c>
      <c r="AE171" s="323">
        <f t="shared" si="66"/>
        <v>3325.8999999999996</v>
      </c>
      <c r="AF171" s="323">
        <f t="shared" si="66"/>
        <v>2938.7</v>
      </c>
      <c r="AG171" s="323">
        <f t="shared" si="66"/>
        <v>2136.6999999999998</v>
      </c>
      <c r="AH171" s="323">
        <f>AH58</f>
        <v>3625.0999999999995</v>
      </c>
      <c r="AI171" s="323">
        <f t="shared" si="66"/>
        <v>5312.5999999999995</v>
      </c>
      <c r="AJ171">
        <f>SUM(AJ136:AJ169)</f>
        <v>29059.5</v>
      </c>
      <c r="AK171"/>
      <c r="AL171"/>
      <c r="AM171"/>
      <c r="AN171"/>
    </row>
    <row r="172" spans="2:40" ht="16" customHeight="1">
      <c r="B172" s="10"/>
    </row>
    <row r="173" spans="2:40" ht="16" customHeight="1">
      <c r="B173" s="10" t="s">
        <v>274</v>
      </c>
      <c r="C173">
        <v>1</v>
      </c>
      <c r="D173">
        <v>2</v>
      </c>
      <c r="E173">
        <v>3</v>
      </c>
      <c r="F173">
        <v>4</v>
      </c>
      <c r="G173">
        <v>5</v>
      </c>
      <c r="H173">
        <v>6</v>
      </c>
      <c r="I173">
        <v>7</v>
      </c>
      <c r="J173">
        <v>8</v>
      </c>
      <c r="K173">
        <v>9</v>
      </c>
      <c r="L173">
        <v>10</v>
      </c>
      <c r="M173">
        <v>11</v>
      </c>
      <c r="N173">
        <v>12</v>
      </c>
      <c r="O173">
        <v>13</v>
      </c>
      <c r="P173">
        <v>14</v>
      </c>
      <c r="Q173">
        <v>15</v>
      </c>
      <c r="R173">
        <v>16</v>
      </c>
      <c r="S173">
        <v>17</v>
      </c>
      <c r="T173">
        <v>18</v>
      </c>
      <c r="U173">
        <v>19</v>
      </c>
      <c r="V173">
        <v>20</v>
      </c>
      <c r="W173">
        <v>21</v>
      </c>
      <c r="X173">
        <v>22</v>
      </c>
      <c r="Y173">
        <v>23</v>
      </c>
      <c r="Z173">
        <v>24</v>
      </c>
      <c r="AA173">
        <v>25</v>
      </c>
      <c r="AB173">
        <v>26</v>
      </c>
      <c r="AC173">
        <v>27</v>
      </c>
      <c r="AD173">
        <v>28</v>
      </c>
      <c r="AE173">
        <v>29</v>
      </c>
      <c r="AF173">
        <v>30</v>
      </c>
      <c r="AG173">
        <v>31</v>
      </c>
      <c r="AH173">
        <v>32</v>
      </c>
      <c r="AI173">
        <v>33</v>
      </c>
      <c r="AJ173">
        <v>34</v>
      </c>
    </row>
    <row r="174" spans="2:40" ht="16" customHeight="1">
      <c r="B174" s="10">
        <v>1</v>
      </c>
      <c r="C174">
        <v>3.1624379175195567E-2</v>
      </c>
      <c r="D174">
        <v>3.6500352471214852E-2</v>
      </c>
      <c r="E174">
        <v>0</v>
      </c>
      <c r="F174">
        <v>0</v>
      </c>
      <c r="G174">
        <v>0</v>
      </c>
      <c r="H174">
        <v>0</v>
      </c>
      <c r="I174">
        <v>0.40410573678290207</v>
      </c>
      <c r="J174">
        <v>0</v>
      </c>
      <c r="K174">
        <v>0.39766081871345033</v>
      </c>
      <c r="L174">
        <v>5.7459146020031618E-2</v>
      </c>
      <c r="M174">
        <v>0.11317852172002052</v>
      </c>
      <c r="N174">
        <v>7.9656862745098034E-2</v>
      </c>
      <c r="O174">
        <v>8.1855388813096858E-3</v>
      </c>
      <c r="P174">
        <v>0</v>
      </c>
      <c r="Q174">
        <v>0</v>
      </c>
      <c r="R174">
        <v>0</v>
      </c>
      <c r="S174">
        <v>7.424406047516199E-3</v>
      </c>
      <c r="T174">
        <v>0</v>
      </c>
      <c r="U174">
        <v>0</v>
      </c>
      <c r="V174">
        <v>9.7456388266250842E-4</v>
      </c>
      <c r="W174">
        <v>1.4745637748832638E-3</v>
      </c>
      <c r="X174">
        <v>0</v>
      </c>
      <c r="Y174">
        <v>0</v>
      </c>
      <c r="Z174">
        <v>1.9424611507769846E-3</v>
      </c>
      <c r="AA174">
        <v>0</v>
      </c>
      <c r="AB174">
        <v>0</v>
      </c>
      <c r="AC174">
        <v>3.8085681877672105E-2</v>
      </c>
      <c r="AD174">
        <v>4.9328179642922883E-3</v>
      </c>
      <c r="AE174">
        <v>9.0201148561291686E-5</v>
      </c>
      <c r="AF174">
        <v>3.4028652125089328E-4</v>
      </c>
      <c r="AG174">
        <v>1.8720456779145413E-4</v>
      </c>
      <c r="AH174">
        <v>3.3102535102479938E-4</v>
      </c>
      <c r="AI174">
        <v>7.5292700372698879E-5</v>
      </c>
      <c r="AJ174">
        <v>2.3918019918576963E-2</v>
      </c>
    </row>
    <row r="175" spans="2:40" ht="16" customHeight="1">
      <c r="B175" s="10">
        <v>2</v>
      </c>
      <c r="C175">
        <v>0</v>
      </c>
      <c r="D175">
        <v>1.3198088822746142E-2</v>
      </c>
      <c r="E175">
        <v>0</v>
      </c>
      <c r="F175">
        <v>0</v>
      </c>
      <c r="G175">
        <v>0</v>
      </c>
      <c r="H175">
        <v>0.38627183862718384</v>
      </c>
      <c r="I175">
        <v>0</v>
      </c>
      <c r="J175">
        <v>0.27583271256784081</v>
      </c>
      <c r="K175">
        <v>8.8198638673185701E-3</v>
      </c>
      <c r="L175">
        <v>0</v>
      </c>
      <c r="M175">
        <v>8.717310087173101E-3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2.923691647987525E-4</v>
      </c>
      <c r="W175">
        <v>4.915212582944213E-4</v>
      </c>
      <c r="X175">
        <v>0</v>
      </c>
      <c r="Y175">
        <v>0</v>
      </c>
      <c r="Z175">
        <v>4.8999020019599611E-4</v>
      </c>
      <c r="AA175">
        <v>0</v>
      </c>
      <c r="AB175">
        <v>0</v>
      </c>
      <c r="AC175">
        <v>8.7252421254689833E-5</v>
      </c>
      <c r="AD175">
        <v>1.3252346769740476E-3</v>
      </c>
      <c r="AE175">
        <v>3.0067049520430564E-5</v>
      </c>
      <c r="AF175">
        <v>1.0208595637526798E-4</v>
      </c>
      <c r="AG175">
        <v>4.6801141947863533E-5</v>
      </c>
      <c r="AH175">
        <v>5.5170891837466563E-5</v>
      </c>
      <c r="AI175">
        <v>1.882317509317472E-5</v>
      </c>
      <c r="AJ175">
        <v>8.6623002863849621E-3</v>
      </c>
    </row>
    <row r="176" spans="2:40" ht="16" customHeight="1">
      <c r="B176" s="10">
        <v>3</v>
      </c>
      <c r="C176">
        <v>2.2214817283127842E-4</v>
      </c>
      <c r="D176">
        <v>3.1330774653403308E-4</v>
      </c>
      <c r="E176">
        <v>7.2356215213358055E-2</v>
      </c>
      <c r="F176">
        <v>0</v>
      </c>
      <c r="G176">
        <v>2.3185717597959662E-4</v>
      </c>
      <c r="H176">
        <v>1.4579001457900144E-3</v>
      </c>
      <c r="I176">
        <v>1.4060742407199099E-3</v>
      </c>
      <c r="J176">
        <v>2.0432052782803023E-2</v>
      </c>
      <c r="K176">
        <v>4.3619978909021188E-3</v>
      </c>
      <c r="L176">
        <v>6.5893516078017909E-3</v>
      </c>
      <c r="M176">
        <v>3.8092447439748009E-3</v>
      </c>
      <c r="N176">
        <v>2.8011204481792717E-3</v>
      </c>
      <c r="O176">
        <v>6.8212824010914052E-4</v>
      </c>
      <c r="P176">
        <v>0</v>
      </c>
      <c r="Q176">
        <v>0.2687231674352043</v>
      </c>
      <c r="R176">
        <v>2.6833631484794273E-4</v>
      </c>
      <c r="S176">
        <v>9.1792656587473E-4</v>
      </c>
      <c r="T176">
        <v>1.2116806009935783E-4</v>
      </c>
      <c r="U176">
        <v>5.0000000000000001E-4</v>
      </c>
      <c r="V176">
        <v>1.9491277653250168E-4</v>
      </c>
      <c r="W176">
        <v>2.4576062914721065E-4</v>
      </c>
      <c r="X176">
        <v>1.3757996835660731E-4</v>
      </c>
      <c r="Y176">
        <v>2.0684356716506116E-4</v>
      </c>
      <c r="Z176">
        <v>1.924961500769985E-4</v>
      </c>
      <c r="AA176">
        <v>6.0484904403096005E-4</v>
      </c>
      <c r="AB176">
        <v>2.5009378516943859E-4</v>
      </c>
      <c r="AC176">
        <v>3.9263589564610422E-4</v>
      </c>
      <c r="AD176">
        <v>9.2030185900975525E-4</v>
      </c>
      <c r="AE176">
        <v>3.9087164376559735E-4</v>
      </c>
      <c r="AF176">
        <v>1.3611460850035731E-4</v>
      </c>
      <c r="AG176">
        <v>2.3400570973931766E-4</v>
      </c>
      <c r="AH176">
        <v>2.4826901326859951E-4</v>
      </c>
      <c r="AI176">
        <v>3.764635018634944E-4</v>
      </c>
      <c r="AJ176">
        <v>1.2503641744357724E-4</v>
      </c>
    </row>
    <row r="177" spans="2:36" ht="16" customHeight="1">
      <c r="B177" s="10">
        <v>4</v>
      </c>
      <c r="C177">
        <v>0</v>
      </c>
      <c r="D177">
        <v>0</v>
      </c>
      <c r="E177">
        <v>0</v>
      </c>
      <c r="F177">
        <v>3.6166365280289334E-3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2.500937851694386E-5</v>
      </c>
      <c r="AC177">
        <v>1.7450484250937967E-4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1.8616524451971785E-3</v>
      </c>
    </row>
    <row r="178" spans="2:36" ht="16" customHeight="1">
      <c r="B178" s="10">
        <v>5</v>
      </c>
      <c r="C178">
        <v>1.5867726630805604E-4</v>
      </c>
      <c r="D178">
        <v>1.1749040495026238E-4</v>
      </c>
      <c r="E178">
        <v>0</v>
      </c>
      <c r="F178">
        <v>0</v>
      </c>
      <c r="G178">
        <v>3.941571991653142E-3</v>
      </c>
      <c r="H178">
        <v>2.3900002390000237E-5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5.9395248380129592E-4</v>
      </c>
      <c r="T178">
        <v>0.16163819217254333</v>
      </c>
      <c r="U178">
        <v>5.5000000000000005E-3</v>
      </c>
      <c r="V178">
        <v>9.7456388266250839E-5</v>
      </c>
      <c r="W178">
        <v>2.4576062914721065E-4</v>
      </c>
      <c r="X178">
        <v>0</v>
      </c>
      <c r="Y178">
        <v>0</v>
      </c>
      <c r="Z178">
        <v>3.0641887162256756E-2</v>
      </c>
      <c r="AA178">
        <v>1.2302014454866985E-4</v>
      </c>
      <c r="AB178">
        <v>2.500937851694386E-5</v>
      </c>
      <c r="AC178">
        <v>4.3626210627344917E-5</v>
      </c>
      <c r="AD178">
        <v>2.5768452052273147E-4</v>
      </c>
      <c r="AE178">
        <v>3.0067049520430564E-5</v>
      </c>
      <c r="AF178">
        <v>3.4028652125089328E-5</v>
      </c>
      <c r="AG178">
        <v>9.3602283895727066E-5</v>
      </c>
      <c r="AH178">
        <v>5.5170891837466563E-5</v>
      </c>
      <c r="AI178">
        <v>1.882317509317472E-5</v>
      </c>
      <c r="AJ178">
        <v>2.0371995388771317E-3</v>
      </c>
    </row>
    <row r="179" spans="2:36" ht="16" customHeight="1">
      <c r="B179" s="10">
        <v>6</v>
      </c>
      <c r="C179">
        <v>1.4280953967725043E-4</v>
      </c>
      <c r="D179">
        <v>1.1749040495026238E-4</v>
      </c>
      <c r="E179">
        <v>0</v>
      </c>
      <c r="F179">
        <v>0</v>
      </c>
      <c r="G179">
        <v>2.3185717597959662E-4</v>
      </c>
      <c r="H179">
        <v>1.8881001888100189E-2</v>
      </c>
      <c r="I179">
        <v>0</v>
      </c>
      <c r="J179">
        <v>1.0641694157709909E-4</v>
      </c>
      <c r="K179">
        <v>3.7867893778161256E-3</v>
      </c>
      <c r="L179">
        <v>0</v>
      </c>
      <c r="M179">
        <v>2.5199619075525603E-2</v>
      </c>
      <c r="N179">
        <v>8.7535014005602242E-5</v>
      </c>
      <c r="O179">
        <v>0</v>
      </c>
      <c r="P179">
        <v>9.3416697315189409E-2</v>
      </c>
      <c r="Q179">
        <v>1.590077913817777E-4</v>
      </c>
      <c r="R179">
        <v>8.9445438282647596E-5</v>
      </c>
      <c r="S179">
        <v>2.1598272138228944E-4</v>
      </c>
      <c r="T179">
        <v>1.2116806009935783E-4</v>
      </c>
      <c r="U179">
        <v>0</v>
      </c>
      <c r="V179">
        <v>9.7456388266250839E-5</v>
      </c>
      <c r="W179">
        <v>2.4576062914721065E-4</v>
      </c>
      <c r="X179">
        <v>6.8789984178303654E-5</v>
      </c>
      <c r="Y179">
        <v>0</v>
      </c>
      <c r="Z179">
        <v>6.9998600027999444E-5</v>
      </c>
      <c r="AA179">
        <v>1.2302014454866985E-4</v>
      </c>
      <c r="AB179">
        <v>1.5005627110166315E-4</v>
      </c>
      <c r="AC179">
        <v>0.10256522118488788</v>
      </c>
      <c r="AD179">
        <v>3.6812074360390213E-5</v>
      </c>
      <c r="AE179">
        <v>3.0067049520430564E-5</v>
      </c>
      <c r="AF179">
        <v>3.4028652125089328E-5</v>
      </c>
      <c r="AG179">
        <v>9.3602283895727066E-5</v>
      </c>
      <c r="AH179">
        <v>9.1031971531819816E-4</v>
      </c>
      <c r="AI179">
        <v>3.764635018634944E-5</v>
      </c>
      <c r="AJ179">
        <v>6.2323568464386039E-2</v>
      </c>
    </row>
    <row r="180" spans="2:36" ht="16" customHeight="1">
      <c r="B180" s="10">
        <v>7</v>
      </c>
      <c r="C180">
        <v>6.3470906523222415E-4</v>
      </c>
      <c r="D180">
        <v>5.0912508811780366E-4</v>
      </c>
      <c r="E180">
        <v>3.0921459492888061E-4</v>
      </c>
      <c r="F180">
        <v>0</v>
      </c>
      <c r="G180">
        <v>6.9557152793878977E-4</v>
      </c>
      <c r="H180">
        <v>4.3020004302000427E-4</v>
      </c>
      <c r="I180">
        <v>1.4060742407199099E-4</v>
      </c>
      <c r="J180">
        <v>4.2566776630839637E-4</v>
      </c>
      <c r="K180">
        <v>2.0611638385581439E-3</v>
      </c>
      <c r="L180">
        <v>0</v>
      </c>
      <c r="M180">
        <v>5.1864332283349204E-2</v>
      </c>
      <c r="N180">
        <v>3.5014005602240897E-4</v>
      </c>
      <c r="O180">
        <v>1.136880400181901E-4</v>
      </c>
      <c r="P180">
        <v>3.6778227289444655E-4</v>
      </c>
      <c r="Q180">
        <v>4.7702337414533302E-4</v>
      </c>
      <c r="R180">
        <v>4.4722719141323793E-4</v>
      </c>
      <c r="S180">
        <v>4.0496760259179265E-4</v>
      </c>
      <c r="T180">
        <v>3.6350418029807341E-4</v>
      </c>
      <c r="U180">
        <v>0</v>
      </c>
      <c r="V180">
        <v>3.8982555306500336E-4</v>
      </c>
      <c r="W180">
        <v>7.372818874416319E-4</v>
      </c>
      <c r="X180">
        <v>3.4394992089151823E-4</v>
      </c>
      <c r="Y180">
        <v>2.954908102358017E-5</v>
      </c>
      <c r="Z180">
        <v>2.7999440011199778E-4</v>
      </c>
      <c r="AA180">
        <v>5.4333897175662513E-4</v>
      </c>
      <c r="AB180">
        <v>5.2519694885582108E-4</v>
      </c>
      <c r="AC180">
        <v>1.1779076869383126E-2</v>
      </c>
      <c r="AD180">
        <v>1.8406037180195104E-4</v>
      </c>
      <c r="AE180">
        <v>9.0201148561291686E-5</v>
      </c>
      <c r="AF180">
        <v>1.0208595637526798E-4</v>
      </c>
      <c r="AG180">
        <v>4.6801141947863531E-4</v>
      </c>
      <c r="AH180">
        <v>3.8619624286226589E-4</v>
      </c>
      <c r="AI180">
        <v>1.5058540074539776E-4</v>
      </c>
      <c r="AJ180">
        <v>4.7932834158440889E-3</v>
      </c>
    </row>
    <row r="181" spans="2:36" ht="16" customHeight="1">
      <c r="B181" s="10">
        <v>8</v>
      </c>
      <c r="C181">
        <v>4.7603179892416811E-5</v>
      </c>
      <c r="D181">
        <v>3.9163468316754135E-5</v>
      </c>
      <c r="E181">
        <v>0</v>
      </c>
      <c r="F181">
        <v>0</v>
      </c>
      <c r="G181">
        <v>0</v>
      </c>
      <c r="H181">
        <v>4.7800004780000475E-5</v>
      </c>
      <c r="I181">
        <v>0</v>
      </c>
      <c r="J181">
        <v>1.6601042886027456E-2</v>
      </c>
      <c r="K181">
        <v>3.345796184450197E-2</v>
      </c>
      <c r="L181">
        <v>0</v>
      </c>
      <c r="M181">
        <v>2.0438063145557104E-2</v>
      </c>
      <c r="N181">
        <v>4.3767507002801121E-5</v>
      </c>
      <c r="O181">
        <v>0</v>
      </c>
      <c r="P181">
        <v>0</v>
      </c>
      <c r="Q181">
        <v>0</v>
      </c>
      <c r="R181">
        <v>0</v>
      </c>
      <c r="S181">
        <v>2.699784017278618E-5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1.7499650006999861E-5</v>
      </c>
      <c r="AA181">
        <v>4.1006714849556617E-5</v>
      </c>
      <c r="AB181">
        <v>5.001875703388772E-5</v>
      </c>
      <c r="AC181">
        <v>1.6752464880900444E-2</v>
      </c>
      <c r="AD181">
        <v>0</v>
      </c>
      <c r="AE181">
        <v>0</v>
      </c>
      <c r="AF181">
        <v>0</v>
      </c>
      <c r="AG181">
        <v>4.6801141947863533E-5</v>
      </c>
      <c r="AH181">
        <v>2.7585445918733282E-4</v>
      </c>
      <c r="AI181">
        <v>1.882317509317472E-5</v>
      </c>
      <c r="AJ181">
        <v>2.5098447164799847E-2</v>
      </c>
    </row>
    <row r="182" spans="2:36" ht="16" customHeight="1">
      <c r="B182" s="10">
        <v>9</v>
      </c>
      <c r="C182">
        <v>6.6644451849383541E-4</v>
      </c>
      <c r="D182">
        <v>5.4828855643455779E-4</v>
      </c>
      <c r="E182">
        <v>0</v>
      </c>
      <c r="F182">
        <v>0</v>
      </c>
      <c r="G182">
        <v>4.6371435195919323E-4</v>
      </c>
      <c r="H182">
        <v>1.6132501613250159E-2</v>
      </c>
      <c r="I182">
        <v>7.0303712035995494E-5</v>
      </c>
      <c r="J182">
        <v>3.1925082473129723E-4</v>
      </c>
      <c r="K182">
        <v>8.2877959927140268E-2</v>
      </c>
      <c r="L182">
        <v>0</v>
      </c>
      <c r="M182">
        <v>6.2852538275584208E-2</v>
      </c>
      <c r="N182">
        <v>2.6260504201680671E-4</v>
      </c>
      <c r="O182">
        <v>1.136880400181901E-4</v>
      </c>
      <c r="P182">
        <v>3.6778227289444655E-4</v>
      </c>
      <c r="Q182">
        <v>3.180155827635554E-4</v>
      </c>
      <c r="R182">
        <v>9.838998211091235E-4</v>
      </c>
      <c r="S182">
        <v>1.2688984881209504E-3</v>
      </c>
      <c r="T182">
        <v>2.4233612019871565E-4</v>
      </c>
      <c r="U182">
        <v>0</v>
      </c>
      <c r="V182">
        <v>2.923691647987525E-4</v>
      </c>
      <c r="W182">
        <v>7.372818874416319E-4</v>
      </c>
      <c r="X182">
        <v>2.0636995253491095E-4</v>
      </c>
      <c r="Y182">
        <v>0</v>
      </c>
      <c r="Z182">
        <v>1.924961500769985E-4</v>
      </c>
      <c r="AA182">
        <v>6.3560408016812757E-4</v>
      </c>
      <c r="AB182">
        <v>3.251219207202702E-4</v>
      </c>
      <c r="AC182">
        <v>2.2903760579356079E-2</v>
      </c>
      <c r="AD182">
        <v>1.1043622308117063E-4</v>
      </c>
      <c r="AE182">
        <v>9.0201148561291686E-5</v>
      </c>
      <c r="AF182">
        <v>1.0208595637526798E-4</v>
      </c>
      <c r="AG182">
        <v>5.1481256142649884E-4</v>
      </c>
      <c r="AH182">
        <v>6.6205070204959876E-4</v>
      </c>
      <c r="AI182">
        <v>9.4115875465873599E-5</v>
      </c>
      <c r="AJ182">
        <v>4.0971254300189573E-2</v>
      </c>
    </row>
    <row r="183" spans="2:36" ht="16" customHeight="1">
      <c r="B183" s="10">
        <v>10</v>
      </c>
      <c r="C183">
        <v>4.7603179892416811E-5</v>
      </c>
      <c r="D183">
        <v>3.9163468316754135E-5</v>
      </c>
      <c r="E183">
        <v>0</v>
      </c>
      <c r="F183">
        <v>0</v>
      </c>
      <c r="G183">
        <v>0</v>
      </c>
      <c r="H183">
        <v>4.7800004780000475E-5</v>
      </c>
      <c r="I183">
        <v>0</v>
      </c>
      <c r="J183">
        <v>1.4472704054485475E-2</v>
      </c>
      <c r="K183">
        <v>7.5256447128750842E-3</v>
      </c>
      <c r="L183">
        <v>0</v>
      </c>
      <c r="M183">
        <v>7.6184894879496017E-3</v>
      </c>
      <c r="N183">
        <v>3.5232843137254902E-2</v>
      </c>
      <c r="O183">
        <v>0</v>
      </c>
      <c r="P183">
        <v>0</v>
      </c>
      <c r="Q183">
        <v>0</v>
      </c>
      <c r="R183">
        <v>8.9445438282647596E-5</v>
      </c>
      <c r="S183">
        <v>5.399568034557236E-5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3.4999300013999722E-5</v>
      </c>
      <c r="AA183">
        <v>5.1258393561945772E-5</v>
      </c>
      <c r="AB183">
        <v>5.001875703388772E-5</v>
      </c>
      <c r="AC183">
        <v>5.1915190646540446E-3</v>
      </c>
      <c r="AD183">
        <v>3.6812074360390213E-5</v>
      </c>
      <c r="AE183">
        <v>0</v>
      </c>
      <c r="AF183">
        <v>0</v>
      </c>
      <c r="AG183">
        <v>4.6801141947863533E-5</v>
      </c>
      <c r="AH183">
        <v>2.7585445918733282E-5</v>
      </c>
      <c r="AI183">
        <v>1.882317509317472E-5</v>
      </c>
      <c r="AJ183">
        <v>6.6492589839097166E-3</v>
      </c>
    </row>
    <row r="184" spans="2:36" ht="16" customHeight="1">
      <c r="B184" s="10">
        <v>11</v>
      </c>
      <c r="C184">
        <v>2.6975135272369524E-4</v>
      </c>
      <c r="D184">
        <v>2.3968042609853527E-2</v>
      </c>
      <c r="E184">
        <v>0</v>
      </c>
      <c r="F184">
        <v>5.2441229656419529E-2</v>
      </c>
      <c r="G184">
        <v>2.3185717597959662E-4</v>
      </c>
      <c r="H184">
        <v>7.7197007719700759E-3</v>
      </c>
      <c r="I184">
        <v>7.0303712035995494E-5</v>
      </c>
      <c r="J184">
        <v>1.7133127593912955E-2</v>
      </c>
      <c r="K184">
        <v>1.7591793691879975E-2</v>
      </c>
      <c r="L184">
        <v>0</v>
      </c>
      <c r="M184">
        <v>8.9370742070178002E-3</v>
      </c>
      <c r="N184">
        <v>2.871148459383753E-2</v>
      </c>
      <c r="O184">
        <v>1.136880400181901E-4</v>
      </c>
      <c r="P184">
        <v>3.6778227289444655E-4</v>
      </c>
      <c r="Q184">
        <v>3.180155827635554E-4</v>
      </c>
      <c r="R184">
        <v>2.6833631484794273E-4</v>
      </c>
      <c r="S184">
        <v>5.6965442764578839E-3</v>
      </c>
      <c r="T184">
        <v>1.2116806009935783E-4</v>
      </c>
      <c r="U184">
        <v>0</v>
      </c>
      <c r="V184">
        <v>1.9491277653250168E-4</v>
      </c>
      <c r="W184">
        <v>2.4576062914721065E-4</v>
      </c>
      <c r="X184">
        <v>1.3757996835660731E-4</v>
      </c>
      <c r="Y184">
        <v>0</v>
      </c>
      <c r="Z184">
        <v>1.5749685006299875E-4</v>
      </c>
      <c r="AA184">
        <v>2.8704700394689627E-4</v>
      </c>
      <c r="AB184">
        <v>2.7510316368638249E-4</v>
      </c>
      <c r="AC184">
        <v>1.5225547508943374E-2</v>
      </c>
      <c r="AD184">
        <v>1.1043622308117063E-4</v>
      </c>
      <c r="AE184">
        <v>3.0067049520430564E-5</v>
      </c>
      <c r="AF184">
        <v>3.4028652125089328E-5</v>
      </c>
      <c r="AG184">
        <v>5.6629381756914876E-3</v>
      </c>
      <c r="AH184">
        <v>4.4136713469973251E-4</v>
      </c>
      <c r="AI184">
        <v>2.6352445130444602E-4</v>
      </c>
      <c r="AJ184">
        <v>3.137714680240556E-2</v>
      </c>
    </row>
    <row r="185" spans="2:36" ht="16" customHeight="1">
      <c r="B185" s="10">
        <v>12</v>
      </c>
      <c r="C185">
        <v>3.0148680598530644E-4</v>
      </c>
      <c r="D185">
        <v>2.741442782172789E-4</v>
      </c>
      <c r="E185">
        <v>0</v>
      </c>
      <c r="F185">
        <v>0</v>
      </c>
      <c r="G185">
        <v>4.6371435195919323E-4</v>
      </c>
      <c r="H185">
        <v>2.8680002868000285E-4</v>
      </c>
      <c r="I185">
        <v>7.0303712035995494E-5</v>
      </c>
      <c r="J185">
        <v>2.1283388315419818E-4</v>
      </c>
      <c r="K185">
        <v>1.4380212827149843E-4</v>
      </c>
      <c r="L185">
        <v>0</v>
      </c>
      <c r="M185">
        <v>1.4650941322980003E-4</v>
      </c>
      <c r="N185">
        <v>2.1883753501400558E-4</v>
      </c>
      <c r="O185">
        <v>1.136880400181901E-4</v>
      </c>
      <c r="P185">
        <v>3.6778227289444655E-4</v>
      </c>
      <c r="Q185">
        <v>3.180155827635554E-4</v>
      </c>
      <c r="R185">
        <v>2.6833631484794273E-4</v>
      </c>
      <c r="S185">
        <v>2.4298056155507559E-4</v>
      </c>
      <c r="T185">
        <v>2.4233612019871565E-4</v>
      </c>
      <c r="U185">
        <v>0</v>
      </c>
      <c r="V185">
        <v>2.923691647987525E-4</v>
      </c>
      <c r="W185">
        <v>4.915212582944213E-4</v>
      </c>
      <c r="X185">
        <v>2.0636995253491095E-4</v>
      </c>
      <c r="Y185">
        <v>0</v>
      </c>
      <c r="Z185">
        <v>1.7499650006999861E-4</v>
      </c>
      <c r="AA185">
        <v>3.0755036137167463E-4</v>
      </c>
      <c r="AB185">
        <v>3.0011254220332629E-4</v>
      </c>
      <c r="AC185">
        <v>4.9210365587645057E-2</v>
      </c>
      <c r="AD185">
        <v>1.1043622308117063E-4</v>
      </c>
      <c r="AE185">
        <v>3.0067049520430564E-5</v>
      </c>
      <c r="AF185">
        <v>6.8057304250178656E-5</v>
      </c>
      <c r="AG185">
        <v>3.3696822202461743E-3</v>
      </c>
      <c r="AH185">
        <v>2.151664781661196E-3</v>
      </c>
      <c r="AI185">
        <v>7.5292700372698879E-5</v>
      </c>
      <c r="AJ185">
        <v>6.3202636456826958E-2</v>
      </c>
    </row>
    <row r="186" spans="2:36" ht="16" customHeight="1">
      <c r="B186" s="10">
        <v>13</v>
      </c>
      <c r="C186">
        <v>3.4908998587772328E-4</v>
      </c>
      <c r="D186">
        <v>1.2062348241560272E-2</v>
      </c>
      <c r="E186">
        <v>0</v>
      </c>
      <c r="F186">
        <v>4.8824593128390603E-2</v>
      </c>
      <c r="G186">
        <v>4.6371435195919323E-4</v>
      </c>
      <c r="H186">
        <v>4.0152004015200403E-3</v>
      </c>
      <c r="I186">
        <v>6.4679415073115847E-3</v>
      </c>
      <c r="J186">
        <v>2.5540065978503779E-3</v>
      </c>
      <c r="K186">
        <v>3.5950532067874608E-3</v>
      </c>
      <c r="L186">
        <v>6.0622034791776467E-3</v>
      </c>
      <c r="M186">
        <v>3.8092447439748009E-3</v>
      </c>
      <c r="N186">
        <v>5.2477240896358544E-2</v>
      </c>
      <c r="O186">
        <v>0.15120509322419282</v>
      </c>
      <c r="P186">
        <v>3.6778227289444655E-4</v>
      </c>
      <c r="Q186">
        <v>3.180155827635554E-4</v>
      </c>
      <c r="R186">
        <v>2.8622540250447231E-3</v>
      </c>
      <c r="S186">
        <v>1.1609071274298055E-3</v>
      </c>
      <c r="T186">
        <v>8.4817642069550466E-4</v>
      </c>
      <c r="U186">
        <v>0</v>
      </c>
      <c r="V186">
        <v>2.923691647987525E-4</v>
      </c>
      <c r="W186">
        <v>4.915212582944213E-4</v>
      </c>
      <c r="X186">
        <v>3.3638302263190485E-2</v>
      </c>
      <c r="Y186">
        <v>8.8647243070740504E-5</v>
      </c>
      <c r="Z186">
        <v>2.0999580008399833E-4</v>
      </c>
      <c r="AA186">
        <v>3.588087549336204E-4</v>
      </c>
      <c r="AB186">
        <v>3.50131299237214E-4</v>
      </c>
      <c r="AC186">
        <v>3.1847133757961785E-3</v>
      </c>
      <c r="AD186">
        <v>2.2087244616234125E-4</v>
      </c>
      <c r="AE186">
        <v>2.7060344568387507E-4</v>
      </c>
      <c r="AF186">
        <v>1.0208595637526798E-4</v>
      </c>
      <c r="AG186">
        <v>7.3945804277624387E-3</v>
      </c>
      <c r="AH186">
        <v>8.2204628837825172E-3</v>
      </c>
      <c r="AI186">
        <v>1.0352746301246095E-3</v>
      </c>
      <c r="AJ186">
        <v>1.0078251954467146E-2</v>
      </c>
    </row>
    <row r="187" spans="2:36" ht="16" customHeight="1">
      <c r="B187" s="10">
        <v>14</v>
      </c>
      <c r="C187">
        <v>1.5867726630805604E-5</v>
      </c>
      <c r="D187">
        <v>0</v>
      </c>
      <c r="E187">
        <v>0</v>
      </c>
      <c r="F187">
        <v>0</v>
      </c>
      <c r="G187">
        <v>0</v>
      </c>
      <c r="H187">
        <v>5.2580005258000522E-4</v>
      </c>
      <c r="I187">
        <v>1.265466816647919E-3</v>
      </c>
      <c r="J187">
        <v>4.2566776630839637E-4</v>
      </c>
      <c r="K187">
        <v>6.2314255584315983E-4</v>
      </c>
      <c r="L187">
        <v>5.2714812862414331E-4</v>
      </c>
      <c r="M187">
        <v>2.9301882645960006E-4</v>
      </c>
      <c r="N187">
        <v>8.7535014005602233E-4</v>
      </c>
      <c r="O187">
        <v>1.284674852205548E-2</v>
      </c>
      <c r="P187">
        <v>0.15593968370724531</v>
      </c>
      <c r="Q187">
        <v>0</v>
      </c>
      <c r="R187">
        <v>1.7889087656529519E-4</v>
      </c>
      <c r="S187">
        <v>1.0799136069114472E-4</v>
      </c>
      <c r="T187">
        <v>0</v>
      </c>
      <c r="U187">
        <v>0</v>
      </c>
      <c r="V187">
        <v>1.9491277653250168E-4</v>
      </c>
      <c r="W187">
        <v>1.2288031457360531E-3</v>
      </c>
      <c r="X187">
        <v>6.8789984178303654E-5</v>
      </c>
      <c r="Y187">
        <v>2.954908102358017E-5</v>
      </c>
      <c r="Z187">
        <v>3.4999300013999722E-5</v>
      </c>
      <c r="AA187">
        <v>1.0251678712389154E-5</v>
      </c>
      <c r="AB187">
        <v>2.500937851694386E-5</v>
      </c>
      <c r="AC187">
        <v>0</v>
      </c>
      <c r="AD187">
        <v>0</v>
      </c>
      <c r="AE187">
        <v>0</v>
      </c>
      <c r="AF187">
        <v>0</v>
      </c>
      <c r="AG187">
        <v>8.4242055506154358E-4</v>
      </c>
      <c r="AH187">
        <v>2.7585445918733282E-5</v>
      </c>
      <c r="AI187">
        <v>1.3176222565222301E-4</v>
      </c>
      <c r="AJ187">
        <v>6.4912003760960102E-3</v>
      </c>
    </row>
    <row r="188" spans="2:36" ht="16" customHeight="1">
      <c r="B188" s="15">
        <v>15</v>
      </c>
      <c r="C188">
        <v>1.2186414052458704E-2</v>
      </c>
      <c r="D188">
        <v>1.3002271481162373E-2</v>
      </c>
      <c r="E188">
        <v>1.1131725417439703E-2</v>
      </c>
      <c r="F188">
        <v>3.6166365280289334E-3</v>
      </c>
      <c r="G188">
        <v>4.6371435195919323E-4</v>
      </c>
      <c r="H188">
        <v>7.1700007170000712E-5</v>
      </c>
      <c r="I188">
        <v>0</v>
      </c>
      <c r="J188">
        <v>1.0641694157709909E-4</v>
      </c>
      <c r="K188">
        <v>4.7934042757166147E-5</v>
      </c>
      <c r="L188">
        <v>0</v>
      </c>
      <c r="M188">
        <v>7.3254706614900016E-5</v>
      </c>
      <c r="N188">
        <v>4.3767507002801121E-5</v>
      </c>
      <c r="O188">
        <v>2.2737608003638019E-4</v>
      </c>
      <c r="P188">
        <v>0</v>
      </c>
      <c r="Q188">
        <v>0.16695818095086656</v>
      </c>
      <c r="R188">
        <v>6.2611806797853301E-4</v>
      </c>
      <c r="S188">
        <v>8.0993520518358534E-5</v>
      </c>
      <c r="T188">
        <v>0</v>
      </c>
      <c r="U188">
        <v>0</v>
      </c>
      <c r="V188">
        <v>0</v>
      </c>
      <c r="W188">
        <v>2.4576062914721065E-4</v>
      </c>
      <c r="X188">
        <v>4.3956799889936032E-2</v>
      </c>
      <c r="Y188">
        <v>0</v>
      </c>
      <c r="Z188">
        <v>6.009379812403752E-2</v>
      </c>
      <c r="AA188">
        <v>3.0755036137167463E-5</v>
      </c>
      <c r="AB188">
        <v>6.2523446292359649E-4</v>
      </c>
      <c r="AC188">
        <v>0</v>
      </c>
      <c r="AD188">
        <v>0</v>
      </c>
      <c r="AE188">
        <v>3.0067049520430564E-5</v>
      </c>
      <c r="AF188">
        <v>3.4028652125089328E-5</v>
      </c>
      <c r="AG188">
        <v>1.8720456779145413E-4</v>
      </c>
      <c r="AH188">
        <v>8.2756337756199845E-5</v>
      </c>
      <c r="AI188">
        <v>5.6469525279524153E-5</v>
      </c>
      <c r="AJ188">
        <v>0</v>
      </c>
    </row>
    <row r="189" spans="2:36" ht="16" customHeight="1">
      <c r="B189" s="15">
        <v>16</v>
      </c>
      <c r="C189">
        <v>7.2515510702781611E-3</v>
      </c>
      <c r="D189">
        <v>1.8406830108874442E-3</v>
      </c>
      <c r="E189">
        <v>4.9474335188620898E-3</v>
      </c>
      <c r="F189">
        <v>0</v>
      </c>
      <c r="G189">
        <v>6.9557152793878977E-4</v>
      </c>
      <c r="H189">
        <v>6.1662006166200616E-3</v>
      </c>
      <c r="I189">
        <v>4.7103487064116987E-3</v>
      </c>
      <c r="J189">
        <v>6.7042673193572419E-3</v>
      </c>
      <c r="K189">
        <v>3.4991851212731284E-3</v>
      </c>
      <c r="L189">
        <v>1.3178703215603581E-3</v>
      </c>
      <c r="M189">
        <v>6.0801406490367015E-3</v>
      </c>
      <c r="N189">
        <v>3.9653361344537806E-2</v>
      </c>
      <c r="O189">
        <v>1.8190086402910415E-3</v>
      </c>
      <c r="P189">
        <v>7.35564545788893E-3</v>
      </c>
      <c r="Q189">
        <v>4.7702337414533302E-4</v>
      </c>
      <c r="R189">
        <v>0.15751341681574238</v>
      </c>
      <c r="S189">
        <v>2.4568034557235418E-3</v>
      </c>
      <c r="T189">
        <v>3.9016115351993223E-2</v>
      </c>
      <c r="U189">
        <v>1.5E-3</v>
      </c>
      <c r="V189">
        <v>2.5338660949225217E-3</v>
      </c>
      <c r="W189">
        <v>2.7033669206193173E-3</v>
      </c>
      <c r="X189">
        <v>6.6038384811171504E-3</v>
      </c>
      <c r="Y189">
        <v>1.3592577270846876E-3</v>
      </c>
      <c r="Z189">
        <v>3.4999300013999722E-4</v>
      </c>
      <c r="AA189">
        <v>1.0220923676251987E-2</v>
      </c>
      <c r="AB189">
        <v>1.8131799424784299E-2</v>
      </c>
      <c r="AC189">
        <v>5.1915190646540446E-3</v>
      </c>
      <c r="AD189">
        <v>1.6933554205779495E-3</v>
      </c>
      <c r="AE189">
        <v>3.9087164376559735E-3</v>
      </c>
      <c r="AF189">
        <v>2.5521489093816995E-3</v>
      </c>
      <c r="AG189">
        <v>3.4258435905836104E-2</v>
      </c>
      <c r="AH189">
        <v>6.9239469256020536E-3</v>
      </c>
      <c r="AI189">
        <v>2.7293603885103343E-3</v>
      </c>
      <c r="AJ189">
        <v>1.1452364975309279E-2</v>
      </c>
    </row>
    <row r="190" spans="2:36" ht="16" customHeight="1">
      <c r="B190" s="15">
        <v>17</v>
      </c>
      <c r="C190">
        <v>3.0942066930070927E-2</v>
      </c>
      <c r="D190">
        <v>1.1553223153442468E-2</v>
      </c>
      <c r="E190">
        <v>2.5046382189239328E-2</v>
      </c>
      <c r="F190">
        <v>2.7124773960217001E-2</v>
      </c>
      <c r="G190">
        <v>4.7067006723858107E-2</v>
      </c>
      <c r="H190">
        <v>8.8908008890800881E-3</v>
      </c>
      <c r="I190">
        <v>9.5613048368953877E-3</v>
      </c>
      <c r="J190">
        <v>8.7261892093221244E-3</v>
      </c>
      <c r="K190">
        <v>9.922346850733392E-3</v>
      </c>
      <c r="L190">
        <v>7.1164997364259342E-3</v>
      </c>
      <c r="M190">
        <v>1.4650941322980003E-2</v>
      </c>
      <c r="N190">
        <v>4.3329831932773108E-2</v>
      </c>
      <c r="O190">
        <v>1.0914051841746248E-2</v>
      </c>
      <c r="P190">
        <v>4.3766090474439134E-2</v>
      </c>
      <c r="Q190">
        <v>7.3143584035617725E-3</v>
      </c>
      <c r="R190">
        <v>2.8354203935599284E-2</v>
      </c>
      <c r="S190">
        <v>0.12783477321814254</v>
      </c>
      <c r="T190">
        <v>1.3691990791227434E-2</v>
      </c>
      <c r="U190">
        <v>8.0000000000000002E-3</v>
      </c>
      <c r="V190">
        <v>1.8516713770587658E-3</v>
      </c>
      <c r="W190">
        <v>4.4236913246497919E-3</v>
      </c>
      <c r="X190">
        <v>4.2856160143083168E-2</v>
      </c>
      <c r="Y190">
        <v>9.4557059275456544E-4</v>
      </c>
      <c r="Z190">
        <v>1.6694666106677868E-2</v>
      </c>
      <c r="AA190">
        <v>8.9087088010661748E-3</v>
      </c>
      <c r="AB190">
        <v>5.7521570588970868E-4</v>
      </c>
      <c r="AC190">
        <v>8.8997469679783607E-3</v>
      </c>
      <c r="AD190">
        <v>9.5711393337014549E-4</v>
      </c>
      <c r="AE190">
        <v>5.712739408881807E-4</v>
      </c>
      <c r="AF190">
        <v>5.784870861265186E-4</v>
      </c>
      <c r="AG190">
        <v>6.8797678663359389E-3</v>
      </c>
      <c r="AH190">
        <v>3.2137044495324271E-2</v>
      </c>
      <c r="AI190">
        <v>3.0361781425290824E-2</v>
      </c>
      <c r="AJ190">
        <v>5.2660919836886387E-2</v>
      </c>
    </row>
    <row r="191" spans="2:36" ht="16" customHeight="1">
      <c r="B191" s="15">
        <v>18</v>
      </c>
      <c r="C191">
        <v>2.2214817283127842E-4</v>
      </c>
      <c r="D191">
        <v>3.1330774653403308E-4</v>
      </c>
      <c r="E191">
        <v>1.0513296227581941E-2</v>
      </c>
      <c r="F191">
        <v>0</v>
      </c>
      <c r="G191">
        <v>4.1734291676327386E-3</v>
      </c>
      <c r="H191">
        <v>1.6730001673000164E-4</v>
      </c>
      <c r="I191">
        <v>7.0303712035995494E-5</v>
      </c>
      <c r="J191">
        <v>2.1283388315419818E-4</v>
      </c>
      <c r="K191">
        <v>9.5868085514332294E-5</v>
      </c>
      <c r="L191">
        <v>7.9072219293621485E-4</v>
      </c>
      <c r="M191">
        <v>4.3952823968940007E-4</v>
      </c>
      <c r="N191">
        <v>2.0570728291316527E-3</v>
      </c>
      <c r="O191">
        <v>1.136880400181901E-4</v>
      </c>
      <c r="P191">
        <v>0</v>
      </c>
      <c r="Q191">
        <v>1.590077913817777E-4</v>
      </c>
      <c r="R191">
        <v>5.3667262969588547E-4</v>
      </c>
      <c r="S191">
        <v>3.67170626349892E-3</v>
      </c>
      <c r="T191">
        <v>7.5245365321701202E-2</v>
      </c>
      <c r="U191">
        <v>2E-3</v>
      </c>
      <c r="V191">
        <v>5.7499269077088003E-3</v>
      </c>
      <c r="W191">
        <v>1.4745637748832638E-3</v>
      </c>
      <c r="X191">
        <v>2.0636995253491095E-4</v>
      </c>
      <c r="Y191">
        <v>2.9549081023580166E-4</v>
      </c>
      <c r="Z191">
        <v>9.7963040739185214E-2</v>
      </c>
      <c r="AA191">
        <v>2.1528525296017224E-4</v>
      </c>
      <c r="AB191">
        <v>3.251219207202702E-4</v>
      </c>
      <c r="AC191">
        <v>2.6175726376406945E-4</v>
      </c>
      <c r="AD191">
        <v>4.4174489232468251E-4</v>
      </c>
      <c r="AE191">
        <v>3.0067049520430563E-4</v>
      </c>
      <c r="AF191">
        <v>6.8057304250178656E-5</v>
      </c>
      <c r="AG191">
        <v>1.8720456779145413E-4</v>
      </c>
      <c r="AH191">
        <v>1.572370417367797E-3</v>
      </c>
      <c r="AI191">
        <v>1.336445431615405E-3</v>
      </c>
      <c r="AJ191">
        <v>4.6662881329685643E-3</v>
      </c>
    </row>
    <row r="192" spans="2:36" ht="16" customHeight="1">
      <c r="B192" s="15">
        <v>19</v>
      </c>
      <c r="C192">
        <v>6.1884133860141857E-4</v>
      </c>
      <c r="D192">
        <v>6.6577896138482018E-4</v>
      </c>
      <c r="E192">
        <v>9.2764378478664184E-4</v>
      </c>
      <c r="F192">
        <v>0</v>
      </c>
      <c r="G192">
        <v>0</v>
      </c>
      <c r="H192">
        <v>4.7800004780000475E-5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1.7507002801120447E-3</v>
      </c>
      <c r="O192">
        <v>0</v>
      </c>
      <c r="P192">
        <v>0</v>
      </c>
      <c r="Q192">
        <v>0</v>
      </c>
      <c r="R192">
        <v>1.0733452593917709E-3</v>
      </c>
      <c r="S192">
        <v>1.6171706263498918E-2</v>
      </c>
      <c r="T192">
        <v>4.604386283775597E-3</v>
      </c>
      <c r="U192">
        <v>4.9000000000000002E-2</v>
      </c>
      <c r="V192">
        <v>0</v>
      </c>
      <c r="W192">
        <v>0</v>
      </c>
      <c r="X192">
        <v>5.8471486551558097E-3</v>
      </c>
      <c r="Y192">
        <v>0</v>
      </c>
      <c r="Z192">
        <v>4.7599048019039622E-3</v>
      </c>
      <c r="AA192">
        <v>5.1258393561945772E-5</v>
      </c>
      <c r="AB192">
        <v>5.001875703388772E-5</v>
      </c>
      <c r="AC192">
        <v>4.3626210627344917E-5</v>
      </c>
      <c r="AD192">
        <v>3.6812074360390213E-5</v>
      </c>
      <c r="AE192">
        <v>2.7060344568387507E-4</v>
      </c>
      <c r="AF192">
        <v>0</v>
      </c>
      <c r="AG192">
        <v>4.6801141947863533E-5</v>
      </c>
      <c r="AH192">
        <v>2.7585445918733282E-5</v>
      </c>
      <c r="AI192">
        <v>1.3176222565222301E-4</v>
      </c>
      <c r="AJ192">
        <v>2.4432629604776405E-4</v>
      </c>
    </row>
    <row r="193" spans="2:36" ht="16" customHeight="1">
      <c r="B193" s="15">
        <v>20</v>
      </c>
      <c r="C193">
        <v>8.7272496469430823E-4</v>
      </c>
      <c r="D193">
        <v>1.3707213910863945E-3</v>
      </c>
      <c r="E193">
        <v>6.1842918985776122E-4</v>
      </c>
      <c r="F193">
        <v>1.8083182640144667E-3</v>
      </c>
      <c r="G193">
        <v>5.7500579642939954E-2</v>
      </c>
      <c r="H193">
        <v>5.2580005258000522E-4</v>
      </c>
      <c r="I193">
        <v>2.8121484814398198E-4</v>
      </c>
      <c r="J193">
        <v>5.3208470788549539E-4</v>
      </c>
      <c r="K193">
        <v>2.8760425654299687E-4</v>
      </c>
      <c r="L193">
        <v>2.6357406431207165E-4</v>
      </c>
      <c r="M193">
        <v>5.1278294630430004E-4</v>
      </c>
      <c r="N193">
        <v>6.5651260504201675E-4</v>
      </c>
      <c r="O193">
        <v>2.2737608003638019E-4</v>
      </c>
      <c r="P193">
        <v>3.6778227289444655E-4</v>
      </c>
      <c r="Q193">
        <v>1.1130545396724437E-3</v>
      </c>
      <c r="R193">
        <v>2.7728085867620754E-3</v>
      </c>
      <c r="S193">
        <v>1.8007559395248382E-2</v>
      </c>
      <c r="T193">
        <v>9.693444807948626E-4</v>
      </c>
      <c r="U193">
        <v>5.0000000000000001E-4</v>
      </c>
      <c r="V193">
        <v>9.3850501900399549E-2</v>
      </c>
      <c r="W193">
        <v>0.12091422954042763</v>
      </c>
      <c r="X193">
        <v>2.6759303845360117E-2</v>
      </c>
      <c r="Y193">
        <v>1.388806808108268E-3</v>
      </c>
      <c r="Z193">
        <v>1.398222035559289E-2</v>
      </c>
      <c r="AA193">
        <v>5.2898662155928039E-3</v>
      </c>
      <c r="AB193">
        <v>7.5028135550831581E-4</v>
      </c>
      <c r="AC193">
        <v>7.416455806648635E-4</v>
      </c>
      <c r="AD193">
        <v>1.5461071231363888E-3</v>
      </c>
      <c r="AE193">
        <v>7.2160918849033349E-4</v>
      </c>
      <c r="AF193">
        <v>2.3820056487562527E-4</v>
      </c>
      <c r="AG193">
        <v>7.4881827116581653E-4</v>
      </c>
      <c r="AH193">
        <v>3.8895478745413926E-3</v>
      </c>
      <c r="AI193">
        <v>1.6187930580130257E-3</v>
      </c>
      <c r="AJ193">
        <v>1.8995509213854335E-3</v>
      </c>
    </row>
    <row r="194" spans="2:36" ht="16" customHeight="1">
      <c r="B194" s="15">
        <v>21</v>
      </c>
      <c r="C194">
        <v>2.5388362609288966E-4</v>
      </c>
      <c r="D194">
        <v>3.1330774653403308E-4</v>
      </c>
      <c r="E194">
        <v>3.0921459492888061E-4</v>
      </c>
      <c r="F194">
        <v>0</v>
      </c>
      <c r="G194">
        <v>2.3185717597959662E-4</v>
      </c>
      <c r="H194">
        <v>1.912000191200019E-4</v>
      </c>
      <c r="I194">
        <v>7.0303712035995494E-5</v>
      </c>
      <c r="J194">
        <v>2.1283388315419818E-4</v>
      </c>
      <c r="K194">
        <v>9.5868085514332294E-5</v>
      </c>
      <c r="L194">
        <v>0</v>
      </c>
      <c r="M194">
        <v>1.4650941322980003E-4</v>
      </c>
      <c r="N194">
        <v>2.1883753501400558E-4</v>
      </c>
      <c r="O194">
        <v>1.136880400181901E-4</v>
      </c>
      <c r="P194">
        <v>0</v>
      </c>
      <c r="Q194">
        <v>1.590077913817777E-4</v>
      </c>
      <c r="R194">
        <v>2.6833631484794273E-4</v>
      </c>
      <c r="S194">
        <v>2.4298056155507559E-4</v>
      </c>
      <c r="T194">
        <v>1.2116806009935783E-4</v>
      </c>
      <c r="U194">
        <v>0</v>
      </c>
      <c r="V194">
        <v>1.2474417698080107E-2</v>
      </c>
      <c r="W194">
        <v>1.966085033177685E-2</v>
      </c>
      <c r="X194">
        <v>1.7885395886358948E-3</v>
      </c>
      <c r="Y194">
        <v>8.8647243070740504E-5</v>
      </c>
      <c r="Z194">
        <v>1.2249755004899903E-4</v>
      </c>
      <c r="AA194">
        <v>2.5629196780972886E-4</v>
      </c>
      <c r="AB194">
        <v>3.50131299237214E-4</v>
      </c>
      <c r="AC194">
        <v>2.1813105313672456E-4</v>
      </c>
      <c r="AD194">
        <v>4.1229523283637035E-3</v>
      </c>
      <c r="AE194">
        <v>3.0067049520430563E-4</v>
      </c>
      <c r="AF194">
        <v>6.8057304250178656E-5</v>
      </c>
      <c r="AG194">
        <v>2.3400570973931766E-4</v>
      </c>
      <c r="AH194">
        <v>1.6551267551239969E-4</v>
      </c>
      <c r="AI194">
        <v>5.2704890260889205E-4</v>
      </c>
      <c r="AJ194">
        <v>3.5616579775976875E-3</v>
      </c>
    </row>
    <row r="195" spans="2:36" ht="16" customHeight="1">
      <c r="B195" s="15">
        <v>22</v>
      </c>
      <c r="C195">
        <v>2.1595975944526426E-2</v>
      </c>
      <c r="D195">
        <v>4.2883997806845771E-2</v>
      </c>
      <c r="E195">
        <v>0</v>
      </c>
      <c r="F195">
        <v>9.0415913200723331E-3</v>
      </c>
      <c r="G195">
        <v>8.1150011592858812E-2</v>
      </c>
      <c r="H195">
        <v>7.1222007122200707E-3</v>
      </c>
      <c r="I195">
        <v>1.1248593925759279E-3</v>
      </c>
      <c r="J195">
        <v>6.5978503777801437E-3</v>
      </c>
      <c r="K195">
        <v>4.5537340619307837E-3</v>
      </c>
      <c r="L195">
        <v>1.8450184501845014E-3</v>
      </c>
      <c r="M195">
        <v>4.4685371035089001E-3</v>
      </c>
      <c r="N195">
        <v>7.0465686274509805E-3</v>
      </c>
      <c r="O195">
        <v>2.8535698044565714E-2</v>
      </c>
      <c r="P195">
        <v>1.3607944097094522E-2</v>
      </c>
      <c r="Q195">
        <v>8.2684051518524398E-3</v>
      </c>
      <c r="R195">
        <v>3.1932021466905193E-2</v>
      </c>
      <c r="S195">
        <v>1.0556155507559395E-2</v>
      </c>
      <c r="T195">
        <v>6.0584030049678911E-3</v>
      </c>
      <c r="U195">
        <v>3.0000000000000001E-3</v>
      </c>
      <c r="V195">
        <v>2.923691647987525E-4</v>
      </c>
      <c r="W195">
        <v>2.1381174735807324E-2</v>
      </c>
      <c r="X195">
        <v>9.5618078007842066E-3</v>
      </c>
      <c r="Y195">
        <v>1.1524141599196266E-3</v>
      </c>
      <c r="Z195">
        <v>1.9949601007979842E-3</v>
      </c>
      <c r="AA195">
        <v>4.2441949869291094E-3</v>
      </c>
      <c r="AB195">
        <v>8.6032262098286877E-2</v>
      </c>
      <c r="AC195">
        <v>9.5977663380158811E-4</v>
      </c>
      <c r="AD195">
        <v>1.4724829744156085E-4</v>
      </c>
      <c r="AE195">
        <v>5.4120689136775016E-3</v>
      </c>
      <c r="AF195">
        <v>3.9813522986354511E-3</v>
      </c>
      <c r="AG195">
        <v>2.4196190387045447E-2</v>
      </c>
      <c r="AH195">
        <v>1.1861741745055311E-2</v>
      </c>
      <c r="AI195">
        <v>6.3998795316794043E-3</v>
      </c>
      <c r="AJ195">
        <v>9.4736660988661205E-3</v>
      </c>
    </row>
    <row r="196" spans="2:36" ht="16" customHeight="1">
      <c r="B196" s="15">
        <v>23</v>
      </c>
      <c r="C196">
        <v>7.2991542501705772E-4</v>
      </c>
      <c r="D196">
        <v>7.7543667267173178E-3</v>
      </c>
      <c r="E196">
        <v>6.1842918985776122E-4</v>
      </c>
      <c r="F196">
        <v>0</v>
      </c>
      <c r="G196">
        <v>5.5645722235103182E-3</v>
      </c>
      <c r="H196">
        <v>9.0342009034200896E-3</v>
      </c>
      <c r="I196">
        <v>1.3146794150731157E-2</v>
      </c>
      <c r="J196">
        <v>3.0115994466319043E-2</v>
      </c>
      <c r="K196">
        <v>1.8550474547023299E-2</v>
      </c>
      <c r="L196">
        <v>1.6341591987348442E-2</v>
      </c>
      <c r="M196">
        <v>1.2966083070837301E-2</v>
      </c>
      <c r="N196">
        <v>4.9763655462184871E-2</v>
      </c>
      <c r="O196">
        <v>2.8535698044565714E-2</v>
      </c>
      <c r="P196">
        <v>3.677822728944465E-3</v>
      </c>
      <c r="Q196">
        <v>1.3674670058832879E-2</v>
      </c>
      <c r="R196">
        <v>1.2343470483005367E-2</v>
      </c>
      <c r="S196">
        <v>1.3741900647948163E-2</v>
      </c>
      <c r="T196">
        <v>2.5929964861262571E-2</v>
      </c>
      <c r="U196">
        <v>6.9999999999999993E-3</v>
      </c>
      <c r="V196">
        <v>1.4813371016470126E-2</v>
      </c>
      <c r="W196">
        <v>1.6220201523715901E-2</v>
      </c>
      <c r="X196">
        <v>9.0802779115360804E-3</v>
      </c>
      <c r="Y196">
        <v>0.10572661190236984</v>
      </c>
      <c r="Z196">
        <v>7.5248495030099402E-4</v>
      </c>
      <c r="AA196">
        <v>2.8807217181813522E-2</v>
      </c>
      <c r="AB196">
        <v>9.5785919719894967E-3</v>
      </c>
      <c r="AC196">
        <v>2.1551348049908384E-2</v>
      </c>
      <c r="AD196">
        <v>5.3377507822565803E-3</v>
      </c>
      <c r="AE196">
        <v>7.4265612315463489E-3</v>
      </c>
      <c r="AF196">
        <v>3.5355769557967813E-2</v>
      </c>
      <c r="AG196">
        <v>3.7674919268030141E-2</v>
      </c>
      <c r="AH196">
        <v>5.9060439712007952E-2</v>
      </c>
      <c r="AI196">
        <v>1.2235063810563567E-2</v>
      </c>
      <c r="AJ196">
        <v>1.0684973932793062E-2</v>
      </c>
    </row>
    <row r="197" spans="2:36" ht="16" customHeight="1">
      <c r="B197" s="15">
        <v>24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1.6762498781795143E-2</v>
      </c>
      <c r="W197">
        <v>2.7279429835340378E-2</v>
      </c>
      <c r="X197">
        <v>0</v>
      </c>
      <c r="Y197">
        <v>0</v>
      </c>
      <c r="Z197">
        <v>3.2024359512809748E-2</v>
      </c>
      <c r="AA197">
        <v>0</v>
      </c>
      <c r="AB197">
        <v>0</v>
      </c>
      <c r="AC197">
        <v>0</v>
      </c>
      <c r="AD197">
        <v>8.6876495490520886E-2</v>
      </c>
      <c r="AE197">
        <v>1.5033524760215281E-3</v>
      </c>
      <c r="AF197">
        <v>6.0571000782659009E-3</v>
      </c>
      <c r="AG197">
        <v>3.3696822202461743E-3</v>
      </c>
      <c r="AH197">
        <v>0</v>
      </c>
      <c r="AI197">
        <v>1.2987990814290556E-3</v>
      </c>
      <c r="AJ197">
        <v>4.4013145442970457E-3</v>
      </c>
    </row>
    <row r="198" spans="2:36" ht="16" customHeight="1">
      <c r="B198" s="15">
        <v>25</v>
      </c>
      <c r="C198">
        <v>4.5968804049443833E-2</v>
      </c>
      <c r="D198">
        <v>4.6956998511788202E-2</v>
      </c>
      <c r="E198">
        <v>4.9165120593692019E-2</v>
      </c>
      <c r="F198">
        <v>2.3508137432188068E-2</v>
      </c>
      <c r="G198">
        <v>0.1442151634593091</v>
      </c>
      <c r="H198">
        <v>9.7296909729690975E-2</v>
      </c>
      <c r="I198">
        <v>2.2286276715410572E-2</v>
      </c>
      <c r="J198">
        <v>9.7265084601468571E-2</v>
      </c>
      <c r="K198">
        <v>5.4740676828683735E-2</v>
      </c>
      <c r="L198">
        <v>8.6979441222983633E-3</v>
      </c>
      <c r="M198">
        <v>5.1864332283349204E-2</v>
      </c>
      <c r="N198">
        <v>8.5390406162464974E-2</v>
      </c>
      <c r="O198">
        <v>3.1150522964984082E-2</v>
      </c>
      <c r="P198">
        <v>9.2313350496506075E-2</v>
      </c>
      <c r="Q198">
        <v>0.11305453967244393</v>
      </c>
      <c r="R198">
        <v>0.11797853309481217</v>
      </c>
      <c r="S198">
        <v>9.6220302375809932E-2</v>
      </c>
      <c r="T198">
        <v>7.1973827699018542E-2</v>
      </c>
      <c r="U198">
        <v>2.5499999999999998E-2</v>
      </c>
      <c r="V198">
        <v>0.11977390117922229</v>
      </c>
      <c r="W198">
        <v>0.11231260752027526</v>
      </c>
      <c r="X198">
        <v>7.7870262089839729E-2</v>
      </c>
      <c r="Y198">
        <v>3.0731044264523375E-3</v>
      </c>
      <c r="Z198">
        <v>7.2466050678986427E-2</v>
      </c>
      <c r="AA198">
        <v>4.2636731764826491E-2</v>
      </c>
      <c r="AB198">
        <v>0.1347505314492935</v>
      </c>
      <c r="AC198">
        <v>3.2981415234272754E-2</v>
      </c>
      <c r="AD198">
        <v>4.7009018958218296E-2</v>
      </c>
      <c r="AE198">
        <v>7.45662828106678E-3</v>
      </c>
      <c r="AF198">
        <v>7.0099023377684019E-3</v>
      </c>
      <c r="AG198">
        <v>4.9515608180839617E-2</v>
      </c>
      <c r="AH198">
        <v>3.4674905519847733E-2</v>
      </c>
      <c r="AI198">
        <v>3.2319391634980987E-2</v>
      </c>
      <c r="AJ198">
        <v>9.2203926426813951E-2</v>
      </c>
    </row>
    <row r="199" spans="2:36" ht="16" customHeight="1">
      <c r="B199" s="15">
        <v>26</v>
      </c>
      <c r="C199">
        <v>5.6251090906205864E-2</v>
      </c>
      <c r="D199">
        <v>4.4998825095950497E-2</v>
      </c>
      <c r="E199">
        <v>6.8027210884353739E-3</v>
      </c>
      <c r="F199">
        <v>7.2332730560578668E-3</v>
      </c>
      <c r="G199">
        <v>2.5272432181776029E-2</v>
      </c>
      <c r="H199">
        <v>2.2776702277670226E-2</v>
      </c>
      <c r="I199">
        <v>7.6631046119235097E-3</v>
      </c>
      <c r="J199">
        <v>1.1599446631903799E-2</v>
      </c>
      <c r="K199">
        <v>9.922346850733392E-3</v>
      </c>
      <c r="L199">
        <v>3.4264628360569315E-3</v>
      </c>
      <c r="M199">
        <v>1.0255658926086002E-2</v>
      </c>
      <c r="N199">
        <v>9.7163865546218472E-3</v>
      </c>
      <c r="O199">
        <v>3.6380172805820831E-3</v>
      </c>
      <c r="P199">
        <v>5.5167340934166977E-3</v>
      </c>
      <c r="Q199">
        <v>8.2684051518524398E-3</v>
      </c>
      <c r="R199">
        <v>6.7084078711985686E-3</v>
      </c>
      <c r="S199">
        <v>1.3741900647948163E-2</v>
      </c>
      <c r="T199">
        <v>1.2843814370531928E-2</v>
      </c>
      <c r="U199">
        <v>4.5000000000000005E-3</v>
      </c>
      <c r="V199">
        <v>5.8473832959750503E-3</v>
      </c>
      <c r="W199">
        <v>6.0211354141066604E-2</v>
      </c>
      <c r="X199">
        <v>6.2598885602256314E-3</v>
      </c>
      <c r="Y199">
        <v>9.3670586844749135E-3</v>
      </c>
      <c r="Z199">
        <v>6.1773764524709505E-3</v>
      </c>
      <c r="AA199">
        <v>5.9931313752626995E-2</v>
      </c>
      <c r="AB199">
        <v>3.0011254220332633E-3</v>
      </c>
      <c r="AC199">
        <v>4.4934996946165264E-3</v>
      </c>
      <c r="AD199">
        <v>1.9878520154610712E-3</v>
      </c>
      <c r="AE199">
        <v>6.9154213896990297E-3</v>
      </c>
      <c r="AF199">
        <v>1.1025283288528942E-2</v>
      </c>
      <c r="AG199">
        <v>4.7362755651237896E-2</v>
      </c>
      <c r="AH199">
        <v>9.9307605307439803E-3</v>
      </c>
      <c r="AI199">
        <v>2.8234762639762078E-3</v>
      </c>
      <c r="AJ199">
        <v>5.8197835475489942E-2</v>
      </c>
    </row>
    <row r="200" spans="2:36" ht="16" customHeight="1">
      <c r="B200" s="15">
        <v>27</v>
      </c>
      <c r="C200">
        <v>2.1104076418971456E-3</v>
      </c>
      <c r="D200">
        <v>2.9372601237565598E-3</v>
      </c>
      <c r="E200">
        <v>1.8552875695732837E-3</v>
      </c>
      <c r="F200">
        <v>1.8083182640144667E-3</v>
      </c>
      <c r="G200">
        <v>4.6371435195919318E-3</v>
      </c>
      <c r="H200">
        <v>1.0516001051600104E-3</v>
      </c>
      <c r="I200">
        <v>9.8425196850393678E-4</v>
      </c>
      <c r="J200">
        <v>1.7026710652335855E-3</v>
      </c>
      <c r="K200">
        <v>6.2314255584315983E-4</v>
      </c>
      <c r="L200">
        <v>1.0542962572482866E-3</v>
      </c>
      <c r="M200">
        <v>1.8313676653725003E-3</v>
      </c>
      <c r="N200">
        <v>2.3196778711484589E-3</v>
      </c>
      <c r="O200">
        <v>6.8212824010914052E-4</v>
      </c>
      <c r="P200">
        <v>1.1033468186833395E-3</v>
      </c>
      <c r="Q200">
        <v>1.1130545396724437E-3</v>
      </c>
      <c r="R200">
        <v>2.5939177101967797E-3</v>
      </c>
      <c r="S200">
        <v>3.0507559395248382E-3</v>
      </c>
      <c r="T200">
        <v>1.332848661092936E-3</v>
      </c>
      <c r="U200">
        <v>2.5000000000000001E-3</v>
      </c>
      <c r="V200">
        <v>8.4787057791638216E-3</v>
      </c>
      <c r="W200">
        <v>5.8982550995330552E-3</v>
      </c>
      <c r="X200">
        <v>1.5133796519226804E-3</v>
      </c>
      <c r="Y200">
        <v>5.8211689616452927E-3</v>
      </c>
      <c r="Z200">
        <v>1.5224695506089877E-3</v>
      </c>
      <c r="AA200">
        <v>2.0913424573273873E-3</v>
      </c>
      <c r="AB200">
        <v>5.7271476803801439E-3</v>
      </c>
      <c r="AC200">
        <v>7.896344123549429E-3</v>
      </c>
      <c r="AD200">
        <v>8.761273697772869E-3</v>
      </c>
      <c r="AE200">
        <v>4.6904597251871674E-3</v>
      </c>
      <c r="AF200">
        <v>2.3479769966311638E-3</v>
      </c>
      <c r="AG200">
        <v>1.0389853512425704E-2</v>
      </c>
      <c r="AH200">
        <v>8.5790736807260515E-3</v>
      </c>
      <c r="AI200">
        <v>1.5453826751496444E-2</v>
      </c>
      <c r="AJ200">
        <v>4.2550628882121168E-2</v>
      </c>
    </row>
    <row r="201" spans="2:36" ht="16" customHeight="1">
      <c r="B201" s="15">
        <v>28</v>
      </c>
      <c r="C201">
        <v>3.332222592469177E-4</v>
      </c>
      <c r="D201">
        <v>3.5247121485078721E-4</v>
      </c>
      <c r="E201">
        <v>3.4013605442176869E-3</v>
      </c>
      <c r="F201">
        <v>0</v>
      </c>
      <c r="G201">
        <v>2.7822861117551591E-3</v>
      </c>
      <c r="H201">
        <v>2.9636002963600297E-3</v>
      </c>
      <c r="I201">
        <v>2.8121484814398198E-4</v>
      </c>
      <c r="J201">
        <v>8.6197722677450253E-3</v>
      </c>
      <c r="K201">
        <v>4.409931933659285E-3</v>
      </c>
      <c r="L201">
        <v>1.3178703215603581E-3</v>
      </c>
      <c r="M201">
        <v>2.4174053182917004E-3</v>
      </c>
      <c r="N201">
        <v>1.6193977591036413E-3</v>
      </c>
      <c r="O201">
        <v>8.2992269213278767E-3</v>
      </c>
      <c r="P201">
        <v>2.5744759102611253E-3</v>
      </c>
      <c r="Q201">
        <v>3.975194784544442E-3</v>
      </c>
      <c r="R201">
        <v>4.6511627906976744E-3</v>
      </c>
      <c r="S201">
        <v>2.4568034557235418E-3</v>
      </c>
      <c r="T201">
        <v>2.5445292620865142E-3</v>
      </c>
      <c r="U201">
        <v>1.3500000000000002E-2</v>
      </c>
      <c r="V201">
        <v>7.7965110613000673E-3</v>
      </c>
      <c r="W201">
        <v>2.0398132219218483E-2</v>
      </c>
      <c r="X201">
        <v>6.1223085918690251E-3</v>
      </c>
      <c r="Y201">
        <v>3.8413805330654219E-4</v>
      </c>
      <c r="Z201">
        <v>1.1899762004759906E-3</v>
      </c>
      <c r="AA201">
        <v>7.9265979804192935E-2</v>
      </c>
      <c r="AB201">
        <v>8.1530573965236993E-3</v>
      </c>
      <c r="AC201">
        <v>8.7688683360963287E-3</v>
      </c>
      <c r="AD201">
        <v>0.20496963003865265</v>
      </c>
      <c r="AE201">
        <v>2.5316455696202535E-2</v>
      </c>
      <c r="AF201">
        <v>1.1467655766155105E-2</v>
      </c>
      <c r="AG201">
        <v>7.3056582580614968E-2</v>
      </c>
      <c r="AH201">
        <v>2.5930319163609283E-2</v>
      </c>
      <c r="AI201">
        <v>7.0586906599405192E-3</v>
      </c>
      <c r="AJ201">
        <v>2.7440251896970008E-2</v>
      </c>
    </row>
    <row r="202" spans="2:36" ht="16" customHeight="1">
      <c r="B202" s="15">
        <v>29</v>
      </c>
      <c r="C202">
        <v>4.5476904523888861E-2</v>
      </c>
      <c r="D202">
        <v>7.5977128534503016E-2</v>
      </c>
      <c r="E202">
        <v>1.8552875695732837E-3</v>
      </c>
      <c r="F202">
        <v>7.2332730560578668E-3</v>
      </c>
      <c r="G202">
        <v>3.2460004637143523E-3</v>
      </c>
      <c r="H202">
        <v>1.4794101479410146E-2</v>
      </c>
      <c r="I202">
        <v>1.2654668166479189E-2</v>
      </c>
      <c r="J202">
        <v>4.150260721506864E-3</v>
      </c>
      <c r="K202">
        <v>2.1282714984181769E-2</v>
      </c>
      <c r="L202">
        <v>0.11939905113336845</v>
      </c>
      <c r="M202">
        <v>2.6884477327668306E-2</v>
      </c>
      <c r="N202">
        <v>1.3305322128851538E-2</v>
      </c>
      <c r="O202">
        <v>1.2733060482037288E-2</v>
      </c>
      <c r="P202">
        <v>2.2434718646561238E-2</v>
      </c>
      <c r="Q202">
        <v>1.2720623310542216E-2</v>
      </c>
      <c r="R202">
        <v>1.6457960644007154E-2</v>
      </c>
      <c r="S202">
        <v>3.2559395248380127E-2</v>
      </c>
      <c r="T202">
        <v>3.9985459832788074E-3</v>
      </c>
      <c r="U202">
        <v>7.2499999999999995E-2</v>
      </c>
      <c r="V202">
        <v>1.2084592145015104E-2</v>
      </c>
      <c r="W202">
        <v>1.8677807815188009E-2</v>
      </c>
      <c r="X202">
        <v>5.7370846804705243E-2</v>
      </c>
      <c r="Y202">
        <v>2.3934755629099937E-3</v>
      </c>
      <c r="Z202">
        <v>9.7823043539129219E-3</v>
      </c>
      <c r="AA202">
        <v>7.4314418986108979E-2</v>
      </c>
      <c r="AB202">
        <v>2.1132924846817561E-2</v>
      </c>
      <c r="AC202">
        <v>7.9835965448041193E-3</v>
      </c>
      <c r="AD202">
        <v>5.2273145591754094E-3</v>
      </c>
      <c r="AE202">
        <v>8.0339156318590468E-2</v>
      </c>
      <c r="AF202">
        <v>3.641065777384558E-3</v>
      </c>
      <c r="AG202">
        <v>3.6972902138812193E-2</v>
      </c>
      <c r="AH202">
        <v>2.3861410719704289E-2</v>
      </c>
      <c r="AI202">
        <v>1.4926777848887551E-2</v>
      </c>
      <c r="AJ202">
        <v>2.9842220272200144E-2</v>
      </c>
    </row>
    <row r="203" spans="2:36" ht="16" customHeight="1">
      <c r="B203" s="15">
        <v>30</v>
      </c>
      <c r="C203">
        <v>5.3759857825169385E-2</v>
      </c>
      <c r="D203">
        <v>3.4228871308843112E-2</v>
      </c>
      <c r="E203">
        <v>2.1645021645021641E-3</v>
      </c>
      <c r="F203">
        <v>0</v>
      </c>
      <c r="G203">
        <v>4.4052863436123352E-3</v>
      </c>
      <c r="H203">
        <v>2.222700222270022E-3</v>
      </c>
      <c r="I203">
        <v>2.8121484814398198E-4</v>
      </c>
      <c r="J203">
        <v>4.2566776630839637E-4</v>
      </c>
      <c r="K203">
        <v>2.0132297958009781E-3</v>
      </c>
      <c r="L203">
        <v>4.7443331576172898E-3</v>
      </c>
      <c r="M203">
        <v>3.2232070910556006E-3</v>
      </c>
      <c r="N203">
        <v>2.8886554621848737E-3</v>
      </c>
      <c r="O203">
        <v>6.025466120964074E-3</v>
      </c>
      <c r="P203">
        <v>5.8845163663111448E-3</v>
      </c>
      <c r="Q203">
        <v>2.7031324534902207E-3</v>
      </c>
      <c r="R203">
        <v>4.4722719141323791E-3</v>
      </c>
      <c r="S203">
        <v>3.185745140388769E-3</v>
      </c>
      <c r="T203">
        <v>2.5445292620865142E-3</v>
      </c>
      <c r="U203">
        <v>3.4999999999999996E-3</v>
      </c>
      <c r="V203">
        <v>1.9491277653250168E-4</v>
      </c>
      <c r="W203">
        <v>4.915212582944213E-4</v>
      </c>
      <c r="X203">
        <v>8.1172181330398316E-3</v>
      </c>
      <c r="Y203">
        <v>8.5692334968382486E-4</v>
      </c>
      <c r="Z203">
        <v>2.6249475010499792E-4</v>
      </c>
      <c r="AA203">
        <v>3.0960069711415246E-2</v>
      </c>
      <c r="AB203">
        <v>1.2979867450293862E-2</v>
      </c>
      <c r="AC203">
        <v>1.1997207922519851E-2</v>
      </c>
      <c r="AD203">
        <v>7.0679182771949201E-3</v>
      </c>
      <c r="AE203">
        <v>1.0914338975916293E-2</v>
      </c>
      <c r="AF203">
        <v>4.3896961241365233E-3</v>
      </c>
      <c r="AG203">
        <v>2.7565872607291618E-2</v>
      </c>
      <c r="AH203">
        <v>2.6675126203415084E-2</v>
      </c>
      <c r="AI203">
        <v>8.0563189398787788E-3</v>
      </c>
      <c r="AJ203">
        <v>6.134310638517524E-2</v>
      </c>
    </row>
    <row r="204" spans="2:36" ht="16" customHeight="1">
      <c r="B204" s="15">
        <v>31</v>
      </c>
      <c r="C204">
        <v>2.5959600767997967E-2</v>
      </c>
      <c r="D204">
        <v>3.6382862066264586E-2</v>
      </c>
      <c r="E204">
        <v>2.3191094619666047E-2</v>
      </c>
      <c r="F204">
        <v>1.0849909584086799E-2</v>
      </c>
      <c r="G204">
        <v>1.7621145374449341E-2</v>
      </c>
      <c r="H204">
        <v>9.7034009703400974E-3</v>
      </c>
      <c r="I204">
        <v>1.1740719910011247E-2</v>
      </c>
      <c r="J204">
        <v>1.8090880068106843E-2</v>
      </c>
      <c r="K204">
        <v>5.943821301888602E-3</v>
      </c>
      <c r="L204">
        <v>1.2124406958355293E-2</v>
      </c>
      <c r="M204">
        <v>2.2342685517544505E-2</v>
      </c>
      <c r="N204">
        <v>2.8580182072829127E-2</v>
      </c>
      <c r="O204">
        <v>8.5266030013642566E-3</v>
      </c>
      <c r="P204">
        <v>1.1033468186833395E-2</v>
      </c>
      <c r="Q204">
        <v>6.9963428207982185E-3</v>
      </c>
      <c r="R204">
        <v>3.5062611806797858E-2</v>
      </c>
      <c r="S204">
        <v>2.6646868250539957E-2</v>
      </c>
      <c r="T204">
        <v>1.223797407003514E-2</v>
      </c>
      <c r="U204">
        <v>2.9500000000000002E-2</v>
      </c>
      <c r="V204">
        <v>6.3346652373063046E-3</v>
      </c>
      <c r="W204">
        <v>5.6524944703858441E-3</v>
      </c>
      <c r="X204">
        <v>1.4652266629978677E-2</v>
      </c>
      <c r="Y204">
        <v>1.5601914780450327E-2</v>
      </c>
      <c r="Z204">
        <v>6.4573708525829483E-3</v>
      </c>
      <c r="AA204">
        <v>2.6121277359167566E-2</v>
      </c>
      <c r="AB204">
        <v>2.806052269601101E-2</v>
      </c>
      <c r="AC204">
        <v>3.3155920076782135E-2</v>
      </c>
      <c r="AD204">
        <v>5.7242775630406771E-2</v>
      </c>
      <c r="AE204">
        <v>4.143239423915332E-2</v>
      </c>
      <c r="AF204">
        <v>1.1297512505529657E-2</v>
      </c>
      <c r="AG204">
        <v>2.4945008658211261E-2</v>
      </c>
      <c r="AH204">
        <v>2.1737331383961823E-2</v>
      </c>
      <c r="AI204">
        <v>3.7571057485976736E-2</v>
      </c>
      <c r="AJ204">
        <v>4.8727610592061111E-3</v>
      </c>
    </row>
    <row r="205" spans="2:36" ht="16" customHeight="1">
      <c r="B205" s="15">
        <v>32</v>
      </c>
      <c r="C205">
        <v>2.4594976277748687E-3</v>
      </c>
      <c r="D205">
        <v>1.6448656693036736E-3</v>
      </c>
      <c r="E205">
        <v>3.0921459492888061E-4</v>
      </c>
      <c r="F205">
        <v>0</v>
      </c>
      <c r="G205">
        <v>9.2742870391838647E-4</v>
      </c>
      <c r="H205">
        <v>1.9359001935900192E-3</v>
      </c>
      <c r="I205">
        <v>1.4060742407199099E-4</v>
      </c>
      <c r="J205">
        <v>5.3208470788549539E-4</v>
      </c>
      <c r="K205">
        <v>3.3553829930016297E-4</v>
      </c>
      <c r="L205">
        <v>2.6357406431207165E-4</v>
      </c>
      <c r="M205">
        <v>1.2453300124533001E-3</v>
      </c>
      <c r="N205">
        <v>1.1817226890756302E-3</v>
      </c>
      <c r="O205">
        <v>2.8422010004547521E-3</v>
      </c>
      <c r="P205">
        <v>7.355645457888931E-4</v>
      </c>
      <c r="Q205">
        <v>6.360311655271108E-4</v>
      </c>
      <c r="R205">
        <v>7.1556350626118077E-4</v>
      </c>
      <c r="S205">
        <v>5.9395248380129592E-4</v>
      </c>
      <c r="T205">
        <v>4.846722403974313E-4</v>
      </c>
      <c r="U205">
        <v>0</v>
      </c>
      <c r="V205">
        <v>1.3448981580742616E-2</v>
      </c>
      <c r="W205">
        <v>9.5846645367412137E-3</v>
      </c>
      <c r="X205">
        <v>6.8789984178303646E-4</v>
      </c>
      <c r="Y205">
        <v>5.7620707995981327E-3</v>
      </c>
      <c r="Z205">
        <v>1.504969900601988E-3</v>
      </c>
      <c r="AA205">
        <v>1.5172484494335948E-3</v>
      </c>
      <c r="AB205">
        <v>1.1754407902963614E-3</v>
      </c>
      <c r="AC205">
        <v>7.9835965448041193E-3</v>
      </c>
      <c r="AD205">
        <v>8.429965028529357E-3</v>
      </c>
      <c r="AE205">
        <v>1.0733936678793712E-2</v>
      </c>
      <c r="AF205">
        <v>1.0548882158777691E-3</v>
      </c>
      <c r="AG205">
        <v>1.3431927739036833E-2</v>
      </c>
      <c r="AH205">
        <v>1.1475545502193044E-2</v>
      </c>
      <c r="AI205">
        <v>6.3622331814930542E-3</v>
      </c>
      <c r="AJ205">
        <v>0.11428153485967801</v>
      </c>
    </row>
    <row r="206" spans="2:36" ht="16" customHeight="1">
      <c r="B206" s="15">
        <v>33</v>
      </c>
      <c r="C206">
        <v>3.1735453261611207E-5</v>
      </c>
      <c r="D206">
        <v>1.1749040495026238E-4</v>
      </c>
      <c r="E206">
        <v>3.0921459492888061E-4</v>
      </c>
      <c r="F206">
        <v>0</v>
      </c>
      <c r="G206">
        <v>0</v>
      </c>
      <c r="H206">
        <v>2.3900002390000237E-5</v>
      </c>
      <c r="I206">
        <v>0</v>
      </c>
      <c r="J206">
        <v>1.0641694157709909E-4</v>
      </c>
      <c r="K206">
        <v>4.7934042757166147E-5</v>
      </c>
      <c r="L206">
        <v>0</v>
      </c>
      <c r="M206">
        <v>5.1278294630430004E-4</v>
      </c>
      <c r="N206">
        <v>8.7535014005602242E-5</v>
      </c>
      <c r="O206">
        <v>0</v>
      </c>
      <c r="P206">
        <v>0</v>
      </c>
      <c r="Q206">
        <v>1.4310701224359993E-3</v>
      </c>
      <c r="R206">
        <v>0</v>
      </c>
      <c r="S206">
        <v>2.699784017278618E-5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2.954908102358017E-5</v>
      </c>
      <c r="Z206">
        <v>0</v>
      </c>
      <c r="AA206">
        <v>3.0755036137167463E-5</v>
      </c>
      <c r="AB206">
        <v>2.500937851694386E-5</v>
      </c>
      <c r="AC206">
        <v>8.7252421254689833E-5</v>
      </c>
      <c r="AD206">
        <v>7.3624148720780427E-5</v>
      </c>
      <c r="AE206">
        <v>6.0134099040861128E-5</v>
      </c>
      <c r="AF206">
        <v>0</v>
      </c>
      <c r="AG206">
        <v>4.6801141947863533E-5</v>
      </c>
      <c r="AH206">
        <v>2.7585445918733282E-5</v>
      </c>
      <c r="AI206">
        <v>3.764635018634944E-5</v>
      </c>
      <c r="AJ206">
        <v>0.18263341550078938</v>
      </c>
    </row>
    <row r="207" spans="2:36" ht="16" customHeight="1">
      <c r="B207" s="15">
        <v>34</v>
      </c>
      <c r="C207">
        <v>4.9142349375604952E-2</v>
      </c>
      <c r="D207">
        <v>8.3222370173102522E-2</v>
      </c>
      <c r="E207">
        <v>0.12832405689548546</v>
      </c>
      <c r="F207">
        <v>1.2658227848101266E-2</v>
      </c>
      <c r="G207">
        <v>7.3730581961511721E-2</v>
      </c>
      <c r="H207">
        <v>6.455390645539065E-2</v>
      </c>
      <c r="I207">
        <v>6.6788526434195722E-2</v>
      </c>
      <c r="J207">
        <v>6.3743748004682355E-2</v>
      </c>
      <c r="K207">
        <v>0.10828300258843832</v>
      </c>
      <c r="L207">
        <v>0.13890353189246177</v>
      </c>
      <c r="M207">
        <v>4.7762068712914808E-2</v>
      </c>
      <c r="N207">
        <v>5.5934873949579828E-2</v>
      </c>
      <c r="O207">
        <v>0.11289222373806275</v>
      </c>
      <c r="P207">
        <v>8.8635527767561617E-2</v>
      </c>
      <c r="Q207">
        <v>3.8479885514390196E-2</v>
      </c>
      <c r="R207">
        <v>6.234347048300537E-2</v>
      </c>
      <c r="S207">
        <v>5.6371490280777543E-2</v>
      </c>
      <c r="T207">
        <v>9.8388464800678546E-2</v>
      </c>
      <c r="U207">
        <v>0.26950000000000002</v>
      </c>
      <c r="V207">
        <v>7.1630445375694365E-2</v>
      </c>
      <c r="W207">
        <v>0.13099041533546327</v>
      </c>
      <c r="X207">
        <v>8.3648620760817236E-2</v>
      </c>
      <c r="Y207">
        <v>0.19351693162342651</v>
      </c>
      <c r="Z207">
        <v>0.24412011759764807</v>
      </c>
      <c r="AA207">
        <v>0.1936747142344559</v>
      </c>
      <c r="AB207">
        <v>0.14557959234713022</v>
      </c>
      <c r="AC207">
        <v>0.17341418724369603</v>
      </c>
      <c r="AD207">
        <v>8.5808945334069575E-2</v>
      </c>
      <c r="AE207">
        <v>0.19928440422141377</v>
      </c>
      <c r="AF207">
        <v>5.0226290536631843E-2</v>
      </c>
      <c r="AG207">
        <v>0.16586324706322836</v>
      </c>
      <c r="AH207">
        <v>0.34484565943008472</v>
      </c>
      <c r="AI207">
        <v>0.74609419116816633</v>
      </c>
      <c r="AJ207">
        <v>0</v>
      </c>
    </row>
    <row r="208" spans="2:36">
      <c r="B208" s="13"/>
    </row>
    <row r="209" spans="2:36" ht="16" customHeight="1">
      <c r="B209" s="15" t="s">
        <v>275</v>
      </c>
      <c r="C209">
        <v>1</v>
      </c>
      <c r="D209">
        <v>2</v>
      </c>
      <c r="E209">
        <v>3</v>
      </c>
      <c r="F209">
        <v>4</v>
      </c>
      <c r="G209">
        <v>5</v>
      </c>
      <c r="H209">
        <v>6</v>
      </c>
      <c r="I209">
        <v>7</v>
      </c>
      <c r="J209">
        <v>8</v>
      </c>
      <c r="K209">
        <v>9</v>
      </c>
      <c r="L209">
        <v>10</v>
      </c>
      <c r="M209">
        <v>11</v>
      </c>
      <c r="N209">
        <v>12</v>
      </c>
      <c r="O209">
        <v>13</v>
      </c>
      <c r="P209">
        <v>14</v>
      </c>
      <c r="Q209">
        <v>15</v>
      </c>
      <c r="R209">
        <v>16</v>
      </c>
      <c r="S209">
        <v>17</v>
      </c>
      <c r="T209">
        <v>18</v>
      </c>
      <c r="U209">
        <v>19</v>
      </c>
      <c r="V209">
        <v>20</v>
      </c>
      <c r="W209">
        <v>21</v>
      </c>
      <c r="X209">
        <v>22</v>
      </c>
      <c r="Y209">
        <v>23</v>
      </c>
      <c r="Z209">
        <v>24</v>
      </c>
      <c r="AA209">
        <v>25</v>
      </c>
      <c r="AB209">
        <v>26</v>
      </c>
      <c r="AC209">
        <v>27</v>
      </c>
      <c r="AD209">
        <v>28</v>
      </c>
      <c r="AE209">
        <v>29</v>
      </c>
      <c r="AF209">
        <v>30</v>
      </c>
      <c r="AG209">
        <v>31</v>
      </c>
      <c r="AH209">
        <v>32</v>
      </c>
      <c r="AI209">
        <v>33</v>
      </c>
      <c r="AJ209">
        <v>34</v>
      </c>
    </row>
    <row r="210" spans="2:36" ht="16" customHeight="1">
      <c r="B210" s="15">
        <v>1</v>
      </c>
      <c r="C210">
        <v>1.0449933500866442</v>
      </c>
      <c r="D210">
        <v>5.9350498842640938E-2</v>
      </c>
      <c r="E210">
        <v>1.7191302868655212E-2</v>
      </c>
      <c r="F210">
        <v>1.458448155039953E-2</v>
      </c>
      <c r="G210">
        <v>1.7092289567533447E-2</v>
      </c>
      <c r="H210">
        <v>4.4113397124149828E-2</v>
      </c>
      <c r="I210">
        <v>0.43112272366289678</v>
      </c>
      <c r="J210">
        <v>3.31468177014419E-2</v>
      </c>
      <c r="K210">
        <v>0.47536384652331914</v>
      </c>
      <c r="L210">
        <v>7.7879635112824669E-2</v>
      </c>
      <c r="M210">
        <v>0.18391284879014624</v>
      </c>
      <c r="N210">
        <v>0.10545211275512047</v>
      </c>
      <c r="O210">
        <v>2.7147743880957399E-2</v>
      </c>
      <c r="P210">
        <v>2.1648955231232777E-2</v>
      </c>
      <c r="Q210">
        <v>1.6316013590699466E-2</v>
      </c>
      <c r="R210">
        <v>1.6129571925526248E-2</v>
      </c>
      <c r="S210">
        <v>2.4488369159564975E-2</v>
      </c>
      <c r="T210">
        <v>1.8604913435827451E-2</v>
      </c>
      <c r="U210">
        <v>3.1690102869363614E-2</v>
      </c>
      <c r="V210">
        <v>1.6662663630114961E-2</v>
      </c>
      <c r="W210">
        <v>2.5701751318951693E-2</v>
      </c>
      <c r="X210">
        <v>1.6575681791152323E-2</v>
      </c>
      <c r="Y210">
        <v>2.2385629221406942E-2</v>
      </c>
      <c r="Z210">
        <v>3.3529537057462915E-2</v>
      </c>
      <c r="AA210">
        <v>2.7878861194383903E-2</v>
      </c>
      <c r="AB210">
        <v>2.2278290943015693E-2</v>
      </c>
      <c r="AC210">
        <v>9.0106389545408089E-2</v>
      </c>
      <c r="AD210">
        <v>2.6484820248316918E-2</v>
      </c>
      <c r="AE210">
        <v>2.4618916878820004E-2</v>
      </c>
      <c r="AF210">
        <v>7.7949507947689322E-3</v>
      </c>
      <c r="AG210">
        <v>2.7778177786035241E-2</v>
      </c>
      <c r="AH210">
        <v>4.1134470969677615E-2</v>
      </c>
      <c r="AI210">
        <v>7.6548492820351074E-2</v>
      </c>
      <c r="AJ210">
        <v>9.4757073476192458E-2</v>
      </c>
    </row>
    <row r="211" spans="2:36" ht="16" customHeight="1">
      <c r="B211" s="15">
        <v>2</v>
      </c>
      <c r="C211">
        <v>7.9336599722749646E-3</v>
      </c>
      <c r="D211">
        <v>1.0253670675948974</v>
      </c>
      <c r="E211">
        <v>1.1754261212470005E-2</v>
      </c>
      <c r="F211">
        <v>4.7542691596852834E-3</v>
      </c>
      <c r="G211">
        <v>1.1134143772157094E-2</v>
      </c>
      <c r="H211">
        <v>0.41236515252197092</v>
      </c>
      <c r="I211">
        <v>9.2743711669953707E-3</v>
      </c>
      <c r="J211">
        <v>0.29658279056380588</v>
      </c>
      <c r="K211">
        <v>3.7181227807304401E-2</v>
      </c>
      <c r="L211">
        <v>1.2942318216503367E-2</v>
      </c>
      <c r="M211">
        <v>3.5551865068269656E-2</v>
      </c>
      <c r="N211">
        <v>1.1175310427941426E-2</v>
      </c>
      <c r="O211">
        <v>1.2470682072772228E-2</v>
      </c>
      <c r="P211">
        <v>5.6633269116454561E-2</v>
      </c>
      <c r="Q211">
        <v>1.0914372490002258E-2</v>
      </c>
      <c r="R211">
        <v>1.0383436897607861E-2</v>
      </c>
      <c r="S211">
        <v>9.7885499759820041E-3</v>
      </c>
      <c r="T211">
        <v>1.255986557529736E-2</v>
      </c>
      <c r="U211">
        <v>2.2231909022297481E-2</v>
      </c>
      <c r="V211">
        <v>1.0881899698961313E-2</v>
      </c>
      <c r="W211">
        <v>1.680824020830983E-2</v>
      </c>
      <c r="X211">
        <v>1.0826209222314481E-2</v>
      </c>
      <c r="Y211">
        <v>1.5798584661600782E-2</v>
      </c>
      <c r="Z211">
        <v>2.2277208958936399E-2</v>
      </c>
      <c r="AA211">
        <v>1.8910201164217599E-2</v>
      </c>
      <c r="AB211">
        <v>1.5253321331178262E-2</v>
      </c>
      <c r="AC211">
        <v>6.4335521155774095E-2</v>
      </c>
      <c r="AD211">
        <v>1.5383851833140668E-2</v>
      </c>
      <c r="AE211">
        <v>1.7145376743103919E-2</v>
      </c>
      <c r="AF211">
        <v>5.2250101888554066E-3</v>
      </c>
      <c r="AG211">
        <v>1.8081253716488215E-2</v>
      </c>
      <c r="AH211">
        <v>2.83858314636454E-2</v>
      </c>
      <c r="AI211">
        <v>5.3753883314833266E-2</v>
      </c>
      <c r="AJ211">
        <v>6.7138487532141744E-2</v>
      </c>
    </row>
    <row r="212" spans="2:36" ht="16" customHeight="1">
      <c r="B212" s="15">
        <v>3</v>
      </c>
      <c r="C212">
        <v>5.9725058739249779E-3</v>
      </c>
      <c r="D212">
        <v>7.2042930596863657E-3</v>
      </c>
      <c r="E212">
        <v>1.0832793752014909</v>
      </c>
      <c r="F212">
        <v>2.2136261395170921E-3</v>
      </c>
      <c r="G212">
        <v>2.9941060061084786E-3</v>
      </c>
      <c r="H212">
        <v>5.6561505104127333E-3</v>
      </c>
      <c r="I212">
        <v>4.5187405403156666E-3</v>
      </c>
      <c r="J212">
        <v>2.5785426273066122E-2</v>
      </c>
      <c r="K212">
        <v>1.0065511014568616E-2</v>
      </c>
      <c r="L212">
        <v>8.6037782440323077E-3</v>
      </c>
      <c r="M212">
        <v>7.2811229129171456E-3</v>
      </c>
      <c r="N212">
        <v>5.27114269580823E-3</v>
      </c>
      <c r="O212">
        <v>2.6193559637764569E-3</v>
      </c>
      <c r="P212">
        <v>2.0405189491049069E-3</v>
      </c>
      <c r="Q212">
        <v>0.35041733938925007</v>
      </c>
      <c r="R212">
        <v>2.3813411122779078E-3</v>
      </c>
      <c r="S212">
        <v>2.5024518695847958E-3</v>
      </c>
      <c r="T212">
        <v>1.8431644502618016E-3</v>
      </c>
      <c r="U212">
        <v>2.5129972800257299E-3</v>
      </c>
      <c r="V212">
        <v>1.7445869955263584E-3</v>
      </c>
      <c r="W212">
        <v>3.0895132660028503E-3</v>
      </c>
      <c r="X212">
        <v>1.6873446182455808E-2</v>
      </c>
      <c r="Y212">
        <v>1.5052439023967093E-3</v>
      </c>
      <c r="Z212">
        <v>2.3935811127405525E-2</v>
      </c>
      <c r="AA212">
        <v>2.7993929621253234E-3</v>
      </c>
      <c r="AB212">
        <v>3.3278949126332538E-3</v>
      </c>
      <c r="AC212">
        <v>3.6458584702913784E-3</v>
      </c>
      <c r="AD212">
        <v>4.972617605520032E-3</v>
      </c>
      <c r="AE212">
        <v>2.0947351918881372E-3</v>
      </c>
      <c r="AF212">
        <v>8.5659052410073531E-4</v>
      </c>
      <c r="AG212">
        <v>2.7912484572154912E-3</v>
      </c>
      <c r="AH212">
        <v>2.9293501848680933E-3</v>
      </c>
      <c r="AI212">
        <v>4.7534112369295107E-3</v>
      </c>
      <c r="AJ212">
        <v>4.9819392154256265E-3</v>
      </c>
    </row>
    <row r="213" spans="2:36" ht="16" customHeight="1">
      <c r="B213" s="15">
        <v>4</v>
      </c>
      <c r="C213">
        <v>3.141970935507559E-4</v>
      </c>
      <c r="D213">
        <v>4.5305956280542885E-4</v>
      </c>
      <c r="E213">
        <v>4.7720511110329022E-4</v>
      </c>
      <c r="F213">
        <v>1.003761098718738</v>
      </c>
      <c r="G213">
        <v>4.3749530984918351E-4</v>
      </c>
      <c r="H213">
        <v>5.0471350338155611E-4</v>
      </c>
      <c r="I213">
        <v>3.709439746995994E-4</v>
      </c>
      <c r="J213">
        <v>4.6716572566695309E-4</v>
      </c>
      <c r="K213">
        <v>6.0105870064703195E-4</v>
      </c>
      <c r="L213">
        <v>5.2622047319583146E-4</v>
      </c>
      <c r="M213">
        <v>3.6710207844503178E-4</v>
      </c>
      <c r="N213">
        <v>4.1215606345880088E-4</v>
      </c>
      <c r="O213">
        <v>4.8054810914534946E-4</v>
      </c>
      <c r="P213">
        <v>5.0046025416726448E-4</v>
      </c>
      <c r="Q213">
        <v>4.3669143004191214E-4</v>
      </c>
      <c r="R213">
        <v>4.1157779142831193E-4</v>
      </c>
      <c r="S213">
        <v>3.7795673945449659E-4</v>
      </c>
      <c r="T213">
        <v>5.0470516725925174E-4</v>
      </c>
      <c r="U213">
        <v>9.0645437156274401E-4</v>
      </c>
      <c r="V213">
        <v>4.0934397680847184E-4</v>
      </c>
      <c r="W213">
        <v>6.421745175608707E-4</v>
      </c>
      <c r="X213">
        <v>4.3371416115270032E-4</v>
      </c>
      <c r="Y213">
        <v>6.381927002655504E-4</v>
      </c>
      <c r="Z213">
        <v>8.8630909590847403E-4</v>
      </c>
      <c r="AA213">
        <v>7.5985919764328183E-4</v>
      </c>
      <c r="AB213">
        <v>6.3305146251103385E-4</v>
      </c>
      <c r="AC213">
        <v>8.7526258952248283E-4</v>
      </c>
      <c r="AD213">
        <v>5.3466522375869444E-4</v>
      </c>
      <c r="AE213">
        <v>6.896695926386651E-4</v>
      </c>
      <c r="AF213">
        <v>2.0354863626446482E-4</v>
      </c>
      <c r="AG213">
        <v>7.016989605137761E-4</v>
      </c>
      <c r="AH213">
        <v>1.1251446457901898E-3</v>
      </c>
      <c r="AI213">
        <v>2.1808927308634351E-3</v>
      </c>
      <c r="AJ213">
        <v>2.7670679893925499E-3</v>
      </c>
    </row>
    <row r="214" spans="2:36" ht="16" customHeight="1">
      <c r="B214" s="15">
        <v>5</v>
      </c>
      <c r="C214">
        <v>1.0567238984619681E-3</v>
      </c>
      <c r="D214">
        <v>1.3159869244819817E-3</v>
      </c>
      <c r="E214">
        <v>3.1217721400748047E-3</v>
      </c>
      <c r="F214">
        <v>3.8529573437370704E-4</v>
      </c>
      <c r="G214">
        <v>1.0059976400153692</v>
      </c>
      <c r="H214">
        <v>1.3931720042986682E-3</v>
      </c>
      <c r="I214">
        <v>9.9783874707121221E-4</v>
      </c>
      <c r="J214">
        <v>1.3322235618697554E-3</v>
      </c>
      <c r="K214">
        <v>1.5808494892088497E-3</v>
      </c>
      <c r="L214">
        <v>1.3400847660311156E-3</v>
      </c>
      <c r="M214">
        <v>1.0649197937969252E-3</v>
      </c>
      <c r="N214">
        <v>1.4935359485808302E-3</v>
      </c>
      <c r="O214">
        <v>1.1602357584960294E-3</v>
      </c>
      <c r="P214">
        <v>1.2936899321440794E-3</v>
      </c>
      <c r="Q214">
        <v>1.7964172436236408E-3</v>
      </c>
      <c r="R214">
        <v>1.2384579585788778E-3</v>
      </c>
      <c r="S214">
        <v>2.530348795423494E-3</v>
      </c>
      <c r="T214">
        <v>0.17688903858737981</v>
      </c>
      <c r="U214">
        <v>8.2102408341459994E-3</v>
      </c>
      <c r="V214">
        <v>3.199310139260142E-3</v>
      </c>
      <c r="W214">
        <v>3.7746026414076242E-3</v>
      </c>
      <c r="X214">
        <v>1.2926997855644191E-3</v>
      </c>
      <c r="Y214">
        <v>1.3896137875489994E-3</v>
      </c>
      <c r="Z214">
        <v>5.1649400469865499E-2</v>
      </c>
      <c r="AA214">
        <v>2.3398318468242129E-3</v>
      </c>
      <c r="AB214">
        <v>1.5629184665440481E-3</v>
      </c>
      <c r="AC214">
        <v>1.7683683313650914E-3</v>
      </c>
      <c r="AD214">
        <v>7.1089422896692261E-3</v>
      </c>
      <c r="AE214">
        <v>1.8101112522429272E-3</v>
      </c>
      <c r="AF214">
        <v>8.6145111705685938E-4</v>
      </c>
      <c r="AG214">
        <v>2.3187138826171357E-3</v>
      </c>
      <c r="AH214">
        <v>2.9339218504226389E-3</v>
      </c>
      <c r="AI214">
        <v>4.924618269456834E-3</v>
      </c>
      <c r="AJ214">
        <v>5.6124928776852042E-3</v>
      </c>
    </row>
    <row r="215" spans="2:36" ht="16" customHeight="1">
      <c r="B215" s="15">
        <v>6</v>
      </c>
      <c r="C215">
        <v>1.2454643896265502E-2</v>
      </c>
      <c r="D215">
        <v>1.8460387818675341E-2</v>
      </c>
      <c r="E215">
        <v>1.8368883070743278E-2</v>
      </c>
      <c r="F215">
        <v>6.7255081848416757E-3</v>
      </c>
      <c r="G215">
        <v>1.7556078829489334E-2</v>
      </c>
      <c r="H215">
        <v>1.0394478310496238</v>
      </c>
      <c r="I215">
        <v>1.4578713686571274E-2</v>
      </c>
      <c r="J215">
        <v>1.9002432771259851E-2</v>
      </c>
      <c r="K215">
        <v>2.8021108712408756E-2</v>
      </c>
      <c r="L215">
        <v>2.02367358214556E-2</v>
      </c>
      <c r="M215">
        <v>4.0652488363111285E-2</v>
      </c>
      <c r="N215">
        <v>1.7163625226674886E-2</v>
      </c>
      <c r="O215">
        <v>2.0099431257931108E-2</v>
      </c>
      <c r="P215">
        <v>0.13218313977116961</v>
      </c>
      <c r="Q215">
        <v>1.7108138000526553E-2</v>
      </c>
      <c r="R215">
        <v>1.6276023126507718E-2</v>
      </c>
      <c r="S215">
        <v>1.5306445837395558E-2</v>
      </c>
      <c r="T215">
        <v>1.9693074089324403E-2</v>
      </c>
      <c r="U215">
        <v>3.4691135179327877E-2</v>
      </c>
      <c r="V215">
        <v>1.6744789607943591E-2</v>
      </c>
      <c r="W215">
        <v>2.5633536891661035E-2</v>
      </c>
      <c r="X215">
        <v>1.6946410020145242E-2</v>
      </c>
      <c r="Y215">
        <v>2.4826059573109713E-2</v>
      </c>
      <c r="Z215">
        <v>3.398464567457099E-2</v>
      </c>
      <c r="AA215">
        <v>2.9365755873964811E-2</v>
      </c>
      <c r="AB215">
        <v>2.3953412165427606E-2</v>
      </c>
      <c r="AC215">
        <v>0.13271629705769233</v>
      </c>
      <c r="AD215">
        <v>2.1626875712653579E-2</v>
      </c>
      <c r="AE215">
        <v>2.677453352523039E-2</v>
      </c>
      <c r="AF215">
        <v>8.0436087761729634E-3</v>
      </c>
      <c r="AG215">
        <v>2.8239219016255666E-2</v>
      </c>
      <c r="AH215">
        <v>4.4584922410612092E-2</v>
      </c>
      <c r="AI215">
        <v>8.4198464359139011E-2</v>
      </c>
      <c r="AJ215">
        <v>0.1045771685433342</v>
      </c>
    </row>
    <row r="216" spans="2:36" ht="16" customHeight="1">
      <c r="B216" s="15">
        <v>7</v>
      </c>
      <c r="C216">
        <v>2.2372463434595278E-3</v>
      </c>
      <c r="D216">
        <v>3.9992851604047494E-3</v>
      </c>
      <c r="E216">
        <v>2.5164424568209698E-3</v>
      </c>
      <c r="F216">
        <v>3.4580938097317306E-3</v>
      </c>
      <c r="G216">
        <v>2.9346689109025241E-3</v>
      </c>
      <c r="H216">
        <v>4.0312830015877751E-3</v>
      </c>
      <c r="I216">
        <v>1.0021573387013039</v>
      </c>
      <c r="J216">
        <v>4.0977707754474785E-3</v>
      </c>
      <c r="K216">
        <v>6.4195041525603709E-3</v>
      </c>
      <c r="L216">
        <v>2.3726732805958105E-3</v>
      </c>
      <c r="M216">
        <v>5.4518281213799258E-2</v>
      </c>
      <c r="N216">
        <v>3.9508566571777523E-3</v>
      </c>
      <c r="O216">
        <v>2.3119816416696417E-3</v>
      </c>
      <c r="P216">
        <v>3.0010147393215564E-3</v>
      </c>
      <c r="Q216">
        <v>2.7780071082976606E-3</v>
      </c>
      <c r="R216">
        <v>2.5796249063611883E-3</v>
      </c>
      <c r="S216">
        <v>2.6550889721851652E-3</v>
      </c>
      <c r="T216">
        <v>2.9019697156062491E-3</v>
      </c>
      <c r="U216">
        <v>3.9895735166003594E-3</v>
      </c>
      <c r="V216">
        <v>2.4761343186177412E-3</v>
      </c>
      <c r="W216">
        <v>3.8737206580999098E-3</v>
      </c>
      <c r="X216">
        <v>2.4468512668157976E-3</v>
      </c>
      <c r="Y216">
        <v>2.8623804508076034E-3</v>
      </c>
      <c r="Z216">
        <v>4.3584911152026225E-3</v>
      </c>
      <c r="AA216">
        <v>4.0243220281137937E-3</v>
      </c>
      <c r="AB216">
        <v>3.4204343713293284E-3</v>
      </c>
      <c r="AC216">
        <v>1.6225638159742279E-2</v>
      </c>
      <c r="AD216">
        <v>2.8754654839283815E-3</v>
      </c>
      <c r="AE216">
        <v>3.1918074131330708E-3</v>
      </c>
      <c r="AF216">
        <v>1.0487027829008022E-3</v>
      </c>
      <c r="AG216">
        <v>4.1186431500563406E-3</v>
      </c>
      <c r="AH216">
        <v>5.4573509552487019E-3</v>
      </c>
      <c r="AI216">
        <v>9.7388643185552307E-3</v>
      </c>
      <c r="AJ216">
        <v>1.1737234231635207E-2</v>
      </c>
    </row>
    <row r="217" spans="2:36" ht="16" customHeight="1">
      <c r="B217" s="15">
        <v>8</v>
      </c>
      <c r="C217">
        <v>4.9949318548318375E-3</v>
      </c>
      <c r="D217">
        <v>7.7072104488478364E-3</v>
      </c>
      <c r="E217">
        <v>7.4188189604499901E-3</v>
      </c>
      <c r="F217">
        <v>3.3108960357330196E-3</v>
      </c>
      <c r="G217">
        <v>6.9049895567789392E-3</v>
      </c>
      <c r="H217">
        <v>8.961265790130353E-3</v>
      </c>
      <c r="I217">
        <v>5.8141195346199043E-3</v>
      </c>
      <c r="J217">
        <v>1.0247690442467265</v>
      </c>
      <c r="K217">
        <v>4.6948852867384303E-2</v>
      </c>
      <c r="L217">
        <v>8.1629718044104269E-3</v>
      </c>
      <c r="M217">
        <v>2.9150892252285947E-2</v>
      </c>
      <c r="N217">
        <v>7.1902715823257352E-3</v>
      </c>
      <c r="O217">
        <v>7.4600765804700812E-3</v>
      </c>
      <c r="P217">
        <v>7.9395322213125247E-3</v>
      </c>
      <c r="Q217">
        <v>6.829587444958215E-3</v>
      </c>
      <c r="R217">
        <v>6.5047342445656011E-3</v>
      </c>
      <c r="S217">
        <v>6.1655773366257674E-3</v>
      </c>
      <c r="T217">
        <v>7.8767941535173077E-3</v>
      </c>
      <c r="U217">
        <v>1.4048096355988776E-2</v>
      </c>
      <c r="V217">
        <v>6.5177769325212428E-3</v>
      </c>
      <c r="W217">
        <v>1.0085922803556814E-2</v>
      </c>
      <c r="X217">
        <v>6.7767409099509643E-3</v>
      </c>
      <c r="Y217">
        <v>9.9510704977870349E-3</v>
      </c>
      <c r="Z217">
        <v>1.3762883022896423E-2</v>
      </c>
      <c r="AA217">
        <v>1.1865794719466288E-2</v>
      </c>
      <c r="AB217">
        <v>9.5821540261919105E-3</v>
      </c>
      <c r="AC217">
        <v>2.938730685398299E-2</v>
      </c>
      <c r="AD217">
        <v>8.487127589506583E-3</v>
      </c>
      <c r="AE217">
        <v>1.0750974785614925E-2</v>
      </c>
      <c r="AF217">
        <v>3.1932626608753198E-3</v>
      </c>
      <c r="AG217">
        <v>1.1240028926047793E-2</v>
      </c>
      <c r="AH217">
        <v>1.7848286854672827E-2</v>
      </c>
      <c r="AI217">
        <v>3.3930535562465079E-2</v>
      </c>
      <c r="AJ217">
        <v>4.2649447038253054E-2</v>
      </c>
    </row>
    <row r="218" spans="2:36" ht="16" customHeight="1">
      <c r="B218" s="15">
        <v>9</v>
      </c>
      <c r="C218">
        <v>9.4983183256926625E-3</v>
      </c>
      <c r="D218">
        <v>1.4803363297907404E-2</v>
      </c>
      <c r="E218">
        <v>1.3038058152546534E-2</v>
      </c>
      <c r="F218">
        <v>7.3982143575108406E-3</v>
      </c>
      <c r="G218">
        <v>1.2773505144420716E-2</v>
      </c>
      <c r="H218">
        <v>3.3297221800882931E-2</v>
      </c>
      <c r="I218">
        <v>1.0575998088726207E-2</v>
      </c>
      <c r="J218">
        <v>1.5089028253386488E-2</v>
      </c>
      <c r="K218">
        <v>1.1086507555815888</v>
      </c>
      <c r="L218">
        <v>1.4306423021251248E-2</v>
      </c>
      <c r="M218">
        <v>8.0071784287741726E-2</v>
      </c>
      <c r="N218">
        <v>1.3857732405290743E-2</v>
      </c>
      <c r="O218">
        <v>1.3255448138440018E-2</v>
      </c>
      <c r="P218">
        <v>1.6445011526681656E-2</v>
      </c>
      <c r="Q218">
        <v>1.2466681783488663E-2</v>
      </c>
      <c r="R218">
        <v>1.2745589685175564E-2</v>
      </c>
      <c r="S218">
        <v>1.2503812400611812E-2</v>
      </c>
      <c r="T218">
        <v>1.4278065287170408E-2</v>
      </c>
      <c r="U218">
        <v>2.4527399019516012E-2</v>
      </c>
      <c r="V218">
        <v>1.1799060459047946E-2</v>
      </c>
      <c r="W218">
        <v>1.853989908353447E-2</v>
      </c>
      <c r="X218">
        <v>1.2228804784471147E-2</v>
      </c>
      <c r="Y218">
        <v>1.7325136608647936E-2</v>
      </c>
      <c r="Z218">
        <v>2.4351791345576544E-2</v>
      </c>
      <c r="AA218">
        <v>2.1386819174024803E-2</v>
      </c>
      <c r="AB218">
        <v>1.7108706280697925E-2</v>
      </c>
      <c r="AC218">
        <v>4.746331126905505E-2</v>
      </c>
      <c r="AD218">
        <v>1.5047590887048769E-2</v>
      </c>
      <c r="AE218">
        <v>1.8864377941634574E-2</v>
      </c>
      <c r="AF218">
        <v>5.6887888203214715E-3</v>
      </c>
      <c r="AG218">
        <v>2.0331812192409503E-2</v>
      </c>
      <c r="AH218">
        <v>3.1400386738372865E-2</v>
      </c>
      <c r="AI218">
        <v>5.9197166121243663E-2</v>
      </c>
      <c r="AJ218">
        <v>7.4232637481908684E-2</v>
      </c>
    </row>
    <row r="219" spans="2:36" ht="16" customHeight="1">
      <c r="B219" s="15">
        <v>10</v>
      </c>
      <c r="C219">
        <v>1.8509167031324075E-3</v>
      </c>
      <c r="D219">
        <v>2.8244839824231034E-3</v>
      </c>
      <c r="E219">
        <v>2.6741948931906039E-3</v>
      </c>
      <c r="F219">
        <v>1.2075671360916149E-3</v>
      </c>
      <c r="G219">
        <v>2.5177662178461715E-3</v>
      </c>
      <c r="H219">
        <v>3.2202156488053447E-3</v>
      </c>
      <c r="I219">
        <v>2.1179567380074731E-3</v>
      </c>
      <c r="J219">
        <v>1.7588175600033045E-2</v>
      </c>
      <c r="K219">
        <v>1.2321837132526738E-2</v>
      </c>
      <c r="L219">
        <v>1.0029373021139341</v>
      </c>
      <c r="M219">
        <v>1.0666385651447846E-2</v>
      </c>
      <c r="N219">
        <v>3.7838155164587516E-2</v>
      </c>
      <c r="O219">
        <v>2.688730998253553E-3</v>
      </c>
      <c r="P219">
        <v>2.878771983372305E-3</v>
      </c>
      <c r="Q219">
        <v>2.4799436348187233E-3</v>
      </c>
      <c r="R219">
        <v>2.469919167786017E-3</v>
      </c>
      <c r="S219">
        <v>2.287415028185608E-3</v>
      </c>
      <c r="T219">
        <v>2.8572810555866279E-3</v>
      </c>
      <c r="U219">
        <v>5.0502338885067269E-3</v>
      </c>
      <c r="V219">
        <v>2.3706696216351389E-3</v>
      </c>
      <c r="W219">
        <v>3.6588922570034059E-3</v>
      </c>
      <c r="X219">
        <v>2.4549366817694955E-3</v>
      </c>
      <c r="Y219">
        <v>3.5783116249304427E-3</v>
      </c>
      <c r="Z219">
        <v>4.9864955517701162E-3</v>
      </c>
      <c r="AA219">
        <v>4.3237209247175409E-3</v>
      </c>
      <c r="AB219">
        <v>3.5032567021718117E-3</v>
      </c>
      <c r="AC219">
        <v>1.1524896930918453E-2</v>
      </c>
      <c r="AD219">
        <v>3.1289904757032866E-3</v>
      </c>
      <c r="AE219">
        <v>3.8727747379002499E-3</v>
      </c>
      <c r="AF219">
        <v>1.1546523453084968E-3</v>
      </c>
      <c r="AG219">
        <v>4.2132329398437921E-3</v>
      </c>
      <c r="AH219">
        <v>6.4255925885963608E-3</v>
      </c>
      <c r="AI219">
        <v>1.2206211794555234E-2</v>
      </c>
      <c r="AJ219">
        <v>1.5287901866734956E-2</v>
      </c>
    </row>
    <row r="220" spans="2:36" ht="16" customHeight="1">
      <c r="B220" s="15">
        <v>11</v>
      </c>
      <c r="C220">
        <v>7.3115031762271045E-3</v>
      </c>
      <c r="D220">
        <v>3.4443254526665218E-2</v>
      </c>
      <c r="E220">
        <v>1.0236995205571269E-2</v>
      </c>
      <c r="F220">
        <v>5.6308528020972158E-2</v>
      </c>
      <c r="G220">
        <v>9.9848854900734182E-3</v>
      </c>
      <c r="H220">
        <v>2.8832162832476946E-2</v>
      </c>
      <c r="I220">
        <v>8.2311504348375614E-3</v>
      </c>
      <c r="J220">
        <v>3.4616888299160507E-2</v>
      </c>
      <c r="K220">
        <v>3.3562831072027455E-2</v>
      </c>
      <c r="L220">
        <v>1.1060689652947783E-2</v>
      </c>
      <c r="M220">
        <v>1.0195955948235231</v>
      </c>
      <c r="N220">
        <v>3.8297886411495508E-2</v>
      </c>
      <c r="O220">
        <v>1.0302188502353399E-2</v>
      </c>
      <c r="P220">
        <v>1.3365521671936933E-2</v>
      </c>
      <c r="Q220">
        <v>9.7817405839286543E-3</v>
      </c>
      <c r="R220">
        <v>9.5173904198380798E-3</v>
      </c>
      <c r="S220">
        <v>1.4817018428902073E-2</v>
      </c>
      <c r="T220">
        <v>1.1013533274580798E-2</v>
      </c>
      <c r="U220">
        <v>1.8962835868057096E-2</v>
      </c>
      <c r="V220">
        <v>9.0194591961079446E-3</v>
      </c>
      <c r="W220">
        <v>1.390302194756826E-2</v>
      </c>
      <c r="X220">
        <v>9.6489290050013922E-3</v>
      </c>
      <c r="Y220">
        <v>1.3322977484034951E-2</v>
      </c>
      <c r="Z220">
        <v>1.8774738184252807E-2</v>
      </c>
      <c r="AA220">
        <v>1.6350492332719017E-2</v>
      </c>
      <c r="AB220">
        <v>1.3254519047352612E-2</v>
      </c>
      <c r="AC220">
        <v>3.4553510306918486E-2</v>
      </c>
      <c r="AD220">
        <v>1.1950092731781029E-2</v>
      </c>
      <c r="AE220">
        <v>1.4613737667125971E-2</v>
      </c>
      <c r="AF220">
        <v>4.3712863253683757E-3</v>
      </c>
      <c r="AG220">
        <v>2.084487765474527E-2</v>
      </c>
      <c r="AH220">
        <v>2.4237948012035423E-2</v>
      </c>
      <c r="AI220">
        <v>4.57332658108714E-2</v>
      </c>
      <c r="AJ220">
        <v>5.6690362124113172E-2</v>
      </c>
    </row>
    <row r="221" spans="2:36" ht="16" customHeight="1">
      <c r="B221" s="15">
        <v>12</v>
      </c>
      <c r="C221">
        <v>1.174553237329048E-2</v>
      </c>
      <c r="D221">
        <v>1.6738809365796557E-2</v>
      </c>
      <c r="E221">
        <v>1.7127989185971575E-2</v>
      </c>
      <c r="F221">
        <v>4.8587442906239467E-3</v>
      </c>
      <c r="G221">
        <v>1.6442953684134957E-2</v>
      </c>
      <c r="H221">
        <v>1.8618587063314998E-2</v>
      </c>
      <c r="I221">
        <v>1.3567161835411052E-2</v>
      </c>
      <c r="J221">
        <v>1.7205359115407947E-2</v>
      </c>
      <c r="K221">
        <v>2.1856179327632796E-2</v>
      </c>
      <c r="L221">
        <v>1.8806158389877967E-2</v>
      </c>
      <c r="M221">
        <v>1.3552926668457494E-2</v>
      </c>
      <c r="N221">
        <v>1.0152512801896696</v>
      </c>
      <c r="O221">
        <v>1.7296616339529825E-2</v>
      </c>
      <c r="P221">
        <v>1.8462437658381209E-2</v>
      </c>
      <c r="Q221">
        <v>1.6119831567389026E-2</v>
      </c>
      <c r="R221">
        <v>1.533744366212097E-2</v>
      </c>
      <c r="S221">
        <v>1.4065136374353854E-2</v>
      </c>
      <c r="T221">
        <v>1.8500619801723947E-2</v>
      </c>
      <c r="U221">
        <v>3.2346762427207576E-2</v>
      </c>
      <c r="V221">
        <v>1.5408054371095941E-2</v>
      </c>
      <c r="W221">
        <v>2.3764874331064903E-2</v>
      </c>
      <c r="X221">
        <v>1.5861269876210279E-2</v>
      </c>
      <c r="Y221">
        <v>2.2919434149423185E-2</v>
      </c>
      <c r="Z221">
        <v>3.1812969915199045E-2</v>
      </c>
      <c r="AA221">
        <v>2.753960418625576E-2</v>
      </c>
      <c r="AB221">
        <v>2.2325720360305865E-2</v>
      </c>
      <c r="AC221">
        <v>7.4683286204813557E-2</v>
      </c>
      <c r="AD221">
        <v>1.9954745564672988E-2</v>
      </c>
      <c r="AE221">
        <v>2.4880424978923038E-2</v>
      </c>
      <c r="AF221">
        <v>7.4507636330229396E-3</v>
      </c>
      <c r="AG221">
        <v>2.8955518746500947E-2</v>
      </c>
      <c r="AH221">
        <v>4.2520222490590946E-2</v>
      </c>
      <c r="AI221">
        <v>7.801157762758551E-2</v>
      </c>
      <c r="AJ221">
        <v>9.7705377516704203E-2</v>
      </c>
    </row>
    <row r="222" spans="2:36" ht="16" customHeight="1">
      <c r="B222" s="15">
        <v>13</v>
      </c>
      <c r="C222">
        <v>5.8827361207531171E-3</v>
      </c>
      <c r="D222">
        <v>2.2565300771779193E-2</v>
      </c>
      <c r="E222">
        <v>6.0122286792154978E-3</v>
      </c>
      <c r="F222">
        <v>6.0362653230899684E-2</v>
      </c>
      <c r="G222">
        <v>9.7153500599651901E-3</v>
      </c>
      <c r="H222">
        <v>1.8417956485663155E-2</v>
      </c>
      <c r="I222">
        <v>1.3129570028136644E-2</v>
      </c>
      <c r="J222">
        <v>1.4351644742773588E-2</v>
      </c>
      <c r="K222">
        <v>1.3775026070036807E-2</v>
      </c>
      <c r="L222">
        <v>1.3722676026217132E-2</v>
      </c>
      <c r="M222">
        <v>1.1342901427002124E-2</v>
      </c>
      <c r="N222">
        <v>6.8553061632514206E-2</v>
      </c>
      <c r="O222">
        <v>1.1853939479237994</v>
      </c>
      <c r="P222">
        <v>8.9247652218462526E-3</v>
      </c>
      <c r="Q222">
        <v>6.4979224641053997E-3</v>
      </c>
      <c r="R222">
        <v>1.1185401459390284E-2</v>
      </c>
      <c r="S222">
        <v>7.2253897692549683E-3</v>
      </c>
      <c r="T222">
        <v>8.6355363481869733E-3</v>
      </c>
      <c r="U222">
        <v>1.1043584341391466E-2</v>
      </c>
      <c r="V222">
        <v>5.7808319890218542E-3</v>
      </c>
      <c r="W222">
        <v>9.7955198354440758E-3</v>
      </c>
      <c r="X222">
        <v>4.5737405660918322E-2</v>
      </c>
      <c r="Y222">
        <v>7.7938700610900215E-3</v>
      </c>
      <c r="Z222">
        <v>1.1306369649509642E-2</v>
      </c>
      <c r="AA222">
        <v>1.0282281708098981E-2</v>
      </c>
      <c r="AB222">
        <v>1.1638859256569271E-2</v>
      </c>
      <c r="AC222">
        <v>1.7549194489711699E-2</v>
      </c>
      <c r="AD222">
        <v>7.7672844431519901E-3</v>
      </c>
      <c r="AE222">
        <v>9.2249418906474208E-3</v>
      </c>
      <c r="AF222">
        <v>2.89070159014998E-3</v>
      </c>
      <c r="AG222">
        <v>1.9203738798733487E-2</v>
      </c>
      <c r="AH222">
        <v>2.3916099212395962E-2</v>
      </c>
      <c r="AI222">
        <v>2.7047165785034768E-2</v>
      </c>
      <c r="AJ222">
        <v>3.1357164151879245E-2</v>
      </c>
    </row>
    <row r="223" spans="2:36" ht="16" customHeight="1">
      <c r="B223" s="15">
        <v>14</v>
      </c>
      <c r="C223">
        <v>1.4948161323135145E-3</v>
      </c>
      <c r="D223">
        <v>2.3456924989449152E-3</v>
      </c>
      <c r="E223">
        <v>2.1618367410356984E-3</v>
      </c>
      <c r="F223">
        <v>1.5287976575627926E-3</v>
      </c>
      <c r="G223">
        <v>2.0769447233333453E-3</v>
      </c>
      <c r="H223">
        <v>3.1362328899085154E-3</v>
      </c>
      <c r="I223">
        <v>3.3248444544462302E-3</v>
      </c>
      <c r="J223">
        <v>2.7952494878222623E-3</v>
      </c>
      <c r="K223">
        <v>3.6654422540961084E-3</v>
      </c>
      <c r="L223">
        <v>3.1004404228586976E-3</v>
      </c>
      <c r="M223">
        <v>2.3021820461842707E-3</v>
      </c>
      <c r="N223">
        <v>3.9438442808114446E-3</v>
      </c>
      <c r="O223">
        <v>2.0115200227014528E-2</v>
      </c>
      <c r="P223">
        <v>1.1871336908783625</v>
      </c>
      <c r="Q223">
        <v>1.9957960361531852E-3</v>
      </c>
      <c r="R223">
        <v>2.2438962812924355E-3</v>
      </c>
      <c r="S223">
        <v>1.923240861853035E-3</v>
      </c>
      <c r="T223">
        <v>2.3312892254425933E-3</v>
      </c>
      <c r="U223">
        <v>4.0692014409540837E-3</v>
      </c>
      <c r="V223">
        <v>2.1259483389141458E-3</v>
      </c>
      <c r="W223">
        <v>4.4280478115911737E-3</v>
      </c>
      <c r="X223">
        <v>2.6746488275981731E-3</v>
      </c>
      <c r="Y223">
        <v>2.8920107188097005E-3</v>
      </c>
      <c r="Z223">
        <v>4.0191354378554811E-3</v>
      </c>
      <c r="AA223">
        <v>3.4550695264704652E-3</v>
      </c>
      <c r="AB223">
        <v>2.8528447220111264E-3</v>
      </c>
      <c r="AC223">
        <v>3.4804019682572488E-3</v>
      </c>
      <c r="AD223">
        <v>2.4894306409408355E-3</v>
      </c>
      <c r="AE223">
        <v>3.1295378164610038E-3</v>
      </c>
      <c r="AF223">
        <v>9.2745286455506637E-4</v>
      </c>
      <c r="AG223">
        <v>4.3385984591362298E-3</v>
      </c>
      <c r="AH223">
        <v>5.232384307750265E-3</v>
      </c>
      <c r="AI223">
        <v>9.8986061410375331E-3</v>
      </c>
      <c r="AJ223">
        <v>1.2256714235753764E-2</v>
      </c>
    </row>
    <row r="224" spans="2:36" ht="16" customHeight="1">
      <c r="B224" s="15">
        <v>15</v>
      </c>
      <c r="C224">
        <v>1.7833872374209733E-2</v>
      </c>
      <c r="D224">
        <v>2.0699112898094927E-2</v>
      </c>
      <c r="E224">
        <v>1.5921906007851861E-2</v>
      </c>
      <c r="F224">
        <v>5.6950067133607323E-3</v>
      </c>
      <c r="G224">
        <v>6.6952734554685516E-3</v>
      </c>
      <c r="H224">
        <v>1.0027038280084303E-2</v>
      </c>
      <c r="I224">
        <v>8.04986427232178E-3</v>
      </c>
      <c r="J224">
        <v>7.9346170575581021E-3</v>
      </c>
      <c r="K224">
        <v>1.0099942103729104E-2</v>
      </c>
      <c r="L224">
        <v>2.6518187430449791E-3</v>
      </c>
      <c r="M224">
        <v>5.0141895237347687E-3</v>
      </c>
      <c r="N224">
        <v>3.6654528815395454E-3</v>
      </c>
      <c r="O224">
        <v>3.7433600255130663E-3</v>
      </c>
      <c r="P224">
        <v>3.4649437320214936E-3</v>
      </c>
      <c r="Q224">
        <v>1.2071652875062053</v>
      </c>
      <c r="R224">
        <v>4.4959412099244492E-3</v>
      </c>
      <c r="S224">
        <v>2.3850648397404249E-3</v>
      </c>
      <c r="T224">
        <v>3.0050514493623415E-3</v>
      </c>
      <c r="U224">
        <v>2.7234794077163715E-3</v>
      </c>
      <c r="V224">
        <v>2.913247650192176E-3</v>
      </c>
      <c r="W224">
        <v>6.2101717269325554E-3</v>
      </c>
      <c r="X224">
        <v>5.5133067283738138E-2</v>
      </c>
      <c r="Y224">
        <v>1.7196073027051586E-3</v>
      </c>
      <c r="Z224">
        <v>7.7738618748481661E-2</v>
      </c>
      <c r="AA224">
        <v>3.4458732239477877E-3</v>
      </c>
      <c r="AB224">
        <v>7.362399733717666E-3</v>
      </c>
      <c r="AC224">
        <v>4.2103277291531153E-3</v>
      </c>
      <c r="AD224">
        <v>1.012287958349321E-2</v>
      </c>
      <c r="AE224">
        <v>2.6010871865417532E-3</v>
      </c>
      <c r="AF224">
        <v>1.4483799617176405E-3</v>
      </c>
      <c r="AG224">
        <v>4.8300987779120799E-3</v>
      </c>
      <c r="AH224">
        <v>4.0109062948524626E-3</v>
      </c>
      <c r="AI224">
        <v>5.97291464983493E-3</v>
      </c>
      <c r="AJ224">
        <v>6.4200186454595569E-3</v>
      </c>
    </row>
    <row r="225" spans="2:36" ht="16" customHeight="1">
      <c r="B225" s="15">
        <v>16</v>
      </c>
      <c r="C225">
        <v>1.8661479481251238E-2</v>
      </c>
      <c r="D225">
        <v>1.535848953371366E-2</v>
      </c>
      <c r="E225">
        <v>1.6861297765679767E-2</v>
      </c>
      <c r="F225">
        <v>4.5358339143770007E-3</v>
      </c>
      <c r="G225">
        <v>1.3681748920311576E-2</v>
      </c>
      <c r="H225">
        <v>2.2069967187264259E-2</v>
      </c>
      <c r="I225">
        <v>1.8303962543986568E-2</v>
      </c>
      <c r="J225">
        <v>2.1419257372322843E-2</v>
      </c>
      <c r="K225">
        <v>2.2832162466060391E-2</v>
      </c>
      <c r="L225">
        <v>1.2395666376285225E-2</v>
      </c>
      <c r="M225">
        <v>1.9597998443927029E-2</v>
      </c>
      <c r="N225">
        <v>5.949121169363833E-2</v>
      </c>
      <c r="O225">
        <v>1.2315813817624477E-2</v>
      </c>
      <c r="P225">
        <v>2.3211081212021506E-2</v>
      </c>
      <c r="Q225">
        <v>1.393153099451634E-2</v>
      </c>
      <c r="R225">
        <v>1.1989510291836043</v>
      </c>
      <c r="S225">
        <v>1.4157010815506951E-2</v>
      </c>
      <c r="T225">
        <v>6.1955183144752034E-2</v>
      </c>
      <c r="U225">
        <v>1.8635466052109879E-2</v>
      </c>
      <c r="V225">
        <v>1.3543953552287692E-2</v>
      </c>
      <c r="W225">
        <v>1.9073572651991909E-2</v>
      </c>
      <c r="X225">
        <v>1.847096989735825E-2</v>
      </c>
      <c r="Y225">
        <v>1.2801278456017242E-2</v>
      </c>
      <c r="Z225">
        <v>2.2229502767240575E-2</v>
      </c>
      <c r="AA225">
        <v>2.8949378343039713E-2</v>
      </c>
      <c r="AB225">
        <v>3.6027374607650452E-2</v>
      </c>
      <c r="AC225">
        <v>2.5120846607009684E-2</v>
      </c>
      <c r="AD225">
        <v>1.6601488487756517E-2</v>
      </c>
      <c r="AE225">
        <v>1.8516492597125189E-2</v>
      </c>
      <c r="AF225">
        <v>7.4729139472987163E-3</v>
      </c>
      <c r="AG225">
        <v>5.6875810440524685E-2</v>
      </c>
      <c r="AH225">
        <v>2.8755425611188334E-2</v>
      </c>
      <c r="AI225">
        <v>3.9419864135792813E-2</v>
      </c>
      <c r="AJ225">
        <v>4.1623633583212825E-2</v>
      </c>
    </row>
    <row r="226" spans="2:36" ht="16" customHeight="1">
      <c r="B226" s="15">
        <v>17</v>
      </c>
      <c r="C226">
        <v>5.5040287504254846E-2</v>
      </c>
      <c r="D226">
        <v>4.1551805331727872E-2</v>
      </c>
      <c r="E226">
        <v>5.5199519736127758E-2</v>
      </c>
      <c r="F226">
        <v>4.0987700667586974E-2</v>
      </c>
      <c r="G226">
        <v>8.2106374600688842E-2</v>
      </c>
      <c r="H226">
        <v>4.5326206896693207E-2</v>
      </c>
      <c r="I226">
        <v>4.5643845221329103E-2</v>
      </c>
      <c r="J226">
        <v>4.1578163160045346E-2</v>
      </c>
      <c r="K226">
        <v>6.1362341221933431E-2</v>
      </c>
      <c r="L226">
        <v>3.6077038786674939E-2</v>
      </c>
      <c r="M226">
        <v>4.5535983585277023E-2</v>
      </c>
      <c r="N226">
        <v>7.8610765487814732E-2</v>
      </c>
      <c r="O226">
        <v>4.1311876549322335E-2</v>
      </c>
      <c r="P226">
        <v>8.8399066180901667E-2</v>
      </c>
      <c r="Q226">
        <v>4.3855952586821553E-2</v>
      </c>
      <c r="R226">
        <v>6.275400926763107E-2</v>
      </c>
      <c r="S226">
        <v>1.1682708758092215</v>
      </c>
      <c r="T226">
        <v>5.4945784695557096E-2</v>
      </c>
      <c r="U226">
        <v>5.3384360798169835E-2</v>
      </c>
      <c r="V226">
        <v>2.5163900187003835E-2</v>
      </c>
      <c r="W226">
        <v>4.0794052148546117E-2</v>
      </c>
      <c r="X226">
        <v>7.3715385026677169E-2</v>
      </c>
      <c r="Y226">
        <v>3.1543097450673616E-2</v>
      </c>
      <c r="Z226">
        <v>6.9043367844106376E-2</v>
      </c>
      <c r="AA226">
        <v>4.8527894698804995E-2</v>
      </c>
      <c r="AB226">
        <v>3.6747559887322603E-2</v>
      </c>
      <c r="AC226">
        <v>5.3116020975184745E-2</v>
      </c>
      <c r="AD226">
        <v>3.214875928753292E-2</v>
      </c>
      <c r="AE226">
        <v>3.4713135194454479E-2</v>
      </c>
      <c r="AF226">
        <v>1.1180026253966274E-2</v>
      </c>
      <c r="AG226">
        <v>4.6641755950191162E-2</v>
      </c>
      <c r="AH226">
        <v>9.2129083108620821E-2</v>
      </c>
      <c r="AI226">
        <v>0.13770975250643192</v>
      </c>
      <c r="AJ226">
        <v>0.12758157733077352</v>
      </c>
    </row>
    <row r="227" spans="2:36" ht="16" customHeight="1">
      <c r="B227" s="15">
        <v>18</v>
      </c>
      <c r="C227">
        <v>2.118320479129022E-3</v>
      </c>
      <c r="D227">
        <v>2.7914109139841521E-3</v>
      </c>
      <c r="E227">
        <v>1.4641125243877319E-2</v>
      </c>
      <c r="F227">
        <v>8.8658250079743002E-4</v>
      </c>
      <c r="G227">
        <v>7.5885016141503192E-3</v>
      </c>
      <c r="H227">
        <v>3.0134578918158037E-3</v>
      </c>
      <c r="I227">
        <v>2.1062339690356689E-3</v>
      </c>
      <c r="J227">
        <v>3.1347121847679345E-3</v>
      </c>
      <c r="K227">
        <v>3.383551001234678E-3</v>
      </c>
      <c r="L227">
        <v>3.3898777814830808E-3</v>
      </c>
      <c r="M227">
        <v>2.6007106026331855E-3</v>
      </c>
      <c r="N227">
        <v>4.7001328689601374E-3</v>
      </c>
      <c r="O227">
        <v>2.5206388755389729E-3</v>
      </c>
      <c r="P227">
        <v>2.7605523232860866E-3</v>
      </c>
      <c r="Q227">
        <v>6.5139010716114658E-3</v>
      </c>
      <c r="R227">
        <v>3.0832155711951578E-3</v>
      </c>
      <c r="S227">
        <v>6.7604098919906153E-3</v>
      </c>
      <c r="T227">
        <v>1.0848478814702334</v>
      </c>
      <c r="U227">
        <v>6.4683292153118856E-3</v>
      </c>
      <c r="V227">
        <v>1.1119623207403688E-2</v>
      </c>
      <c r="W227">
        <v>9.1483148602135526E-3</v>
      </c>
      <c r="X227">
        <v>3.0763846816940308E-3</v>
      </c>
      <c r="Y227">
        <v>3.0737015854682284E-3</v>
      </c>
      <c r="Z227">
        <v>0.11411369280608775</v>
      </c>
      <c r="AA227">
        <v>4.8099533025260073E-3</v>
      </c>
      <c r="AB227">
        <v>3.4364708376065549E-3</v>
      </c>
      <c r="AC227">
        <v>3.8606563436352588E-3</v>
      </c>
      <c r="AD227">
        <v>1.524278050952701E-2</v>
      </c>
      <c r="AE227">
        <v>3.9050939540411366E-3</v>
      </c>
      <c r="AF227">
        <v>1.8144419572253901E-3</v>
      </c>
      <c r="AG227">
        <v>4.845597076693897E-3</v>
      </c>
      <c r="AH227">
        <v>7.1145815772397482E-3</v>
      </c>
      <c r="AI227">
        <v>1.0985180488794481E-2</v>
      </c>
      <c r="AJ227">
        <v>1.1323387540183683E-2</v>
      </c>
    </row>
    <row r="228" spans="2:36" ht="16" customHeight="1">
      <c r="B228" s="15">
        <v>19</v>
      </c>
      <c r="C228">
        <v>2.0102786018439188E-3</v>
      </c>
      <c r="D228">
        <v>2.053894000501186E-3</v>
      </c>
      <c r="E228">
        <v>2.3234672558676891E-3</v>
      </c>
      <c r="F228">
        <v>8.6949060029980541E-4</v>
      </c>
      <c r="G228">
        <v>2.227366188010282E-3</v>
      </c>
      <c r="H228">
        <v>1.6305453723740127E-3</v>
      </c>
      <c r="I228">
        <v>1.3643896040891959E-3</v>
      </c>
      <c r="J228">
        <v>1.381305013118905E-3</v>
      </c>
      <c r="K228">
        <v>1.8459862225955934E-3</v>
      </c>
      <c r="L228">
        <v>9.9630150561819445E-4</v>
      </c>
      <c r="M228">
        <v>1.234992081051744E-3</v>
      </c>
      <c r="N228">
        <v>3.6525251023172087E-3</v>
      </c>
      <c r="O228">
        <v>1.187249671053545E-3</v>
      </c>
      <c r="P228">
        <v>1.9817135480589862E-3</v>
      </c>
      <c r="Q228">
        <v>1.4470213348090142E-3</v>
      </c>
      <c r="R228">
        <v>2.9221778437523898E-3</v>
      </c>
      <c r="S228">
        <v>2.0235017681091986E-2</v>
      </c>
      <c r="T228">
        <v>6.6672205908300313E-3</v>
      </c>
      <c r="U228">
        <v>1.0529501888948882</v>
      </c>
      <c r="V228">
        <v>8.327724713465195E-4</v>
      </c>
      <c r="W228">
        <v>1.4334642468973359E-3</v>
      </c>
      <c r="X228">
        <v>7.7801137402300768E-3</v>
      </c>
      <c r="Y228">
        <v>8.5842393097557482E-4</v>
      </c>
      <c r="Z228">
        <v>7.4111106257698303E-3</v>
      </c>
      <c r="AA228">
        <v>1.4332506794946132E-3</v>
      </c>
      <c r="AB228">
        <v>1.5995165976776789E-3</v>
      </c>
      <c r="AC228">
        <v>1.5621068425705597E-3</v>
      </c>
      <c r="AD228">
        <v>1.5527512507216765E-3</v>
      </c>
      <c r="AE228">
        <v>1.3213644583844092E-3</v>
      </c>
      <c r="AF228">
        <v>3.754617964037311E-4</v>
      </c>
      <c r="AG228">
        <v>1.5415420670715941E-3</v>
      </c>
      <c r="AH228">
        <v>2.279862006000995E-3</v>
      </c>
      <c r="AI228">
        <v>3.5785665101779034E-3</v>
      </c>
      <c r="AJ228">
        <v>3.419859705010467E-3</v>
      </c>
    </row>
    <row r="229" spans="2:36" ht="16" customHeight="1">
      <c r="B229" s="15">
        <v>20</v>
      </c>
      <c r="C229">
        <v>5.0001269173199281E-3</v>
      </c>
      <c r="D229">
        <v>6.5638780607989444E-3</v>
      </c>
      <c r="E229">
        <v>4.4295990262264405E-3</v>
      </c>
      <c r="F229">
        <v>4.119497053359112E-3</v>
      </c>
      <c r="G229">
        <v>7.1183708556212616E-2</v>
      </c>
      <c r="H229">
        <v>6.2779045938246535E-3</v>
      </c>
      <c r="I229">
        <v>4.0766748166190855E-3</v>
      </c>
      <c r="J229">
        <v>5.6381568100112456E-3</v>
      </c>
      <c r="K229">
        <v>6.0140838575184468E-3</v>
      </c>
      <c r="L229">
        <v>3.5339848381420805E-3</v>
      </c>
      <c r="M229">
        <v>4.4401392683990062E-3</v>
      </c>
      <c r="N229">
        <v>5.7361282543127758E-3</v>
      </c>
      <c r="O229">
        <v>4.5219291925158592E-3</v>
      </c>
      <c r="P229">
        <v>6.0657718967883868E-3</v>
      </c>
      <c r="Q229">
        <v>5.9998566319898507E-3</v>
      </c>
      <c r="R229">
        <v>9.0251707080565222E-3</v>
      </c>
      <c r="S229">
        <v>2.6399630987418043E-2</v>
      </c>
      <c r="T229">
        <v>1.7253709733686211E-2</v>
      </c>
      <c r="U229">
        <v>5.9929345000821147E-3</v>
      </c>
      <c r="V229">
        <v>1.109226659349591</v>
      </c>
      <c r="W229">
        <v>0.14244889657995718</v>
      </c>
      <c r="X229">
        <v>3.4382048760752147E-2</v>
      </c>
      <c r="Y229">
        <v>4.8869895821204061E-3</v>
      </c>
      <c r="Z229">
        <v>2.5147609992766193E-2</v>
      </c>
      <c r="AA229">
        <v>1.1200557198779161E-2</v>
      </c>
      <c r="AB229">
        <v>7.861914522981522E-3</v>
      </c>
      <c r="AC229">
        <v>5.8390525940868439E-3</v>
      </c>
      <c r="AD229">
        <v>8.5647343822276081E-3</v>
      </c>
      <c r="AE229">
        <v>4.8379332473858358E-3</v>
      </c>
      <c r="AF229">
        <v>1.7982242379948399E-3</v>
      </c>
      <c r="AG229">
        <v>6.7836113852984209E-3</v>
      </c>
      <c r="AH229">
        <v>1.1508070261264264E-2</v>
      </c>
      <c r="AI229">
        <v>1.3259002721974477E-2</v>
      </c>
      <c r="AJ229">
        <v>1.2415473231327561E-2</v>
      </c>
    </row>
    <row r="230" spans="2:36" ht="16" customHeight="1">
      <c r="B230" s="15">
        <v>21</v>
      </c>
      <c r="C230">
        <v>1.2771516391898512E-3</v>
      </c>
      <c r="D230">
        <v>1.7509082103629502E-3</v>
      </c>
      <c r="E230">
        <v>1.6232202159609888E-3</v>
      </c>
      <c r="F230">
        <v>4.6848560365941579E-4</v>
      </c>
      <c r="G230">
        <v>2.5408627354032366E-3</v>
      </c>
      <c r="H230">
        <v>1.8659094114310297E-3</v>
      </c>
      <c r="I230">
        <v>1.2370818403525641E-3</v>
      </c>
      <c r="J230">
        <v>1.755004849883813E-3</v>
      </c>
      <c r="K230">
        <v>1.9543184076650576E-3</v>
      </c>
      <c r="L230">
        <v>1.4012996982877186E-3</v>
      </c>
      <c r="M230">
        <v>1.3228095660153924E-3</v>
      </c>
      <c r="N230">
        <v>1.517424537210295E-3</v>
      </c>
      <c r="O230">
        <v>1.5052525399425574E-3</v>
      </c>
      <c r="P230">
        <v>1.513555691237995E-3</v>
      </c>
      <c r="Q230">
        <v>1.6282375865580687E-3</v>
      </c>
      <c r="R230">
        <v>1.6985803360048139E-3</v>
      </c>
      <c r="S230">
        <v>1.7128739132840458E-3</v>
      </c>
      <c r="T230">
        <v>1.7898311588196161E-3</v>
      </c>
      <c r="U230">
        <v>2.3641101476674074E-3</v>
      </c>
      <c r="V230">
        <v>1.5269587252741164E-2</v>
      </c>
      <c r="W230">
        <v>1.0237192786562415</v>
      </c>
      <c r="X230">
        <v>3.5067233774008859E-3</v>
      </c>
      <c r="Y230">
        <v>1.6764898273771878E-3</v>
      </c>
      <c r="Z230">
        <v>2.7003231054114995E-3</v>
      </c>
      <c r="AA230">
        <v>2.7694421735445147E-3</v>
      </c>
      <c r="AB230">
        <v>2.2586073280077743E-3</v>
      </c>
      <c r="AC230">
        <v>2.1876124459274393E-3</v>
      </c>
      <c r="AD230">
        <v>6.8082955596391326E-3</v>
      </c>
      <c r="AE230">
        <v>2.2166765707772014E-3</v>
      </c>
      <c r="AF230">
        <v>6.7020258832841588E-4</v>
      </c>
      <c r="AG230">
        <v>2.5659867146734338E-3</v>
      </c>
      <c r="AH230">
        <v>3.1985790426731242E-3</v>
      </c>
      <c r="AI230">
        <v>5.8982913953986894E-3</v>
      </c>
      <c r="AJ230">
        <v>6.556009575161943E-3</v>
      </c>
    </row>
    <row r="231" spans="2:36" ht="16" customHeight="1">
      <c r="B231" s="15">
        <v>22</v>
      </c>
      <c r="C231">
        <v>3.6606769528856713E-2</v>
      </c>
      <c r="D231">
        <v>6.1099987685150924E-2</v>
      </c>
      <c r="E231">
        <v>1.1290614296261381E-2</v>
      </c>
      <c r="F231">
        <v>1.5965873099211055E-2</v>
      </c>
      <c r="G231">
        <v>9.618042312249557E-2</v>
      </c>
      <c r="H231">
        <v>4.1905139056653773E-2</v>
      </c>
      <c r="I231">
        <v>2.2129170335582572E-2</v>
      </c>
      <c r="J231">
        <v>3.3764418864992769E-2</v>
      </c>
      <c r="K231">
        <v>3.3358066371708489E-2</v>
      </c>
      <c r="L231">
        <v>1.4727297468363284E-2</v>
      </c>
      <c r="M231">
        <v>2.1888201384097306E-2</v>
      </c>
      <c r="N231">
        <v>2.4949088920913094E-2</v>
      </c>
      <c r="O231">
        <v>4.4605776109976708E-2</v>
      </c>
      <c r="P231">
        <v>3.2436013197966664E-2</v>
      </c>
      <c r="Q231">
        <v>2.1859180685463931E-2</v>
      </c>
      <c r="R231">
        <v>5.0371465180301334E-2</v>
      </c>
      <c r="S231">
        <v>2.3869776707827688E-2</v>
      </c>
      <c r="T231">
        <v>3.557480546399118E-2</v>
      </c>
      <c r="U231">
        <v>2.141841573567823E-2</v>
      </c>
      <c r="V231">
        <v>1.1201819877753887E-2</v>
      </c>
      <c r="W231">
        <v>4.1804218319590511E-2</v>
      </c>
      <c r="X231">
        <v>1.0227101581205151</v>
      </c>
      <c r="Y231">
        <v>1.3578528958783202E-2</v>
      </c>
      <c r="Z231">
        <v>2.5502279876143171E-2</v>
      </c>
      <c r="AA231">
        <v>2.5763804835663789E-2</v>
      </c>
      <c r="AB231">
        <v>0.10159409394390156</v>
      </c>
      <c r="AC231">
        <v>2.2323340834554645E-2</v>
      </c>
      <c r="AD231">
        <v>1.4598547554008997E-2</v>
      </c>
      <c r="AE231">
        <v>2.0271714604604699E-2</v>
      </c>
      <c r="AF231">
        <v>9.3381430102069656E-3</v>
      </c>
      <c r="AG231">
        <v>4.5336299419907029E-2</v>
      </c>
      <c r="AH231">
        <v>3.4791632198363773E-2</v>
      </c>
      <c r="AI231">
        <v>4.5203448040478759E-2</v>
      </c>
      <c r="AJ231">
        <v>4.4975832239539396E-2</v>
      </c>
    </row>
    <row r="232" spans="2:36" ht="16" customHeight="1">
      <c r="B232" s="15">
        <v>23</v>
      </c>
      <c r="C232">
        <v>1.867697487451786E-2</v>
      </c>
      <c r="D232">
        <v>3.1252861819374991E-2</v>
      </c>
      <c r="E232">
        <v>1.8508015072311756E-2</v>
      </c>
      <c r="F232">
        <v>9.7276642041767419E-3</v>
      </c>
      <c r="G232">
        <v>3.0145946431442174E-2</v>
      </c>
      <c r="H232">
        <v>3.8139533834614034E-2</v>
      </c>
      <c r="I232">
        <v>3.1136132555989713E-2</v>
      </c>
      <c r="J232">
        <v>5.9018752180331424E-2</v>
      </c>
      <c r="K232">
        <v>4.9611737937487257E-2</v>
      </c>
      <c r="L232">
        <v>3.5907755493065449E-2</v>
      </c>
      <c r="M232">
        <v>3.5675626300095541E-2</v>
      </c>
      <c r="N232">
        <v>7.9182371516098096E-2</v>
      </c>
      <c r="O232">
        <v>5.4418912948395091E-2</v>
      </c>
      <c r="P232">
        <v>2.8608432853607178E-2</v>
      </c>
      <c r="Q232">
        <v>3.8958682837949961E-2</v>
      </c>
      <c r="R232">
        <v>3.7869422929080548E-2</v>
      </c>
      <c r="S232">
        <v>3.6400421857489533E-2</v>
      </c>
      <c r="T232">
        <v>5.3923265785295327E-2</v>
      </c>
      <c r="U232">
        <v>3.6161023633138591E-2</v>
      </c>
      <c r="V232">
        <v>3.7566784710592278E-2</v>
      </c>
      <c r="W232">
        <v>4.7285951801678022E-2</v>
      </c>
      <c r="X232">
        <v>3.1734243443449509E-2</v>
      </c>
      <c r="Y232">
        <v>1.1366027253229813</v>
      </c>
      <c r="Z232">
        <v>3.4777720134731883E-2</v>
      </c>
      <c r="AA232">
        <v>6.0676580811396194E-2</v>
      </c>
      <c r="AB232">
        <v>3.6955058350574249E-2</v>
      </c>
      <c r="AC232">
        <v>5.6037190388520022E-2</v>
      </c>
      <c r="AD232">
        <v>3.084495945288358E-2</v>
      </c>
      <c r="AE232">
        <v>3.1745509418496798E-2</v>
      </c>
      <c r="AF232">
        <v>4.6756355774796317E-2</v>
      </c>
      <c r="AG232">
        <v>7.1079723284953281E-2</v>
      </c>
      <c r="AH232">
        <v>0.10253251084181593</v>
      </c>
      <c r="AI232">
        <v>7.5152344191379963E-2</v>
      </c>
      <c r="AJ232">
        <v>6.9966302429026864E-2</v>
      </c>
    </row>
    <row r="233" spans="2:36" ht="16" customHeight="1">
      <c r="B233" s="15">
        <v>24</v>
      </c>
      <c r="C233">
        <v>4.1425561343469289E-3</v>
      </c>
      <c r="D233">
        <v>5.3063735467758699E-3</v>
      </c>
      <c r="E233">
        <v>4.6700522393389515E-3</v>
      </c>
      <c r="F233">
        <v>1.7019372088454641E-3</v>
      </c>
      <c r="G233">
        <v>6.8583131701429696E-3</v>
      </c>
      <c r="H233">
        <v>6.1323469691707648E-3</v>
      </c>
      <c r="I233">
        <v>3.8679803349040715E-3</v>
      </c>
      <c r="J233">
        <v>6.3103282023474726E-3</v>
      </c>
      <c r="K233">
        <v>6.5894834888349414E-3</v>
      </c>
      <c r="L233">
        <v>4.7373074991325604E-3</v>
      </c>
      <c r="M233">
        <v>4.542249269537937E-3</v>
      </c>
      <c r="N233">
        <v>5.0502108381009353E-3</v>
      </c>
      <c r="O233">
        <v>5.1770214115700857E-3</v>
      </c>
      <c r="P233">
        <v>5.7650199649363206E-3</v>
      </c>
      <c r="Q233">
        <v>5.7606450721364331E-3</v>
      </c>
      <c r="R233">
        <v>5.9310446788654395E-3</v>
      </c>
      <c r="S233">
        <v>5.3431903843957013E-3</v>
      </c>
      <c r="T233">
        <v>5.6732179566239662E-3</v>
      </c>
      <c r="U233">
        <v>8.7621153510606085E-3</v>
      </c>
      <c r="V233">
        <v>2.5054096247415995E-2</v>
      </c>
      <c r="W233">
        <v>3.9935610365152779E-2</v>
      </c>
      <c r="X233">
        <v>6.0479949631814019E-3</v>
      </c>
      <c r="Y233">
        <v>4.5778835153871978E-3</v>
      </c>
      <c r="Z233">
        <v>1.0409003553126066</v>
      </c>
      <c r="AA233">
        <v>1.5957020132530895E-2</v>
      </c>
      <c r="AB233">
        <v>7.3592514285382975E-3</v>
      </c>
      <c r="AC233">
        <v>7.2970406731571623E-3</v>
      </c>
      <c r="AD233">
        <v>0.11865359240694572</v>
      </c>
      <c r="AE233">
        <v>1.0257505168590943E-2</v>
      </c>
      <c r="AF233">
        <v>9.2840598451720702E-3</v>
      </c>
      <c r="AG233">
        <v>1.8272256937369589E-2</v>
      </c>
      <c r="AH233">
        <v>1.1661696814588224E-2</v>
      </c>
      <c r="AI233">
        <v>1.7449039492844345E-2</v>
      </c>
      <c r="AJ233">
        <v>1.7780072537504778E-2</v>
      </c>
    </row>
    <row r="234" spans="2:36" ht="16" customHeight="1">
      <c r="B234" s="15">
        <v>25</v>
      </c>
      <c r="C234">
        <v>0.10420587771338456</v>
      </c>
      <c r="D234">
        <v>0.12090093849019971</v>
      </c>
      <c r="E234">
        <v>0.1132817355957078</v>
      </c>
      <c r="F234">
        <v>5.2650093160632155E-2</v>
      </c>
      <c r="G234">
        <v>0.22709841081309851</v>
      </c>
      <c r="H234">
        <v>0.1958003104372639</v>
      </c>
      <c r="I234">
        <v>9.4251815046146756E-2</v>
      </c>
      <c r="J234">
        <v>0.18302473471133934</v>
      </c>
      <c r="K234">
        <v>0.16768352735906994</v>
      </c>
      <c r="L234">
        <v>6.9254153630673526E-2</v>
      </c>
      <c r="M234">
        <v>0.12531669096422743</v>
      </c>
      <c r="N234">
        <v>0.16085439596279547</v>
      </c>
      <c r="O234">
        <v>9.6288233798176831E-2</v>
      </c>
      <c r="P234">
        <v>0.19375623331142375</v>
      </c>
      <c r="Q234">
        <v>0.21443859787771058</v>
      </c>
      <c r="R234">
        <v>0.2042610087111893</v>
      </c>
      <c r="S234">
        <v>0.16786783915028061</v>
      </c>
      <c r="T234">
        <v>0.17722324804589504</v>
      </c>
      <c r="U234">
        <v>0.12269287387088867</v>
      </c>
      <c r="V234">
        <v>0.19015889302879416</v>
      </c>
      <c r="W234">
        <v>0.22241394579674884</v>
      </c>
      <c r="X234">
        <v>0.14990565251541976</v>
      </c>
      <c r="Y234">
        <v>6.7978563541381279E-2</v>
      </c>
      <c r="Z234">
        <v>0.20000534257592786</v>
      </c>
      <c r="AA234">
        <v>1.1418929437061509</v>
      </c>
      <c r="AB234">
        <v>0.21860737632883165</v>
      </c>
      <c r="AC234">
        <v>0.13998311946611369</v>
      </c>
      <c r="AD234">
        <v>0.13646957624948977</v>
      </c>
      <c r="AE234">
        <v>8.3407201668832268E-2</v>
      </c>
      <c r="AF234">
        <v>3.2595426010518673E-2</v>
      </c>
      <c r="AG234">
        <v>0.14858174337919033</v>
      </c>
      <c r="AH234">
        <v>0.15870583249894804</v>
      </c>
      <c r="AI234">
        <v>0.24986337259167446</v>
      </c>
      <c r="AJ234">
        <v>0.25793041178107912</v>
      </c>
    </row>
    <row r="235" spans="2:36" ht="16" customHeight="1">
      <c r="B235" s="15">
        <v>26</v>
      </c>
      <c r="C235">
        <v>8.1641526698687766E-2</v>
      </c>
      <c r="D235">
        <v>7.9191585240784831E-2</v>
      </c>
      <c r="E235">
        <v>3.6299089007588915E-2</v>
      </c>
      <c r="F235">
        <v>1.9066494616889793E-2</v>
      </c>
      <c r="G235">
        <v>6.1340545559477093E-2</v>
      </c>
      <c r="H235">
        <v>7.9360003800605816E-2</v>
      </c>
      <c r="I235">
        <v>5.5121431111332143E-2</v>
      </c>
      <c r="J235">
        <v>6.0018846575511819E-2</v>
      </c>
      <c r="K235">
        <v>7.6582782192686619E-2</v>
      </c>
      <c r="L235">
        <v>3.5118176579459967E-2</v>
      </c>
      <c r="M235">
        <v>4.9321124380917243E-2</v>
      </c>
      <c r="N235">
        <v>4.6964520196116653E-2</v>
      </c>
      <c r="O235">
        <v>3.2592583995785761E-2</v>
      </c>
      <c r="P235">
        <v>4.6788838527499869E-2</v>
      </c>
      <c r="Q235">
        <v>4.5782753165708706E-2</v>
      </c>
      <c r="R235">
        <v>4.1649322027889721E-2</v>
      </c>
      <c r="S235">
        <v>4.5564725090090713E-2</v>
      </c>
      <c r="T235">
        <v>5.2844608570313562E-2</v>
      </c>
      <c r="U235">
        <v>5.2212025376261996E-2</v>
      </c>
      <c r="V235">
        <v>3.7711823066708873E-2</v>
      </c>
      <c r="W235">
        <v>0.10499707879162785</v>
      </c>
      <c r="X235">
        <v>3.7363150899007623E-2</v>
      </c>
      <c r="Y235">
        <v>4.1722281355889713E-2</v>
      </c>
      <c r="Z235">
        <v>6.0076800610391154E-2</v>
      </c>
      <c r="AA235">
        <v>0.10402873670116773</v>
      </c>
      <c r="AB235">
        <v>1.044836639774658</v>
      </c>
      <c r="AC235">
        <v>5.487027309847118E-2</v>
      </c>
      <c r="AD235">
        <v>3.9261240579494733E-2</v>
      </c>
      <c r="AE235">
        <v>4.3881370156672074E-2</v>
      </c>
      <c r="AF235">
        <v>2.279866922895319E-2</v>
      </c>
      <c r="AG235">
        <v>9.0004200542875445E-2</v>
      </c>
      <c r="AH235">
        <v>6.9416344915342529E-2</v>
      </c>
      <c r="AI235">
        <v>0.1099702088263574</v>
      </c>
      <c r="AJ235">
        <v>0.12766015793324478</v>
      </c>
    </row>
    <row r="236" spans="2:36" ht="16" customHeight="1">
      <c r="B236" s="15">
        <v>27</v>
      </c>
      <c r="C236">
        <v>1.257680034513097E-2</v>
      </c>
      <c r="D236">
        <v>1.7571066905338061E-2</v>
      </c>
      <c r="E236">
        <v>1.5936556488922463E-2</v>
      </c>
      <c r="F236">
        <v>6.2707655565438685E-3</v>
      </c>
      <c r="G236">
        <v>1.9004446995654092E-2</v>
      </c>
      <c r="H236">
        <v>1.8081792626283545E-2</v>
      </c>
      <c r="I236">
        <v>1.3282406328864517E-2</v>
      </c>
      <c r="J236">
        <v>1.7367510292256048E-2</v>
      </c>
      <c r="K236">
        <v>2.0017802067089883E-2</v>
      </c>
      <c r="L236">
        <v>1.6771657742327913E-2</v>
      </c>
      <c r="M236">
        <v>1.4070014740739684E-2</v>
      </c>
      <c r="N236">
        <v>1.5989651386659275E-2</v>
      </c>
      <c r="O236">
        <v>1.4975544991975421E-2</v>
      </c>
      <c r="P236">
        <v>1.6792315474300507E-2</v>
      </c>
      <c r="Q236">
        <v>1.5442620481751735E-2</v>
      </c>
      <c r="R236">
        <v>1.6271907481621526E-2</v>
      </c>
      <c r="S236">
        <v>1.5693674048601124E-2</v>
      </c>
      <c r="T236">
        <v>1.7660661492403439E-2</v>
      </c>
      <c r="U236">
        <v>2.8609892751540564E-2</v>
      </c>
      <c r="V236">
        <v>2.2022919961095629E-2</v>
      </c>
      <c r="W236">
        <v>2.6719186795292203E-2</v>
      </c>
      <c r="X236">
        <v>1.5305812792859249E-2</v>
      </c>
      <c r="Y236">
        <v>2.4263031940412873E-2</v>
      </c>
      <c r="Z236">
        <v>2.7329466348194949E-2</v>
      </c>
      <c r="AA236">
        <v>2.5662921957336406E-2</v>
      </c>
      <c r="AB236">
        <v>2.4079212584963292E-2</v>
      </c>
      <c r="AC236">
        <v>1.0291882978283386</v>
      </c>
      <c r="AD236">
        <v>2.7560576852675003E-2</v>
      </c>
      <c r="AE236">
        <v>2.5128420515875952E-2</v>
      </c>
      <c r="AF236">
        <v>8.635158490940726E-3</v>
      </c>
      <c r="AG236">
        <v>3.2419621841099346E-2</v>
      </c>
      <c r="AH236">
        <v>4.1052388733106696E-2</v>
      </c>
      <c r="AI236">
        <v>7.5820032438101689E-2</v>
      </c>
      <c r="AJ236">
        <v>7.4832113864186825E-2</v>
      </c>
    </row>
    <row r="237" spans="2:36" ht="16" customHeight="1">
      <c r="B237" s="15">
        <v>28</v>
      </c>
      <c r="C237">
        <v>2.7523731573617084E-2</v>
      </c>
      <c r="D237">
        <v>3.5497094139962965E-2</v>
      </c>
      <c r="E237">
        <v>3.3028638859897222E-2</v>
      </c>
      <c r="F237">
        <v>1.2445656824536837E-2</v>
      </c>
      <c r="G237">
        <v>4.4729947148239149E-2</v>
      </c>
      <c r="H237">
        <v>4.531848052065747E-2</v>
      </c>
      <c r="I237">
        <v>2.580839271549578E-2</v>
      </c>
      <c r="J237">
        <v>4.9412442422354125E-2</v>
      </c>
      <c r="K237">
        <v>4.6959767825069124E-2</v>
      </c>
      <c r="L237">
        <v>3.020520241867861E-2</v>
      </c>
      <c r="M237">
        <v>3.3313808053094959E-2</v>
      </c>
      <c r="N237">
        <v>3.7450791648612064E-2</v>
      </c>
      <c r="O237">
        <v>3.8541892228922334E-2</v>
      </c>
      <c r="P237">
        <v>4.2906573271857887E-2</v>
      </c>
      <c r="Q237">
        <v>4.5549900215801402E-2</v>
      </c>
      <c r="R237">
        <v>4.6384173126886544E-2</v>
      </c>
      <c r="S237">
        <v>3.7980223144169281E-2</v>
      </c>
      <c r="T237">
        <v>4.0466991296085782E-2</v>
      </c>
      <c r="U237">
        <v>6.2103550737525222E-2</v>
      </c>
      <c r="V237">
        <v>4.5157743850084815E-2</v>
      </c>
      <c r="W237">
        <v>7.2668974651549617E-2</v>
      </c>
      <c r="X237">
        <v>4.1845708080789065E-2</v>
      </c>
      <c r="Y237">
        <v>2.7418671186089202E-2</v>
      </c>
      <c r="Z237">
        <v>5.0441600637267769E-2</v>
      </c>
      <c r="AA237">
        <v>0.14369611523518244</v>
      </c>
      <c r="AB237">
        <v>5.5795986933884288E-2</v>
      </c>
      <c r="AC237">
        <v>5.2272954170475672E-2</v>
      </c>
      <c r="AD237">
        <v>1.2959572584371315</v>
      </c>
      <c r="AE237">
        <v>6.7891707349499064E-2</v>
      </c>
      <c r="AF237">
        <v>2.5334035753382084E-2</v>
      </c>
      <c r="AG237">
        <v>0.13444353393928721</v>
      </c>
      <c r="AH237">
        <v>8.5406304985163009E-2</v>
      </c>
      <c r="AI237">
        <v>9.9873679086730255E-2</v>
      </c>
      <c r="AJ237">
        <v>0.10198593167912332</v>
      </c>
    </row>
    <row r="238" spans="2:36" ht="16" customHeight="1">
      <c r="B238" s="15">
        <v>29</v>
      </c>
      <c r="C238">
        <v>7.7966693556424813E-2</v>
      </c>
      <c r="D238">
        <v>0.12075825298598528</v>
      </c>
      <c r="E238">
        <v>3.1293361239006973E-2</v>
      </c>
      <c r="F238">
        <v>2.3286246566882208E-2</v>
      </c>
      <c r="G238">
        <v>4.8659894433914712E-2</v>
      </c>
      <c r="H238">
        <v>9.1666101030578734E-2</v>
      </c>
      <c r="I238">
        <v>5.9698443090333057E-2</v>
      </c>
      <c r="J238">
        <v>6.8448446822464065E-2</v>
      </c>
      <c r="K238">
        <v>9.1763050222175027E-2</v>
      </c>
      <c r="L238">
        <v>0.15864490561048727</v>
      </c>
      <c r="M238">
        <v>7.206671045443179E-2</v>
      </c>
      <c r="N238">
        <v>6.008805214407887E-2</v>
      </c>
      <c r="O238">
        <v>4.5923038275130695E-2</v>
      </c>
      <c r="P238">
        <v>7.3702443212128516E-2</v>
      </c>
      <c r="Q238">
        <v>5.3782756007883514E-2</v>
      </c>
      <c r="R238">
        <v>5.9847420803779902E-2</v>
      </c>
      <c r="S238">
        <v>7.3961962266996251E-2</v>
      </c>
      <c r="T238">
        <v>4.3515449724783835E-2</v>
      </c>
      <c r="U238">
        <v>0.12658156439389778</v>
      </c>
      <c r="V238">
        <v>4.7158140292326831E-2</v>
      </c>
      <c r="W238">
        <v>6.9040988477013843E-2</v>
      </c>
      <c r="X238">
        <v>9.6680766687759268E-2</v>
      </c>
      <c r="Y238">
        <v>3.1668337047989596E-2</v>
      </c>
      <c r="Z238">
        <v>6.3097495860189534E-2</v>
      </c>
      <c r="AA238">
        <v>0.12442113791825503</v>
      </c>
      <c r="AB238">
        <v>7.0658832604091823E-2</v>
      </c>
      <c r="AC238">
        <v>6.0845544959641736E-2</v>
      </c>
      <c r="AD238">
        <v>4.3634286009977444E-2</v>
      </c>
      <c r="AE238">
        <v>1.1214728222021983</v>
      </c>
      <c r="AF238">
        <v>1.5389777227431374E-2</v>
      </c>
      <c r="AG238">
        <v>8.4860009500774589E-2</v>
      </c>
      <c r="AH238">
        <v>8.2769226961936712E-2</v>
      </c>
      <c r="AI238">
        <v>0.1148471266098872</v>
      </c>
      <c r="AJ238">
        <v>0.11390018398092119</v>
      </c>
    </row>
    <row r="239" spans="2:36" ht="16" customHeight="1">
      <c r="B239" s="15">
        <v>30</v>
      </c>
      <c r="C239">
        <v>7.5430135001305423E-2</v>
      </c>
      <c r="D239">
        <v>6.4031855676764296E-2</v>
      </c>
      <c r="E239">
        <v>2.7173315539895222E-2</v>
      </c>
      <c r="F239">
        <v>9.3946441583246439E-3</v>
      </c>
      <c r="G239">
        <v>3.2775041202694331E-2</v>
      </c>
      <c r="H239">
        <v>4.7895898315440943E-2</v>
      </c>
      <c r="I239">
        <v>4.346236167179434E-2</v>
      </c>
      <c r="J239">
        <v>3.9305425774617486E-2</v>
      </c>
      <c r="K239">
        <v>6.0652265746960546E-2</v>
      </c>
      <c r="L239">
        <v>3.4435987018544174E-2</v>
      </c>
      <c r="M239">
        <v>3.5500116535723027E-2</v>
      </c>
      <c r="N239">
        <v>3.3570436866689229E-2</v>
      </c>
      <c r="O239">
        <v>3.2228280754270061E-2</v>
      </c>
      <c r="P239">
        <v>3.8108506696875773E-2</v>
      </c>
      <c r="Q239">
        <v>3.0828170730109235E-2</v>
      </c>
      <c r="R239">
        <v>3.1959378221687353E-2</v>
      </c>
      <c r="S239">
        <v>2.7899263425366253E-2</v>
      </c>
      <c r="T239">
        <v>3.2183134997596403E-2</v>
      </c>
      <c r="U239">
        <v>4.750379893212154E-2</v>
      </c>
      <c r="V239">
        <v>2.5090713513073733E-2</v>
      </c>
      <c r="W239">
        <v>3.7292098839497183E-2</v>
      </c>
      <c r="X239">
        <v>3.374410008019145E-2</v>
      </c>
      <c r="Y239">
        <v>3.0434878582249178E-2</v>
      </c>
      <c r="Z239">
        <v>4.5432413823286173E-2</v>
      </c>
      <c r="AA239">
        <v>7.1253717619042353E-2</v>
      </c>
      <c r="AB239">
        <v>4.813700702530601E-2</v>
      </c>
      <c r="AC239">
        <v>5.3818685630376645E-2</v>
      </c>
      <c r="AD239">
        <v>3.920882072439863E-2</v>
      </c>
      <c r="AE239">
        <v>4.5432960684618322E-2</v>
      </c>
      <c r="AF239">
        <v>1.0148266224423659</v>
      </c>
      <c r="AG239">
        <v>6.5944382623393402E-2</v>
      </c>
      <c r="AH239">
        <v>8.0934434520559623E-2</v>
      </c>
      <c r="AI239">
        <v>0.10806572005476019</v>
      </c>
      <c r="AJ239">
        <v>0.12182318333184161</v>
      </c>
    </row>
    <row r="240" spans="2:36" ht="16" customHeight="1">
      <c r="B240" s="15">
        <v>31</v>
      </c>
      <c r="C240">
        <v>4.6411203713098231E-2</v>
      </c>
      <c r="D240">
        <v>6.3194367669420146E-2</v>
      </c>
      <c r="E240">
        <v>4.3000123168079205E-2</v>
      </c>
      <c r="F240">
        <v>2.0848947782988601E-2</v>
      </c>
      <c r="G240">
        <v>4.2851162133211863E-2</v>
      </c>
      <c r="H240">
        <v>5.1764073357707191E-2</v>
      </c>
      <c r="I240">
        <v>4.0098372630548884E-2</v>
      </c>
      <c r="J240">
        <v>5.4406601340591901E-2</v>
      </c>
      <c r="K240">
        <v>4.7603599034120925E-2</v>
      </c>
      <c r="L240">
        <v>3.5599392043555049E-2</v>
      </c>
      <c r="M240">
        <v>4.9202764225576297E-2</v>
      </c>
      <c r="N240">
        <v>5.642632380327723E-2</v>
      </c>
      <c r="O240">
        <v>2.8852500900086456E-2</v>
      </c>
      <c r="P240">
        <v>4.034198546383521E-2</v>
      </c>
      <c r="Q240">
        <v>3.8396625747702078E-2</v>
      </c>
      <c r="R240">
        <v>6.4715937501799103E-2</v>
      </c>
      <c r="S240">
        <v>5.1731093002628854E-2</v>
      </c>
      <c r="T240">
        <v>4.0196772151303163E-2</v>
      </c>
      <c r="U240">
        <v>6.1860958122717462E-2</v>
      </c>
      <c r="V240">
        <v>2.7130726969144821E-2</v>
      </c>
      <c r="W240">
        <v>3.6604623756929786E-2</v>
      </c>
      <c r="X240">
        <v>3.8361995787654847E-2</v>
      </c>
      <c r="Y240">
        <v>3.5112912915085358E-2</v>
      </c>
      <c r="Z240">
        <v>3.9710169863656775E-2</v>
      </c>
      <c r="AA240">
        <v>6.2720510558441592E-2</v>
      </c>
      <c r="AB240">
        <v>5.6054040714144916E-2</v>
      </c>
      <c r="AC240">
        <v>6.6719173467338827E-2</v>
      </c>
      <c r="AD240">
        <v>9.4982799922693789E-2</v>
      </c>
      <c r="AE240">
        <v>6.8089788129969742E-2</v>
      </c>
      <c r="AF240">
        <v>1.9932970391058177E-2</v>
      </c>
      <c r="AG240">
        <v>1.0606119161897358</v>
      </c>
      <c r="AH240">
        <v>6.0060024086203326E-2</v>
      </c>
      <c r="AI240">
        <v>9.7852030710680382E-2</v>
      </c>
      <c r="AJ240">
        <v>6.6834223699780357E-2</v>
      </c>
    </row>
    <row r="241" spans="2:39" ht="16" customHeight="1">
      <c r="B241" s="15">
        <v>32</v>
      </c>
      <c r="C241">
        <v>2.4493105365796387E-2</v>
      </c>
      <c r="D241">
        <v>3.3389305464068167E-2</v>
      </c>
      <c r="E241">
        <v>3.1942420423184681E-2</v>
      </c>
      <c r="F241">
        <v>9.3951346804124272E-3</v>
      </c>
      <c r="G241">
        <v>3.1567899352220846E-2</v>
      </c>
      <c r="H241">
        <v>3.7283921328003365E-2</v>
      </c>
      <c r="I241">
        <v>2.6383839655534199E-2</v>
      </c>
      <c r="J241">
        <v>3.3165312094369216E-2</v>
      </c>
      <c r="K241">
        <v>4.2154305432528676E-2</v>
      </c>
      <c r="L241">
        <v>3.6373351930744792E-2</v>
      </c>
      <c r="M241">
        <v>2.7192916085549561E-2</v>
      </c>
      <c r="N241">
        <v>3.0193119411064177E-2</v>
      </c>
      <c r="O241">
        <v>3.5448354702594678E-2</v>
      </c>
      <c r="P241">
        <v>3.5004276287603969E-2</v>
      </c>
      <c r="Q241">
        <v>3.0530708141500669E-2</v>
      </c>
      <c r="R241">
        <v>2.9413768781964406E-2</v>
      </c>
      <c r="S241">
        <v>2.7185691192858272E-2</v>
      </c>
      <c r="T241">
        <v>3.4702476259712921E-2</v>
      </c>
      <c r="U241">
        <v>6.0240734373405998E-2</v>
      </c>
      <c r="V241">
        <v>4.2781650065239846E-2</v>
      </c>
      <c r="W241">
        <v>5.4783896351022592E-2</v>
      </c>
      <c r="X241">
        <v>3.1020279090263534E-2</v>
      </c>
      <c r="Y241">
        <v>4.7965262312127208E-2</v>
      </c>
      <c r="Z241">
        <v>6.0003099959547793E-2</v>
      </c>
      <c r="AA241">
        <v>5.3531512552775946E-2</v>
      </c>
      <c r="AB241">
        <v>4.2196966102530521E-2</v>
      </c>
      <c r="AC241">
        <v>5.5344559680936017E-2</v>
      </c>
      <c r="AD241">
        <v>4.7207732670367576E-2</v>
      </c>
      <c r="AE241">
        <v>5.7452612826209601E-2</v>
      </c>
      <c r="AF241">
        <v>1.488683118411817E-2</v>
      </c>
      <c r="AG241">
        <v>6.1467557268576167E-2</v>
      </c>
      <c r="AH241">
        <v>1.0858914604236281</v>
      </c>
      <c r="AI241">
        <v>0.14800408109449306</v>
      </c>
      <c r="AJ241">
        <v>0.17794733622434017</v>
      </c>
    </row>
    <row r="242" spans="2:39" ht="16" customHeight="1">
      <c r="B242" s="15">
        <v>33</v>
      </c>
      <c r="C242">
        <v>3.0383152897409751E-2</v>
      </c>
      <c r="D242">
        <v>4.3990575612603132E-2</v>
      </c>
      <c r="E242">
        <v>4.6669048404762936E-2</v>
      </c>
      <c r="F242">
        <v>1.2731665949076624E-2</v>
      </c>
      <c r="G242">
        <v>4.2333127273450531E-2</v>
      </c>
      <c r="H242">
        <v>4.8966334436355431E-2</v>
      </c>
      <c r="I242">
        <v>3.5948030734309279E-2</v>
      </c>
      <c r="J242">
        <v>4.542911163739817E-2</v>
      </c>
      <c r="K242">
        <v>5.8363184735593973E-2</v>
      </c>
      <c r="L242">
        <v>5.1106409403158165E-2</v>
      </c>
      <c r="M242">
        <v>3.6092799892378409E-2</v>
      </c>
      <c r="N242">
        <v>4.0043704824500981E-2</v>
      </c>
      <c r="O242">
        <v>4.6670993414934962E-2</v>
      </c>
      <c r="P242">
        <v>4.8567035110923543E-2</v>
      </c>
      <c r="Q242">
        <v>4.4177204939106159E-2</v>
      </c>
      <c r="R242">
        <v>3.9890904453133071E-2</v>
      </c>
      <c r="S242">
        <v>3.6632721697384768E-2</v>
      </c>
      <c r="T242">
        <v>4.8939815621046732E-2</v>
      </c>
      <c r="U242">
        <v>8.804074904600559E-2</v>
      </c>
      <c r="V242">
        <v>3.957778214565949E-2</v>
      </c>
      <c r="W242">
        <v>6.2110058347722152E-2</v>
      </c>
      <c r="X242">
        <v>4.215792115076207E-2</v>
      </c>
      <c r="Y242">
        <v>6.1930080767407143E-2</v>
      </c>
      <c r="Z242">
        <v>8.6185108017808876E-2</v>
      </c>
      <c r="AA242">
        <v>7.3671184986019211E-2</v>
      </c>
      <c r="AB242">
        <v>5.8980457615932118E-2</v>
      </c>
      <c r="AC242">
        <v>6.7965161210016459E-2</v>
      </c>
      <c r="AD242">
        <v>5.1838122766258078E-2</v>
      </c>
      <c r="AE242">
        <v>6.6982997807809336E-2</v>
      </c>
      <c r="AF242">
        <v>1.9708500085104382E-2</v>
      </c>
      <c r="AG242">
        <v>6.7922626526294383E-2</v>
      </c>
      <c r="AH242">
        <v>0.10920335489313401</v>
      </c>
      <c r="AI242">
        <v>1.2117592380547075</v>
      </c>
      <c r="AJ242">
        <v>0.26900673553422144</v>
      </c>
    </row>
    <row r="243" spans="2:39" ht="16" customHeight="1">
      <c r="B243" s="15">
        <v>34</v>
      </c>
      <c r="C243">
        <v>0.16588716183546426</v>
      </c>
      <c r="D243">
        <v>0.23977313466813857</v>
      </c>
      <c r="E243">
        <v>0.2534256117178143</v>
      </c>
      <c r="F243">
        <v>6.9448271020804558E-2</v>
      </c>
      <c r="G243">
        <v>0.23154837117451213</v>
      </c>
      <c r="H243">
        <v>0.26736893592811584</v>
      </c>
      <c r="I243">
        <v>0.19654904391806083</v>
      </c>
      <c r="J243">
        <v>0.24759960406549142</v>
      </c>
      <c r="K243">
        <v>0.31879011581406363</v>
      </c>
      <c r="L243">
        <v>0.27959692857261415</v>
      </c>
      <c r="M243">
        <v>0.19449689882651564</v>
      </c>
      <c r="N243">
        <v>0.21846216288879361</v>
      </c>
      <c r="O243">
        <v>0.2553547076611693</v>
      </c>
      <c r="P243">
        <v>0.2656509664125426</v>
      </c>
      <c r="Q243">
        <v>0.231660999193809</v>
      </c>
      <c r="R243">
        <v>0.21819760981148434</v>
      </c>
      <c r="S243">
        <v>0.20020473783443044</v>
      </c>
      <c r="T243">
        <v>0.26776015664513708</v>
      </c>
      <c r="U243">
        <v>0.48176430716205793</v>
      </c>
      <c r="V243">
        <v>0.2165158561321463</v>
      </c>
      <c r="W243">
        <v>0.33978601548578952</v>
      </c>
      <c r="X243">
        <v>0.23019345428627949</v>
      </c>
      <c r="Y243">
        <v>0.33873515218490513</v>
      </c>
      <c r="Z243">
        <v>0.47099663132701841</v>
      </c>
      <c r="AA243">
        <v>0.40288458076082606</v>
      </c>
      <c r="AB243">
        <v>0.32252491210388862</v>
      </c>
      <c r="AC243">
        <v>0.37124355375695212</v>
      </c>
      <c r="AD243">
        <v>0.28304970779576932</v>
      </c>
      <c r="AE243">
        <v>0.36617620721612865</v>
      </c>
      <c r="AF243">
        <v>0.10782647310364346</v>
      </c>
      <c r="AG243">
        <v>0.37131143467823885</v>
      </c>
      <c r="AH243">
        <v>0.59741307200408011</v>
      </c>
      <c r="AI243">
        <v>1.1586609470077676</v>
      </c>
      <c r="AJ243">
        <v>1.4722453967397113</v>
      </c>
    </row>
    <row r="244" spans="2:39">
      <c r="B244" s="13"/>
    </row>
    <row r="245" spans="2:39" ht="16" customHeight="1">
      <c r="B245" s="15" t="s">
        <v>276</v>
      </c>
      <c r="C245">
        <v>1</v>
      </c>
      <c r="D245">
        <v>2</v>
      </c>
      <c r="E245">
        <v>3</v>
      </c>
      <c r="F245">
        <v>4</v>
      </c>
      <c r="G245">
        <v>5</v>
      </c>
      <c r="H245">
        <v>6</v>
      </c>
      <c r="I245">
        <v>7</v>
      </c>
      <c r="J245">
        <v>8</v>
      </c>
      <c r="K245">
        <v>9</v>
      </c>
      <c r="L245">
        <v>10</v>
      </c>
      <c r="M245">
        <v>11</v>
      </c>
      <c r="N245">
        <v>12</v>
      </c>
      <c r="O245">
        <v>13</v>
      </c>
      <c r="P245">
        <v>14</v>
      </c>
      <c r="Q245">
        <v>15</v>
      </c>
      <c r="R245">
        <v>16</v>
      </c>
      <c r="S245">
        <v>17</v>
      </c>
      <c r="T245">
        <v>18</v>
      </c>
      <c r="U245">
        <v>19</v>
      </c>
      <c r="V245">
        <v>20</v>
      </c>
      <c r="W245">
        <v>21</v>
      </c>
      <c r="X245">
        <v>22</v>
      </c>
      <c r="Y245">
        <v>23</v>
      </c>
      <c r="Z245">
        <v>24</v>
      </c>
      <c r="AA245">
        <v>25</v>
      </c>
      <c r="AB245">
        <v>26</v>
      </c>
      <c r="AC245">
        <v>27</v>
      </c>
      <c r="AD245">
        <v>28</v>
      </c>
      <c r="AE245">
        <v>29</v>
      </c>
      <c r="AF245">
        <v>30</v>
      </c>
      <c r="AG245">
        <v>31</v>
      </c>
      <c r="AH245">
        <v>32</v>
      </c>
      <c r="AI245">
        <v>33</v>
      </c>
      <c r="AJ245"/>
      <c r="AK245"/>
      <c r="AL245"/>
      <c r="AM245"/>
    </row>
    <row r="246" spans="2:39" ht="16" customHeight="1">
      <c r="B246" s="15">
        <v>1</v>
      </c>
      <c r="C246">
        <v>3.1624379175195567E-2</v>
      </c>
      <c r="D246">
        <v>0</v>
      </c>
      <c r="E246">
        <v>4.3290043290043281E-3</v>
      </c>
      <c r="F246">
        <v>0</v>
      </c>
      <c r="G246">
        <v>2.3185717597959659E-3</v>
      </c>
      <c r="H246">
        <v>2.1510002151000214E-4</v>
      </c>
      <c r="I246">
        <v>2.8121484814398199E-3</v>
      </c>
      <c r="J246">
        <v>3.1925082473129723E-4</v>
      </c>
      <c r="K246">
        <v>2.0132297958009781E-3</v>
      </c>
      <c r="L246">
        <v>7.9072219293621485E-4</v>
      </c>
      <c r="M246">
        <v>1.2453300124533001E-3</v>
      </c>
      <c r="N246">
        <v>8.3158263305322115E-4</v>
      </c>
      <c r="O246">
        <v>2.5011368804001822E-3</v>
      </c>
      <c r="P246">
        <v>3.6778227289444655E-4</v>
      </c>
      <c r="Q246">
        <v>0.12211798378120525</v>
      </c>
      <c r="R246">
        <v>4.0876565295169948E-2</v>
      </c>
      <c r="S246">
        <v>5.2645788336933043E-2</v>
      </c>
      <c r="T246">
        <v>1.6963528413910093E-3</v>
      </c>
      <c r="U246">
        <v>1.95E-2</v>
      </c>
      <c r="V246">
        <v>5.360101354643796E-3</v>
      </c>
      <c r="W246">
        <v>3.9321700663553704E-3</v>
      </c>
      <c r="X246">
        <v>9.3623168466671264E-2</v>
      </c>
      <c r="Y246">
        <v>1.3592577270846876E-3</v>
      </c>
      <c r="Z246">
        <v>0</v>
      </c>
      <c r="AA246">
        <v>2.9699113229791376E-2</v>
      </c>
      <c r="AB246">
        <v>8.8658246842565985E-2</v>
      </c>
      <c r="AC246">
        <v>5.8022860134368734E-3</v>
      </c>
      <c r="AD246">
        <v>7.730535615681944E-4</v>
      </c>
      <c r="AE246">
        <v>8.6172163925554005E-2</v>
      </c>
      <c r="AF246">
        <v>0.11528907339980264</v>
      </c>
      <c r="AG246">
        <v>7.6566668226704729E-2</v>
      </c>
      <c r="AH246">
        <v>4.2757441174036586E-3</v>
      </c>
      <c r="AI246">
        <v>3.764635018634944E-5</v>
      </c>
      <c r="AJ246"/>
      <c r="AK246"/>
      <c r="AL246"/>
      <c r="AM246"/>
    </row>
    <row r="247" spans="2:39" ht="16" customHeight="1">
      <c r="B247" s="15">
        <v>2</v>
      </c>
      <c r="C247">
        <v>1.4788721219910823E-2</v>
      </c>
      <c r="D247">
        <v>1.3198088822746142E-2</v>
      </c>
      <c r="E247">
        <v>2.4737167594310449E-3</v>
      </c>
      <c r="F247">
        <v>0</v>
      </c>
      <c r="G247">
        <v>6.9557152793878977E-4</v>
      </c>
      <c r="H247">
        <v>7.1700007170000712E-5</v>
      </c>
      <c r="I247">
        <v>9.1394825646794143E-4</v>
      </c>
      <c r="J247">
        <v>1.0641694157709909E-4</v>
      </c>
      <c r="K247">
        <v>6.7107659860032593E-4</v>
      </c>
      <c r="L247">
        <v>2.6357406431207165E-4</v>
      </c>
      <c r="M247">
        <v>4.483188044831881E-2</v>
      </c>
      <c r="N247">
        <v>3.0637254901960778E-4</v>
      </c>
      <c r="O247">
        <v>3.5015916325602546E-2</v>
      </c>
      <c r="P247">
        <v>0</v>
      </c>
      <c r="Q247">
        <v>5.2790586738750193E-2</v>
      </c>
      <c r="R247">
        <v>4.203935599284437E-3</v>
      </c>
      <c r="S247">
        <v>7.9643628509719223E-3</v>
      </c>
      <c r="T247">
        <v>9.693444807948626E-4</v>
      </c>
      <c r="U247">
        <v>8.5000000000000006E-3</v>
      </c>
      <c r="V247">
        <v>3.4109735893187794E-3</v>
      </c>
      <c r="W247">
        <v>1.9660850331776852E-3</v>
      </c>
      <c r="X247">
        <v>7.5325032675242501E-2</v>
      </c>
      <c r="Y247">
        <v>5.8507180426688732E-3</v>
      </c>
      <c r="Z247">
        <v>0</v>
      </c>
      <c r="AA247">
        <v>1.2291762776154597E-2</v>
      </c>
      <c r="AB247">
        <v>2.8735775915968497E-2</v>
      </c>
      <c r="AC247">
        <v>3.2719657970508684E-3</v>
      </c>
      <c r="AD247">
        <v>3.3130866924351189E-4</v>
      </c>
      <c r="AE247">
        <v>5.8330076069635292E-2</v>
      </c>
      <c r="AF247">
        <v>2.9741041957328074E-2</v>
      </c>
      <c r="AG247">
        <v>4.3478260869565223E-2</v>
      </c>
      <c r="AH247">
        <v>1.1585887285867978E-3</v>
      </c>
      <c r="AI247">
        <v>5.6469525279524153E-5</v>
      </c>
      <c r="AJ247"/>
      <c r="AK247"/>
      <c r="AL247"/>
      <c r="AM247"/>
    </row>
    <row r="248" spans="2:39" ht="16" customHeight="1">
      <c r="B248" s="15">
        <v>3</v>
      </c>
      <c r="C248">
        <v>0</v>
      </c>
      <c r="D248">
        <v>0</v>
      </c>
      <c r="E248">
        <v>7.2356215213358055E-2</v>
      </c>
      <c r="F248">
        <v>0</v>
      </c>
      <c r="G248">
        <v>0</v>
      </c>
      <c r="H248">
        <v>0</v>
      </c>
      <c r="I248">
        <v>7.0303712035995494E-5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5.7242804897439971E-3</v>
      </c>
      <c r="R248">
        <v>1.4311270125223615E-3</v>
      </c>
      <c r="S248">
        <v>2.1868250539956802E-3</v>
      </c>
      <c r="T248">
        <v>4.1197140433781657E-3</v>
      </c>
      <c r="U248">
        <v>1.5E-3</v>
      </c>
      <c r="V248">
        <v>1.9491277653250168E-4</v>
      </c>
      <c r="W248">
        <v>2.4576062914721065E-4</v>
      </c>
      <c r="X248">
        <v>0</v>
      </c>
      <c r="Y248">
        <v>5.909816204716034E-5</v>
      </c>
      <c r="Z248">
        <v>0</v>
      </c>
      <c r="AA248">
        <v>1.6300169152698755E-3</v>
      </c>
      <c r="AB248">
        <v>5.5020632737276499E-4</v>
      </c>
      <c r="AC248">
        <v>2.6175726376406945E-4</v>
      </c>
      <c r="AD248">
        <v>4.0493281796429232E-4</v>
      </c>
      <c r="AE248">
        <v>1.8040229712258337E-4</v>
      </c>
      <c r="AF248">
        <v>2.3820056487562527E-4</v>
      </c>
      <c r="AG248">
        <v>3.510085646089765E-3</v>
      </c>
      <c r="AH248">
        <v>2.7585445918733282E-5</v>
      </c>
      <c r="AI248">
        <v>1.882317509317472E-5</v>
      </c>
      <c r="AJ248"/>
      <c r="AK248"/>
      <c r="AL248"/>
      <c r="AM248"/>
    </row>
    <row r="249" spans="2:39" ht="16" customHeight="1">
      <c r="B249" s="15">
        <v>4</v>
      </c>
      <c r="C249">
        <v>0</v>
      </c>
      <c r="D249">
        <v>0</v>
      </c>
      <c r="E249">
        <v>0</v>
      </c>
      <c r="F249">
        <v>3.6166365280289334E-3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2.1243864918321005E-3</v>
      </c>
      <c r="N249">
        <v>0</v>
      </c>
      <c r="O249">
        <v>3.0695770804911324E-3</v>
      </c>
      <c r="P249">
        <v>0</v>
      </c>
      <c r="Q249">
        <v>3.180155827635554E-4</v>
      </c>
      <c r="R249">
        <v>0</v>
      </c>
      <c r="S249">
        <v>4.0496760259179265E-4</v>
      </c>
      <c r="T249">
        <v>0</v>
      </c>
      <c r="U249">
        <v>0</v>
      </c>
      <c r="V249">
        <v>9.7456388266250839E-5</v>
      </c>
      <c r="W249">
        <v>0</v>
      </c>
      <c r="X249">
        <v>3.4394992089151823E-4</v>
      </c>
      <c r="Y249">
        <v>0</v>
      </c>
      <c r="Z249">
        <v>0</v>
      </c>
      <c r="AA249">
        <v>1.3327182326105901E-4</v>
      </c>
      <c r="AB249">
        <v>1.0003751406777544E-4</v>
      </c>
      <c r="AC249">
        <v>4.3626210627344917E-5</v>
      </c>
      <c r="AD249">
        <v>0</v>
      </c>
      <c r="AE249">
        <v>1.2026819808172226E-4</v>
      </c>
      <c r="AF249">
        <v>0</v>
      </c>
      <c r="AG249">
        <v>2.8080685168718116E-4</v>
      </c>
      <c r="AH249">
        <v>0</v>
      </c>
      <c r="AI249">
        <v>0</v>
      </c>
      <c r="AJ249"/>
      <c r="AK249"/>
      <c r="AL249"/>
      <c r="AM249"/>
    </row>
    <row r="250" spans="2:39" ht="16" customHeight="1">
      <c r="B250" s="15">
        <v>5</v>
      </c>
      <c r="C250">
        <v>0</v>
      </c>
      <c r="D250">
        <v>0</v>
      </c>
      <c r="E250">
        <v>3.0921459492888061E-4</v>
      </c>
      <c r="F250">
        <v>0</v>
      </c>
      <c r="G250">
        <v>3.941571991653142E-3</v>
      </c>
      <c r="H250">
        <v>2.3900002390000237E-5</v>
      </c>
      <c r="I250">
        <v>2.1091113610798647E-4</v>
      </c>
      <c r="J250">
        <v>0</v>
      </c>
      <c r="K250">
        <v>9.5868085514332294E-5</v>
      </c>
      <c r="L250">
        <v>0</v>
      </c>
      <c r="M250">
        <v>7.3254706614900016E-5</v>
      </c>
      <c r="N250">
        <v>8.7535014005602242E-5</v>
      </c>
      <c r="O250">
        <v>2.2737608003638019E-4</v>
      </c>
      <c r="P250">
        <v>0</v>
      </c>
      <c r="Q250">
        <v>3.180155827635554E-4</v>
      </c>
      <c r="R250">
        <v>2.6833631484794273E-4</v>
      </c>
      <c r="S250">
        <v>5.4805615550755941E-3</v>
      </c>
      <c r="T250">
        <v>2.1810250817884407E-3</v>
      </c>
      <c r="U250">
        <v>0</v>
      </c>
      <c r="V250">
        <v>2.4169184290030208E-2</v>
      </c>
      <c r="W250">
        <v>2.4576062914721065E-4</v>
      </c>
      <c r="X250">
        <v>2.4076494462406277E-2</v>
      </c>
      <c r="Y250">
        <v>7.0917794456592403E-4</v>
      </c>
      <c r="Z250">
        <v>0</v>
      </c>
      <c r="AA250">
        <v>6.3765441591060543E-3</v>
      </c>
      <c r="AB250">
        <v>2.7260222583468806E-3</v>
      </c>
      <c r="AC250">
        <v>8.7252421254689822E-4</v>
      </c>
      <c r="AD250">
        <v>4.4174489232468251E-4</v>
      </c>
      <c r="AE250">
        <v>4.2093869328602786E-4</v>
      </c>
      <c r="AF250">
        <v>6.465443903766972E-4</v>
      </c>
      <c r="AG250">
        <v>3.5568867880376282E-3</v>
      </c>
      <c r="AH250">
        <v>1.1034178367493313E-4</v>
      </c>
      <c r="AI250">
        <v>0</v>
      </c>
      <c r="AJ250"/>
      <c r="AK250"/>
      <c r="AL250"/>
      <c r="AM250"/>
    </row>
    <row r="251" spans="2:39" ht="16" customHeight="1">
      <c r="B251" s="15">
        <v>6</v>
      </c>
      <c r="C251">
        <v>0</v>
      </c>
      <c r="D251">
        <v>0.63295997493538025</v>
      </c>
      <c r="E251">
        <v>1.8862090290661715E-2</v>
      </c>
      <c r="F251">
        <v>0</v>
      </c>
      <c r="G251">
        <v>2.3185717597959662E-4</v>
      </c>
      <c r="H251">
        <v>1.8881001888100189E-2</v>
      </c>
      <c r="I251">
        <v>1.265466816647919E-3</v>
      </c>
      <c r="J251">
        <v>2.1283388315419818E-4</v>
      </c>
      <c r="K251">
        <v>3.2355478861087146E-2</v>
      </c>
      <c r="L251">
        <v>5.2714812862414331E-4</v>
      </c>
      <c r="M251">
        <v>2.3661270236612703E-2</v>
      </c>
      <c r="N251">
        <v>5.2521008403361342E-4</v>
      </c>
      <c r="O251">
        <v>1.9099590723055934E-2</v>
      </c>
      <c r="P251">
        <v>8.0912100036778234E-3</v>
      </c>
      <c r="Q251">
        <v>4.7702337414533302E-4</v>
      </c>
      <c r="R251">
        <v>2.3076923076923078E-2</v>
      </c>
      <c r="S251">
        <v>1.0043196544276458E-2</v>
      </c>
      <c r="T251">
        <v>8.4817642069550466E-4</v>
      </c>
      <c r="U251">
        <v>1E-3</v>
      </c>
      <c r="V251">
        <v>2.1440405418575188E-3</v>
      </c>
      <c r="W251">
        <v>1.9660850331776852E-3</v>
      </c>
      <c r="X251">
        <v>2.0499415285134489E-2</v>
      </c>
      <c r="Y251">
        <v>1.1169552626913304E-2</v>
      </c>
      <c r="Z251">
        <v>0</v>
      </c>
      <c r="AA251">
        <v>4.1734584038136249E-2</v>
      </c>
      <c r="AB251">
        <v>2.3833937726647499E-2</v>
      </c>
      <c r="AC251">
        <v>1.9195532676031762E-3</v>
      </c>
      <c r="AD251">
        <v>4.5646972206883863E-3</v>
      </c>
      <c r="AE251">
        <v>1.8611503653146518E-2</v>
      </c>
      <c r="AF251">
        <v>3.1646646476333079E-3</v>
      </c>
      <c r="AG251">
        <v>1.9001263630832595E-2</v>
      </c>
      <c r="AH251">
        <v>2.2344211194173956E-3</v>
      </c>
      <c r="AI251">
        <v>1.882317509317472E-5</v>
      </c>
      <c r="AJ251"/>
      <c r="AK251"/>
      <c r="AL251"/>
      <c r="AM251"/>
    </row>
    <row r="252" spans="2:39" ht="16" customHeight="1">
      <c r="B252" s="15">
        <v>7</v>
      </c>
      <c r="C252">
        <v>9.1207692673870605E-2</v>
      </c>
      <c r="D252">
        <v>0</v>
      </c>
      <c r="E252">
        <v>6.1842918985776122E-3</v>
      </c>
      <c r="F252">
        <v>0</v>
      </c>
      <c r="G252">
        <v>0</v>
      </c>
      <c r="H252">
        <v>0</v>
      </c>
      <c r="I252">
        <v>1.4060742407199099E-4</v>
      </c>
      <c r="J252">
        <v>0</v>
      </c>
      <c r="K252">
        <v>4.7934042757166147E-5</v>
      </c>
      <c r="L252">
        <v>0</v>
      </c>
      <c r="M252">
        <v>7.3254706614900016E-5</v>
      </c>
      <c r="N252">
        <v>4.3767507002801121E-5</v>
      </c>
      <c r="O252">
        <v>1.0459299681673487E-2</v>
      </c>
      <c r="P252">
        <v>6.6200809121000374E-3</v>
      </c>
      <c r="Q252">
        <v>0</v>
      </c>
      <c r="R252">
        <v>5.9928443649373882E-3</v>
      </c>
      <c r="S252">
        <v>3.67170626349892E-3</v>
      </c>
      <c r="T252">
        <v>1.2116806009935783E-4</v>
      </c>
      <c r="U252">
        <v>0</v>
      </c>
      <c r="V252">
        <v>3.8982555306500336E-4</v>
      </c>
      <c r="W252">
        <v>2.4576062914721065E-4</v>
      </c>
      <c r="X252">
        <v>1.1006397468528585E-3</v>
      </c>
      <c r="Y252">
        <v>5.5256781514094909E-3</v>
      </c>
      <c r="Z252">
        <v>0</v>
      </c>
      <c r="AA252">
        <v>3.2497821518273616E-3</v>
      </c>
      <c r="AB252">
        <v>2.7260222583468806E-3</v>
      </c>
      <c r="AC252">
        <v>6.1076694878282878E-4</v>
      </c>
      <c r="AD252">
        <v>1.4724829744156085E-4</v>
      </c>
      <c r="AE252">
        <v>5.4120689136775016E-3</v>
      </c>
      <c r="AF252">
        <v>1.3611460850035731E-4</v>
      </c>
      <c r="AG252">
        <v>7.8157907052932088E-3</v>
      </c>
      <c r="AH252">
        <v>5.5170891837466563E-5</v>
      </c>
      <c r="AI252">
        <v>0</v>
      </c>
      <c r="AJ252"/>
      <c r="AK252"/>
      <c r="AL252"/>
      <c r="AM252"/>
    </row>
    <row r="253" spans="2:39" ht="16" customHeight="1">
      <c r="B253" s="15">
        <v>8</v>
      </c>
      <c r="C253">
        <v>0</v>
      </c>
      <c r="D253">
        <v>0.10151170987702671</v>
      </c>
      <c r="E253">
        <v>5.9369202226345077E-2</v>
      </c>
      <c r="F253">
        <v>0</v>
      </c>
      <c r="G253">
        <v>0</v>
      </c>
      <c r="H253">
        <v>2.3900002390000237E-5</v>
      </c>
      <c r="I253">
        <v>2.8121484814398198E-4</v>
      </c>
      <c r="J253">
        <v>1.6601042886027456E-2</v>
      </c>
      <c r="K253">
        <v>1.4380212827149843E-4</v>
      </c>
      <c r="L253">
        <v>3.5846072746441741E-2</v>
      </c>
      <c r="M253">
        <v>1.1794007764998903E-2</v>
      </c>
      <c r="N253">
        <v>8.7535014005602242E-5</v>
      </c>
      <c r="O253">
        <v>2.7285129604365621E-3</v>
      </c>
      <c r="P253">
        <v>1.4711290915777862E-3</v>
      </c>
      <c r="Q253">
        <v>1.590077913817777E-4</v>
      </c>
      <c r="R253">
        <v>5.6350626118067976E-3</v>
      </c>
      <c r="S253">
        <v>2.2138228941684665E-3</v>
      </c>
      <c r="T253">
        <v>2.4233612019871565E-4</v>
      </c>
      <c r="U253">
        <v>0</v>
      </c>
      <c r="V253">
        <v>4.8728194133125421E-4</v>
      </c>
      <c r="W253">
        <v>4.915212582944213E-4</v>
      </c>
      <c r="X253">
        <v>4.2649790190548266E-3</v>
      </c>
      <c r="Y253">
        <v>8.362389929673187E-3</v>
      </c>
      <c r="Z253">
        <v>0</v>
      </c>
      <c r="AA253">
        <v>9.3700343431236868E-3</v>
      </c>
      <c r="AB253">
        <v>2.7260222583468806E-3</v>
      </c>
      <c r="AC253">
        <v>6.9801937003751867E-4</v>
      </c>
      <c r="AD253">
        <v>2.9817780231916067E-3</v>
      </c>
      <c r="AE253">
        <v>1.1726149312967918E-3</v>
      </c>
      <c r="AF253">
        <v>1.3611460850035731E-4</v>
      </c>
      <c r="AG253">
        <v>7.9561941311368008E-3</v>
      </c>
      <c r="AH253">
        <v>1.3792722959366641E-4</v>
      </c>
      <c r="AI253">
        <v>1.882317509317472E-5</v>
      </c>
      <c r="AJ253"/>
      <c r="AK253"/>
      <c r="AL253"/>
      <c r="AM253"/>
    </row>
    <row r="254" spans="2:39" ht="16" customHeight="1">
      <c r="B254" s="15">
        <v>9</v>
      </c>
      <c r="C254">
        <v>0.13163866012916328</v>
      </c>
      <c r="D254">
        <v>7.2060781702827596E-3</v>
      </c>
      <c r="E254">
        <v>2.8138528138528133E-2</v>
      </c>
      <c r="F254">
        <v>0</v>
      </c>
      <c r="G254">
        <v>0</v>
      </c>
      <c r="H254">
        <v>1.8881001888100188E-3</v>
      </c>
      <c r="I254">
        <v>3.0230596175478061E-3</v>
      </c>
      <c r="J254">
        <v>7.4279025220815156E-2</v>
      </c>
      <c r="K254">
        <v>8.2877959927140268E-2</v>
      </c>
      <c r="L254">
        <v>4.1381128096995241E-2</v>
      </c>
      <c r="M254">
        <v>2.6884477327668306E-2</v>
      </c>
      <c r="N254">
        <v>1.3130252100840336E-4</v>
      </c>
      <c r="O254">
        <v>8.5266030013642566E-3</v>
      </c>
      <c r="P254">
        <v>4.7811695476278051E-3</v>
      </c>
      <c r="Q254">
        <v>1.590077913817777E-4</v>
      </c>
      <c r="R254">
        <v>6.5295169946332733E-3</v>
      </c>
      <c r="S254">
        <v>5.5885529157667386E-3</v>
      </c>
      <c r="T254">
        <v>2.4233612019871565E-4</v>
      </c>
      <c r="U254">
        <v>0</v>
      </c>
      <c r="V254">
        <v>5.8473832959750501E-4</v>
      </c>
      <c r="W254">
        <v>4.915212582944213E-4</v>
      </c>
      <c r="X254">
        <v>6.5350484969388467E-3</v>
      </c>
      <c r="Y254">
        <v>1.1435494356125526E-2</v>
      </c>
      <c r="Z254">
        <v>0</v>
      </c>
      <c r="AA254">
        <v>1.1707417089548413E-2</v>
      </c>
      <c r="AB254">
        <v>5.1769413530073785E-3</v>
      </c>
      <c r="AC254">
        <v>5.6714073815548383E-4</v>
      </c>
      <c r="AD254">
        <v>3.3867108411558991E-3</v>
      </c>
      <c r="AE254">
        <v>1.3349769987071171E-2</v>
      </c>
      <c r="AF254">
        <v>1.4292033892537518E-3</v>
      </c>
      <c r="AG254">
        <v>5.8033416015350779E-3</v>
      </c>
      <c r="AH254">
        <v>1.9309812143113294E-4</v>
      </c>
      <c r="AI254">
        <v>1.882317509317472E-5</v>
      </c>
      <c r="AJ254"/>
      <c r="AK254"/>
      <c r="AL254"/>
      <c r="AM254"/>
    </row>
    <row r="255" spans="2:39" ht="16" customHeight="1">
      <c r="B255" s="15">
        <v>10</v>
      </c>
      <c r="C255">
        <v>3.4591644055156218E-3</v>
      </c>
      <c r="D255">
        <v>0</v>
      </c>
      <c r="E255">
        <v>7.7303648732220155E-3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2.6148249204183717E-3</v>
      </c>
      <c r="P255">
        <v>7.355645457888931E-4</v>
      </c>
      <c r="Q255">
        <v>0</v>
      </c>
      <c r="R255">
        <v>4.4722719141323793E-4</v>
      </c>
      <c r="S255">
        <v>7.2894168466522684E-4</v>
      </c>
      <c r="T255">
        <v>3.6350418029807341E-4</v>
      </c>
      <c r="U255">
        <v>0</v>
      </c>
      <c r="V255">
        <v>9.7456388266250839E-5</v>
      </c>
      <c r="W255">
        <v>0</v>
      </c>
      <c r="X255">
        <v>4.8152988924812551E-4</v>
      </c>
      <c r="Y255">
        <v>1.8320430234619704E-3</v>
      </c>
      <c r="Z255">
        <v>0</v>
      </c>
      <c r="AA255">
        <v>3.3830539750884204E-4</v>
      </c>
      <c r="AB255">
        <v>3.251219207202702E-4</v>
      </c>
      <c r="AC255">
        <v>1.7450484250937967E-4</v>
      </c>
      <c r="AD255">
        <v>1.8406037180195104E-4</v>
      </c>
      <c r="AE255">
        <v>1.3620373432755045E-2</v>
      </c>
      <c r="AF255">
        <v>6.1251573825160796E-4</v>
      </c>
      <c r="AG255">
        <v>2.1528525296017221E-3</v>
      </c>
      <c r="AH255">
        <v>2.7585445918733282E-5</v>
      </c>
      <c r="AI255">
        <v>0</v>
      </c>
      <c r="AJ255"/>
      <c r="AK255"/>
      <c r="AL255"/>
      <c r="AM255"/>
    </row>
    <row r="256" spans="2:39" ht="16" customHeight="1">
      <c r="B256" s="15">
        <v>11</v>
      </c>
      <c r="C256">
        <v>2.4515637644594659E-2</v>
      </c>
      <c r="D256">
        <v>4.6604527296937419E-3</v>
      </c>
      <c r="E256">
        <v>1.6079158936301793E-2</v>
      </c>
      <c r="F256">
        <v>0</v>
      </c>
      <c r="G256">
        <v>0</v>
      </c>
      <c r="H256">
        <v>8.2216008221600804E-3</v>
      </c>
      <c r="I256">
        <v>4.9775028121484807E-2</v>
      </c>
      <c r="J256">
        <v>2.9690326700010643E-2</v>
      </c>
      <c r="K256">
        <v>4.1127408685648549E-2</v>
      </c>
      <c r="L256">
        <v>2.7411702688455452E-2</v>
      </c>
      <c r="M256">
        <v>8.9370742070178002E-3</v>
      </c>
      <c r="N256">
        <v>8.7535014005602242E-5</v>
      </c>
      <c r="O256">
        <v>5.9117780809458849E-3</v>
      </c>
      <c r="P256">
        <v>1.4711290915777862E-3</v>
      </c>
      <c r="Q256">
        <v>1.590077913817777E-4</v>
      </c>
      <c r="R256">
        <v>7.4239713774597498E-3</v>
      </c>
      <c r="S256">
        <v>5.3995680345572351E-3</v>
      </c>
      <c r="T256">
        <v>7.2700836059614682E-4</v>
      </c>
      <c r="U256">
        <v>0</v>
      </c>
      <c r="V256">
        <v>6.8219471786375586E-4</v>
      </c>
      <c r="W256">
        <v>4.915212582944213E-4</v>
      </c>
      <c r="X256">
        <v>4.1961890348765222E-3</v>
      </c>
      <c r="Y256">
        <v>5.2301873411736899E-3</v>
      </c>
      <c r="Z256">
        <v>0</v>
      </c>
      <c r="AA256">
        <v>7.2581885283715206E-3</v>
      </c>
      <c r="AB256">
        <v>3.5013129923721405E-3</v>
      </c>
      <c r="AC256">
        <v>1.0906552656836227E-3</v>
      </c>
      <c r="AD256">
        <v>1.2147984538928768E-3</v>
      </c>
      <c r="AE256">
        <v>1.1034607173998017E-2</v>
      </c>
      <c r="AF256">
        <v>1.4972606935039305E-3</v>
      </c>
      <c r="AG256">
        <v>1.4274348294098377E-2</v>
      </c>
      <c r="AH256">
        <v>4.6895258061846576E-4</v>
      </c>
      <c r="AI256">
        <v>1.3176222565222301E-4</v>
      </c>
      <c r="AJ256"/>
      <c r="AK256"/>
      <c r="AL256"/>
      <c r="AM256"/>
    </row>
    <row r="257" spans="2:39" ht="16" customHeight="1">
      <c r="B257" s="15">
        <v>12</v>
      </c>
      <c r="C257">
        <v>2.88792624680662E-2</v>
      </c>
      <c r="D257">
        <v>0</v>
      </c>
      <c r="E257">
        <v>1.9789734075448359E-2</v>
      </c>
      <c r="F257">
        <v>0</v>
      </c>
      <c r="G257">
        <v>0</v>
      </c>
      <c r="H257">
        <v>4.7800004780000475E-5</v>
      </c>
      <c r="I257">
        <v>5.6242969628796395E-4</v>
      </c>
      <c r="J257">
        <v>1.0641694157709909E-4</v>
      </c>
      <c r="K257">
        <v>2.8760425654299687E-4</v>
      </c>
      <c r="L257">
        <v>0.21217712177121767</v>
      </c>
      <c r="M257">
        <v>4.8055087539374403E-2</v>
      </c>
      <c r="N257">
        <v>2.1883753501400558E-4</v>
      </c>
      <c r="O257">
        <v>0.13631195998180992</v>
      </c>
      <c r="P257">
        <v>7.35564545788893E-3</v>
      </c>
      <c r="Q257">
        <v>1.590077913817777E-4</v>
      </c>
      <c r="R257">
        <v>8.1037567084078707E-2</v>
      </c>
      <c r="S257">
        <v>2.6727861771058316E-2</v>
      </c>
      <c r="T257">
        <v>5.694898824669818E-3</v>
      </c>
      <c r="U257">
        <v>0.02</v>
      </c>
      <c r="V257">
        <v>1.4618458239937626E-3</v>
      </c>
      <c r="W257">
        <v>1.2288031457360531E-3</v>
      </c>
      <c r="X257">
        <v>1.1075187452706888E-2</v>
      </c>
      <c r="Y257">
        <v>3.359730512381065E-2</v>
      </c>
      <c r="Z257">
        <v>0</v>
      </c>
      <c r="AA257">
        <v>2.000102516787124E-2</v>
      </c>
      <c r="AB257">
        <v>5.5520820307615364E-3</v>
      </c>
      <c r="AC257">
        <v>2.3121891632492801E-3</v>
      </c>
      <c r="AD257">
        <v>1.3620467513344378E-3</v>
      </c>
      <c r="AE257">
        <v>9.1403830542108912E-3</v>
      </c>
      <c r="AF257">
        <v>2.2458910402558957E-3</v>
      </c>
      <c r="AG257">
        <v>3.0561145691954884E-2</v>
      </c>
      <c r="AH257">
        <v>7.4480703980579863E-4</v>
      </c>
      <c r="AI257">
        <v>3.764635018634944E-5</v>
      </c>
      <c r="AJ257"/>
      <c r="AK257"/>
      <c r="AL257"/>
      <c r="AM257"/>
    </row>
    <row r="258" spans="2:39" ht="16" customHeight="1">
      <c r="B258" s="15">
        <v>13</v>
      </c>
      <c r="C258">
        <v>1.1424763174180035E-3</v>
      </c>
      <c r="D258">
        <v>0</v>
      </c>
      <c r="E258">
        <v>1.8552875695732837E-3</v>
      </c>
      <c r="F258">
        <v>0</v>
      </c>
      <c r="G258">
        <v>0</v>
      </c>
      <c r="H258">
        <v>0</v>
      </c>
      <c r="I258">
        <v>7.0303712035995494E-5</v>
      </c>
      <c r="J258">
        <v>0</v>
      </c>
      <c r="K258">
        <v>4.7934042757166147E-5</v>
      </c>
      <c r="L258">
        <v>0</v>
      </c>
      <c r="M258">
        <v>7.3254706614900016E-5</v>
      </c>
      <c r="N258">
        <v>4.3767507002801121E-5</v>
      </c>
      <c r="O258">
        <v>0.15120509322419282</v>
      </c>
      <c r="P258">
        <v>4.1559396837072458E-2</v>
      </c>
      <c r="Q258">
        <v>3.180155827635554E-4</v>
      </c>
      <c r="R258">
        <v>1.4311270125223615E-3</v>
      </c>
      <c r="S258">
        <v>2.5917926565874731E-3</v>
      </c>
      <c r="T258">
        <v>1.2116806009935783E-4</v>
      </c>
      <c r="U258">
        <v>0</v>
      </c>
      <c r="V258">
        <v>1.9491277653250168E-4</v>
      </c>
      <c r="W258">
        <v>2.4576062914721065E-4</v>
      </c>
      <c r="X258">
        <v>1.7266286028754217E-2</v>
      </c>
      <c r="Y258">
        <v>7.4168193369186231E-3</v>
      </c>
      <c r="Z258">
        <v>0</v>
      </c>
      <c r="AA258">
        <v>2.808959967194628E-3</v>
      </c>
      <c r="AB258">
        <v>8.0030011254220352E-4</v>
      </c>
      <c r="AC258">
        <v>2.6175726376406945E-4</v>
      </c>
      <c r="AD258">
        <v>2.6872814283084852E-3</v>
      </c>
      <c r="AE258">
        <v>3.3675095462882229E-3</v>
      </c>
      <c r="AF258">
        <v>1.8035185626297343E-3</v>
      </c>
      <c r="AG258">
        <v>3.510085646089765E-3</v>
      </c>
      <c r="AH258">
        <v>6.8963614796833201E-4</v>
      </c>
      <c r="AI258">
        <v>0</v>
      </c>
      <c r="AJ258"/>
      <c r="AK258"/>
      <c r="AL258"/>
      <c r="AM258"/>
    </row>
    <row r="259" spans="2:39" ht="16" customHeight="1">
      <c r="B259" s="15">
        <v>14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6.07060060706006E-3</v>
      </c>
      <c r="I259">
        <v>7.0303712035995494E-5</v>
      </c>
      <c r="J259">
        <v>0</v>
      </c>
      <c r="K259">
        <v>4.7934042757166147E-5</v>
      </c>
      <c r="L259">
        <v>0</v>
      </c>
      <c r="M259">
        <v>7.3254706614900016E-5</v>
      </c>
      <c r="N259">
        <v>4.3767507002801121E-5</v>
      </c>
      <c r="O259">
        <v>1.136880400181901E-4</v>
      </c>
      <c r="P259">
        <v>0.15593968370724531</v>
      </c>
      <c r="Q259">
        <v>0</v>
      </c>
      <c r="R259">
        <v>1.7889087656529517E-3</v>
      </c>
      <c r="S259">
        <v>3.2127429805615553E-3</v>
      </c>
      <c r="T259">
        <v>0</v>
      </c>
      <c r="U259">
        <v>0</v>
      </c>
      <c r="V259">
        <v>9.7456388266250839E-5</v>
      </c>
      <c r="W259">
        <v>0</v>
      </c>
      <c r="X259">
        <v>2.545229414597235E-3</v>
      </c>
      <c r="Y259">
        <v>2.9549081023580166E-4</v>
      </c>
      <c r="Z259">
        <v>0</v>
      </c>
      <c r="AA259">
        <v>2.5731713568096777E-3</v>
      </c>
      <c r="AB259">
        <v>3.7514067775415791E-4</v>
      </c>
      <c r="AC259">
        <v>1.3087863188203472E-4</v>
      </c>
      <c r="AD259">
        <v>2.5768452052273147E-4</v>
      </c>
      <c r="AE259">
        <v>1.8340900207462643E-3</v>
      </c>
      <c r="AF259">
        <v>5.4445843400142925E-4</v>
      </c>
      <c r="AG259">
        <v>1.4040342584359059E-3</v>
      </c>
      <c r="AH259">
        <v>5.5170891837466563E-5</v>
      </c>
      <c r="AI259">
        <v>0</v>
      </c>
      <c r="AJ259"/>
      <c r="AK259"/>
      <c r="AL259"/>
      <c r="AM259"/>
    </row>
    <row r="260" spans="2:39" ht="16" customHeight="1">
      <c r="B260" s="15">
        <v>15</v>
      </c>
      <c r="C260">
        <v>0</v>
      </c>
      <c r="D260">
        <v>0</v>
      </c>
      <c r="E260">
        <v>0.52257266542980818</v>
      </c>
      <c r="F260">
        <v>0</v>
      </c>
      <c r="G260">
        <v>0</v>
      </c>
      <c r="H260">
        <v>2.3900002390000237E-5</v>
      </c>
      <c r="I260">
        <v>2.1091113610798647E-4</v>
      </c>
      <c r="J260">
        <v>0</v>
      </c>
      <c r="K260">
        <v>9.5868085514332294E-5</v>
      </c>
      <c r="L260">
        <v>0</v>
      </c>
      <c r="M260">
        <v>1.4650941322980003E-4</v>
      </c>
      <c r="N260">
        <v>8.7535014005602242E-5</v>
      </c>
      <c r="O260">
        <v>2.2737608003638019E-4</v>
      </c>
      <c r="P260">
        <v>0</v>
      </c>
      <c r="Q260">
        <v>0.16695818095086656</v>
      </c>
      <c r="R260">
        <v>2.6833631484794273E-4</v>
      </c>
      <c r="S260">
        <v>1.2419006479481641E-3</v>
      </c>
      <c r="T260">
        <v>1.2116806009935783E-4</v>
      </c>
      <c r="U260">
        <v>0</v>
      </c>
      <c r="V260">
        <v>6.8219471786375586E-4</v>
      </c>
      <c r="W260">
        <v>2.4576062914721065E-4</v>
      </c>
      <c r="X260">
        <v>3.5770791772717896E-3</v>
      </c>
      <c r="Y260">
        <v>2.5412209680278942E-3</v>
      </c>
      <c r="Z260">
        <v>0</v>
      </c>
      <c r="AA260">
        <v>7.288943564508688E-3</v>
      </c>
      <c r="AB260">
        <v>1.3004876828810808E-3</v>
      </c>
      <c r="AC260">
        <v>3.0538347439141439E-4</v>
      </c>
      <c r="AD260">
        <v>9.2030185900975525E-4</v>
      </c>
      <c r="AE260">
        <v>2.405363961634445E-3</v>
      </c>
      <c r="AF260">
        <v>5.784870861265186E-4</v>
      </c>
      <c r="AG260">
        <v>2.0592502457059954E-3</v>
      </c>
      <c r="AH260">
        <v>1.1034178367493313E-4</v>
      </c>
      <c r="AI260">
        <v>1.6940857583857248E-4</v>
      </c>
      <c r="AJ260"/>
      <c r="AK260"/>
      <c r="AL260"/>
      <c r="AM260"/>
    </row>
    <row r="261" spans="2:39" ht="16" customHeight="1">
      <c r="B261" s="15">
        <v>16</v>
      </c>
      <c r="C261">
        <v>0</v>
      </c>
      <c r="D261">
        <v>0</v>
      </c>
      <c r="E261">
        <v>9.2764378478664184E-4</v>
      </c>
      <c r="F261">
        <v>0</v>
      </c>
      <c r="G261">
        <v>0</v>
      </c>
      <c r="H261">
        <v>2.3900002390000237E-5</v>
      </c>
      <c r="I261">
        <v>3.5151856017997748E-4</v>
      </c>
      <c r="J261">
        <v>0</v>
      </c>
      <c r="K261">
        <v>5.2727447032882764E-4</v>
      </c>
      <c r="L261">
        <v>2.6357406431207165E-4</v>
      </c>
      <c r="M261">
        <v>2.1976411984470003E-4</v>
      </c>
      <c r="N261">
        <v>1.3130252100840336E-4</v>
      </c>
      <c r="O261">
        <v>3.6380172805820831E-3</v>
      </c>
      <c r="P261">
        <v>7.355645457888931E-4</v>
      </c>
      <c r="Q261">
        <v>1.1130545396724437E-3</v>
      </c>
      <c r="R261">
        <v>0.15751341681574238</v>
      </c>
      <c r="S261">
        <v>8.5583153347732182E-3</v>
      </c>
      <c r="T261">
        <v>7.2700836059614682E-4</v>
      </c>
      <c r="U261">
        <v>6.0000000000000001E-3</v>
      </c>
      <c r="V261">
        <v>3.021148036253776E-3</v>
      </c>
      <c r="W261">
        <v>7.372818874416319E-4</v>
      </c>
      <c r="X261">
        <v>2.4558024351654405E-2</v>
      </c>
      <c r="Y261">
        <v>4.0777731812540637E-3</v>
      </c>
      <c r="Z261">
        <v>0</v>
      </c>
      <c r="AA261">
        <v>1.3521964221641295E-2</v>
      </c>
      <c r="AB261">
        <v>1.8757033887707895E-3</v>
      </c>
      <c r="AC261">
        <v>1.2651601081930025E-3</v>
      </c>
      <c r="AD261">
        <v>1.914227866740291E-3</v>
      </c>
      <c r="AE261">
        <v>5.5323371117592234E-3</v>
      </c>
      <c r="AF261">
        <v>1.7014326062544665E-3</v>
      </c>
      <c r="AG261">
        <v>1.8346047643562506E-2</v>
      </c>
      <c r="AH261">
        <v>2.2068356734986625E-4</v>
      </c>
      <c r="AI261">
        <v>0</v>
      </c>
      <c r="AJ261"/>
      <c r="AK261"/>
      <c r="AL261"/>
      <c r="AM261"/>
    </row>
    <row r="262" spans="2:39" ht="16" customHeight="1">
      <c r="B262" s="15">
        <v>17</v>
      </c>
      <c r="C262">
        <v>4.3636248234715409E-3</v>
      </c>
      <c r="D262">
        <v>0</v>
      </c>
      <c r="E262">
        <v>1.0513296227581941E-2</v>
      </c>
      <c r="F262">
        <v>0</v>
      </c>
      <c r="G262">
        <v>5.1008578715511258E-3</v>
      </c>
      <c r="H262">
        <v>1.912000191200019E-4</v>
      </c>
      <c r="I262">
        <v>1.0545556805399323E-3</v>
      </c>
      <c r="J262">
        <v>1.0641694157709909E-4</v>
      </c>
      <c r="K262">
        <v>2.2529000095868087E-3</v>
      </c>
      <c r="L262">
        <v>5.2714812862414331E-4</v>
      </c>
      <c r="M262">
        <v>1.5456743095743904E-2</v>
      </c>
      <c r="N262">
        <v>3.9390756302521004E-4</v>
      </c>
      <c r="O262">
        <v>4.8885857207821735E-3</v>
      </c>
      <c r="P262">
        <v>1.4711290915777862E-3</v>
      </c>
      <c r="Q262">
        <v>4.7702337414533302E-4</v>
      </c>
      <c r="R262">
        <v>8.1395348837209301E-3</v>
      </c>
      <c r="S262">
        <v>0.12783477321814254</v>
      </c>
      <c r="T262">
        <v>1.6478856173512663E-2</v>
      </c>
      <c r="U262">
        <v>0.29949999999999999</v>
      </c>
      <c r="V262">
        <v>6.5003410973589318E-2</v>
      </c>
      <c r="W262">
        <v>2.2118456623248959E-3</v>
      </c>
      <c r="X262">
        <v>2.6896883813716726E-2</v>
      </c>
      <c r="Y262">
        <v>1.5040482241002306E-2</v>
      </c>
      <c r="Z262">
        <v>0</v>
      </c>
      <c r="AA262">
        <v>3.6536982930954941E-2</v>
      </c>
      <c r="AB262">
        <v>1.2729773665124424E-2</v>
      </c>
      <c r="AC262">
        <v>4.9297618008899754E-3</v>
      </c>
      <c r="AD262">
        <v>3.3498987667955086E-3</v>
      </c>
      <c r="AE262">
        <v>3.6260861721639261E-2</v>
      </c>
      <c r="AF262">
        <v>4.0153809507605413E-3</v>
      </c>
      <c r="AG262">
        <v>4.6192727102541305E-2</v>
      </c>
      <c r="AH262">
        <v>6.0687981021213225E-4</v>
      </c>
      <c r="AI262">
        <v>1.882317509317472E-5</v>
      </c>
      <c r="AJ262"/>
      <c r="AK262"/>
      <c r="AL262"/>
      <c r="AM262"/>
    </row>
    <row r="263" spans="2:39" ht="16" customHeight="1">
      <c r="B263" s="15">
        <v>18</v>
      </c>
      <c r="C263">
        <v>0</v>
      </c>
      <c r="D263">
        <v>0</v>
      </c>
      <c r="E263">
        <v>3.0921459492888061E-4</v>
      </c>
      <c r="F263">
        <v>0</v>
      </c>
      <c r="G263">
        <v>0.30929747275678188</v>
      </c>
      <c r="H263">
        <v>2.3900002390000237E-5</v>
      </c>
      <c r="I263">
        <v>2.1091113610798647E-4</v>
      </c>
      <c r="J263">
        <v>0</v>
      </c>
      <c r="K263">
        <v>9.5868085514332294E-5</v>
      </c>
      <c r="L263">
        <v>0</v>
      </c>
      <c r="M263">
        <v>7.3254706614900016E-5</v>
      </c>
      <c r="N263">
        <v>8.7535014005602242E-5</v>
      </c>
      <c r="O263">
        <v>7.9581628012733048E-4</v>
      </c>
      <c r="P263">
        <v>0</v>
      </c>
      <c r="Q263">
        <v>0</v>
      </c>
      <c r="R263">
        <v>2.8801431127012524E-2</v>
      </c>
      <c r="S263">
        <v>3.0507559395248382E-3</v>
      </c>
      <c r="T263">
        <v>7.5245365321701202E-2</v>
      </c>
      <c r="U263">
        <v>1.9E-2</v>
      </c>
      <c r="V263">
        <v>7.7965110613000671E-4</v>
      </c>
      <c r="W263">
        <v>2.4576062914721065E-4</v>
      </c>
      <c r="X263">
        <v>3.4394992089151824E-3</v>
      </c>
      <c r="Y263">
        <v>6.323503339046156E-3</v>
      </c>
      <c r="Z263">
        <v>0</v>
      </c>
      <c r="AA263">
        <v>6.0894971551591574E-3</v>
      </c>
      <c r="AB263">
        <v>2.6509941227960492E-3</v>
      </c>
      <c r="AC263">
        <v>4.7988831690079406E-4</v>
      </c>
      <c r="AD263">
        <v>7.730535615681944E-4</v>
      </c>
      <c r="AE263">
        <v>9.922126341742085E-4</v>
      </c>
      <c r="AF263">
        <v>7.1460169462687591E-4</v>
      </c>
      <c r="AG263">
        <v>4.7269153367342168E-3</v>
      </c>
      <c r="AH263">
        <v>1.1034178367493313E-4</v>
      </c>
      <c r="AI263">
        <v>0</v>
      </c>
      <c r="AJ263"/>
      <c r="AK263"/>
      <c r="AL263"/>
      <c r="AM263"/>
    </row>
    <row r="264" spans="2:39" ht="16" customHeight="1">
      <c r="B264" s="15">
        <v>19</v>
      </c>
      <c r="C264">
        <v>0</v>
      </c>
      <c r="D264">
        <v>0</v>
      </c>
      <c r="E264">
        <v>3.0921459492888061E-4</v>
      </c>
      <c r="F264">
        <v>0</v>
      </c>
      <c r="G264">
        <v>2.5504289357755629E-3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2.6833631484794273E-4</v>
      </c>
      <c r="S264">
        <v>4.3196544276457888E-4</v>
      </c>
      <c r="T264">
        <v>4.846722403974313E-4</v>
      </c>
      <c r="U264">
        <v>4.9000000000000002E-2</v>
      </c>
      <c r="V264">
        <v>9.7456388266250839E-5</v>
      </c>
      <c r="W264">
        <v>0</v>
      </c>
      <c r="X264">
        <v>4.127399050698219E-4</v>
      </c>
      <c r="Y264">
        <v>4.1368713433012231E-4</v>
      </c>
      <c r="Z264">
        <v>0</v>
      </c>
      <c r="AA264">
        <v>5.2283561433184682E-4</v>
      </c>
      <c r="AB264">
        <v>2.2508440665249473E-4</v>
      </c>
      <c r="AC264">
        <v>2.1813105313672456E-4</v>
      </c>
      <c r="AD264">
        <v>9.9392600773053562E-4</v>
      </c>
      <c r="AE264">
        <v>4.3597221804624314E-3</v>
      </c>
      <c r="AF264">
        <v>2.3820056487562527E-4</v>
      </c>
      <c r="AG264">
        <v>2.7612673749239486E-3</v>
      </c>
      <c r="AH264">
        <v>0</v>
      </c>
      <c r="AI264">
        <v>0</v>
      </c>
      <c r="AJ264"/>
      <c r="AK264"/>
      <c r="AL264"/>
      <c r="AM264"/>
    </row>
    <row r="265" spans="2:39" ht="16" customHeight="1">
      <c r="B265" s="15">
        <v>20</v>
      </c>
      <c r="C265">
        <v>1.5867726630805604E-4</v>
      </c>
      <c r="D265">
        <v>1.1749040495026238E-4</v>
      </c>
      <c r="E265">
        <v>6.1842918985776122E-4</v>
      </c>
      <c r="F265">
        <v>0</v>
      </c>
      <c r="G265">
        <v>2.3185717597959662E-4</v>
      </c>
      <c r="H265">
        <v>2.3900002390000237E-5</v>
      </c>
      <c r="I265">
        <v>2.8121484814398198E-4</v>
      </c>
      <c r="J265">
        <v>0</v>
      </c>
      <c r="K265">
        <v>1.4380212827149843E-4</v>
      </c>
      <c r="L265">
        <v>0</v>
      </c>
      <c r="M265">
        <v>1.4650941322980003E-4</v>
      </c>
      <c r="N265">
        <v>1.3130252100840336E-4</v>
      </c>
      <c r="O265">
        <v>3.4106412005457026E-4</v>
      </c>
      <c r="P265">
        <v>7.355645457888931E-4</v>
      </c>
      <c r="Q265">
        <v>0</v>
      </c>
      <c r="R265">
        <v>2.3255813953488372E-3</v>
      </c>
      <c r="S265">
        <v>5.1295896328293735E-4</v>
      </c>
      <c r="T265">
        <v>7.1489155458621112E-3</v>
      </c>
      <c r="U265">
        <v>0</v>
      </c>
      <c r="V265">
        <v>9.3850501900399549E-2</v>
      </c>
      <c r="W265">
        <v>3.1457360530842964E-2</v>
      </c>
      <c r="X265">
        <v>2.0636995253491095E-4</v>
      </c>
      <c r="Y265">
        <v>4.4914603155841856E-3</v>
      </c>
      <c r="Z265">
        <v>3.0099398012039761E-3</v>
      </c>
      <c r="AA265">
        <v>1.2599313137526271E-2</v>
      </c>
      <c r="AB265">
        <v>1.5005627110166316E-3</v>
      </c>
      <c r="AC265">
        <v>3.7954803245790068E-3</v>
      </c>
      <c r="AD265">
        <v>2.9449659488312166E-3</v>
      </c>
      <c r="AE265">
        <v>3.72831414053339E-3</v>
      </c>
      <c r="AF265">
        <v>6.8057304250178656E-5</v>
      </c>
      <c r="AG265">
        <v>3.0420742266111297E-3</v>
      </c>
      <c r="AH265">
        <v>3.806791536785193E-3</v>
      </c>
      <c r="AI265">
        <v>0</v>
      </c>
      <c r="AJ265"/>
      <c r="AK265"/>
      <c r="AL265"/>
      <c r="AM265"/>
    </row>
    <row r="266" spans="2:39" ht="16" customHeight="1">
      <c r="B266" s="15">
        <v>21</v>
      </c>
      <c r="C266">
        <v>9.5206359784833622E-5</v>
      </c>
      <c r="D266">
        <v>7.832693663350827E-5</v>
      </c>
      <c r="E266">
        <v>3.0921459492888061E-4</v>
      </c>
      <c r="F266">
        <v>0</v>
      </c>
      <c r="G266">
        <v>2.3185717597959662E-4</v>
      </c>
      <c r="H266">
        <v>2.3900002390000237E-5</v>
      </c>
      <c r="I266">
        <v>2.1091113610798647E-4</v>
      </c>
      <c r="J266">
        <v>0</v>
      </c>
      <c r="K266">
        <v>1.4380212827149843E-4</v>
      </c>
      <c r="L266">
        <v>0</v>
      </c>
      <c r="M266">
        <v>7.3254706614900016E-5</v>
      </c>
      <c r="N266">
        <v>8.7535014005602242E-5</v>
      </c>
      <c r="O266">
        <v>2.2737608003638019E-4</v>
      </c>
      <c r="P266">
        <v>1.8389113644722325E-3</v>
      </c>
      <c r="Q266">
        <v>1.590077913817777E-4</v>
      </c>
      <c r="R266">
        <v>9.838998211091235E-4</v>
      </c>
      <c r="S266">
        <v>4.8596112311015117E-4</v>
      </c>
      <c r="T266">
        <v>7.2700836059614682E-4</v>
      </c>
      <c r="U266">
        <v>0</v>
      </c>
      <c r="V266">
        <v>4.7948543026995416E-2</v>
      </c>
      <c r="W266">
        <v>1.966085033177685E-2</v>
      </c>
      <c r="X266">
        <v>5.984728623512417E-3</v>
      </c>
      <c r="Y266">
        <v>1.9502393475562909E-3</v>
      </c>
      <c r="Z266">
        <v>1.9424611507769846E-3</v>
      </c>
      <c r="AA266">
        <v>4.6850171715618434E-3</v>
      </c>
      <c r="AB266">
        <v>6.1272977366512455E-3</v>
      </c>
      <c r="AC266">
        <v>1.0470290550562778E-3</v>
      </c>
      <c r="AD266">
        <v>3.0554021719123876E-3</v>
      </c>
      <c r="AE266">
        <v>2.2850957635527228E-3</v>
      </c>
      <c r="AF266">
        <v>6.8057304250178656E-5</v>
      </c>
      <c r="AG266">
        <v>1.076426264800861E-3</v>
      </c>
      <c r="AH266">
        <v>1.075832390830598E-3</v>
      </c>
      <c r="AI266">
        <v>0</v>
      </c>
      <c r="AJ266"/>
      <c r="AK266"/>
      <c r="AL266"/>
      <c r="AM266"/>
    </row>
    <row r="267" spans="2:39" ht="16" customHeight="1">
      <c r="B267" s="15">
        <v>22</v>
      </c>
      <c r="C267">
        <v>0</v>
      </c>
      <c r="D267">
        <v>0</v>
      </c>
      <c r="E267">
        <v>6.1842918985776122E-4</v>
      </c>
      <c r="F267">
        <v>0</v>
      </c>
      <c r="G267">
        <v>0</v>
      </c>
      <c r="H267">
        <v>2.3900002390000237E-5</v>
      </c>
      <c r="I267">
        <v>3.5151856017997748E-4</v>
      </c>
      <c r="J267">
        <v>0</v>
      </c>
      <c r="K267">
        <v>1.4380212827149843E-4</v>
      </c>
      <c r="L267">
        <v>0</v>
      </c>
      <c r="M267">
        <v>1.4650941322980003E-4</v>
      </c>
      <c r="N267">
        <v>1.3130252100840336E-4</v>
      </c>
      <c r="O267">
        <v>5.5593451568894947E-2</v>
      </c>
      <c r="P267">
        <v>3.6778227289444655E-4</v>
      </c>
      <c r="Q267">
        <v>0.10160597869295594</v>
      </c>
      <c r="R267">
        <v>8.5867620751341675E-3</v>
      </c>
      <c r="S267">
        <v>1.6819654427645787E-2</v>
      </c>
      <c r="T267">
        <v>3.6350418029807341E-4</v>
      </c>
      <c r="U267">
        <v>4.2500000000000003E-2</v>
      </c>
      <c r="V267">
        <v>3.7910535035571576E-2</v>
      </c>
      <c r="W267">
        <v>6.3897763578274766E-3</v>
      </c>
      <c r="X267">
        <v>9.5618078007842066E-3</v>
      </c>
      <c r="Y267">
        <v>3.9004786951125818E-3</v>
      </c>
      <c r="Z267">
        <v>0</v>
      </c>
      <c r="AA267">
        <v>1.1604900302424523E-2</v>
      </c>
      <c r="AB267">
        <v>2.2758534450418914E-3</v>
      </c>
      <c r="AC267">
        <v>9.5977663380158811E-4</v>
      </c>
      <c r="AD267">
        <v>3.2762746180747286E-3</v>
      </c>
      <c r="AE267">
        <v>2.5075919300039093E-2</v>
      </c>
      <c r="AF267">
        <v>4.0153809507605413E-3</v>
      </c>
      <c r="AG267">
        <v>9.9686432348949326E-3</v>
      </c>
      <c r="AH267">
        <v>2.7585445918733282E-4</v>
      </c>
      <c r="AI267">
        <v>0</v>
      </c>
      <c r="AJ267"/>
      <c r="AK267"/>
      <c r="AL267"/>
      <c r="AM267"/>
    </row>
    <row r="268" spans="2:39" ht="16" customHeight="1">
      <c r="B268" s="15">
        <v>23</v>
      </c>
      <c r="C268">
        <v>0</v>
      </c>
      <c r="D268">
        <v>0</v>
      </c>
      <c r="E268">
        <v>2.1645021645021641E-3</v>
      </c>
      <c r="F268">
        <v>0</v>
      </c>
      <c r="G268">
        <v>0</v>
      </c>
      <c r="H268">
        <v>0</v>
      </c>
      <c r="I268">
        <v>7.0303712035995494E-5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3.4106412005457026E-4</v>
      </c>
      <c r="P268">
        <v>3.6778227289444655E-4</v>
      </c>
      <c r="Q268">
        <v>0</v>
      </c>
      <c r="R268">
        <v>4.1144901610017885E-3</v>
      </c>
      <c r="S268">
        <v>8.6393088552915776E-4</v>
      </c>
      <c r="T268">
        <v>1.2116806009935782E-3</v>
      </c>
      <c r="U268">
        <v>0</v>
      </c>
      <c r="V268">
        <v>4.5804502485137901E-3</v>
      </c>
      <c r="W268">
        <v>7.372818874416319E-4</v>
      </c>
      <c r="X268">
        <v>2.6828093829538422E-3</v>
      </c>
      <c r="Y268">
        <v>0.10572661190236984</v>
      </c>
      <c r="Z268">
        <v>0</v>
      </c>
      <c r="AA268">
        <v>1.0661745860884721E-3</v>
      </c>
      <c r="AB268">
        <v>7.9279729898712025E-3</v>
      </c>
      <c r="AC268">
        <v>8.5943634935869481E-3</v>
      </c>
      <c r="AD268">
        <v>4.7855696668507275E-4</v>
      </c>
      <c r="AE268">
        <v>2.4354310111548757E-3</v>
      </c>
      <c r="AF268">
        <v>9.8683091162759043E-4</v>
      </c>
      <c r="AG268">
        <v>2.4711002948471943E-2</v>
      </c>
      <c r="AH268">
        <v>5.3791619541529896E-3</v>
      </c>
      <c r="AI268">
        <v>1.882317509317472E-5</v>
      </c>
      <c r="AJ268"/>
      <c r="AK268"/>
      <c r="AL268"/>
      <c r="AM268"/>
    </row>
    <row r="269" spans="2:39" ht="16" customHeight="1">
      <c r="B269" s="15">
        <v>24</v>
      </c>
      <c r="C269">
        <v>1.761317656019422E-3</v>
      </c>
      <c r="D269">
        <v>1.0965771128691156E-3</v>
      </c>
      <c r="E269">
        <v>3.4013605442176869E-3</v>
      </c>
      <c r="F269">
        <v>0</v>
      </c>
      <c r="G269">
        <v>0.4059819151402736</v>
      </c>
      <c r="H269">
        <v>9.560000956000095E-5</v>
      </c>
      <c r="I269">
        <v>1.1248593925759279E-3</v>
      </c>
      <c r="J269">
        <v>1.0641694157709909E-4</v>
      </c>
      <c r="K269">
        <v>5.2727447032882764E-4</v>
      </c>
      <c r="L269">
        <v>5.2714812862414331E-4</v>
      </c>
      <c r="M269">
        <v>6.592923595341001E-4</v>
      </c>
      <c r="N269">
        <v>4.3767507002801117E-4</v>
      </c>
      <c r="O269">
        <v>1.364256480218281E-3</v>
      </c>
      <c r="P269">
        <v>7.355645457888931E-4</v>
      </c>
      <c r="Q269">
        <v>0.54603275560502451</v>
      </c>
      <c r="R269">
        <v>1.7889087656529517E-3</v>
      </c>
      <c r="S269">
        <v>2.5755939524838015E-2</v>
      </c>
      <c r="T269">
        <v>0.67829880043620505</v>
      </c>
      <c r="U269">
        <v>0.13600000000000001</v>
      </c>
      <c r="V269">
        <v>7.786765422473442E-2</v>
      </c>
      <c r="W269">
        <v>1.7203244040304743E-3</v>
      </c>
      <c r="X269">
        <v>7.8420581963266154E-3</v>
      </c>
      <c r="Y269">
        <v>1.2706104840139471E-3</v>
      </c>
      <c r="Z269">
        <v>3.2024359512809748E-2</v>
      </c>
      <c r="AA269">
        <v>4.2452201548003485E-2</v>
      </c>
      <c r="AB269">
        <v>8.828310616481181E-3</v>
      </c>
      <c r="AC269">
        <v>3.7954803245790068E-3</v>
      </c>
      <c r="AD269">
        <v>2.5032210565065342E-3</v>
      </c>
      <c r="AE269">
        <v>1.6807480681920686E-2</v>
      </c>
      <c r="AF269">
        <v>5.1042978187633989E-4</v>
      </c>
      <c r="AG269">
        <v>1.7269621378761642E-2</v>
      </c>
      <c r="AH269">
        <v>2.3723483490110621E-3</v>
      </c>
      <c r="AI269">
        <v>0</v>
      </c>
      <c r="AJ269"/>
      <c r="AK269"/>
      <c r="AL269"/>
      <c r="AM269"/>
    </row>
    <row r="270" spans="2:39" ht="16" customHeight="1">
      <c r="B270" s="15">
        <v>25</v>
      </c>
      <c r="C270">
        <v>0</v>
      </c>
      <c r="D270">
        <v>0</v>
      </c>
      <c r="E270">
        <v>1.8243661100803957E-2</v>
      </c>
      <c r="F270">
        <v>0</v>
      </c>
      <c r="G270">
        <v>2.7822861117551591E-3</v>
      </c>
      <c r="H270">
        <v>2.8680002868000285E-4</v>
      </c>
      <c r="I270">
        <v>3.7260967379077613E-3</v>
      </c>
      <c r="J270">
        <v>4.2566776630839637E-4</v>
      </c>
      <c r="K270">
        <v>2.971910650944301E-3</v>
      </c>
      <c r="L270">
        <v>1.3178703215603581E-3</v>
      </c>
      <c r="M270">
        <v>2.0511317852172002E-3</v>
      </c>
      <c r="N270">
        <v>1.3130252100840335E-3</v>
      </c>
      <c r="O270">
        <v>3.979081400636653E-3</v>
      </c>
      <c r="P270">
        <v>3.6778227289444655E-4</v>
      </c>
      <c r="Q270">
        <v>4.7702337414533302E-4</v>
      </c>
      <c r="R270">
        <v>8.9177101967799641E-2</v>
      </c>
      <c r="S270">
        <v>2.3461123110151191E-2</v>
      </c>
      <c r="T270">
        <v>2.5445292620865142E-3</v>
      </c>
      <c r="U270">
        <v>2.5000000000000001E-3</v>
      </c>
      <c r="V270">
        <v>5.0287496345385437E-2</v>
      </c>
      <c r="W270">
        <v>6.1440157286802655E-3</v>
      </c>
      <c r="X270">
        <v>2.8479053449817708E-2</v>
      </c>
      <c r="Y270">
        <v>8.3032917676260268E-2</v>
      </c>
      <c r="Z270">
        <v>0</v>
      </c>
      <c r="AA270">
        <v>4.2636731764826491E-2</v>
      </c>
      <c r="AB270">
        <v>0.14620482681005381</v>
      </c>
      <c r="AC270">
        <v>8.8997469679783607E-3</v>
      </c>
      <c r="AD270">
        <v>0.28463095895453711</v>
      </c>
      <c r="AE270">
        <v>0.21795604197360116</v>
      </c>
      <c r="AF270">
        <v>0.10276652941776977</v>
      </c>
      <c r="AG270">
        <v>0.11924930968315628</v>
      </c>
      <c r="AH270">
        <v>4.082645995972526E-3</v>
      </c>
      <c r="AI270">
        <v>5.6469525279524153E-5</v>
      </c>
      <c r="AJ270"/>
      <c r="AK270"/>
      <c r="AL270"/>
      <c r="AM270"/>
    </row>
    <row r="271" spans="2:39" ht="16" customHeight="1">
      <c r="B271" s="15">
        <v>26</v>
      </c>
      <c r="C271">
        <v>0</v>
      </c>
      <c r="D271">
        <v>0</v>
      </c>
      <c r="E271">
        <v>3.0921459492888061E-3</v>
      </c>
      <c r="F271">
        <v>1.8083182640144667E-3</v>
      </c>
      <c r="G271">
        <v>2.3185717597959662E-4</v>
      </c>
      <c r="H271">
        <v>1.4340001434000142E-4</v>
      </c>
      <c r="I271">
        <v>1.4763779527559055E-3</v>
      </c>
      <c r="J271">
        <v>2.1283388315419818E-4</v>
      </c>
      <c r="K271">
        <v>6.2314255584315983E-4</v>
      </c>
      <c r="L271">
        <v>5.2714812862414331E-4</v>
      </c>
      <c r="M271">
        <v>8.0580177276390016E-4</v>
      </c>
      <c r="N271">
        <v>5.2521008403361342E-4</v>
      </c>
      <c r="O271">
        <v>1.591632560254661E-3</v>
      </c>
      <c r="P271">
        <v>3.6778227289444655E-4</v>
      </c>
      <c r="Q271">
        <v>3.975194784544442E-3</v>
      </c>
      <c r="R271">
        <v>6.4847942754919494E-2</v>
      </c>
      <c r="S271">
        <v>6.2095032397408204E-4</v>
      </c>
      <c r="T271">
        <v>1.5751847812916517E-3</v>
      </c>
      <c r="U271">
        <v>1E-3</v>
      </c>
      <c r="V271">
        <v>2.9236916479875251E-3</v>
      </c>
      <c r="W271">
        <v>3.4406488080609486E-3</v>
      </c>
      <c r="X271">
        <v>0.23663754557336455</v>
      </c>
      <c r="Y271">
        <v>1.1317298032031204E-2</v>
      </c>
      <c r="Z271">
        <v>0</v>
      </c>
      <c r="AA271">
        <v>5.5236044902352753E-2</v>
      </c>
      <c r="AB271">
        <v>3.0011254220332633E-3</v>
      </c>
      <c r="AC271">
        <v>9.9904022336619845E-3</v>
      </c>
      <c r="AD271">
        <v>1.2000736241487208E-2</v>
      </c>
      <c r="AE271">
        <v>2.5406656844763825E-2</v>
      </c>
      <c r="AF271">
        <v>1.7660870452921359E-2</v>
      </c>
      <c r="AG271">
        <v>5.2510881265502886E-2</v>
      </c>
      <c r="AH271">
        <v>1.2965159581804643E-3</v>
      </c>
      <c r="AI271">
        <v>1.882317509317472E-5</v>
      </c>
      <c r="AJ271"/>
      <c r="AK271"/>
      <c r="AL271"/>
      <c r="AM271"/>
    </row>
    <row r="272" spans="2:39" ht="16" customHeight="1">
      <c r="B272" s="15">
        <v>27</v>
      </c>
      <c r="C272">
        <v>1.3852525348693292E-2</v>
      </c>
      <c r="D272">
        <v>7.832693663350827E-5</v>
      </c>
      <c r="E272">
        <v>2.7829313543599257E-3</v>
      </c>
      <c r="F272">
        <v>7.2332730560578668E-3</v>
      </c>
      <c r="G272">
        <v>2.3185717597959662E-4</v>
      </c>
      <c r="H272">
        <v>5.6188905618890554E-2</v>
      </c>
      <c r="I272">
        <v>1.8982002249718785E-2</v>
      </c>
      <c r="J272">
        <v>4.0864105565606046E-2</v>
      </c>
      <c r="K272">
        <v>2.5165372447512227E-2</v>
      </c>
      <c r="L272">
        <v>3.1365313653136523E-2</v>
      </c>
      <c r="M272">
        <v>2.5565892608600104E-2</v>
      </c>
      <c r="N272">
        <v>4.9369747899159662E-2</v>
      </c>
      <c r="O272">
        <v>8.2992269213278767E-3</v>
      </c>
      <c r="P272">
        <v>0</v>
      </c>
      <c r="Q272">
        <v>0</v>
      </c>
      <c r="R272">
        <v>1.0644007155635063E-2</v>
      </c>
      <c r="S272">
        <v>5.5075593952483796E-3</v>
      </c>
      <c r="T272">
        <v>7.2700836059614682E-4</v>
      </c>
      <c r="U272">
        <v>5.0000000000000001E-4</v>
      </c>
      <c r="V272">
        <v>1.6567586005262643E-3</v>
      </c>
      <c r="W272">
        <v>1.2288031457360531E-3</v>
      </c>
      <c r="X272">
        <v>1.5133796519226804E-3</v>
      </c>
      <c r="Y272">
        <v>1.4597246025648603E-2</v>
      </c>
      <c r="Z272">
        <v>0</v>
      </c>
      <c r="AA272">
        <v>7.7502691065662E-3</v>
      </c>
      <c r="AB272">
        <v>2.5759659872452178E-3</v>
      </c>
      <c r="AC272">
        <v>7.896344123549429E-3</v>
      </c>
      <c r="AD272">
        <v>7.399226946438432E-3</v>
      </c>
      <c r="AE272">
        <v>5.5022700622387932E-3</v>
      </c>
      <c r="AF272">
        <v>9.3578793343995648E-3</v>
      </c>
      <c r="AG272">
        <v>3.5568867880376283E-2</v>
      </c>
      <c r="AH272">
        <v>5.0481366031281906E-3</v>
      </c>
      <c r="AI272">
        <v>3.764635018634944E-5</v>
      </c>
      <c r="AJ272"/>
      <c r="AK272"/>
      <c r="AL272"/>
      <c r="AM272"/>
    </row>
    <row r="273" spans="2:39" ht="16" customHeight="1">
      <c r="B273" s="15">
        <v>28</v>
      </c>
      <c r="C273">
        <v>2.1262753685279507E-3</v>
      </c>
      <c r="D273">
        <v>1.4098848594031488E-3</v>
      </c>
      <c r="E273">
        <v>7.7303648732220155E-3</v>
      </c>
      <c r="F273">
        <v>0</v>
      </c>
      <c r="G273">
        <v>1.6230002318571761E-3</v>
      </c>
      <c r="H273">
        <v>2.3900002390000237E-5</v>
      </c>
      <c r="I273">
        <v>3.5151856017997748E-4</v>
      </c>
      <c r="J273">
        <v>0</v>
      </c>
      <c r="K273">
        <v>1.4380212827149843E-4</v>
      </c>
      <c r="L273">
        <v>2.6357406431207165E-4</v>
      </c>
      <c r="M273">
        <v>2.1976411984470003E-4</v>
      </c>
      <c r="N273">
        <v>1.3130252100840336E-4</v>
      </c>
      <c r="O273">
        <v>6.8212824010914052E-4</v>
      </c>
      <c r="P273">
        <v>0</v>
      </c>
      <c r="Q273">
        <v>0</v>
      </c>
      <c r="R273">
        <v>4.1144901610017885E-3</v>
      </c>
      <c r="S273">
        <v>7.0194384449244062E-4</v>
      </c>
      <c r="T273">
        <v>1.4540167211922936E-3</v>
      </c>
      <c r="U273">
        <v>5.0000000000000001E-4</v>
      </c>
      <c r="V273">
        <v>4.0931683071825358E-3</v>
      </c>
      <c r="W273">
        <v>2.7525190464487589E-2</v>
      </c>
      <c r="X273">
        <v>2.7515993671321462E-4</v>
      </c>
      <c r="Y273">
        <v>4.2846167484191242E-3</v>
      </c>
      <c r="Z273">
        <v>4.1299174016519676E-2</v>
      </c>
      <c r="AA273">
        <v>1.3091393715720949E-2</v>
      </c>
      <c r="AB273">
        <v>1.3505064399149684E-3</v>
      </c>
      <c r="AC273">
        <v>1.0383038129308089E-2</v>
      </c>
      <c r="AD273">
        <v>0.20496963003865265</v>
      </c>
      <c r="AE273">
        <v>4.2695210319011398E-3</v>
      </c>
      <c r="AF273">
        <v>6.533501208017151E-3</v>
      </c>
      <c r="AG273">
        <v>7.2775775728927794E-2</v>
      </c>
      <c r="AH273">
        <v>6.3170671153899207E-3</v>
      </c>
      <c r="AI273">
        <v>3.764635018634944E-5</v>
      </c>
      <c r="AJ273"/>
      <c r="AK273"/>
      <c r="AL273"/>
      <c r="AM273"/>
    </row>
    <row r="274" spans="2:39" ht="16" customHeight="1">
      <c r="B274" s="15">
        <v>29</v>
      </c>
      <c r="C274">
        <v>4.7603179892416811E-5</v>
      </c>
      <c r="D274">
        <v>3.9163468316754135E-5</v>
      </c>
      <c r="E274">
        <v>4.0197897340754482E-3</v>
      </c>
      <c r="F274">
        <v>0</v>
      </c>
      <c r="G274">
        <v>2.3185717597959662E-4</v>
      </c>
      <c r="H274">
        <v>2.3900002390000237E-5</v>
      </c>
      <c r="I274">
        <v>2.1091113610798647E-4</v>
      </c>
      <c r="J274">
        <v>0</v>
      </c>
      <c r="K274">
        <v>1.4380212827149843E-4</v>
      </c>
      <c r="L274">
        <v>0</v>
      </c>
      <c r="M274">
        <v>7.3254706614900016E-5</v>
      </c>
      <c r="N274">
        <v>4.3767507002801121E-5</v>
      </c>
      <c r="O274">
        <v>1.0231923601637107E-3</v>
      </c>
      <c r="P274">
        <v>0</v>
      </c>
      <c r="Q274">
        <v>1.590077913817777E-4</v>
      </c>
      <c r="R274">
        <v>1.1627906976744186E-2</v>
      </c>
      <c r="S274">
        <v>5.1295896328293735E-4</v>
      </c>
      <c r="T274">
        <v>1.2116806009935782E-3</v>
      </c>
      <c r="U274">
        <v>4.5000000000000005E-3</v>
      </c>
      <c r="V274">
        <v>2.33895331839002E-3</v>
      </c>
      <c r="W274">
        <v>2.4576062914721062E-3</v>
      </c>
      <c r="X274">
        <v>1.2382197152094657E-2</v>
      </c>
      <c r="Y274">
        <v>7.2986230128243013E-3</v>
      </c>
      <c r="Z274">
        <v>8.7498250034999305E-4</v>
      </c>
      <c r="AA274">
        <v>2.5424163206725103E-3</v>
      </c>
      <c r="AB274">
        <v>5.7521570588970877E-3</v>
      </c>
      <c r="AC274">
        <v>6.805688857865806E-3</v>
      </c>
      <c r="AD274">
        <v>3.0995766611448556E-2</v>
      </c>
      <c r="AE274">
        <v>8.0339156318590468E-2</v>
      </c>
      <c r="AF274">
        <v>1.2352400721407425E-2</v>
      </c>
      <c r="AG274">
        <v>6.4491973604155955E-2</v>
      </c>
      <c r="AH274">
        <v>9.8480041929877825E-3</v>
      </c>
      <c r="AI274">
        <v>3.764635018634944E-5</v>
      </c>
      <c r="AJ274"/>
      <c r="AK274"/>
      <c r="AL274"/>
      <c r="AM274"/>
    </row>
    <row r="275" spans="2:39" ht="16" customHeight="1">
      <c r="B275" s="15">
        <v>30</v>
      </c>
      <c r="C275">
        <v>1.5867726630805604E-4</v>
      </c>
      <c r="D275">
        <v>1.1749040495026238E-4</v>
      </c>
      <c r="E275">
        <v>1.2368583797155224E-3</v>
      </c>
      <c r="F275">
        <v>0</v>
      </c>
      <c r="G275">
        <v>2.3185717597959662E-4</v>
      </c>
      <c r="H275">
        <v>2.3900002390000237E-5</v>
      </c>
      <c r="I275">
        <v>2.1091113610798647E-4</v>
      </c>
      <c r="J275">
        <v>0</v>
      </c>
      <c r="K275">
        <v>1.4380212827149843E-4</v>
      </c>
      <c r="L275">
        <v>0</v>
      </c>
      <c r="M275">
        <v>7.3254706614900016E-5</v>
      </c>
      <c r="N275">
        <v>8.7535014005602242E-5</v>
      </c>
      <c r="O275">
        <v>3.4106412005457026E-4</v>
      </c>
      <c r="P275">
        <v>0</v>
      </c>
      <c r="Q275">
        <v>1.590077913817777E-4</v>
      </c>
      <c r="R275">
        <v>6.7084078711985686E-3</v>
      </c>
      <c r="S275">
        <v>4.58963282937365E-4</v>
      </c>
      <c r="T275">
        <v>2.4233612019871565E-4</v>
      </c>
      <c r="U275">
        <v>0</v>
      </c>
      <c r="V275">
        <v>6.8219471786375586E-4</v>
      </c>
      <c r="W275">
        <v>4.915212582944213E-4</v>
      </c>
      <c r="X275">
        <v>8.0484281488615271E-3</v>
      </c>
      <c r="Y275">
        <v>3.0701495183499797E-2</v>
      </c>
      <c r="Z275">
        <v>3.1149377012459753E-3</v>
      </c>
      <c r="AA275">
        <v>2.1118458147521657E-3</v>
      </c>
      <c r="AB275">
        <v>8.10303863948981E-3</v>
      </c>
      <c r="AC275">
        <v>3.0102085332867992E-3</v>
      </c>
      <c r="AD275">
        <v>1.24056690594515E-2</v>
      </c>
      <c r="AE275">
        <v>3.21717429868607E-3</v>
      </c>
      <c r="AF275">
        <v>4.3896961241365233E-3</v>
      </c>
      <c r="AG275">
        <v>1.5537979126690695E-2</v>
      </c>
      <c r="AH275">
        <v>8.5514882348073176E-4</v>
      </c>
      <c r="AI275">
        <v>0</v>
      </c>
      <c r="AJ275"/>
      <c r="AK275"/>
      <c r="AL275"/>
      <c r="AM275"/>
    </row>
    <row r="276" spans="2:39" ht="16" customHeight="1">
      <c r="B276" s="15">
        <v>31</v>
      </c>
      <c r="C276">
        <v>6.3470906523222415E-5</v>
      </c>
      <c r="D276">
        <v>3.9163468316754135E-5</v>
      </c>
      <c r="E276">
        <v>1.5460729746444031E-3</v>
      </c>
      <c r="F276">
        <v>0</v>
      </c>
      <c r="G276">
        <v>4.6371435195919323E-4</v>
      </c>
      <c r="H276">
        <v>4.7800004780000475E-5</v>
      </c>
      <c r="I276">
        <v>7.0303712035995496E-4</v>
      </c>
      <c r="J276">
        <v>1.0641694157709909E-4</v>
      </c>
      <c r="K276">
        <v>5.2727447032882764E-4</v>
      </c>
      <c r="L276">
        <v>2.6357406431207165E-4</v>
      </c>
      <c r="M276">
        <v>8.8638195004029016E-3</v>
      </c>
      <c r="N276">
        <v>3.1512605042016803E-3</v>
      </c>
      <c r="O276">
        <v>1.7962710322874033E-2</v>
      </c>
      <c r="P276">
        <v>6.6200809121000374E-3</v>
      </c>
      <c r="Q276">
        <v>6.360311655271108E-4</v>
      </c>
      <c r="R276">
        <v>6.5474060822898028E-2</v>
      </c>
      <c r="S276">
        <v>3.968682505399568E-3</v>
      </c>
      <c r="T276">
        <v>4.846722403974313E-4</v>
      </c>
      <c r="U276">
        <v>5.0000000000000001E-4</v>
      </c>
      <c r="V276">
        <v>1.5593022122600134E-3</v>
      </c>
      <c r="W276">
        <v>1.2288031457360531E-3</v>
      </c>
      <c r="X276">
        <v>3.556442182018299E-2</v>
      </c>
      <c r="Y276">
        <v>2.3787010223982035E-2</v>
      </c>
      <c r="Z276">
        <v>1.25997480050399E-3</v>
      </c>
      <c r="AA276">
        <v>1.0846276077707724E-2</v>
      </c>
      <c r="AB276">
        <v>2.5309491059147187E-2</v>
      </c>
      <c r="AC276">
        <v>9.6850187592705701E-3</v>
      </c>
      <c r="AD276">
        <v>5.7463648076569111E-2</v>
      </c>
      <c r="AE276">
        <v>2.3752969121140145E-2</v>
      </c>
      <c r="AF276">
        <v>2.0042876101677612E-2</v>
      </c>
      <c r="AG276">
        <v>2.4945008658211261E-2</v>
      </c>
      <c r="AH276">
        <v>7.9170229786764516E-3</v>
      </c>
      <c r="AI276">
        <v>1.882317509317472E-5</v>
      </c>
      <c r="AJ276"/>
      <c r="AK276"/>
      <c r="AL276"/>
      <c r="AM276"/>
    </row>
    <row r="277" spans="2:39" ht="16" customHeight="1">
      <c r="B277" s="15">
        <v>32</v>
      </c>
      <c r="C277">
        <v>1.9041271956966724E-4</v>
      </c>
      <c r="D277">
        <v>7.832693663350827E-5</v>
      </c>
      <c r="E277">
        <v>2.7829313543599257E-3</v>
      </c>
      <c r="F277">
        <v>0</v>
      </c>
      <c r="G277">
        <v>4.6371435195919323E-4</v>
      </c>
      <c r="H277">
        <v>7.8870007887000778E-4</v>
      </c>
      <c r="I277">
        <v>9.8425196850393678E-4</v>
      </c>
      <c r="J277">
        <v>1.0641694157709908E-3</v>
      </c>
      <c r="K277">
        <v>1.1504170261719875E-3</v>
      </c>
      <c r="L277">
        <v>2.6357406431207165E-4</v>
      </c>
      <c r="M277">
        <v>1.1720753058384002E-3</v>
      </c>
      <c r="N277">
        <v>3.413865546218487E-3</v>
      </c>
      <c r="O277">
        <v>3.3879035925420645E-2</v>
      </c>
      <c r="P277">
        <v>3.6778227289444655E-4</v>
      </c>
      <c r="Q277">
        <v>4.7702337414533302E-4</v>
      </c>
      <c r="R277">
        <v>2.2450805008944544E-2</v>
      </c>
      <c r="S277">
        <v>3.1452483801295894E-2</v>
      </c>
      <c r="T277">
        <v>6.9065794256633955E-3</v>
      </c>
      <c r="U277">
        <v>5.0000000000000001E-4</v>
      </c>
      <c r="V277">
        <v>1.3741350745541368E-2</v>
      </c>
      <c r="W277">
        <v>1.4745637748832638E-3</v>
      </c>
      <c r="X277">
        <v>2.9579693196670569E-2</v>
      </c>
      <c r="Y277">
        <v>6.3264582471485142E-2</v>
      </c>
      <c r="Z277">
        <v>0</v>
      </c>
      <c r="AA277">
        <v>1.2886360141473166E-2</v>
      </c>
      <c r="AB277">
        <v>9.0033762660997902E-3</v>
      </c>
      <c r="AC277">
        <v>1.3567751505104269E-2</v>
      </c>
      <c r="AD277">
        <v>3.4603349898766796E-2</v>
      </c>
      <c r="AE277">
        <v>2.6007997835172436E-2</v>
      </c>
      <c r="AF277">
        <v>3.2905706604961379E-2</v>
      </c>
      <c r="AG277">
        <v>3.6879299854916461E-2</v>
      </c>
      <c r="AH277">
        <v>1.1475545502193044E-2</v>
      </c>
      <c r="AI277">
        <v>1.882317509317472E-5</v>
      </c>
      <c r="AJ277"/>
      <c r="AK277"/>
      <c r="AL277"/>
      <c r="AM277"/>
    </row>
    <row r="278" spans="2:39" ht="16" customHeight="1">
      <c r="B278" s="15">
        <v>33</v>
      </c>
      <c r="C278">
        <v>6.3470906523222415E-5</v>
      </c>
      <c r="D278">
        <v>3.9163468316754135E-5</v>
      </c>
      <c r="E278">
        <v>6.1842918985776122E-3</v>
      </c>
      <c r="F278">
        <v>0</v>
      </c>
      <c r="G278">
        <v>2.3185717597959662E-4</v>
      </c>
      <c r="H278">
        <v>4.7800004780000475E-5</v>
      </c>
      <c r="I278">
        <v>5.6242969628796395E-4</v>
      </c>
      <c r="J278">
        <v>1.0641694157709909E-4</v>
      </c>
      <c r="K278">
        <v>2.3967021378583071E-4</v>
      </c>
      <c r="L278">
        <v>2.6357406431207165E-4</v>
      </c>
      <c r="M278">
        <v>1.0255658926086001E-3</v>
      </c>
      <c r="N278">
        <v>1.7507002801120448E-4</v>
      </c>
      <c r="O278">
        <v>6.2528422010004548E-3</v>
      </c>
      <c r="P278">
        <v>2.5744759102611253E-3</v>
      </c>
      <c r="Q278">
        <v>4.7702337414533302E-4</v>
      </c>
      <c r="R278">
        <v>1.29695885509839E-2</v>
      </c>
      <c r="S278">
        <v>4.354751619870411E-2</v>
      </c>
      <c r="T278">
        <v>8.6029322670544053E-3</v>
      </c>
      <c r="U278">
        <v>3.4999999999999996E-3</v>
      </c>
      <c r="V278">
        <v>8.3812493908975716E-3</v>
      </c>
      <c r="W278">
        <v>6.8812976161218972E-3</v>
      </c>
      <c r="X278">
        <v>2.3388594620623239E-2</v>
      </c>
      <c r="Y278">
        <v>1.9206902665327111E-2</v>
      </c>
      <c r="Z278">
        <v>1.2074758504829904E-3</v>
      </c>
      <c r="AA278">
        <v>1.7602132349172177E-2</v>
      </c>
      <c r="AB278">
        <v>3.751406777541579E-3</v>
      </c>
      <c r="AC278">
        <v>3.581711892505017E-2</v>
      </c>
      <c r="AD278">
        <v>1.3804527885146328E-2</v>
      </c>
      <c r="AE278">
        <v>2.3843170269701435E-2</v>
      </c>
      <c r="AF278">
        <v>1.4564263109538232E-2</v>
      </c>
      <c r="AG278">
        <v>9.3415079327935607E-2</v>
      </c>
      <c r="AH278">
        <v>9.3238807205318474E-3</v>
      </c>
      <c r="AI278">
        <v>3.764635018634944E-5</v>
      </c>
      <c r="AJ278"/>
      <c r="AK278"/>
      <c r="AL278"/>
      <c r="AM278"/>
    </row>
    <row r="279" spans="2:39" ht="16" customHeight="1">
      <c r="B279" s="15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</row>
    <row r="280" spans="2:39" ht="16" customHeight="1">
      <c r="B280" s="15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</row>
    <row r="281" spans="2:39" ht="16" customHeight="1">
      <c r="B281" s="15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</row>
    <row r="282" spans="2:39" ht="16" customHeight="1">
      <c r="B282" s="15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</row>
    <row r="283" spans="2:39">
      <c r="B283" s="13"/>
    </row>
    <row r="284" spans="2:39" ht="16" customHeight="1">
      <c r="B284" s="15" t="s">
        <v>277</v>
      </c>
      <c r="C284">
        <v>1</v>
      </c>
      <c r="D284">
        <v>2</v>
      </c>
      <c r="E284">
        <v>3</v>
      </c>
      <c r="F284">
        <v>4</v>
      </c>
      <c r="G284">
        <v>5</v>
      </c>
      <c r="H284">
        <v>6</v>
      </c>
      <c r="I284">
        <v>7</v>
      </c>
      <c r="J284">
        <v>8</v>
      </c>
      <c r="K284">
        <v>9</v>
      </c>
      <c r="L284">
        <v>10</v>
      </c>
      <c r="M284">
        <v>11</v>
      </c>
      <c r="N284">
        <v>12</v>
      </c>
      <c r="O284">
        <v>13</v>
      </c>
      <c r="P284">
        <v>14</v>
      </c>
      <c r="Q284">
        <v>15</v>
      </c>
      <c r="R284">
        <v>16</v>
      </c>
      <c r="S284">
        <v>17</v>
      </c>
      <c r="T284">
        <v>18</v>
      </c>
      <c r="U284">
        <v>19</v>
      </c>
      <c r="V284">
        <v>20</v>
      </c>
      <c r="W284">
        <v>21</v>
      </c>
      <c r="X284">
        <v>22</v>
      </c>
      <c r="Y284">
        <v>23</v>
      </c>
      <c r="Z284">
        <v>24</v>
      </c>
      <c r="AA284">
        <v>25</v>
      </c>
      <c r="AB284">
        <v>26</v>
      </c>
      <c r="AC284">
        <v>27</v>
      </c>
      <c r="AD284">
        <v>28</v>
      </c>
      <c r="AE284">
        <v>29</v>
      </c>
      <c r="AF284">
        <v>30</v>
      </c>
      <c r="AG284">
        <v>31</v>
      </c>
      <c r="AH284">
        <v>32</v>
      </c>
      <c r="AI284">
        <v>33</v>
      </c>
      <c r="AJ284"/>
      <c r="AK284"/>
      <c r="AL284"/>
      <c r="AM284"/>
    </row>
    <row r="285" spans="2:39" ht="16" customHeight="1">
      <c r="B285" s="15">
        <v>1</v>
      </c>
      <c r="C285">
        <v>1.034316473787618</v>
      </c>
      <c r="D285">
        <v>9.101040663052302E-4</v>
      </c>
      <c r="E285">
        <v>0.10544733357312495</v>
      </c>
      <c r="F285">
        <v>2.7511740278179112E-4</v>
      </c>
      <c r="G285">
        <v>6.2002402881761332E-3</v>
      </c>
      <c r="H285">
        <v>1.0110767362232884E-3</v>
      </c>
      <c r="I285">
        <v>4.0528485884958965E-3</v>
      </c>
      <c r="J285">
        <v>1.2698763565344975E-3</v>
      </c>
      <c r="K285">
        <v>3.4258251365685507E-3</v>
      </c>
      <c r="L285">
        <v>2.1316929404692573E-3</v>
      </c>
      <c r="M285">
        <v>4.2649996564788645E-3</v>
      </c>
      <c r="N285">
        <v>2.0313352170829003E-3</v>
      </c>
      <c r="O285">
        <v>1.6833735420646548E-2</v>
      </c>
      <c r="P285">
        <v>2.6370763139987219E-3</v>
      </c>
      <c r="Q285">
        <v>0.17146129619515493</v>
      </c>
      <c r="R285">
        <v>7.8756422159592956E-2</v>
      </c>
      <c r="S285">
        <v>6.9188461707172952E-2</v>
      </c>
      <c r="T285">
        <v>6.4330068596849688E-3</v>
      </c>
      <c r="U285">
        <v>5.120271815213296E-2</v>
      </c>
      <c r="V285">
        <v>2.2117830439238012E-2</v>
      </c>
      <c r="W285">
        <v>8.339475647149007E-3</v>
      </c>
      <c r="X285">
        <v>0.13672855827559838</v>
      </c>
      <c r="Y285">
        <v>2.0099663389392793E-2</v>
      </c>
      <c r="Z285">
        <v>2.3591665781497601E-3</v>
      </c>
      <c r="AA285">
        <v>4.8547867414161179E-2</v>
      </c>
      <c r="AB285">
        <v>0.10600523491731405</v>
      </c>
      <c r="AC285">
        <v>1.1396113503863199E-2</v>
      </c>
      <c r="AD285">
        <v>3.7193953221771443E-2</v>
      </c>
      <c r="AE285">
        <v>0.12341732650894738</v>
      </c>
      <c r="AF285">
        <v>0.13232447684729473</v>
      </c>
      <c r="AG285">
        <v>0.11467648479341573</v>
      </c>
      <c r="AH285">
        <v>7.7233941564427838E-3</v>
      </c>
      <c r="AI285">
        <v>8.5967516245725122E-5</v>
      </c>
      <c r="AJ285"/>
      <c r="AK285"/>
      <c r="AL285"/>
      <c r="AM285"/>
    </row>
    <row r="286" spans="2:39" ht="16" customHeight="1">
      <c r="B286" s="15">
        <v>2</v>
      </c>
      <c r="C286">
        <v>1.7794165620390798E-2</v>
      </c>
      <c r="D286">
        <v>1.0144327453357771</v>
      </c>
      <c r="E286">
        <v>5.0475234139656475E-2</v>
      </c>
      <c r="F286">
        <v>1.1122125245073538E-4</v>
      </c>
      <c r="G286">
        <v>2.3794866841280785E-3</v>
      </c>
      <c r="H286">
        <v>8.7189406635985079E-4</v>
      </c>
      <c r="I286">
        <v>3.7477630616102216E-3</v>
      </c>
      <c r="J286">
        <v>2.0684452229377181E-3</v>
      </c>
      <c r="K286">
        <v>3.3213931516008263E-3</v>
      </c>
      <c r="L286">
        <v>2.2523124326942726E-3</v>
      </c>
      <c r="M286">
        <v>4.7155948469478577E-2</v>
      </c>
      <c r="N286">
        <v>9.2343489766770644E-4</v>
      </c>
      <c r="O286">
        <v>5.0680182229992619E-2</v>
      </c>
      <c r="P286">
        <v>3.2824850739769885E-3</v>
      </c>
      <c r="Q286">
        <v>7.9795412580642974E-2</v>
      </c>
      <c r="R286">
        <v>1.9594884559052922E-2</v>
      </c>
      <c r="S286">
        <v>1.4320539893822646E-2</v>
      </c>
      <c r="T286">
        <v>2.930729675455609E-3</v>
      </c>
      <c r="U286">
        <v>1.9111281066212758E-2</v>
      </c>
      <c r="V286">
        <v>1.130221460125159E-2</v>
      </c>
      <c r="W286">
        <v>4.2871392807035677E-3</v>
      </c>
      <c r="X286">
        <v>9.4455116321117388E-2</v>
      </c>
      <c r="Y286">
        <v>1.4982981329687988E-2</v>
      </c>
      <c r="Z286">
        <v>1.0771750484315445E-3</v>
      </c>
      <c r="AA286">
        <v>2.0651749039276694E-2</v>
      </c>
      <c r="AB286">
        <v>3.7293989210342153E-2</v>
      </c>
      <c r="AC286">
        <v>5.9972302225032564E-3</v>
      </c>
      <c r="AD286">
        <v>1.7753428988754247E-2</v>
      </c>
      <c r="AE286">
        <v>7.846852368185521E-2</v>
      </c>
      <c r="AF286">
        <v>3.8397414519812663E-2</v>
      </c>
      <c r="AG286">
        <v>6.2511035139827448E-2</v>
      </c>
      <c r="AH286">
        <v>3.1051372178797229E-3</v>
      </c>
      <c r="AI286">
        <v>8.6294858290636152E-5</v>
      </c>
      <c r="AJ286"/>
      <c r="AK286"/>
      <c r="AL286"/>
      <c r="AM286"/>
    </row>
    <row r="287" spans="2:39" ht="16" customHeight="1">
      <c r="B287" s="15">
        <v>3</v>
      </c>
      <c r="C287">
        <v>4.5171220874424638E-5</v>
      </c>
      <c r="D287">
        <v>2.4995043582902173E-5</v>
      </c>
      <c r="E287">
        <v>1.0824218068939198</v>
      </c>
      <c r="F287">
        <v>5.2319477957365948E-6</v>
      </c>
      <c r="G287">
        <v>1.616372544996598E-3</v>
      </c>
      <c r="H287">
        <v>2.8400857034917426E-5</v>
      </c>
      <c r="I287">
        <v>1.1278267095867963E-4</v>
      </c>
      <c r="J287">
        <v>2.6615904160279126E-5</v>
      </c>
      <c r="K287">
        <v>4.0303358079374952E-5</v>
      </c>
      <c r="L287">
        <v>3.6316568746182646E-5</v>
      </c>
      <c r="M287">
        <v>1.1337707945483362E-4</v>
      </c>
      <c r="N287">
        <v>4.379811900512428E-5</v>
      </c>
      <c r="O287">
        <v>2.2594960012115194E-4</v>
      </c>
      <c r="P287">
        <v>6.1875164265501429E-5</v>
      </c>
      <c r="Q287">
        <v>7.6192573398619614E-3</v>
      </c>
      <c r="R287">
        <v>2.8048427652600629E-3</v>
      </c>
      <c r="S287">
        <v>2.9020617304860441E-3</v>
      </c>
      <c r="T287">
        <v>4.9734432948050911E-3</v>
      </c>
      <c r="U287">
        <v>2.805152511082298E-3</v>
      </c>
      <c r="V287">
        <v>7.2252245285876293E-4</v>
      </c>
      <c r="W287">
        <v>3.931814475784482E-4</v>
      </c>
      <c r="X287">
        <v>7.8946341418465002E-4</v>
      </c>
      <c r="Y287">
        <v>6.1774299418838961E-4</v>
      </c>
      <c r="Z287">
        <v>9.1086223416532889E-5</v>
      </c>
      <c r="AA287">
        <v>2.2837344703405538E-3</v>
      </c>
      <c r="AB287">
        <v>1.1585501762756149E-3</v>
      </c>
      <c r="AC287">
        <v>4.310632647938118E-4</v>
      </c>
      <c r="AD287">
        <v>1.8420937167118584E-3</v>
      </c>
      <c r="AE287">
        <v>1.1364169190348115E-3</v>
      </c>
      <c r="AF287">
        <v>6.8265694202582444E-4</v>
      </c>
      <c r="AG287">
        <v>4.7670108311285413E-3</v>
      </c>
      <c r="AH287">
        <v>1.1698969759528589E-4</v>
      </c>
      <c r="AI287">
        <v>2.2125022834884803E-5</v>
      </c>
      <c r="AJ287"/>
      <c r="AK287"/>
      <c r="AL287"/>
      <c r="AM287"/>
    </row>
    <row r="288" spans="2:39" ht="16" customHeight="1">
      <c r="B288" s="15">
        <v>4</v>
      </c>
      <c r="C288">
        <v>8.8754410206193446E-5</v>
      </c>
      <c r="D288">
        <v>3.4375373974488552E-5</v>
      </c>
      <c r="E288">
        <v>3.3833541299619946E-4</v>
      </c>
      <c r="F288">
        <v>1.0036305715063001</v>
      </c>
      <c r="G288">
        <v>1.5455931227952921E-5</v>
      </c>
      <c r="H288">
        <v>2.3689994945351499E-5</v>
      </c>
      <c r="I288">
        <v>1.1291824931243888E-4</v>
      </c>
      <c r="J288">
        <v>7.6447261469953201E-5</v>
      </c>
      <c r="K288">
        <v>1.0328755524583031E-4</v>
      </c>
      <c r="L288">
        <v>7.0897588783303304E-5</v>
      </c>
      <c r="M288">
        <v>2.1727195840822917E-3</v>
      </c>
      <c r="N288">
        <v>6.0464688854758827E-6</v>
      </c>
      <c r="O288">
        <v>3.7019743488874968E-3</v>
      </c>
      <c r="P288">
        <v>1.9334214262874155E-4</v>
      </c>
      <c r="Q288">
        <v>4.7414001275053507E-4</v>
      </c>
      <c r="R288">
        <v>1.2723835987046403E-4</v>
      </c>
      <c r="S288">
        <v>5.2208731288511155E-4</v>
      </c>
      <c r="T288">
        <v>2.3615533889580742E-5</v>
      </c>
      <c r="U288">
        <v>1.9580903646616076E-4</v>
      </c>
      <c r="V288">
        <v>1.9045050923484594E-4</v>
      </c>
      <c r="W288">
        <v>2.163994011452547E-5</v>
      </c>
      <c r="X288">
        <v>5.2664864174676077E-4</v>
      </c>
      <c r="Y288">
        <v>1.0502517789932496E-4</v>
      </c>
      <c r="Z288">
        <v>8.3536592899589448E-6</v>
      </c>
      <c r="AA288">
        <v>2.2950583049765244E-4</v>
      </c>
      <c r="AB288">
        <v>1.8040858509306272E-4</v>
      </c>
      <c r="AC288">
        <v>6.6122846620227118E-5</v>
      </c>
      <c r="AD288">
        <v>1.5542242245150024E-4</v>
      </c>
      <c r="AE288">
        <v>2.9784725498184457E-4</v>
      </c>
      <c r="AF288">
        <v>6.8648276317718988E-5</v>
      </c>
      <c r="AG288">
        <v>4.5799761705011069E-4</v>
      </c>
      <c r="AH288">
        <v>1.5270952451108852E-5</v>
      </c>
      <c r="AI288">
        <v>4.3895183896306407E-7</v>
      </c>
      <c r="AJ288"/>
      <c r="AK288"/>
      <c r="AL288"/>
      <c r="AM288"/>
    </row>
    <row r="289" spans="2:39" ht="16" customHeight="1">
      <c r="B289" s="15">
        <v>5</v>
      </c>
      <c r="C289">
        <v>1.4983077663291674E-4</v>
      </c>
      <c r="D289">
        <v>9.7106453286691116E-5</v>
      </c>
      <c r="E289">
        <v>2.9481078225534721E-3</v>
      </c>
      <c r="F289">
        <v>1.7960616391323204E-5</v>
      </c>
      <c r="G289">
        <v>1.0051149314757912</v>
      </c>
      <c r="H289">
        <v>1.1427891322866956E-4</v>
      </c>
      <c r="I289">
        <v>3.3011176001862666E-4</v>
      </c>
      <c r="J289">
        <v>9.0542013805262815E-5</v>
      </c>
      <c r="K289">
        <v>2.2710706066498404E-4</v>
      </c>
      <c r="L289">
        <v>1.2885719867664961E-4</v>
      </c>
      <c r="M289">
        <v>3.3770723322552838E-4</v>
      </c>
      <c r="N289">
        <v>2.0316775296397329E-4</v>
      </c>
      <c r="O289">
        <v>2.3455890944630484E-3</v>
      </c>
      <c r="P289">
        <v>2.3676587564524289E-4</v>
      </c>
      <c r="Q289">
        <v>3.8991610081636104E-3</v>
      </c>
      <c r="R289">
        <v>2.752667836613841E-3</v>
      </c>
      <c r="S289">
        <v>7.22414661292369E-3</v>
      </c>
      <c r="T289">
        <v>3.0350435869494672E-3</v>
      </c>
      <c r="U289">
        <v>3.6434185780415103E-3</v>
      </c>
      <c r="V289">
        <v>2.9099848732859833E-2</v>
      </c>
      <c r="W289">
        <v>1.600295754764836E-3</v>
      </c>
      <c r="X289">
        <v>2.6437209296920981E-2</v>
      </c>
      <c r="Y289">
        <v>2.4395493632577299E-3</v>
      </c>
      <c r="Z289">
        <v>3.0657898024124034E-4</v>
      </c>
      <c r="AA289">
        <v>8.2476141911280772E-3</v>
      </c>
      <c r="AB289">
        <v>4.4508207155920625E-3</v>
      </c>
      <c r="AC289">
        <v>1.3613697290067559E-3</v>
      </c>
      <c r="AD289">
        <v>4.5551316621349732E-3</v>
      </c>
      <c r="AE289">
        <v>3.9871379250939034E-3</v>
      </c>
      <c r="AF289">
        <v>1.9982455040151921E-3</v>
      </c>
      <c r="AG289">
        <v>6.5278891578230136E-3</v>
      </c>
      <c r="AH289">
        <v>4.2606672420032808E-4</v>
      </c>
      <c r="AI289">
        <v>2.0226704637265601E-6</v>
      </c>
      <c r="AJ289"/>
      <c r="AK289"/>
      <c r="AL289"/>
      <c r="AM289"/>
    </row>
    <row r="290" spans="2:39" ht="16" customHeight="1">
      <c r="B290" s="15">
        <v>6</v>
      </c>
      <c r="C290">
        <v>1.786275768689554E-2</v>
      </c>
      <c r="D290">
        <v>0.65573794773861693</v>
      </c>
      <c r="E290">
        <v>6.1472881452767865E-2</v>
      </c>
      <c r="F290">
        <v>1.6620774071855879E-4</v>
      </c>
      <c r="G290">
        <v>3.6273356242724508E-3</v>
      </c>
      <c r="H290">
        <v>1.0204559657412144</v>
      </c>
      <c r="I290">
        <v>5.5881977830035366E-3</v>
      </c>
      <c r="J290">
        <v>5.4137298620921615E-3</v>
      </c>
      <c r="K290">
        <v>3.9743359116925295E-2</v>
      </c>
      <c r="L290">
        <v>4.8947290035181064E-3</v>
      </c>
      <c r="M290">
        <v>5.6816344455681574E-2</v>
      </c>
      <c r="N290">
        <v>1.6017840444502037E-3</v>
      </c>
      <c r="O290">
        <v>6.0522464816943004E-2</v>
      </c>
      <c r="P290">
        <v>1.4008613431118776E-2</v>
      </c>
      <c r="Q290">
        <v>5.8953449385625842E-2</v>
      </c>
      <c r="R290">
        <v>5.4306683962427792E-2</v>
      </c>
      <c r="S290">
        <v>2.5028461171252452E-2</v>
      </c>
      <c r="T290">
        <v>4.8520967687303972E-3</v>
      </c>
      <c r="U290">
        <v>2.1118774973954726E-2</v>
      </c>
      <c r="V290">
        <v>1.6405200444380957E-2</v>
      </c>
      <c r="W290">
        <v>6.9439939499833089E-3</v>
      </c>
      <c r="X290">
        <v>9.7103954201319523E-2</v>
      </c>
      <c r="Y290">
        <v>3.1444691526179222E-2</v>
      </c>
      <c r="Z290">
        <v>2.1258594881273032E-3</v>
      </c>
      <c r="AA290">
        <v>6.3894349327047115E-2</v>
      </c>
      <c r="AB290">
        <v>5.8783673791503913E-2</v>
      </c>
      <c r="AC290">
        <v>8.1991978361054992E-3</v>
      </c>
      <c r="AD290">
        <v>4.1274494531107549E-2</v>
      </c>
      <c r="AE290">
        <v>8.9296760570457073E-2</v>
      </c>
      <c r="AF290">
        <v>3.6694059072893567E-2</v>
      </c>
      <c r="AG290">
        <v>7.7596994394297417E-2</v>
      </c>
      <c r="AH290">
        <v>5.7335899043944438E-3</v>
      </c>
      <c r="AI290">
        <v>8.9024465084633247E-5</v>
      </c>
      <c r="AJ290"/>
      <c r="AK290"/>
      <c r="AL290"/>
      <c r="AM290"/>
    </row>
    <row r="291" spans="2:39" ht="16" customHeight="1">
      <c r="B291" s="15">
        <v>7</v>
      </c>
      <c r="C291">
        <v>9.4450280288697397E-2</v>
      </c>
      <c r="D291">
        <v>1.7335060983552188E-4</v>
      </c>
      <c r="E291">
        <v>1.6949330540343949E-2</v>
      </c>
      <c r="F291">
        <v>3.9414303138878168E-5</v>
      </c>
      <c r="G291">
        <v>8.1971734149412928E-4</v>
      </c>
      <c r="H291">
        <v>2.0987289906165374E-4</v>
      </c>
      <c r="I291">
        <v>1.0005903837822541</v>
      </c>
      <c r="J291">
        <v>1.8208637483761869E-4</v>
      </c>
      <c r="K291">
        <v>4.539005130679291E-4</v>
      </c>
      <c r="L291">
        <v>2.8859408434518452E-4</v>
      </c>
      <c r="M291">
        <v>6.9064407702390204E-4</v>
      </c>
      <c r="N291">
        <v>3.2572366467980044E-4</v>
      </c>
      <c r="O291">
        <v>1.4462194400793547E-2</v>
      </c>
      <c r="P291">
        <v>8.83330511048863E-3</v>
      </c>
      <c r="Q291">
        <v>1.6268087873368219E-2</v>
      </c>
      <c r="R291">
        <v>1.6217759960212727E-2</v>
      </c>
      <c r="S291">
        <v>1.0987246410222964E-2</v>
      </c>
      <c r="T291">
        <v>1.0246670873054866E-3</v>
      </c>
      <c r="U291">
        <v>6.456475463396923E-3</v>
      </c>
      <c r="V291">
        <v>3.3535052144142768E-3</v>
      </c>
      <c r="W291">
        <v>1.2648680204025804E-3</v>
      </c>
      <c r="X291">
        <v>1.5777579267879482E-2</v>
      </c>
      <c r="Y291">
        <v>9.1607518002042206E-3</v>
      </c>
      <c r="Z291">
        <v>3.719509590880167E-4</v>
      </c>
      <c r="AA291">
        <v>8.7225593551185712E-3</v>
      </c>
      <c r="AB291">
        <v>1.3545768874870679E-2</v>
      </c>
      <c r="AC291">
        <v>2.0428780386627979E-3</v>
      </c>
      <c r="AD291">
        <v>6.3844234772675408E-3</v>
      </c>
      <c r="AE291">
        <v>1.902824576432894E-2</v>
      </c>
      <c r="AF291">
        <v>1.3164768800194236E-2</v>
      </c>
      <c r="AG291">
        <v>2.0753718897795495E-2</v>
      </c>
      <c r="AH291">
        <v>1.0309084574016741E-3</v>
      </c>
      <c r="AI291">
        <v>9.330466766987099E-6</v>
      </c>
      <c r="AJ291"/>
      <c r="AK291"/>
      <c r="AL291"/>
      <c r="AM291"/>
    </row>
    <row r="292" spans="2:39" ht="16" customHeight="1">
      <c r="B292" s="15">
        <v>8</v>
      </c>
      <c r="C292">
        <v>2.5662770182670849E-3</v>
      </c>
      <c r="D292">
        <v>0.10499274633006608</v>
      </c>
      <c r="E292">
        <v>7.2489901036669108E-2</v>
      </c>
      <c r="F292">
        <v>3.0674801652929394E-5</v>
      </c>
      <c r="G292">
        <v>8.4606666975145484E-4</v>
      </c>
      <c r="H292">
        <v>3.1775455468927548E-4</v>
      </c>
      <c r="I292">
        <v>1.4030913223027272E-3</v>
      </c>
      <c r="J292">
        <v>1.0175963363383365</v>
      </c>
      <c r="K292">
        <v>1.1732582533482488E-3</v>
      </c>
      <c r="L292">
        <v>3.7194394841953422E-2</v>
      </c>
      <c r="M292">
        <v>1.7266362348052254E-2</v>
      </c>
      <c r="N292">
        <v>3.1810418122300675E-4</v>
      </c>
      <c r="O292">
        <v>9.698324508282067E-3</v>
      </c>
      <c r="P292">
        <v>2.5365235211419392E-3</v>
      </c>
      <c r="Q292">
        <v>1.0242580246075725E-2</v>
      </c>
      <c r="R292">
        <v>1.2119498285729911E-2</v>
      </c>
      <c r="S292">
        <v>5.1048545708801338E-3</v>
      </c>
      <c r="T292">
        <v>1.4009136768208716E-3</v>
      </c>
      <c r="U292">
        <v>3.7877385764214203E-3</v>
      </c>
      <c r="V292">
        <v>3.2512142575362047E-3</v>
      </c>
      <c r="W292">
        <v>1.5067228243061377E-3</v>
      </c>
      <c r="X292">
        <v>1.6936490119289431E-2</v>
      </c>
      <c r="Y292">
        <v>1.3120575625296046E-2</v>
      </c>
      <c r="Z292">
        <v>5.4597243003212898E-4</v>
      </c>
      <c r="AA292">
        <v>1.3452845027514026E-2</v>
      </c>
      <c r="AB292">
        <v>9.059565559066533E-3</v>
      </c>
      <c r="AC292">
        <v>1.9605625379243911E-3</v>
      </c>
      <c r="AD292">
        <v>1.1159696072723458E-2</v>
      </c>
      <c r="AE292">
        <v>1.3927223968986558E-2</v>
      </c>
      <c r="AF292">
        <v>6.0171945831499832E-3</v>
      </c>
      <c r="AG292">
        <v>1.8984227280632749E-2</v>
      </c>
      <c r="AH292">
        <v>8.394715319331638E-4</v>
      </c>
      <c r="AI292">
        <v>3.326056405829549E-5</v>
      </c>
      <c r="AJ292"/>
      <c r="AK292"/>
      <c r="AL292"/>
      <c r="AM292"/>
    </row>
    <row r="293" spans="2:39" ht="16" customHeight="1">
      <c r="B293" s="15">
        <v>9</v>
      </c>
      <c r="C293">
        <v>0.15056874394273881</v>
      </c>
      <c r="D293">
        <v>1.8500388995595678E-2</v>
      </c>
      <c r="E293">
        <v>5.7972075223343682E-2</v>
      </c>
      <c r="F293">
        <v>7.1542311669017607E-5</v>
      </c>
      <c r="G293">
        <v>1.7682058081818753E-3</v>
      </c>
      <c r="H293">
        <v>2.6808186188961298E-3</v>
      </c>
      <c r="I293">
        <v>5.6877732010502374E-3</v>
      </c>
      <c r="J293">
        <v>8.3727348036608598E-2</v>
      </c>
      <c r="K293">
        <v>1.0925769195536772</v>
      </c>
      <c r="L293">
        <v>4.9551361306860588E-2</v>
      </c>
      <c r="M293">
        <v>3.2532373901523921E-2</v>
      </c>
      <c r="N293">
        <v>6.3889331847222187E-4</v>
      </c>
      <c r="O293">
        <v>1.6567114384367712E-2</v>
      </c>
      <c r="P293">
        <v>7.7605703378077545E-3</v>
      </c>
      <c r="Q293">
        <v>2.8892309073934464E-2</v>
      </c>
      <c r="R293">
        <v>2.5786889004667354E-2</v>
      </c>
      <c r="S293">
        <v>1.9001477155760806E-2</v>
      </c>
      <c r="T293">
        <v>2.3550597516248783E-3</v>
      </c>
      <c r="U293">
        <v>1.1531186820813992E-2</v>
      </c>
      <c r="V293">
        <v>6.7616399126697226E-3</v>
      </c>
      <c r="W293">
        <v>2.7415620688574041E-3</v>
      </c>
      <c r="X293">
        <v>3.3895981415285895E-2</v>
      </c>
      <c r="Y293">
        <v>2.1244019212433268E-2</v>
      </c>
      <c r="Z293">
        <v>1.0001326078670262E-3</v>
      </c>
      <c r="AA293">
        <v>2.3917784327688311E-2</v>
      </c>
      <c r="AB293">
        <v>2.5534289855624764E-2</v>
      </c>
      <c r="AC293">
        <v>3.471380968500983E-3</v>
      </c>
      <c r="AD293">
        <v>1.9104431326959388E-2</v>
      </c>
      <c r="AE293">
        <v>4.2088983372323877E-2</v>
      </c>
      <c r="AF293">
        <v>2.4330949444397881E-2</v>
      </c>
      <c r="AG293">
        <v>3.2348710505865519E-2</v>
      </c>
      <c r="AH293">
        <v>2.0848683960906552E-3</v>
      </c>
      <c r="AI293">
        <v>4.4874770562499473E-5</v>
      </c>
      <c r="AJ293"/>
      <c r="AK293"/>
      <c r="AL293"/>
      <c r="AM293"/>
    </row>
    <row r="294" spans="2:39" ht="16" customHeight="1">
      <c r="B294" s="15">
        <v>10</v>
      </c>
      <c r="C294">
        <v>3.6051541924142861E-3</v>
      </c>
      <c r="D294">
        <v>2.851668122176099E-5</v>
      </c>
      <c r="E294">
        <v>8.9836484453704787E-3</v>
      </c>
      <c r="F294">
        <v>4.9487951038570149E-6</v>
      </c>
      <c r="G294">
        <v>2.4120933323469376E-4</v>
      </c>
      <c r="H294">
        <v>3.4120381835207169E-5</v>
      </c>
      <c r="I294">
        <v>3.8311494868755267E-5</v>
      </c>
      <c r="J294">
        <v>2.5570862060978565E-5</v>
      </c>
      <c r="K294">
        <v>3.7965713633826816E-5</v>
      </c>
      <c r="L294">
        <v>1.0000339475402169</v>
      </c>
      <c r="M294">
        <v>8.1854059408332738E-5</v>
      </c>
      <c r="N294">
        <v>4.1637020155832286E-5</v>
      </c>
      <c r="O294">
        <v>3.350407915139561E-3</v>
      </c>
      <c r="P294">
        <v>1.0782613134178835E-3</v>
      </c>
      <c r="Q294">
        <v>8.64240966452599E-4</v>
      </c>
      <c r="R294">
        <v>1.5239944208654357E-3</v>
      </c>
      <c r="S294">
        <v>1.2135656319868812E-3</v>
      </c>
      <c r="T294">
        <v>5.6978114444292106E-4</v>
      </c>
      <c r="U294">
        <v>6.5793543382499048E-4</v>
      </c>
      <c r="V294">
        <v>4.348767250129498E-4</v>
      </c>
      <c r="W294">
        <v>1.4567638559279526E-4</v>
      </c>
      <c r="X294">
        <v>1.6144404260236118E-3</v>
      </c>
      <c r="Y294">
        <v>2.5359464707088836E-3</v>
      </c>
      <c r="Z294">
        <v>9.0339216879756833E-5</v>
      </c>
      <c r="AA294">
        <v>7.8840279372927567E-4</v>
      </c>
      <c r="AB294">
        <v>1.0317851305633879E-3</v>
      </c>
      <c r="AC294">
        <v>4.2375024291545677E-4</v>
      </c>
      <c r="AD294">
        <v>1.5135301344051046E-3</v>
      </c>
      <c r="AE294">
        <v>1.5629777028957431E-2</v>
      </c>
      <c r="AF294">
        <v>1.4589237372377882E-3</v>
      </c>
      <c r="AG294">
        <v>4.0674082917590872E-3</v>
      </c>
      <c r="AH294">
        <v>2.6991961344400022E-4</v>
      </c>
      <c r="AI294">
        <v>1.3445812310414085E-6</v>
      </c>
      <c r="AJ294"/>
      <c r="AK294"/>
      <c r="AL294"/>
      <c r="AM294"/>
    </row>
    <row r="295" spans="2:39" ht="16" customHeight="1">
      <c r="B295" s="15">
        <v>11</v>
      </c>
      <c r="C295">
        <v>3.7125838584144789E-2</v>
      </c>
      <c r="D295">
        <v>1.4264886107740368E-2</v>
      </c>
      <c r="E295">
        <v>2.7956115894826807E-2</v>
      </c>
      <c r="F295">
        <v>3.8198949959576858E-5</v>
      </c>
      <c r="G295">
        <v>1.0237738881593724E-3</v>
      </c>
      <c r="H295">
        <v>8.7557786594815966E-3</v>
      </c>
      <c r="I295">
        <v>5.0833934963577312E-2</v>
      </c>
      <c r="J295">
        <v>3.4162387311642381E-2</v>
      </c>
      <c r="K295">
        <v>4.5977724352543291E-2</v>
      </c>
      <c r="L295">
        <v>3.1111312249715126E-2</v>
      </c>
      <c r="M295">
        <v>1.0121062865526949</v>
      </c>
      <c r="N295">
        <v>3.8546679400935571E-4</v>
      </c>
      <c r="O295">
        <v>1.117460237284627E-2</v>
      </c>
      <c r="P295">
        <v>3.4288637088452597E-3</v>
      </c>
      <c r="Q295">
        <v>9.042885918044417E-3</v>
      </c>
      <c r="R295">
        <v>1.7215328528642684E-2</v>
      </c>
      <c r="S295">
        <v>1.0570424175306976E-2</v>
      </c>
      <c r="T295">
        <v>1.8273929497031568E-3</v>
      </c>
      <c r="U295">
        <v>5.3457163219847725E-3</v>
      </c>
      <c r="V295">
        <v>3.7249805357020141E-3</v>
      </c>
      <c r="W295">
        <v>1.5321781614409571E-3</v>
      </c>
      <c r="X295">
        <v>1.4974582811966586E-2</v>
      </c>
      <c r="Y295">
        <v>1.0662175042665685E-2</v>
      </c>
      <c r="Z295">
        <v>5.2396230337995006E-4</v>
      </c>
      <c r="AA295">
        <v>1.2768888409242165E-2</v>
      </c>
      <c r="AB295">
        <v>1.1080599089775291E-2</v>
      </c>
      <c r="AC295">
        <v>2.4917555844878913E-3</v>
      </c>
      <c r="AD295">
        <v>9.9703036635597313E-3</v>
      </c>
      <c r="AE295">
        <v>2.3403372494684715E-2</v>
      </c>
      <c r="AF295">
        <v>9.0146559608804081E-3</v>
      </c>
      <c r="AG295">
        <v>2.579382888702083E-2</v>
      </c>
      <c r="AH295">
        <v>1.3874559975649515E-3</v>
      </c>
      <c r="AI295">
        <v>1.4250303565873829E-4</v>
      </c>
      <c r="AJ295"/>
      <c r="AK295"/>
      <c r="AL295"/>
      <c r="AM295"/>
    </row>
    <row r="296" spans="2:39" ht="16" customHeight="1">
      <c r="B296" s="15">
        <v>12</v>
      </c>
      <c r="C296">
        <v>3.3133566037116799E-2</v>
      </c>
      <c r="D296">
        <v>1.0852467069417759E-3</v>
      </c>
      <c r="E296">
        <v>3.2017490154066422E-2</v>
      </c>
      <c r="F296">
        <v>6.44117586133975E-5</v>
      </c>
      <c r="G296">
        <v>3.5001178219868589E-3</v>
      </c>
      <c r="H296">
        <v>8.9867755148076108E-4</v>
      </c>
      <c r="I296">
        <v>3.548641042555319E-3</v>
      </c>
      <c r="J296">
        <v>2.0950174570640752E-3</v>
      </c>
      <c r="K296">
        <v>3.1131738672682094E-3</v>
      </c>
      <c r="L296">
        <v>0.2142052897608695</v>
      </c>
      <c r="M296">
        <v>5.0020517275369346E-2</v>
      </c>
      <c r="N296">
        <v>1.0007530666816271</v>
      </c>
      <c r="O296">
        <v>0.16598325024378896</v>
      </c>
      <c r="P296">
        <v>1.7857459978566487E-2</v>
      </c>
      <c r="Q296">
        <v>9.8556484789161618E-3</v>
      </c>
      <c r="R296">
        <v>0.10895676411344314</v>
      </c>
      <c r="S296">
        <v>3.6812982946442842E-2</v>
      </c>
      <c r="T296">
        <v>8.3604043585536001E-3</v>
      </c>
      <c r="U296">
        <v>3.5929190371205184E-2</v>
      </c>
      <c r="V296">
        <v>8.6703332759778245E-3</v>
      </c>
      <c r="W296">
        <v>3.057990947251048E-3</v>
      </c>
      <c r="X296">
        <v>2.8723469997170698E-2</v>
      </c>
      <c r="Y296">
        <v>4.6449640860351527E-2</v>
      </c>
      <c r="Z296">
        <v>9.6434608676773355E-4</v>
      </c>
      <c r="AA296">
        <v>2.871215862060552E-2</v>
      </c>
      <c r="AB296">
        <v>1.6011830945667722E-2</v>
      </c>
      <c r="AC296">
        <v>4.8697620125785707E-3</v>
      </c>
      <c r="AD296">
        <v>1.8770768976990333E-2</v>
      </c>
      <c r="AE296">
        <v>2.9668078161554826E-2</v>
      </c>
      <c r="AF296">
        <v>1.2045952859738219E-2</v>
      </c>
      <c r="AG296">
        <v>4.9732643943351244E-2</v>
      </c>
      <c r="AH296">
        <v>2.3874951342343007E-3</v>
      </c>
      <c r="AI296">
        <v>5.4441422141031091E-5</v>
      </c>
      <c r="AJ296"/>
      <c r="AK296"/>
      <c r="AL296"/>
      <c r="AM296"/>
    </row>
    <row r="297" spans="2:39" ht="16" customHeight="1">
      <c r="B297" s="15">
        <v>13</v>
      </c>
      <c r="C297">
        <v>1.4951751464581211E-3</v>
      </c>
      <c r="D297">
        <v>2.8447199603333443E-4</v>
      </c>
      <c r="E297">
        <v>4.7740460750600915E-3</v>
      </c>
      <c r="F297">
        <v>9.7332626637882127E-6</v>
      </c>
      <c r="G297">
        <v>3.8090722023650627E-4</v>
      </c>
      <c r="H297">
        <v>4.122428960866387E-4</v>
      </c>
      <c r="I297">
        <v>1.7080481577704787E-4</v>
      </c>
      <c r="J297">
        <v>5.8700437178123771E-5</v>
      </c>
      <c r="K297">
        <v>1.6026606450658589E-4</v>
      </c>
      <c r="L297">
        <v>8.6034307553796324E-5</v>
      </c>
      <c r="M297">
        <v>3.0251261792947132E-4</v>
      </c>
      <c r="N297">
        <v>1.3475566499437594E-4</v>
      </c>
      <c r="O297">
        <v>1.1799551810559814</v>
      </c>
      <c r="P297">
        <v>5.8195698679728805E-2</v>
      </c>
      <c r="Q297">
        <v>3.6781728905532613E-3</v>
      </c>
      <c r="R297">
        <v>4.0096317815714296E-3</v>
      </c>
      <c r="S297">
        <v>4.5555381950908511E-3</v>
      </c>
      <c r="T297">
        <v>5.9326949819548888E-4</v>
      </c>
      <c r="U297">
        <v>2.6128057887287301E-3</v>
      </c>
      <c r="V297">
        <v>2.0303562412552745E-3</v>
      </c>
      <c r="W297">
        <v>7.9581326711404196E-4</v>
      </c>
      <c r="X297">
        <v>2.2269792994310263E-2</v>
      </c>
      <c r="Y297">
        <v>1.0990075965429299E-2</v>
      </c>
      <c r="Z297">
        <v>3.2219111781918067E-4</v>
      </c>
      <c r="AA297">
        <v>4.6485748578526231E-3</v>
      </c>
      <c r="AB297">
        <v>2.2989209106757517E-3</v>
      </c>
      <c r="AC297">
        <v>7.6602670426788831E-4</v>
      </c>
      <c r="AD297">
        <v>6.7521372117656823E-3</v>
      </c>
      <c r="AE297">
        <v>6.9205220027632732E-3</v>
      </c>
      <c r="AF297">
        <v>3.3219790376459177E-3</v>
      </c>
      <c r="AG297">
        <v>7.1054607583448861E-3</v>
      </c>
      <c r="AH297">
        <v>1.1123043014478215E-3</v>
      </c>
      <c r="AI297">
        <v>2.138865182713317E-6</v>
      </c>
      <c r="AJ297"/>
      <c r="AK297"/>
      <c r="AL297"/>
      <c r="AM297"/>
    </row>
    <row r="298" spans="2:39" ht="16" customHeight="1">
      <c r="B298" s="15">
        <v>14</v>
      </c>
      <c r="C298">
        <v>1.9635220914095798E-4</v>
      </c>
      <c r="D298">
        <v>4.7406102248627778E-3</v>
      </c>
      <c r="E298">
        <v>9.5978950995901388E-4</v>
      </c>
      <c r="F298">
        <v>5.7643411970836804E-6</v>
      </c>
      <c r="G298">
        <v>1.7713248130741229E-4</v>
      </c>
      <c r="H298">
        <v>7.3635639456130463E-3</v>
      </c>
      <c r="I298">
        <v>1.6882040674406505E-4</v>
      </c>
      <c r="J298">
        <v>7.0570380032118605E-5</v>
      </c>
      <c r="K298">
        <v>3.9758297762050148E-4</v>
      </c>
      <c r="L298">
        <v>8.6166128846775928E-5</v>
      </c>
      <c r="M298">
        <v>6.2469696550145211E-4</v>
      </c>
      <c r="N298">
        <v>9.9076089896344761E-5</v>
      </c>
      <c r="O298">
        <v>1.0097949530345903E-3</v>
      </c>
      <c r="P298">
        <v>1.1849220976283648</v>
      </c>
      <c r="Q298">
        <v>9.9720585178044861E-4</v>
      </c>
      <c r="R298">
        <v>3.8184052369451601E-3</v>
      </c>
      <c r="S298">
        <v>4.7992355788389401E-3</v>
      </c>
      <c r="T298">
        <v>2.3634113107307808E-4</v>
      </c>
      <c r="U298">
        <v>1.8552231442754605E-3</v>
      </c>
      <c r="V298">
        <v>1.0137045386648131E-3</v>
      </c>
      <c r="W298">
        <v>2.2091039405808163E-4</v>
      </c>
      <c r="X298">
        <v>4.5489250370467169E-3</v>
      </c>
      <c r="Y298">
        <v>1.2841984698697363E-3</v>
      </c>
      <c r="Z298">
        <v>1.2165629675959433E-4</v>
      </c>
      <c r="AA298">
        <v>4.1035295670922567E-3</v>
      </c>
      <c r="AB298">
        <v>1.6152788312004532E-3</v>
      </c>
      <c r="AC298">
        <v>3.9021829209816354E-4</v>
      </c>
      <c r="AD298">
        <v>2.452685189876859E-3</v>
      </c>
      <c r="AE298">
        <v>4.3451654680929297E-3</v>
      </c>
      <c r="AF298">
        <v>1.492115777255652E-3</v>
      </c>
      <c r="AG298">
        <v>3.5990086341605287E-3</v>
      </c>
      <c r="AH298">
        <v>2.1718240013592481E-4</v>
      </c>
      <c r="AI298">
        <v>1.4146818015593722E-6</v>
      </c>
      <c r="AJ298"/>
      <c r="AK298"/>
      <c r="AL298"/>
      <c r="AM298"/>
    </row>
    <row r="299" spans="2:39" ht="16" customHeight="1">
      <c r="B299" s="15">
        <v>15</v>
      </c>
      <c r="C299">
        <v>1.4028608578409474E-4</v>
      </c>
      <c r="D299">
        <v>8.6201265808321436E-5</v>
      </c>
      <c r="E299">
        <v>0.67991483653422924</v>
      </c>
      <c r="F299">
        <v>1.4639766536865772E-5</v>
      </c>
      <c r="G299">
        <v>1.3316980736911364E-3</v>
      </c>
      <c r="H299">
        <v>9.8104585162659384E-5</v>
      </c>
      <c r="I299">
        <v>4.1168893246586717E-4</v>
      </c>
      <c r="J299">
        <v>7.9376896148680714E-5</v>
      </c>
      <c r="K299">
        <v>2.3695006767901586E-4</v>
      </c>
      <c r="L299">
        <v>1.2325908279586917E-4</v>
      </c>
      <c r="M299">
        <v>3.9684111638293892E-4</v>
      </c>
      <c r="N299">
        <v>2.0525101002942536E-4</v>
      </c>
      <c r="O299">
        <v>1.1180955607401097E-3</v>
      </c>
      <c r="P299">
        <v>1.5537583272474744E-4</v>
      </c>
      <c r="Q299">
        <v>1.2061550836790826</v>
      </c>
      <c r="R299">
        <v>4.1525187938419115E-3</v>
      </c>
      <c r="S299">
        <v>4.0377137830768196E-3</v>
      </c>
      <c r="T299">
        <v>3.606014556032894E-3</v>
      </c>
      <c r="U299">
        <v>2.8580329352738505E-3</v>
      </c>
      <c r="V299">
        <v>2.4799627733777217E-3</v>
      </c>
      <c r="W299">
        <v>9.2215270425713924E-4</v>
      </c>
      <c r="X299">
        <v>6.3950508538930797E-3</v>
      </c>
      <c r="Y299">
        <v>5.1939412531959725E-3</v>
      </c>
      <c r="Z299">
        <v>3.2608418571452967E-4</v>
      </c>
      <c r="AA299">
        <v>1.1208770964095555E-2</v>
      </c>
      <c r="AB299">
        <v>4.041435662459153E-3</v>
      </c>
      <c r="AC299">
        <v>1.0062689248384713E-3</v>
      </c>
      <c r="AD299">
        <v>6.8300862434395046E-3</v>
      </c>
      <c r="AE299">
        <v>6.7808871173296037E-3</v>
      </c>
      <c r="AF299">
        <v>2.4951044558933267E-3</v>
      </c>
      <c r="AG299">
        <v>8.2060209492702159E-3</v>
      </c>
      <c r="AH299">
        <v>4.389704476578586E-4</v>
      </c>
      <c r="AI299">
        <v>2.1881318173627479E-4</v>
      </c>
      <c r="AJ299"/>
      <c r="AK299"/>
      <c r="AL299"/>
      <c r="AM299"/>
    </row>
    <row r="300" spans="2:39" ht="16" customHeight="1">
      <c r="B300" s="15">
        <v>16</v>
      </c>
      <c r="C300">
        <v>3.7003683950679862E-4</v>
      </c>
      <c r="D300">
        <v>1.8959615272925889E-4</v>
      </c>
      <c r="E300">
        <v>5.6798169264035518E-3</v>
      </c>
      <c r="F300">
        <v>2.9879469078859139E-5</v>
      </c>
      <c r="G300">
        <v>1.0540906878809143E-3</v>
      </c>
      <c r="H300">
        <v>2.0759369378256043E-4</v>
      </c>
      <c r="I300">
        <v>6.6029938075576539E-4</v>
      </c>
      <c r="J300">
        <v>2.1864129034606338E-4</v>
      </c>
      <c r="K300">
        <v>9.3448880534659565E-4</v>
      </c>
      <c r="L300">
        <v>6.015497919058052E-4</v>
      </c>
      <c r="M300">
        <v>9.135489705315872E-4</v>
      </c>
      <c r="N300">
        <v>4.1924372946681814E-4</v>
      </c>
      <c r="O300">
        <v>8.310058423062516E-3</v>
      </c>
      <c r="P300">
        <v>1.7572253189341027E-3</v>
      </c>
      <c r="Q300">
        <v>6.3009889230732918E-3</v>
      </c>
      <c r="R300">
        <v>1.1927821001588379</v>
      </c>
      <c r="S300">
        <v>1.3234137850256081E-2</v>
      </c>
      <c r="T300">
        <v>1.9033041013588234E-3</v>
      </c>
      <c r="U300">
        <v>1.3501691629384182E-2</v>
      </c>
      <c r="V300">
        <v>7.8286216443641341E-3</v>
      </c>
      <c r="W300">
        <v>1.9973196025225527E-3</v>
      </c>
      <c r="X300">
        <v>3.3612843139774723E-2</v>
      </c>
      <c r="Y300">
        <v>9.0848324726475697E-3</v>
      </c>
      <c r="Z300">
        <v>6.4483130626626409E-4</v>
      </c>
      <c r="AA300">
        <v>1.9029761980330177E-2</v>
      </c>
      <c r="AB300">
        <v>6.3551796385928486E-3</v>
      </c>
      <c r="AC300">
        <v>2.5271019559646329E-3</v>
      </c>
      <c r="AD300">
        <v>1.2869082137293108E-2</v>
      </c>
      <c r="AE300">
        <v>1.4443197500214024E-2</v>
      </c>
      <c r="AF300">
        <v>5.2897509034094846E-3</v>
      </c>
      <c r="AG300">
        <v>2.8678928132679977E-2</v>
      </c>
      <c r="AH300">
        <v>9.3775657139449691E-4</v>
      </c>
      <c r="AI300">
        <v>4.6560973798452602E-6</v>
      </c>
      <c r="AJ300"/>
      <c r="AK300"/>
      <c r="AL300"/>
      <c r="AM300"/>
    </row>
    <row r="301" spans="2:39" ht="16" customHeight="1">
      <c r="B301" s="15">
        <v>17</v>
      </c>
      <c r="C301">
        <v>6.8193985741065687E-3</v>
      </c>
      <c r="D301">
        <v>9.554572534419875E-4</v>
      </c>
      <c r="E301">
        <v>2.0902035836946085E-2</v>
      </c>
      <c r="F301">
        <v>1.1214333865292352E-4</v>
      </c>
      <c r="G301">
        <v>1.5176080955453707E-2</v>
      </c>
      <c r="H301">
        <v>9.6087178600468492E-4</v>
      </c>
      <c r="I301">
        <v>2.7576614223815432E-3</v>
      </c>
      <c r="J301">
        <v>1.4420662814204281E-3</v>
      </c>
      <c r="K301">
        <v>4.2775042729941079E-3</v>
      </c>
      <c r="L301">
        <v>2.035292950431315E-3</v>
      </c>
      <c r="M301">
        <v>1.9286315829745933E-2</v>
      </c>
      <c r="N301">
        <v>1.2621849252630617E-3</v>
      </c>
      <c r="O301">
        <v>1.246985949460282E-2</v>
      </c>
      <c r="P301">
        <v>3.4942046404924979E-3</v>
      </c>
      <c r="Q301">
        <v>8.9053388600507984E-3</v>
      </c>
      <c r="R301">
        <v>2.8150333993942771E-2</v>
      </c>
      <c r="S301">
        <v>1.1509215695736079</v>
      </c>
      <c r="T301">
        <v>2.3430337569073E-2</v>
      </c>
      <c r="U301">
        <v>0.36613974618085882</v>
      </c>
      <c r="V301">
        <v>8.9202473070698007E-2</v>
      </c>
      <c r="W301">
        <v>7.4767138436750832E-3</v>
      </c>
      <c r="X301">
        <v>4.5236075084450489E-2</v>
      </c>
      <c r="Y301">
        <v>2.9426656234095901E-2</v>
      </c>
      <c r="Z301">
        <v>1.8961737769857372E-3</v>
      </c>
      <c r="AA301">
        <v>5.0424416435444486E-2</v>
      </c>
      <c r="AB301">
        <v>2.6127380520126517E-2</v>
      </c>
      <c r="AC301">
        <v>8.9158997694085817E-3</v>
      </c>
      <c r="AD301">
        <v>3.2876583940703093E-2</v>
      </c>
      <c r="AE301">
        <v>6.5120565092095392E-2</v>
      </c>
      <c r="AF301">
        <v>1.4284377068946806E-2</v>
      </c>
      <c r="AG301">
        <v>7.3921514112793116E-2</v>
      </c>
      <c r="AH301">
        <v>3.0523670873894028E-3</v>
      </c>
      <c r="AI301">
        <v>3.5959511932909237E-5</v>
      </c>
      <c r="AJ301"/>
      <c r="AK301"/>
      <c r="AL301"/>
      <c r="AM301"/>
    </row>
    <row r="302" spans="2:39" ht="16" customHeight="1">
      <c r="B302" s="15">
        <v>18</v>
      </c>
      <c r="C302">
        <v>1.795750328330917E-4</v>
      </c>
      <c r="D302">
        <v>1.1288555881670747E-4</v>
      </c>
      <c r="E302">
        <v>2.3914034638559127E-3</v>
      </c>
      <c r="F302">
        <v>2.1685946738263066E-5</v>
      </c>
      <c r="G302">
        <v>0.33652699832179639</v>
      </c>
      <c r="H302">
        <v>1.3282977210618435E-4</v>
      </c>
      <c r="I302">
        <v>4.4519777746905391E-4</v>
      </c>
      <c r="J302">
        <v>1.0543991903238141E-4</v>
      </c>
      <c r="K302">
        <v>3.0747190990772872E-4</v>
      </c>
      <c r="L302">
        <v>1.6714907297338879E-4</v>
      </c>
      <c r="M302">
        <v>4.2510173022361535E-4</v>
      </c>
      <c r="N302">
        <v>2.6395702001828135E-4</v>
      </c>
      <c r="O302">
        <v>2.7515136339376772E-3</v>
      </c>
      <c r="P302">
        <v>3.1001588041044406E-4</v>
      </c>
      <c r="Q302">
        <v>2.4112435018290869E-3</v>
      </c>
      <c r="R302">
        <v>4.0146645641626545E-2</v>
      </c>
      <c r="S302">
        <v>7.0725966499641047E-3</v>
      </c>
      <c r="T302">
        <v>1.0827884747787762</v>
      </c>
      <c r="U302">
        <v>2.4945699372758732E-2</v>
      </c>
      <c r="V302">
        <v>1.2061141612057256E-2</v>
      </c>
      <c r="W302">
        <v>1.2118398614230611E-3</v>
      </c>
      <c r="X302">
        <v>1.5552770653703564E-2</v>
      </c>
      <c r="Y302">
        <v>1.0046984277452471E-2</v>
      </c>
      <c r="Z302">
        <v>3.5232691693592798E-4</v>
      </c>
      <c r="AA302">
        <v>1.1025400384110807E-2</v>
      </c>
      <c r="AB302">
        <v>6.115043759167757E-3</v>
      </c>
      <c r="AC302">
        <v>1.4584782234037977E-3</v>
      </c>
      <c r="AD302">
        <v>6.6590939806070457E-3</v>
      </c>
      <c r="AE302">
        <v>5.6577182203795097E-3</v>
      </c>
      <c r="AF302">
        <v>2.8159430931204844E-3</v>
      </c>
      <c r="AG302">
        <v>1.0831024785150821E-2</v>
      </c>
      <c r="AH302">
        <v>5.3246781359169142E-4</v>
      </c>
      <c r="AI302">
        <v>2.3353789014667979E-6</v>
      </c>
      <c r="AJ302"/>
      <c r="AK302"/>
      <c r="AL302"/>
      <c r="AM302"/>
    </row>
    <row r="303" spans="2:39" ht="16" customHeight="1">
      <c r="B303" s="15">
        <v>19</v>
      </c>
      <c r="C303">
        <v>2.1664291227718581E-5</v>
      </c>
      <c r="D303">
        <v>2.0530728137129304E-5</v>
      </c>
      <c r="E303">
        <v>5.4591986238650635E-4</v>
      </c>
      <c r="F303">
        <v>3.5587547136571748E-6</v>
      </c>
      <c r="G303">
        <v>2.9555572814239416E-3</v>
      </c>
      <c r="H303">
        <v>2.2477742163301533E-5</v>
      </c>
      <c r="I303">
        <v>2.092053305533028E-5</v>
      </c>
      <c r="J303">
        <v>1.9554307309866369E-5</v>
      </c>
      <c r="K303">
        <v>2.2642138592843698E-5</v>
      </c>
      <c r="L303">
        <v>2.5070503649480569E-5</v>
      </c>
      <c r="M303">
        <v>6.0360851356190967E-5</v>
      </c>
      <c r="N303">
        <v>3.2784994719822635E-5</v>
      </c>
      <c r="O303">
        <v>1.7793285995537102E-4</v>
      </c>
      <c r="P303">
        <v>4.2975214035148072E-5</v>
      </c>
      <c r="Q303">
        <v>1.9801253008404896E-4</v>
      </c>
      <c r="R303">
        <v>8.9712407038044909E-4</v>
      </c>
      <c r="S303">
        <v>6.2827839860397721E-4</v>
      </c>
      <c r="T303">
        <v>6.6956645804196657E-4</v>
      </c>
      <c r="U303">
        <v>1.0518311048447528</v>
      </c>
      <c r="V303">
        <v>3.7622200576157828E-4</v>
      </c>
      <c r="W303">
        <v>1.0753536264850082E-4</v>
      </c>
      <c r="X303">
        <v>9.2191373437096476E-4</v>
      </c>
      <c r="Y303">
        <v>7.8398923059400702E-4</v>
      </c>
      <c r="Z303">
        <v>1.0303530560198044E-4</v>
      </c>
      <c r="AA303">
        <v>7.8507461979013921E-4</v>
      </c>
      <c r="AB303">
        <v>5.2207910529008866E-4</v>
      </c>
      <c r="AC303">
        <v>3.5969868548375351E-4</v>
      </c>
      <c r="AD303">
        <v>2.1152655363313711E-3</v>
      </c>
      <c r="AE303">
        <v>5.3705700905693167E-3</v>
      </c>
      <c r="AF303">
        <v>5.1992234661973479E-4</v>
      </c>
      <c r="AG303">
        <v>3.7432236120416938E-3</v>
      </c>
      <c r="AH303">
        <v>1.1094054051959297E-4</v>
      </c>
      <c r="AI303">
        <v>5.0486648046452503E-7</v>
      </c>
      <c r="AJ303"/>
      <c r="AK303"/>
      <c r="AL303"/>
      <c r="AM303"/>
    </row>
    <row r="304" spans="2:39" ht="16" customHeight="1">
      <c r="B304" s="15">
        <v>20</v>
      </c>
      <c r="C304">
        <v>4.4404074585335042E-4</v>
      </c>
      <c r="D304">
        <v>4.0514114990237234E-4</v>
      </c>
      <c r="E304">
        <v>3.2106643962451211E-3</v>
      </c>
      <c r="F304">
        <v>4.462439679881753E-5</v>
      </c>
      <c r="G304">
        <v>5.6477337260551451E-3</v>
      </c>
      <c r="H304">
        <v>3.3478462661334772E-4</v>
      </c>
      <c r="I304">
        <v>5.4103782530093845E-4</v>
      </c>
      <c r="J304">
        <v>2.6810887687853433E-4</v>
      </c>
      <c r="K304">
        <v>4.3382912276652985E-4</v>
      </c>
      <c r="L304">
        <v>3.3090895150913275E-4</v>
      </c>
      <c r="M304">
        <v>5.1285287219051865E-4</v>
      </c>
      <c r="N304">
        <v>4.6661648794155646E-4</v>
      </c>
      <c r="O304">
        <v>1.3640373243402944E-3</v>
      </c>
      <c r="P304">
        <v>1.2205040104828104E-3</v>
      </c>
      <c r="Q304">
        <v>3.2127212688981398E-3</v>
      </c>
      <c r="R304">
        <v>6.8124333969475847E-3</v>
      </c>
      <c r="S304">
        <v>1.7732659039505301E-3</v>
      </c>
      <c r="T304">
        <v>1.17546432181211E-2</v>
      </c>
      <c r="U304">
        <v>1.692195903877798E-3</v>
      </c>
      <c r="V304">
        <v>1.1074007770463292</v>
      </c>
      <c r="W304">
        <v>3.6074708701812674E-2</v>
      </c>
      <c r="X304">
        <v>3.2380675575623694E-3</v>
      </c>
      <c r="Y304">
        <v>8.2705280062614558E-3</v>
      </c>
      <c r="Z304">
        <v>4.0292828200978069E-3</v>
      </c>
      <c r="AA304">
        <v>1.6013065695185787E-2</v>
      </c>
      <c r="AB304">
        <v>4.8597580318942178E-3</v>
      </c>
      <c r="AC304">
        <v>4.9320711510635598E-3</v>
      </c>
      <c r="AD304">
        <v>1.1391986491768574E-2</v>
      </c>
      <c r="AE304">
        <v>9.3812310153349159E-3</v>
      </c>
      <c r="AF304">
        <v>2.5052035333794774E-3</v>
      </c>
      <c r="AG304">
        <v>8.308758149600394E-3</v>
      </c>
      <c r="AH304">
        <v>4.7020448883833962E-3</v>
      </c>
      <c r="AI304">
        <v>3.1464632905503892E-6</v>
      </c>
      <c r="AJ304"/>
      <c r="AK304"/>
      <c r="AL304"/>
      <c r="AM304"/>
    </row>
    <row r="305" spans="2:39" ht="16" customHeight="1">
      <c r="B305" s="15">
        <v>21</v>
      </c>
      <c r="C305">
        <v>2.4743853349025918E-4</v>
      </c>
      <c r="D305">
        <v>2.092429524191419E-4</v>
      </c>
      <c r="E305">
        <v>2.440531239347358E-3</v>
      </c>
      <c r="F305">
        <v>2.6126062399554741E-5</v>
      </c>
      <c r="G305">
        <v>2.3390104779134756E-3</v>
      </c>
      <c r="H305">
        <v>1.456510055841122E-4</v>
      </c>
      <c r="I305">
        <v>3.3321875929751688E-4</v>
      </c>
      <c r="J305">
        <v>1.0507806577067841E-4</v>
      </c>
      <c r="K305">
        <v>2.7450847133957368E-4</v>
      </c>
      <c r="L305">
        <v>1.3999106522031546E-4</v>
      </c>
      <c r="M305">
        <v>2.4418261533178998E-4</v>
      </c>
      <c r="N305">
        <v>2.1638269133517811E-4</v>
      </c>
      <c r="O305">
        <v>1.1835356664878485E-3</v>
      </c>
      <c r="P305">
        <v>2.3933121963316496E-3</v>
      </c>
      <c r="Q305">
        <v>3.0593311102688711E-3</v>
      </c>
      <c r="R305">
        <v>3.4455733249222401E-3</v>
      </c>
      <c r="S305">
        <v>1.2467284843174706E-3</v>
      </c>
      <c r="T305">
        <v>3.221940130034837E-3</v>
      </c>
      <c r="U305">
        <v>1.3105836524407283E-3</v>
      </c>
      <c r="V305">
        <v>5.5351833011842315E-2</v>
      </c>
      <c r="W305">
        <v>1.022206188259787</v>
      </c>
      <c r="X305">
        <v>8.7957934193215546E-3</v>
      </c>
      <c r="Y305">
        <v>3.7438984117314587E-3</v>
      </c>
      <c r="Z305">
        <v>2.551461018419382E-3</v>
      </c>
      <c r="AA305">
        <v>6.7946000017254623E-3</v>
      </c>
      <c r="AB305">
        <v>7.6865610411777138E-3</v>
      </c>
      <c r="AC305">
        <v>1.6772248352442366E-3</v>
      </c>
      <c r="AD305">
        <v>7.359279106353948E-3</v>
      </c>
      <c r="AE305">
        <v>5.2305793122587414E-3</v>
      </c>
      <c r="AF305">
        <v>1.2705310887612036E-3</v>
      </c>
      <c r="AG305">
        <v>4.0333237761342837E-3</v>
      </c>
      <c r="AH305">
        <v>1.5394027819445428E-3</v>
      </c>
      <c r="AI305">
        <v>1.8999374933530632E-6</v>
      </c>
      <c r="AJ305"/>
      <c r="AK305"/>
      <c r="AL305"/>
      <c r="AM305"/>
    </row>
    <row r="306" spans="2:39" ht="16" customHeight="1">
      <c r="B306" s="15">
        <v>22</v>
      </c>
      <c r="C306">
        <v>4.0595595162977325E-4</v>
      </c>
      <c r="D306">
        <v>1.8716205320101843E-4</v>
      </c>
      <c r="E306">
        <v>7.2345593409583658E-2</v>
      </c>
      <c r="F306">
        <v>2.8081867242184097E-5</v>
      </c>
      <c r="G306">
        <v>1.3992880703619498E-3</v>
      </c>
      <c r="H306">
        <v>2.0679622385919873E-4</v>
      </c>
      <c r="I306">
        <v>6.2513169708750254E-4</v>
      </c>
      <c r="J306">
        <v>1.6749402611647033E-4</v>
      </c>
      <c r="K306">
        <v>4.3351384433026809E-4</v>
      </c>
      <c r="L306">
        <v>2.4748660430274196E-4</v>
      </c>
      <c r="M306">
        <v>8.3604224982198737E-4</v>
      </c>
      <c r="N306">
        <v>3.7189391880362133E-4</v>
      </c>
      <c r="O306">
        <v>6.7486559994671541E-2</v>
      </c>
      <c r="P306">
        <v>4.0539244764723195E-3</v>
      </c>
      <c r="Q306">
        <v>0.12511958910938348</v>
      </c>
      <c r="R306">
        <v>1.5554969441256396E-2</v>
      </c>
      <c r="S306">
        <v>2.1101931956679414E-2</v>
      </c>
      <c r="T306">
        <v>2.3002603064111362E-3</v>
      </c>
      <c r="U306">
        <v>5.2663192486781363E-2</v>
      </c>
      <c r="V306">
        <v>4.5959676849646677E-2</v>
      </c>
      <c r="W306">
        <v>8.8660200577464609E-3</v>
      </c>
      <c r="X306">
        <v>1.0156779458238778</v>
      </c>
      <c r="Y306">
        <v>8.9324402194727367E-3</v>
      </c>
      <c r="Z306">
        <v>8.3135068315270011E-4</v>
      </c>
      <c r="AA306">
        <v>1.6330090546237307E-2</v>
      </c>
      <c r="AB306">
        <v>6.3269857030904455E-3</v>
      </c>
      <c r="AC306">
        <v>2.2865307868382479E-3</v>
      </c>
      <c r="AD306">
        <v>1.385987031045537E-2</v>
      </c>
      <c r="AE306">
        <v>3.4473684394597998E-2</v>
      </c>
      <c r="AF306">
        <v>7.2699309871821242E-3</v>
      </c>
      <c r="AG306">
        <v>1.8989951698371969E-2</v>
      </c>
      <c r="AH306">
        <v>1.2821319790858876E-3</v>
      </c>
      <c r="AI306">
        <v>2.661815874777428E-5</v>
      </c>
      <c r="AJ306"/>
      <c r="AK306"/>
      <c r="AL306"/>
      <c r="AM306"/>
    </row>
    <row r="307" spans="2:39" ht="16" customHeight="1">
      <c r="B307" s="15">
        <v>23</v>
      </c>
      <c r="C307">
        <v>3.1353122848803766E-4</v>
      </c>
      <c r="D307">
        <v>4.6562767007804777E-4</v>
      </c>
      <c r="E307">
        <v>3.7566940622558403E-3</v>
      </c>
      <c r="F307">
        <v>9.4485082733673686E-5</v>
      </c>
      <c r="G307">
        <v>7.7121685543886853E-4</v>
      </c>
      <c r="H307">
        <v>6.186519821674664E-4</v>
      </c>
      <c r="I307">
        <v>3.8512446801186031E-4</v>
      </c>
      <c r="J307">
        <v>4.9791980690840185E-4</v>
      </c>
      <c r="K307">
        <v>3.9848041585700388E-4</v>
      </c>
      <c r="L307">
        <v>5.4287681508836299E-4</v>
      </c>
      <c r="M307">
        <v>6.9320966548593033E-4</v>
      </c>
      <c r="N307">
        <v>6.5071062938229268E-4</v>
      </c>
      <c r="O307">
        <v>2.2284083530242733E-3</v>
      </c>
      <c r="P307">
        <v>8.9587520915614333E-4</v>
      </c>
      <c r="Q307">
        <v>1.3048480314394187E-3</v>
      </c>
      <c r="R307">
        <v>9.7605610475729014E-3</v>
      </c>
      <c r="S307">
        <v>2.0000470640359662E-3</v>
      </c>
      <c r="T307">
        <v>1.9207453655626691E-3</v>
      </c>
      <c r="U307">
        <v>1.2112127392038144E-3</v>
      </c>
      <c r="V307">
        <v>6.6965987843264924E-3</v>
      </c>
      <c r="W307">
        <v>1.3979182654585622E-3</v>
      </c>
      <c r="X307">
        <v>7.5204830475528268E-3</v>
      </c>
      <c r="Y307">
        <v>1.1205048342013004</v>
      </c>
      <c r="Z307">
        <v>2.8843232597647209E-4</v>
      </c>
      <c r="AA307">
        <v>2.9953773772862539E-3</v>
      </c>
      <c r="AB307">
        <v>1.0452765433332175E-2</v>
      </c>
      <c r="AC307">
        <v>1.0402128788230502E-2</v>
      </c>
      <c r="AD307">
        <v>4.925476068686061E-3</v>
      </c>
      <c r="AE307">
        <v>5.5578564962233601E-3</v>
      </c>
      <c r="AF307">
        <v>2.770425516692591E-3</v>
      </c>
      <c r="AG307">
        <v>3.1258199567972406E-2</v>
      </c>
      <c r="AH307">
        <v>6.5563230579994657E-3</v>
      </c>
      <c r="AI307">
        <v>2.346815821657441E-5</v>
      </c>
      <c r="AJ307"/>
      <c r="AK307"/>
      <c r="AL307"/>
      <c r="AM307"/>
    </row>
    <row r="308" spans="2:39" ht="16" customHeight="1">
      <c r="B308" s="15">
        <v>24</v>
      </c>
      <c r="C308">
        <v>2.9152942927060045E-3</v>
      </c>
      <c r="D308">
        <v>1.7869008216496503E-3</v>
      </c>
      <c r="E308">
        <v>0.39477780549192776</v>
      </c>
      <c r="F308">
        <v>1.1123350460242629E-4</v>
      </c>
      <c r="G308">
        <v>0.6605261768976155</v>
      </c>
      <c r="H308">
        <v>7.2194512659248626E-4</v>
      </c>
      <c r="I308">
        <v>2.4247148678029676E-3</v>
      </c>
      <c r="J308">
        <v>7.2116349900662826E-4</v>
      </c>
      <c r="K308">
        <v>1.6530549502473794E-3</v>
      </c>
      <c r="L308">
        <v>1.4403891864891304E-3</v>
      </c>
      <c r="M308">
        <v>2.6728708296417268E-3</v>
      </c>
      <c r="N308">
        <v>1.3889300833000342E-3</v>
      </c>
      <c r="O308">
        <v>8.2810293874828952E-3</v>
      </c>
      <c r="P308">
        <v>2.0596573536130749E-3</v>
      </c>
      <c r="Q308">
        <v>0.6876974129608604</v>
      </c>
      <c r="R308">
        <v>4.555872500582811E-2</v>
      </c>
      <c r="S308">
        <v>4.3548890565231459E-2</v>
      </c>
      <c r="T308">
        <v>0.76504374959251076</v>
      </c>
      <c r="U308">
        <v>0.18049042887755554</v>
      </c>
      <c r="V308">
        <v>0.11792841143647069</v>
      </c>
      <c r="W308">
        <v>8.467575884611259E-3</v>
      </c>
      <c r="X308">
        <v>4.3687377592228162E-2</v>
      </c>
      <c r="Y308">
        <v>2.0928422255230859E-2</v>
      </c>
      <c r="Z308">
        <v>1.0352122042146579</v>
      </c>
      <c r="AA308">
        <v>6.8827612821378378E-2</v>
      </c>
      <c r="AB308">
        <v>2.7491029864606085E-2</v>
      </c>
      <c r="AC308">
        <v>8.4496577928326998E-3</v>
      </c>
      <c r="AD308">
        <v>3.7474487213812392E-2</v>
      </c>
      <c r="AE308">
        <v>4.5803972479743806E-2</v>
      </c>
      <c r="AF308">
        <v>1.2559899232221219E-2</v>
      </c>
      <c r="AG308">
        <v>4.9018495658815088E-2</v>
      </c>
      <c r="AH308">
        <v>4.8467583408584522E-3</v>
      </c>
      <c r="AI308">
        <v>1.3469623151234151E-4</v>
      </c>
      <c r="AJ308"/>
      <c r="AK308"/>
      <c r="AL308"/>
      <c r="AM308"/>
    </row>
    <row r="309" spans="2:39" ht="16" customHeight="1">
      <c r="B309" s="15">
        <v>25</v>
      </c>
      <c r="C309">
        <v>3.0155974181817371E-3</v>
      </c>
      <c r="D309">
        <v>2.0535220616375491E-3</v>
      </c>
      <c r="E309">
        <v>4.3315217246626118E-2</v>
      </c>
      <c r="F309">
        <v>4.6608944514595475E-4</v>
      </c>
      <c r="G309">
        <v>1.8182666820939792E-2</v>
      </c>
      <c r="H309">
        <v>1.7435634714204971E-3</v>
      </c>
      <c r="I309">
        <v>5.5711950676886456E-3</v>
      </c>
      <c r="J309">
        <v>2.0204434570244168E-3</v>
      </c>
      <c r="K309">
        <v>5.0162339968111156E-3</v>
      </c>
      <c r="L309">
        <v>3.6030079409139072E-3</v>
      </c>
      <c r="M309">
        <v>5.9808678391863879E-3</v>
      </c>
      <c r="N309">
        <v>3.4249211431547468E-3</v>
      </c>
      <c r="O309">
        <v>1.8866852792227305E-2</v>
      </c>
      <c r="P309">
        <v>3.6227311588805217E-3</v>
      </c>
      <c r="Q309">
        <v>2.6197322686627292E-2</v>
      </c>
      <c r="R309">
        <v>0.15320096770675889</v>
      </c>
      <c r="S309">
        <v>3.5854621482644976E-2</v>
      </c>
      <c r="T309">
        <v>2.0226111263542939E-2</v>
      </c>
      <c r="U309">
        <v>2.4259213294926897E-2</v>
      </c>
      <c r="V309">
        <v>7.4178537025854308E-2</v>
      </c>
      <c r="W309">
        <v>2.3382261549043975E-2</v>
      </c>
      <c r="X309">
        <v>9.029154228295555E-2</v>
      </c>
      <c r="Y309">
        <v>0.1197048599287909</v>
      </c>
      <c r="Z309">
        <v>1.8933137964173934E-2</v>
      </c>
      <c r="AA309">
        <v>1.0713094757285906</v>
      </c>
      <c r="AB309">
        <v>0.16855788975489397</v>
      </c>
      <c r="AC309">
        <v>2.206434863013176E-2</v>
      </c>
      <c r="AD309">
        <v>0.41577310928228384</v>
      </c>
      <c r="AE309">
        <v>0.27349787445676832</v>
      </c>
      <c r="AF309">
        <v>0.12585691778508107</v>
      </c>
      <c r="AG309">
        <v>0.20283769960858378</v>
      </c>
      <c r="AH309">
        <v>1.3011914314900707E-2</v>
      </c>
      <c r="AI309">
        <v>1.0400845413649903E-4</v>
      </c>
      <c r="AJ309"/>
      <c r="AK309"/>
      <c r="AL309"/>
      <c r="AM309"/>
    </row>
    <row r="310" spans="2:39" ht="16" customHeight="1">
      <c r="B310" s="15">
        <v>26</v>
      </c>
      <c r="C310">
        <v>9.6430182746908271E-4</v>
      </c>
      <c r="D310">
        <v>8.538939918159011E-4</v>
      </c>
      <c r="E310">
        <v>2.7651977962622899E-2</v>
      </c>
      <c r="F310">
        <v>1.9428274497373709E-3</v>
      </c>
      <c r="G310">
        <v>3.0907878501298066E-3</v>
      </c>
      <c r="H310">
        <v>9.9738767399561493E-4</v>
      </c>
      <c r="I310">
        <v>2.3870616786378319E-3</v>
      </c>
      <c r="J310">
        <v>1.0166937861830114E-3</v>
      </c>
      <c r="K310">
        <v>1.6225466956953807E-3</v>
      </c>
      <c r="L310">
        <v>1.6244287383717609E-3</v>
      </c>
      <c r="M310">
        <v>2.4468355584060797E-3</v>
      </c>
      <c r="N310">
        <v>1.6124829873970139E-3</v>
      </c>
      <c r="O310">
        <v>2.1681011173730683E-2</v>
      </c>
      <c r="P310">
        <v>2.4671199894406759E-3</v>
      </c>
      <c r="Q310">
        <v>3.7867592742657857E-2</v>
      </c>
      <c r="R310">
        <v>9.6238966625870476E-2</v>
      </c>
      <c r="S310">
        <v>9.4977911451727768E-3</v>
      </c>
      <c r="T310">
        <v>4.6310287845040959E-3</v>
      </c>
      <c r="U310">
        <v>1.7000175932910793E-2</v>
      </c>
      <c r="V310">
        <v>2.0037530759114235E-2</v>
      </c>
      <c r="W310">
        <v>8.0813311754635159E-3</v>
      </c>
      <c r="X310">
        <v>0.25234046077955946</v>
      </c>
      <c r="Y310">
        <v>2.5553365379962147E-2</v>
      </c>
      <c r="Z310">
        <v>2.4239608770754103E-3</v>
      </c>
      <c r="AA310">
        <v>6.6447999492706619E-2</v>
      </c>
      <c r="AB310">
        <v>1.0168701191743783</v>
      </c>
      <c r="AC310">
        <v>1.3406951407728254E-2</v>
      </c>
      <c r="AD310">
        <v>4.9241856550690258E-2</v>
      </c>
      <c r="AE310">
        <v>5.4950023196838151E-2</v>
      </c>
      <c r="AF310">
        <v>2.9184536634274644E-2</v>
      </c>
      <c r="AG310">
        <v>7.7497322877947902E-2</v>
      </c>
      <c r="AH310">
        <v>3.5450875637889306E-3</v>
      </c>
      <c r="AI310">
        <v>3.6978491609184612E-5</v>
      </c>
      <c r="AJ310"/>
      <c r="AK310"/>
      <c r="AL310"/>
      <c r="AM310"/>
    </row>
    <row r="311" spans="2:39" ht="16" customHeight="1">
      <c r="B311" s="15">
        <v>27</v>
      </c>
      <c r="C311">
        <v>2.4082742360221822E-2</v>
      </c>
      <c r="D311">
        <v>4.2556408413559531E-2</v>
      </c>
      <c r="E311">
        <v>1.6937085554131311E-2</v>
      </c>
      <c r="F311">
        <v>7.3580314678115483E-3</v>
      </c>
      <c r="G311">
        <v>1.8766698664783913E-3</v>
      </c>
      <c r="H311">
        <v>5.8260132746683277E-2</v>
      </c>
      <c r="I311">
        <v>2.1378116922504336E-2</v>
      </c>
      <c r="J311">
        <v>4.5450688714290817E-2</v>
      </c>
      <c r="K311">
        <v>3.1583071182254799E-2</v>
      </c>
      <c r="L311">
        <v>4.6338673093969981E-2</v>
      </c>
      <c r="M311">
        <v>3.4016754483387993E-2</v>
      </c>
      <c r="N311">
        <v>5.0207843193816035E-2</v>
      </c>
      <c r="O311">
        <v>2.5126968417364323E-2</v>
      </c>
      <c r="P311">
        <v>3.285551044703571E-3</v>
      </c>
      <c r="Q311">
        <v>9.4452433012729379E-3</v>
      </c>
      <c r="R311">
        <v>2.9985113422630789E-2</v>
      </c>
      <c r="S311">
        <v>1.2961613564153358E-2</v>
      </c>
      <c r="T311">
        <v>2.7922300306914925E-3</v>
      </c>
      <c r="U311">
        <v>8.0198349180189837E-3</v>
      </c>
      <c r="V311">
        <v>6.0501675067729634E-3</v>
      </c>
      <c r="W311">
        <v>3.0106713437105183E-3</v>
      </c>
      <c r="X311">
        <v>1.7316728448093864E-2</v>
      </c>
      <c r="Y311">
        <v>2.6005439898547908E-2</v>
      </c>
      <c r="Z311">
        <v>1.1286074792199309E-3</v>
      </c>
      <c r="AA311">
        <v>1.7610781288557129E-2</v>
      </c>
      <c r="AB311">
        <v>1.300124882237663E-2</v>
      </c>
      <c r="AC311">
        <v>1.0103185224854465</v>
      </c>
      <c r="AD311">
        <v>2.2408149252392037E-2</v>
      </c>
      <c r="AE311">
        <v>2.2139973700225652E-2</v>
      </c>
      <c r="AF311">
        <v>1.8017777332009086E-2</v>
      </c>
      <c r="AG311">
        <v>5.3495206130017042E-2</v>
      </c>
      <c r="AH311">
        <v>6.6222828201955219E-3</v>
      </c>
      <c r="AI311">
        <v>5.6965915059452942E-5</v>
      </c>
      <c r="AJ311"/>
      <c r="AK311"/>
      <c r="AL311"/>
      <c r="AM311"/>
    </row>
    <row r="312" spans="2:39" ht="16" customHeight="1">
      <c r="B312" s="15">
        <v>28</v>
      </c>
      <c r="C312">
        <v>3.5635048466189862E-3</v>
      </c>
      <c r="D312">
        <v>2.6341532562348322E-3</v>
      </c>
      <c r="E312">
        <v>3.3723610064800617E-2</v>
      </c>
      <c r="F312">
        <v>1.3148308364787476E-4</v>
      </c>
      <c r="G312">
        <v>3.79787257375859E-2</v>
      </c>
      <c r="H312">
        <v>9.876079309476208E-4</v>
      </c>
      <c r="I312">
        <v>1.1819720905805284E-3</v>
      </c>
      <c r="J312">
        <v>8.3101237267274163E-4</v>
      </c>
      <c r="K312">
        <v>1.0102371827544836E-3</v>
      </c>
      <c r="L312">
        <v>1.3588370813124322E-3</v>
      </c>
      <c r="M312">
        <v>2.0913828928016921E-3</v>
      </c>
      <c r="N312">
        <v>1.3912882623923514E-3</v>
      </c>
      <c r="O312">
        <v>5.3695203488166006E-3</v>
      </c>
      <c r="P312">
        <v>1.3286738455656848E-3</v>
      </c>
      <c r="Q312">
        <v>3.8393769070786267E-2</v>
      </c>
      <c r="R312">
        <v>2.089383878869764E-2</v>
      </c>
      <c r="S312">
        <v>5.5886916176029998E-3</v>
      </c>
      <c r="T312">
        <v>4.3006405736646991E-2</v>
      </c>
      <c r="U312">
        <v>1.2159852132149752E-2</v>
      </c>
      <c r="V312">
        <v>1.6355047771316054E-2</v>
      </c>
      <c r="W312">
        <v>3.7037970885901703E-2</v>
      </c>
      <c r="X312">
        <v>1.1121676739269466E-2</v>
      </c>
      <c r="Y312">
        <v>1.3961725852370967E-2</v>
      </c>
      <c r="Z312">
        <v>5.4780300039301726E-2</v>
      </c>
      <c r="AA312">
        <v>2.4195107523052373E-2</v>
      </c>
      <c r="AB312">
        <v>9.9988818708731438E-3</v>
      </c>
      <c r="AC312">
        <v>1.5612074304776459E-2</v>
      </c>
      <c r="AD312">
        <v>1.2763497336148557</v>
      </c>
      <c r="AE312">
        <v>1.7753474627407451E-2</v>
      </c>
      <c r="AF312">
        <v>1.4593727580240572E-2</v>
      </c>
      <c r="AG312">
        <v>0.10442060009979381</v>
      </c>
      <c r="AH312">
        <v>9.738728191517278E-3</v>
      </c>
      <c r="AI312">
        <v>6.1182754135983476E-5</v>
      </c>
      <c r="AJ312"/>
      <c r="AK312"/>
      <c r="AL312"/>
      <c r="AM312"/>
    </row>
    <row r="313" spans="2:39" ht="16" customHeight="1">
      <c r="B313" s="15">
        <v>29</v>
      </c>
      <c r="C313">
        <v>5.546494355075836E-4</v>
      </c>
      <c r="D313">
        <v>5.8187304388181821E-4</v>
      </c>
      <c r="E313">
        <v>8.7994380164244206E-3</v>
      </c>
      <c r="F313">
        <v>8.6948381451771586E-5</v>
      </c>
      <c r="G313">
        <v>3.1938400219005537E-3</v>
      </c>
      <c r="H313">
        <v>6.074134268311903E-4</v>
      </c>
      <c r="I313">
        <v>6.3723308579517767E-4</v>
      </c>
      <c r="J313">
        <v>5.0691453562306231E-4</v>
      </c>
      <c r="K313">
        <v>6.3972004834103374E-4</v>
      </c>
      <c r="L313">
        <v>6.1691956681595881E-4</v>
      </c>
      <c r="M313">
        <v>1.2516564937280934E-3</v>
      </c>
      <c r="N313">
        <v>8.4310255700017166E-4</v>
      </c>
      <c r="O313">
        <v>5.3911729136901284E-3</v>
      </c>
      <c r="P313">
        <v>9.9145105678142154E-4</v>
      </c>
      <c r="Q313">
        <v>5.3111966160845191E-3</v>
      </c>
      <c r="R313">
        <v>2.428645163637452E-2</v>
      </c>
      <c r="S313">
        <v>2.6767956228245207E-3</v>
      </c>
      <c r="T313">
        <v>4.3875691176028884E-3</v>
      </c>
      <c r="U313">
        <v>7.8288111309340151E-3</v>
      </c>
      <c r="V313">
        <v>5.6721565840648774E-3</v>
      </c>
      <c r="W313">
        <v>4.7903818280746321E-3</v>
      </c>
      <c r="X313">
        <v>2.0786236708531022E-2</v>
      </c>
      <c r="Y313">
        <v>1.4096424918219119E-2</v>
      </c>
      <c r="Z313">
        <v>3.3962393119145256E-3</v>
      </c>
      <c r="AA313">
        <v>6.5651505472937239E-3</v>
      </c>
      <c r="AB313">
        <v>1.0089403648735427E-2</v>
      </c>
      <c r="AC313">
        <v>9.4547886327976775E-3</v>
      </c>
      <c r="AD313">
        <v>5.2065746517320766E-2</v>
      </c>
      <c r="AE313">
        <v>1.093143620111491</v>
      </c>
      <c r="AF313">
        <v>1.7127082107216897E-2</v>
      </c>
      <c r="AG313">
        <v>8.0111136086207416E-2</v>
      </c>
      <c r="AH313">
        <v>1.2104687028363599E-2</v>
      </c>
      <c r="AI313">
        <v>4.7431653934458769E-5</v>
      </c>
      <c r="AJ313"/>
      <c r="AK313"/>
      <c r="AL313"/>
      <c r="AM313"/>
    </row>
    <row r="314" spans="2:39" ht="16" customHeight="1">
      <c r="B314" s="15">
        <v>30</v>
      </c>
      <c r="C314">
        <v>3.9868737314138785E-4</v>
      </c>
      <c r="D314">
        <v>3.5427242803712792E-4</v>
      </c>
      <c r="E314">
        <v>4.4681682651097855E-3</v>
      </c>
      <c r="F314">
        <v>4.7297779145047022E-5</v>
      </c>
      <c r="G314">
        <v>3.0688061986847781E-3</v>
      </c>
      <c r="H314">
        <v>2.7000581179194305E-4</v>
      </c>
      <c r="I314">
        <v>3.9062968130715656E-4</v>
      </c>
      <c r="J314">
        <v>2.177826208330103E-4</v>
      </c>
      <c r="K314">
        <v>3.5501863552895593E-4</v>
      </c>
      <c r="L314">
        <v>2.7090034628056214E-4</v>
      </c>
      <c r="M314">
        <v>4.7212564916971326E-4</v>
      </c>
      <c r="N314">
        <v>3.7926507717472841E-4</v>
      </c>
      <c r="O314">
        <v>1.9849237852818456E-3</v>
      </c>
      <c r="P314">
        <v>3.2183688614760862E-4</v>
      </c>
      <c r="Q314">
        <v>4.5708078897198669E-3</v>
      </c>
      <c r="R314">
        <v>1.1629737205309397E-2</v>
      </c>
      <c r="S314">
        <v>1.4566709867882899E-3</v>
      </c>
      <c r="T314">
        <v>3.5077924513813091E-3</v>
      </c>
      <c r="U314">
        <v>1.8365858634178966E-3</v>
      </c>
      <c r="V314">
        <v>2.5458276691882175E-3</v>
      </c>
      <c r="W314">
        <v>1.3725290384942941E-3</v>
      </c>
      <c r="X314">
        <v>1.2218411668670746E-2</v>
      </c>
      <c r="Y314">
        <v>3.6151568227359633E-2</v>
      </c>
      <c r="Z314">
        <v>4.1047673298527194E-3</v>
      </c>
      <c r="AA314">
        <v>4.1287731063319394E-3</v>
      </c>
      <c r="AB314">
        <v>9.8842822644503534E-3</v>
      </c>
      <c r="AC314">
        <v>4.0441985111176366E-3</v>
      </c>
      <c r="AD314">
        <v>1.9325903904885734E-2</v>
      </c>
      <c r="AE314">
        <v>6.2272872983509262E-3</v>
      </c>
      <c r="AF314">
        <v>1.0059043570170367</v>
      </c>
      <c r="AG314">
        <v>2.0682532977530001E-2</v>
      </c>
      <c r="AH314">
        <v>1.5030022746994561E-3</v>
      </c>
      <c r="AI314">
        <v>3.6448874999662356E-6</v>
      </c>
      <c r="AJ314"/>
      <c r="AK314"/>
      <c r="AL314"/>
      <c r="AM314"/>
    </row>
    <row r="315" spans="2:39" ht="16" customHeight="1">
      <c r="B315" s="15">
        <v>31</v>
      </c>
      <c r="C315">
        <v>1.3154046441322348E-3</v>
      </c>
      <c r="D315">
        <v>9.6100361922955445E-4</v>
      </c>
      <c r="E315">
        <v>1.0140178756936959E-2</v>
      </c>
      <c r="F315">
        <v>1.4773234699562229E-4</v>
      </c>
      <c r="G315">
        <v>4.4745395625699512E-3</v>
      </c>
      <c r="H315">
        <v>9.5192480095104305E-4</v>
      </c>
      <c r="I315">
        <v>1.74016041665307E-3</v>
      </c>
      <c r="J315">
        <v>1.0994227744267736E-3</v>
      </c>
      <c r="K315">
        <v>1.6487464667608906E-3</v>
      </c>
      <c r="L315">
        <v>2.0134109014142373E-3</v>
      </c>
      <c r="M315">
        <v>1.0247800328603663E-2</v>
      </c>
      <c r="N315">
        <v>4.0338842896795821E-3</v>
      </c>
      <c r="O315">
        <v>2.7438047322940456E-2</v>
      </c>
      <c r="P315">
        <v>9.8022769800799204E-3</v>
      </c>
      <c r="Q315">
        <v>1.0909168247741104E-2</v>
      </c>
      <c r="R315">
        <v>8.8636766119160507E-2</v>
      </c>
      <c r="S315">
        <v>8.3441574788131884E-3</v>
      </c>
      <c r="T315">
        <v>5.15146645840999E-3</v>
      </c>
      <c r="U315">
        <v>7.2543909313940559E-3</v>
      </c>
      <c r="V315">
        <v>7.6054422482491274E-3</v>
      </c>
      <c r="W315">
        <v>4.7917504370468701E-3</v>
      </c>
      <c r="X315">
        <v>4.9964200706603526E-2</v>
      </c>
      <c r="Y315">
        <v>3.373670881767548E-2</v>
      </c>
      <c r="Z315">
        <v>5.1555358469950671E-3</v>
      </c>
      <c r="AA315">
        <v>1.8296990856832531E-2</v>
      </c>
      <c r="AB315">
        <v>3.0890821110740738E-2</v>
      </c>
      <c r="AC315">
        <v>1.2627425520961787E-2</v>
      </c>
      <c r="AD315">
        <v>8.5516696062552341E-2</v>
      </c>
      <c r="AE315">
        <v>3.6062567707117486E-2</v>
      </c>
      <c r="AF315">
        <v>2.5607865276674305E-2</v>
      </c>
      <c r="AG315">
        <v>1.043755819004764</v>
      </c>
      <c r="AH315">
        <v>9.7772057803135002E-3</v>
      </c>
      <c r="AI315">
        <v>3.1005723239935841E-5</v>
      </c>
      <c r="AJ315"/>
      <c r="AK315"/>
      <c r="AL315"/>
      <c r="AM315"/>
    </row>
    <row r="316" spans="2:39" ht="16" customHeight="1">
      <c r="B316" s="15">
        <v>32</v>
      </c>
      <c r="C316">
        <v>1.5436643017944667E-3</v>
      </c>
      <c r="D316">
        <v>1.6215028088365747E-3</v>
      </c>
      <c r="E316">
        <v>1.0175398302034594E-2</v>
      </c>
      <c r="F316">
        <v>1.5167537340728579E-4</v>
      </c>
      <c r="G316">
        <v>5.5176169723075517E-3</v>
      </c>
      <c r="H316">
        <v>1.8620820362324944E-3</v>
      </c>
      <c r="I316">
        <v>1.7701760802084083E-3</v>
      </c>
      <c r="J316">
        <v>2.0902661004380606E-3</v>
      </c>
      <c r="K316">
        <v>2.2207223365216951E-3</v>
      </c>
      <c r="L316">
        <v>2.1212889984462253E-3</v>
      </c>
      <c r="M316">
        <v>3.2767638801743781E-3</v>
      </c>
      <c r="N316">
        <v>4.5583162946766795E-3</v>
      </c>
      <c r="O316">
        <v>4.6125134072401444E-2</v>
      </c>
      <c r="P316">
        <v>3.4505831131645646E-3</v>
      </c>
      <c r="Q316">
        <v>8.1031151012818312E-3</v>
      </c>
      <c r="R316">
        <v>3.8472870955030283E-2</v>
      </c>
      <c r="S316">
        <v>3.9498878540913086E-2</v>
      </c>
      <c r="T316">
        <v>1.1067849556632394E-2</v>
      </c>
      <c r="U316">
        <v>1.6170464402229578E-2</v>
      </c>
      <c r="V316">
        <v>2.2858071561753873E-2</v>
      </c>
      <c r="W316">
        <v>4.7953749389626358E-3</v>
      </c>
      <c r="X316">
        <v>4.1248825185700992E-2</v>
      </c>
      <c r="Y316">
        <v>7.9418988062222737E-2</v>
      </c>
      <c r="Z316">
        <v>2.8209820685092964E-3</v>
      </c>
      <c r="AA316">
        <v>2.0083784391817374E-2</v>
      </c>
      <c r="AB316">
        <v>1.5969064983504786E-2</v>
      </c>
      <c r="AC316">
        <v>1.6901016440977412E-2</v>
      </c>
      <c r="AD316">
        <v>5.8746348959444333E-2</v>
      </c>
      <c r="AE316">
        <v>3.9838493711094006E-2</v>
      </c>
      <c r="AF316">
        <v>3.8858256669538883E-2</v>
      </c>
      <c r="AG316">
        <v>5.5885259950510309E-2</v>
      </c>
      <c r="AH316">
        <v>1.013683345510078</v>
      </c>
      <c r="AI316">
        <v>3.0588075632730011E-5</v>
      </c>
      <c r="AJ316"/>
      <c r="AK316"/>
      <c r="AL316"/>
      <c r="AM316"/>
    </row>
    <row r="317" spans="2:39" ht="16" customHeight="1">
      <c r="B317" s="15">
        <v>33</v>
      </c>
      <c r="C317">
        <v>1.6644225876464309E-3</v>
      </c>
      <c r="D317">
        <v>1.9052444070441538E-3</v>
      </c>
      <c r="E317">
        <v>1.3677598332863002E-2</v>
      </c>
      <c r="F317">
        <v>3.077123238756177E-4</v>
      </c>
      <c r="G317">
        <v>6.2520890647784124E-3</v>
      </c>
      <c r="H317">
        <v>2.407324028695416E-3</v>
      </c>
      <c r="I317">
        <v>1.8735674430923799E-3</v>
      </c>
      <c r="J317">
        <v>2.065282936805858E-3</v>
      </c>
      <c r="K317">
        <v>1.9758324502588492E-3</v>
      </c>
      <c r="L317">
        <v>2.4447672316569679E-3</v>
      </c>
      <c r="M317">
        <v>4.3501898186221952E-3</v>
      </c>
      <c r="N317">
        <v>2.5976865993504795E-3</v>
      </c>
      <c r="O317">
        <v>1.4308241732645045E-2</v>
      </c>
      <c r="P317">
        <v>4.934333446277344E-3</v>
      </c>
      <c r="Q317">
        <v>7.7745522601261477E-3</v>
      </c>
      <c r="R317">
        <v>3.1656806947711974E-2</v>
      </c>
      <c r="S317">
        <v>5.3502816140153356E-2</v>
      </c>
      <c r="T317">
        <v>1.3348415173469946E-2</v>
      </c>
      <c r="U317">
        <v>2.3564782377066513E-2</v>
      </c>
      <c r="V317">
        <v>1.8058972828436517E-2</v>
      </c>
      <c r="W317">
        <v>9.6446061938657308E-3</v>
      </c>
      <c r="X317">
        <v>3.5841325532291371E-2</v>
      </c>
      <c r="Y317">
        <v>3.1535705764899447E-2</v>
      </c>
      <c r="Z317">
        <v>3.2130671319361395E-3</v>
      </c>
      <c r="AA317">
        <v>2.55276403584178E-2</v>
      </c>
      <c r="AB317">
        <v>1.262392981700584E-2</v>
      </c>
      <c r="AC317">
        <v>3.9231390159614875E-2</v>
      </c>
      <c r="AD317">
        <v>3.8351801676530628E-2</v>
      </c>
      <c r="AE317">
        <v>4.0264818683399178E-2</v>
      </c>
      <c r="AF317">
        <v>2.2038167267035155E-2</v>
      </c>
      <c r="AG317">
        <v>0.11251593818981143</v>
      </c>
      <c r="AH317">
        <v>1.1664045945295973E-2</v>
      </c>
      <c r="AI317">
        <v>1.0000502392452826</v>
      </c>
      <c r="AJ317"/>
      <c r="AK317"/>
      <c r="AL317"/>
      <c r="AM317"/>
    </row>
    <row r="318" spans="2:39" ht="16" customHeight="1">
      <c r="B318" s="15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</row>
    <row r="319" spans="2:39" ht="16" customHeight="1">
      <c r="B319" s="15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</row>
    <row r="320" spans="2:39" ht="16" customHeight="1">
      <c r="B320" s="15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</row>
    <row r="321" spans="2:39" ht="16" customHeight="1">
      <c r="B321" s="15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</row>
  </sheetData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alcularMultiplicadoresDesdeZ" altText="Generar Matrices de Cálculo…">
                <anchor moveWithCells="1" sizeWithCells="1">
                  <from>
                    <xdr:col>6</xdr:col>
                    <xdr:colOff>812800</xdr:colOff>
                    <xdr:row>1</xdr:row>
                    <xdr:rowOff>63500</xdr:rowOff>
                  </from>
                  <to>
                    <xdr:col>16</xdr:col>
                    <xdr:colOff>482600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>
    <tabColor theme="2" tint="-0.499984740745262"/>
  </sheetPr>
  <dimension ref="A1:X62"/>
  <sheetViews>
    <sheetView showGridLines="0" topLeftCell="A3" zoomScale="164" zoomScaleNormal="16" workbookViewId="0">
      <selection activeCell="B14" sqref="B14"/>
    </sheetView>
  </sheetViews>
  <sheetFormatPr baseColWidth="10" defaultColWidth="8.83203125" defaultRowHeight="16"/>
  <cols>
    <col min="1" max="1" width="27.33203125" customWidth="1"/>
    <col min="2" max="11" width="8" customWidth="1"/>
    <col min="12" max="12" width="11" customWidth="1"/>
    <col min="13" max="13" width="30" customWidth="1"/>
  </cols>
  <sheetData>
    <row r="1" spans="1:12" ht="24" customHeight="1">
      <c r="A1" s="529" t="s">
        <v>575</v>
      </c>
      <c r="B1" s="529"/>
      <c r="C1" s="529"/>
      <c r="D1" s="529"/>
      <c r="E1" s="529"/>
      <c r="F1" s="529"/>
      <c r="G1" s="529"/>
      <c r="H1" s="529"/>
      <c r="I1" s="529"/>
      <c r="J1" s="529"/>
      <c r="K1" s="529"/>
      <c r="L1" s="529"/>
    </row>
    <row r="3" spans="1:12" s="222" customFormat="1">
      <c r="A3" s="365" t="s">
        <v>521</v>
      </c>
    </row>
    <row r="4" spans="1:12" s="222" customFormat="1" ht="28" customHeight="1">
      <c r="A4" s="530" t="s">
        <v>522</v>
      </c>
      <c r="B4" s="530"/>
      <c r="C4" s="530"/>
      <c r="D4" s="530"/>
      <c r="E4" s="530"/>
      <c r="F4" s="530"/>
      <c r="G4" s="530"/>
      <c r="H4" s="530"/>
      <c r="I4" s="530"/>
      <c r="J4" s="530"/>
      <c r="K4" s="530"/>
    </row>
    <row r="5" spans="1:12" s="222" customFormat="1">
      <c r="A5" s="366" t="s">
        <v>278</v>
      </c>
      <c r="B5" s="367" t="s">
        <v>118</v>
      </c>
      <c r="C5" s="367" t="s">
        <v>84</v>
      </c>
      <c r="D5" s="367" t="s">
        <v>119</v>
      </c>
      <c r="E5" s="367" t="s">
        <v>85</v>
      </c>
      <c r="F5" s="367" t="s">
        <v>117</v>
      </c>
      <c r="G5" s="367" t="s">
        <v>121</v>
      </c>
      <c r="H5" s="367" t="s">
        <v>87</v>
      </c>
      <c r="I5" s="367" t="s">
        <v>88</v>
      </c>
      <c r="J5" s="367" t="s">
        <v>120</v>
      </c>
      <c r="K5" s="367" t="s">
        <v>90</v>
      </c>
    </row>
    <row r="6" spans="1:12" s="222" customFormat="1">
      <c r="A6" s="21" t="s">
        <v>582</v>
      </c>
      <c r="B6" s="368">
        <v>274.28744554979852</v>
      </c>
      <c r="C6" s="368">
        <v>46.851300497608392</v>
      </c>
      <c r="D6" s="368">
        <v>0</v>
      </c>
      <c r="E6" s="368">
        <v>0</v>
      </c>
      <c r="F6" s="368">
        <v>2716.8150928437849</v>
      </c>
      <c r="G6" s="368">
        <v>0</v>
      </c>
      <c r="H6" s="368">
        <v>0</v>
      </c>
      <c r="I6" s="368">
        <v>0</v>
      </c>
      <c r="J6" s="368">
        <v>0</v>
      </c>
      <c r="K6" s="368">
        <v>17.990121907183539</v>
      </c>
    </row>
    <row r="7" spans="1:12" s="222" customFormat="1">
      <c r="A7" s="21" t="s">
        <v>583</v>
      </c>
      <c r="B7" s="368">
        <v>33.081193898625692</v>
      </c>
      <c r="C7" s="368">
        <v>20.448206869425661</v>
      </c>
      <c r="D7" s="368">
        <v>0</v>
      </c>
      <c r="E7" s="368">
        <v>0</v>
      </c>
      <c r="F7" s="368">
        <v>20.97758577983307</v>
      </c>
      <c r="G7" s="368">
        <v>0</v>
      </c>
      <c r="H7" s="368">
        <v>0</v>
      </c>
      <c r="I7" s="368">
        <v>0</v>
      </c>
      <c r="J7" s="368">
        <v>0</v>
      </c>
      <c r="K7" s="368">
        <v>2.3818511890759</v>
      </c>
    </row>
    <row r="8" spans="1:12" s="222" customFormat="1">
      <c r="A8" s="21" t="s">
        <v>584</v>
      </c>
      <c r="B8" s="368">
        <v>3.8890338036825969</v>
      </c>
      <c r="C8" s="368">
        <v>35.481952148190182</v>
      </c>
      <c r="D8" s="368">
        <v>0</v>
      </c>
      <c r="E8" s="368">
        <v>0</v>
      </c>
      <c r="F8" s="368">
        <v>2.614273833334551E-3</v>
      </c>
      <c r="G8" s="368">
        <v>0</v>
      </c>
      <c r="H8" s="368">
        <v>0</v>
      </c>
      <c r="I8" s="368">
        <v>0</v>
      </c>
      <c r="J8" s="368">
        <v>0</v>
      </c>
      <c r="K8" s="368">
        <v>3.8440236091164568</v>
      </c>
    </row>
    <row r="9" spans="1:12" s="222" customFormat="1">
      <c r="A9" s="21" t="s">
        <v>585</v>
      </c>
      <c r="B9" s="368">
        <v>1.2674789323679109E-4</v>
      </c>
      <c r="C9" s="368">
        <v>4.6540484775767443E-2</v>
      </c>
      <c r="D9" s="368">
        <v>0</v>
      </c>
      <c r="E9" s="368">
        <v>0</v>
      </c>
      <c r="F9" s="368">
        <v>2.9071025493663319E-3</v>
      </c>
      <c r="G9" s="368">
        <v>0</v>
      </c>
      <c r="H9" s="368">
        <v>0</v>
      </c>
      <c r="I9" s="368">
        <v>0</v>
      </c>
      <c r="J9" s="368">
        <v>0</v>
      </c>
      <c r="K9" s="368">
        <v>3.2946241071808861E-6</v>
      </c>
    </row>
    <row r="10" spans="1:12" s="222" customFormat="1">
      <c r="A10" s="19" t="s">
        <v>10</v>
      </c>
      <c r="B10" s="411">
        <v>7.2176999999999998</v>
      </c>
      <c r="C10" s="411">
        <v>0.99</v>
      </c>
      <c r="D10" s="411">
        <v>0</v>
      </c>
      <c r="E10" s="411">
        <v>0.47199999999999998</v>
      </c>
      <c r="F10" s="411">
        <v>1.2778</v>
      </c>
      <c r="G10" s="411">
        <v>0</v>
      </c>
      <c r="H10" s="411">
        <v>0.36840000000000001</v>
      </c>
      <c r="I10" s="411">
        <v>0.4259</v>
      </c>
      <c r="J10" s="411">
        <v>0</v>
      </c>
      <c r="K10" s="411">
        <v>0.74819999999999998</v>
      </c>
    </row>
    <row r="11" spans="1:12" s="222" customFormat="1">
      <c r="A11" s="21" t="s">
        <v>586</v>
      </c>
      <c r="B11" s="368">
        <v>198.69052401720191</v>
      </c>
      <c r="C11" s="368">
        <v>16.302562033616571</v>
      </c>
      <c r="D11" s="368">
        <v>0</v>
      </c>
      <c r="E11" s="368">
        <v>171.29886653770731</v>
      </c>
      <c r="F11" s="368">
        <v>0</v>
      </c>
      <c r="G11" s="368">
        <v>0</v>
      </c>
      <c r="H11" s="368">
        <v>780.18652446386477</v>
      </c>
      <c r="I11" s="368">
        <v>0</v>
      </c>
      <c r="J11" s="368">
        <v>0</v>
      </c>
      <c r="K11" s="368">
        <v>812.77736261108214</v>
      </c>
    </row>
    <row r="12" spans="1:12" s="222" customFormat="1">
      <c r="A12" s="21" t="s">
        <v>587</v>
      </c>
      <c r="B12" s="368">
        <v>186.31998518438081</v>
      </c>
      <c r="C12" s="368">
        <v>87.53396225414852</v>
      </c>
      <c r="D12" s="368">
        <v>0</v>
      </c>
      <c r="E12" s="368">
        <v>1.901177018695174</v>
      </c>
      <c r="F12" s="368">
        <v>0</v>
      </c>
      <c r="G12" s="368">
        <v>0</v>
      </c>
      <c r="H12" s="368">
        <v>627.16744516973449</v>
      </c>
      <c r="I12" s="368">
        <v>0</v>
      </c>
      <c r="J12" s="368">
        <v>0</v>
      </c>
      <c r="K12" s="368">
        <v>208.5626895867974</v>
      </c>
    </row>
    <row r="13" spans="1:12" s="222" customFormat="1">
      <c r="A13" s="21" t="s">
        <v>588</v>
      </c>
      <c r="B13" s="368">
        <v>43.196222802545158</v>
      </c>
      <c r="C13" s="368">
        <v>2.2290545561055741E-5</v>
      </c>
      <c r="D13" s="368">
        <v>0</v>
      </c>
      <c r="E13" s="368">
        <v>7.4123313109020152E-5</v>
      </c>
      <c r="F13" s="368">
        <v>0</v>
      </c>
      <c r="G13" s="368">
        <v>0</v>
      </c>
      <c r="H13" s="368">
        <v>4.1398585572341499E-4</v>
      </c>
      <c r="I13" s="368">
        <v>0</v>
      </c>
      <c r="J13" s="368">
        <v>0</v>
      </c>
      <c r="K13" s="368">
        <v>12.087800366244769</v>
      </c>
    </row>
    <row r="14" spans="1:12" s="222" customFormat="1">
      <c r="A14" s="21" t="s">
        <v>589</v>
      </c>
      <c r="B14" s="368">
        <v>371.93400302866911</v>
      </c>
      <c r="C14" s="368">
        <v>2.0162212114850542</v>
      </c>
      <c r="D14" s="368">
        <v>0</v>
      </c>
      <c r="E14" s="368">
        <v>0.21292091819302611</v>
      </c>
      <c r="F14" s="368">
        <v>0</v>
      </c>
      <c r="G14" s="368">
        <v>0</v>
      </c>
      <c r="H14" s="368">
        <v>86.505394447285539</v>
      </c>
      <c r="I14" s="368">
        <v>0</v>
      </c>
      <c r="J14" s="368">
        <v>0</v>
      </c>
      <c r="K14" s="368">
        <v>13.51143710497537</v>
      </c>
    </row>
    <row r="15" spans="1:12" s="222" customFormat="1">
      <c r="A15" s="21" t="s">
        <v>590</v>
      </c>
      <c r="B15" s="368">
        <v>2.5651939560338873E-4</v>
      </c>
      <c r="C15" s="368">
        <v>5.745606658641579</v>
      </c>
      <c r="D15" s="368">
        <v>0</v>
      </c>
      <c r="E15" s="368">
        <v>27.29040996093557</v>
      </c>
      <c r="F15" s="368">
        <v>0</v>
      </c>
      <c r="G15" s="368">
        <v>0</v>
      </c>
      <c r="H15" s="368">
        <v>0.47201480590884032</v>
      </c>
      <c r="I15" s="368">
        <v>0</v>
      </c>
      <c r="J15" s="368">
        <v>0</v>
      </c>
      <c r="K15" s="368">
        <v>14.73185117651464</v>
      </c>
    </row>
    <row r="16" spans="1:12" s="222" customFormat="1">
      <c r="A16" s="21" t="s">
        <v>591</v>
      </c>
      <c r="B16" s="368">
        <v>28.82399095354701</v>
      </c>
      <c r="C16" s="368">
        <v>3.9049907472844718</v>
      </c>
      <c r="D16" s="368">
        <v>0</v>
      </c>
      <c r="E16" s="368">
        <v>76.531818404422651</v>
      </c>
      <c r="F16" s="368">
        <v>0</v>
      </c>
      <c r="G16" s="368">
        <v>0</v>
      </c>
      <c r="H16" s="368">
        <v>33.517302135796463</v>
      </c>
      <c r="I16" s="368">
        <v>0</v>
      </c>
      <c r="J16" s="368">
        <v>0</v>
      </c>
      <c r="K16" s="368">
        <v>1.260257665469432</v>
      </c>
    </row>
    <row r="17" spans="1:24" s="222" customFormat="1">
      <c r="A17" s="21" t="s">
        <v>592</v>
      </c>
      <c r="B17" s="368">
        <v>140.98361749426039</v>
      </c>
      <c r="C17" s="368">
        <v>115.0478348042782</v>
      </c>
      <c r="D17" s="368">
        <v>0</v>
      </c>
      <c r="E17" s="368">
        <v>3.410733036733105</v>
      </c>
      <c r="F17" s="368">
        <v>0</v>
      </c>
      <c r="G17" s="368">
        <v>0</v>
      </c>
      <c r="H17" s="368">
        <v>35.247604991554589</v>
      </c>
      <c r="I17" s="368">
        <v>0</v>
      </c>
      <c r="J17" s="368">
        <v>0</v>
      </c>
      <c r="K17" s="368">
        <v>5.1261014889161887</v>
      </c>
    </row>
    <row r="18" spans="1:24" s="222" customFormat="1">
      <c r="A18" s="19" t="s">
        <v>593</v>
      </c>
      <c r="B18" s="411">
        <v>82.712185748082277</v>
      </c>
      <c r="C18" s="411">
        <v>2.004947823217603</v>
      </c>
      <c r="D18" s="411">
        <v>0</v>
      </c>
      <c r="E18" s="411">
        <v>3.5223155958412269</v>
      </c>
      <c r="F18" s="411">
        <v>14.48482778793392</v>
      </c>
      <c r="G18" s="411">
        <v>0</v>
      </c>
      <c r="H18" s="411">
        <v>3.934476477194381</v>
      </c>
      <c r="I18" s="411">
        <v>4.5571337865561139</v>
      </c>
      <c r="J18" s="411">
        <v>0</v>
      </c>
      <c r="K18" s="411">
        <v>5.6143930360497496</v>
      </c>
    </row>
    <row r="19" spans="1:24" s="222" customFormat="1">
      <c r="A19" s="19" t="s">
        <v>594</v>
      </c>
      <c r="B19" s="411">
        <v>1.333914251917717</v>
      </c>
      <c r="C19" s="411">
        <v>16.412252176782399</v>
      </c>
      <c r="D19" s="411">
        <v>0</v>
      </c>
      <c r="E19" s="411">
        <v>1.973484404158774</v>
      </c>
      <c r="F19" s="411">
        <v>0.39417221206608188</v>
      </c>
      <c r="G19" s="411">
        <v>0</v>
      </c>
      <c r="H19" s="411">
        <v>0.35492352280561779</v>
      </c>
      <c r="I19" s="411">
        <v>0.40256621344388649</v>
      </c>
      <c r="J19" s="411">
        <v>0</v>
      </c>
      <c r="K19" s="411">
        <v>3.0985069639502489</v>
      </c>
    </row>
    <row r="20" spans="1:24" s="222" customFormat="1">
      <c r="A20" s="21" t="s">
        <v>595</v>
      </c>
      <c r="B20" s="368">
        <v>2.528449830941168</v>
      </c>
      <c r="C20" s="368">
        <v>2.4387002498729999</v>
      </c>
      <c r="D20" s="368">
        <v>0</v>
      </c>
      <c r="E20" s="368">
        <v>0.72846313177488686</v>
      </c>
      <c r="F20" s="368">
        <v>0.6246741378353754</v>
      </c>
      <c r="G20" s="368">
        <v>0</v>
      </c>
      <c r="H20" s="368">
        <v>0.16056413233458169</v>
      </c>
      <c r="I20" s="368">
        <v>0.52883728827109078</v>
      </c>
      <c r="J20" s="368">
        <v>0</v>
      </c>
      <c r="K20" s="368">
        <v>0.79657757463452417</v>
      </c>
    </row>
    <row r="21" spans="1:24" s="222" customFormat="1">
      <c r="A21" s="21" t="s">
        <v>596</v>
      </c>
      <c r="B21" s="368">
        <v>8.6339501690588314</v>
      </c>
      <c r="C21" s="368">
        <v>7.2997501269994741E-3</v>
      </c>
      <c r="D21" s="368">
        <v>0</v>
      </c>
      <c r="E21" s="368">
        <v>1.4368682251131471E-3</v>
      </c>
      <c r="F21" s="368">
        <v>1.351425862164624</v>
      </c>
      <c r="G21" s="368">
        <v>0</v>
      </c>
      <c r="H21" s="368">
        <v>0.40913586766541832</v>
      </c>
      <c r="I21" s="368">
        <v>0.1298627117289092</v>
      </c>
      <c r="J21" s="368">
        <v>0</v>
      </c>
      <c r="K21" s="368">
        <v>0.36062242536547567</v>
      </c>
    </row>
    <row r="22" spans="1:24" s="222" customFormat="1">
      <c r="A22" s="19" t="s">
        <v>11</v>
      </c>
      <c r="B22" s="411">
        <v>230.33709999999999</v>
      </c>
      <c r="C22" s="411">
        <v>61.696800000000003</v>
      </c>
      <c r="D22" s="411">
        <v>0</v>
      </c>
      <c r="E22" s="411">
        <v>15.0619</v>
      </c>
      <c r="F22" s="411">
        <v>40.7774</v>
      </c>
      <c r="G22" s="411">
        <v>0</v>
      </c>
      <c r="H22" s="411">
        <v>11.755599999999999</v>
      </c>
      <c r="I22" s="411">
        <v>13.592499999999999</v>
      </c>
      <c r="J22" s="411">
        <v>0</v>
      </c>
      <c r="K22" s="411">
        <v>23.878699999999998</v>
      </c>
    </row>
    <row r="23" spans="1:24" s="222" customFormat="1">
      <c r="A23" s="21" t="s">
        <v>12</v>
      </c>
      <c r="B23" s="368">
        <v>7.0435999999999996</v>
      </c>
      <c r="C23" s="368">
        <v>1.5435000000000001</v>
      </c>
      <c r="D23" s="368">
        <v>0</v>
      </c>
      <c r="E23" s="368">
        <v>0.46060000000000001</v>
      </c>
      <c r="F23" s="368">
        <v>1.2470000000000001</v>
      </c>
      <c r="G23" s="368">
        <v>0</v>
      </c>
      <c r="H23" s="368">
        <v>0.35949999999999999</v>
      </c>
      <c r="I23" s="368">
        <v>0.41570000000000001</v>
      </c>
      <c r="J23" s="368">
        <v>0</v>
      </c>
      <c r="K23" s="368">
        <v>0.73019999999999996</v>
      </c>
    </row>
    <row r="24" spans="1:24" s="222" customFormat="1">
      <c r="A24" s="19" t="s">
        <v>13</v>
      </c>
      <c r="B24" s="411">
        <v>36.949199999999998</v>
      </c>
      <c r="C24" s="411">
        <v>8.0967000000000002</v>
      </c>
      <c r="D24" s="411">
        <v>0</v>
      </c>
      <c r="E24" s="411">
        <v>2.4161000000000001</v>
      </c>
      <c r="F24" s="411">
        <v>6.5412999999999997</v>
      </c>
      <c r="G24" s="411">
        <v>0</v>
      </c>
      <c r="H24" s="411">
        <v>1.8857999999999999</v>
      </c>
      <c r="I24" s="411">
        <v>2.1804000000000001</v>
      </c>
      <c r="J24" s="411">
        <v>0</v>
      </c>
      <c r="K24" s="411">
        <v>3.8304999999999998</v>
      </c>
      <c r="L24" s="368"/>
      <c r="M24" s="368"/>
      <c r="N24" s="368"/>
      <c r="O24" s="368"/>
      <c r="P24" s="368"/>
      <c r="Q24" s="368"/>
      <c r="R24" s="368"/>
      <c r="S24" s="368"/>
      <c r="T24" s="368"/>
      <c r="U24" s="368"/>
      <c r="V24" s="368"/>
      <c r="W24" s="368"/>
      <c r="X24" s="377"/>
    </row>
    <row r="25" spans="1:24" s="222" customFormat="1">
      <c r="A25" s="21" t="s">
        <v>14</v>
      </c>
      <c r="B25" s="368">
        <v>37.068600000000004</v>
      </c>
      <c r="C25" s="368">
        <v>8.1228999999999996</v>
      </c>
      <c r="D25" s="368">
        <v>0</v>
      </c>
      <c r="E25" s="368">
        <v>2.4239000000000002</v>
      </c>
      <c r="F25" s="368">
        <v>6.5624000000000002</v>
      </c>
      <c r="G25" s="368">
        <v>0</v>
      </c>
      <c r="H25" s="368">
        <v>1.8918999999999999</v>
      </c>
      <c r="I25" s="368">
        <v>2.1875</v>
      </c>
      <c r="J25" s="368">
        <v>0</v>
      </c>
      <c r="K25" s="368">
        <v>3.8428</v>
      </c>
    </row>
    <row r="26" spans="1:24" s="222" customFormat="1">
      <c r="A26" s="19" t="s">
        <v>15</v>
      </c>
      <c r="B26" s="411">
        <v>61.721299999999999</v>
      </c>
      <c r="C26" s="411">
        <v>13.5251</v>
      </c>
      <c r="D26" s="411">
        <v>0</v>
      </c>
      <c r="E26" s="411">
        <v>4.0359999999999996</v>
      </c>
      <c r="F26" s="411">
        <v>10.9267</v>
      </c>
      <c r="G26" s="411">
        <v>0</v>
      </c>
      <c r="H26" s="411">
        <v>3.1501000000000001</v>
      </c>
      <c r="I26" s="411">
        <v>3.6421999999999999</v>
      </c>
      <c r="J26" s="411">
        <v>0</v>
      </c>
      <c r="K26" s="411">
        <v>6.3985000000000003</v>
      </c>
    </row>
    <row r="27" spans="1:24" s="222" customFormat="1">
      <c r="A27" s="21" t="s">
        <v>16</v>
      </c>
      <c r="B27" s="368">
        <v>18.8626</v>
      </c>
      <c r="C27" s="368">
        <v>4.1334</v>
      </c>
      <c r="D27" s="368">
        <v>0</v>
      </c>
      <c r="E27" s="368">
        <v>1.2334000000000001</v>
      </c>
      <c r="F27" s="368">
        <v>3.3393000000000002</v>
      </c>
      <c r="G27" s="368">
        <v>0</v>
      </c>
      <c r="H27" s="368">
        <v>0.9627</v>
      </c>
      <c r="I27" s="368">
        <v>1.1131</v>
      </c>
      <c r="J27" s="368">
        <v>0</v>
      </c>
      <c r="K27" s="368">
        <v>1.9555</v>
      </c>
    </row>
    <row r="28" spans="1:24" s="222" customFormat="1">
      <c r="A28" s="19" t="s">
        <v>17</v>
      </c>
      <c r="B28" s="411">
        <v>1200.2919999999999</v>
      </c>
      <c r="C28" s="411">
        <v>0</v>
      </c>
      <c r="D28" s="411">
        <v>0</v>
      </c>
      <c r="E28" s="411">
        <v>0</v>
      </c>
      <c r="F28" s="411">
        <v>194.50800000000001</v>
      </c>
      <c r="G28" s="411">
        <v>0</v>
      </c>
      <c r="H28" s="411">
        <v>0</v>
      </c>
      <c r="I28" s="411">
        <v>0</v>
      </c>
      <c r="J28" s="411">
        <v>0</v>
      </c>
      <c r="K28" s="411">
        <v>0</v>
      </c>
    </row>
    <row r="29" spans="1:24" s="222" customFormat="1">
      <c r="A29" s="21" t="s">
        <v>18</v>
      </c>
      <c r="B29" s="368">
        <v>0</v>
      </c>
      <c r="C29" s="368">
        <v>0</v>
      </c>
      <c r="D29" s="368">
        <v>0</v>
      </c>
      <c r="E29" s="368">
        <v>0</v>
      </c>
      <c r="F29" s="368">
        <v>0</v>
      </c>
      <c r="G29" s="368">
        <v>0</v>
      </c>
      <c r="H29" s="368">
        <v>0</v>
      </c>
      <c r="I29" s="368">
        <v>0</v>
      </c>
      <c r="J29" s="368">
        <v>0</v>
      </c>
      <c r="K29" s="368">
        <v>0</v>
      </c>
    </row>
    <row r="30" spans="1:24" s="222" customFormat="1">
      <c r="A30" s="19" t="s">
        <v>19</v>
      </c>
      <c r="B30" s="411">
        <v>0</v>
      </c>
      <c r="C30" s="411">
        <v>0</v>
      </c>
      <c r="D30" s="411">
        <v>0</v>
      </c>
      <c r="E30" s="411">
        <v>0</v>
      </c>
      <c r="F30" s="411">
        <v>0</v>
      </c>
      <c r="G30" s="411">
        <v>0</v>
      </c>
      <c r="H30" s="411">
        <v>0</v>
      </c>
      <c r="I30" s="411">
        <v>0</v>
      </c>
      <c r="J30" s="411">
        <v>0</v>
      </c>
      <c r="K30" s="411">
        <v>0</v>
      </c>
    </row>
    <row r="31" spans="1:24" s="222" customFormat="1">
      <c r="A31" s="21" t="s">
        <v>20</v>
      </c>
      <c r="B31" s="368">
        <v>0</v>
      </c>
      <c r="C31" s="368">
        <v>0</v>
      </c>
      <c r="D31" s="368">
        <v>0</v>
      </c>
      <c r="E31" s="368">
        <v>0</v>
      </c>
      <c r="F31" s="368">
        <v>0</v>
      </c>
      <c r="G31" s="368">
        <v>0</v>
      </c>
      <c r="H31" s="368">
        <v>0</v>
      </c>
      <c r="I31" s="368">
        <v>0</v>
      </c>
      <c r="J31" s="368">
        <v>0</v>
      </c>
      <c r="K31" s="368">
        <v>0</v>
      </c>
    </row>
    <row r="32" spans="1:24" s="222" customFormat="1">
      <c r="A32" s="19" t="s">
        <v>21</v>
      </c>
      <c r="B32" s="411">
        <v>0</v>
      </c>
      <c r="C32" s="411">
        <v>0</v>
      </c>
      <c r="D32" s="411">
        <v>0</v>
      </c>
      <c r="E32" s="411">
        <v>0</v>
      </c>
      <c r="F32" s="411">
        <v>0</v>
      </c>
      <c r="G32" s="411">
        <v>0</v>
      </c>
      <c r="H32" s="411">
        <v>0</v>
      </c>
      <c r="I32" s="411">
        <v>0</v>
      </c>
      <c r="J32" s="411">
        <v>0</v>
      </c>
      <c r="K32" s="411">
        <v>0</v>
      </c>
      <c r="L32" s="368"/>
      <c r="M32" s="368"/>
      <c r="N32" s="368"/>
      <c r="O32" s="368"/>
      <c r="P32" s="368"/>
      <c r="Q32" s="368"/>
      <c r="R32" s="368"/>
      <c r="S32" s="368"/>
      <c r="T32" s="368"/>
      <c r="U32" s="368"/>
      <c r="V32" s="368"/>
      <c r="W32" s="368"/>
    </row>
    <row r="33" spans="1:16" s="222" customFormat="1">
      <c r="A33" s="21" t="s">
        <v>22</v>
      </c>
      <c r="B33" s="368">
        <v>0</v>
      </c>
      <c r="C33" s="368">
        <v>0</v>
      </c>
      <c r="D33" s="368">
        <v>0</v>
      </c>
      <c r="E33" s="368">
        <v>0</v>
      </c>
      <c r="F33" s="368">
        <v>0</v>
      </c>
      <c r="G33" s="368">
        <v>0</v>
      </c>
      <c r="H33" s="368">
        <v>0</v>
      </c>
      <c r="I33" s="368">
        <v>0</v>
      </c>
      <c r="J33" s="368">
        <v>0</v>
      </c>
      <c r="K33" s="368">
        <v>0</v>
      </c>
    </row>
    <row r="34" spans="1:16" s="222" customFormat="1">
      <c r="A34" s="19" t="s">
        <v>23</v>
      </c>
      <c r="B34" s="411">
        <v>0</v>
      </c>
      <c r="C34" s="411">
        <v>0</v>
      </c>
      <c r="D34" s="411">
        <v>0</v>
      </c>
      <c r="E34" s="411">
        <v>0</v>
      </c>
      <c r="F34" s="411">
        <v>0</v>
      </c>
      <c r="G34" s="411">
        <v>0</v>
      </c>
      <c r="H34" s="411">
        <v>0</v>
      </c>
      <c r="I34" s="411">
        <v>0</v>
      </c>
      <c r="J34" s="411">
        <v>0</v>
      </c>
      <c r="K34" s="411">
        <v>0</v>
      </c>
    </row>
    <row r="35" spans="1:16" s="222" customFormat="1">
      <c r="A35" s="21" t="s">
        <v>24</v>
      </c>
      <c r="B35" s="368">
        <v>0</v>
      </c>
      <c r="C35" s="368">
        <v>0</v>
      </c>
      <c r="D35" s="368">
        <v>0</v>
      </c>
      <c r="E35" s="368">
        <v>0</v>
      </c>
      <c r="F35" s="368">
        <v>0</v>
      </c>
      <c r="G35" s="368">
        <v>0</v>
      </c>
      <c r="H35" s="368">
        <v>0</v>
      </c>
      <c r="I35" s="368">
        <v>0</v>
      </c>
      <c r="J35" s="368">
        <v>0</v>
      </c>
      <c r="K35" s="368">
        <v>0</v>
      </c>
    </row>
    <row r="36" spans="1:16" s="222" customFormat="1">
      <c r="A36" s="19" t="s">
        <v>25</v>
      </c>
      <c r="B36" s="411">
        <v>0</v>
      </c>
      <c r="C36" s="411">
        <v>0</v>
      </c>
      <c r="D36" s="411">
        <v>0</v>
      </c>
      <c r="E36" s="411">
        <v>0</v>
      </c>
      <c r="F36" s="411">
        <v>0</v>
      </c>
      <c r="G36" s="411">
        <v>0</v>
      </c>
      <c r="H36" s="411">
        <v>0</v>
      </c>
      <c r="I36" s="411">
        <v>0</v>
      </c>
      <c r="J36" s="411">
        <v>0</v>
      </c>
      <c r="K36" s="411">
        <v>0</v>
      </c>
    </row>
    <row r="37" spans="1:16" s="222" customFormat="1">
      <c r="A37" s="21" t="s">
        <v>597</v>
      </c>
      <c r="B37" s="368">
        <v>0</v>
      </c>
      <c r="C37" s="368">
        <v>0</v>
      </c>
      <c r="D37" s="368">
        <v>0</v>
      </c>
      <c r="E37" s="368">
        <v>0</v>
      </c>
      <c r="F37" s="368">
        <v>0</v>
      </c>
      <c r="G37" s="368">
        <v>0</v>
      </c>
      <c r="H37" s="368">
        <v>0</v>
      </c>
      <c r="I37" s="368">
        <v>0</v>
      </c>
      <c r="J37" s="368">
        <v>0</v>
      </c>
      <c r="K37" s="368">
        <v>0</v>
      </c>
    </row>
    <row r="38" spans="1:16" s="222" customFormat="1">
      <c r="A38" s="21" t="s">
        <v>598</v>
      </c>
      <c r="B38" s="368">
        <v>0</v>
      </c>
      <c r="C38" s="368">
        <v>0</v>
      </c>
      <c r="D38" s="368">
        <v>0</v>
      </c>
      <c r="E38" s="368">
        <v>0</v>
      </c>
      <c r="F38" s="368">
        <v>0</v>
      </c>
      <c r="G38" s="368">
        <v>0</v>
      </c>
      <c r="H38" s="368">
        <v>0</v>
      </c>
      <c r="I38" s="368">
        <v>0</v>
      </c>
      <c r="J38" s="368">
        <v>0</v>
      </c>
      <c r="K38" s="368">
        <v>0</v>
      </c>
    </row>
    <row r="42" spans="1:16">
      <c r="L42" s="409"/>
      <c r="M42" s="409"/>
      <c r="N42" s="409"/>
      <c r="O42" s="409"/>
      <c r="P42" s="409"/>
    </row>
    <row r="43" spans="1:16">
      <c r="L43" s="409"/>
      <c r="M43" s="409"/>
      <c r="N43" s="409"/>
      <c r="O43" s="409"/>
      <c r="P43" s="409"/>
    </row>
    <row r="44" spans="1:16">
      <c r="L44" s="409"/>
      <c r="M44" s="409"/>
      <c r="N44" s="409"/>
      <c r="O44" s="409"/>
      <c r="P44" s="409"/>
    </row>
    <row r="45" spans="1:16">
      <c r="L45" s="409"/>
      <c r="M45" s="409"/>
      <c r="N45" s="409"/>
      <c r="O45" s="409"/>
      <c r="P45" s="409"/>
    </row>
    <row r="46" spans="1:16">
      <c r="L46" s="409"/>
      <c r="M46" s="409"/>
      <c r="N46" s="409"/>
      <c r="O46" s="409"/>
      <c r="P46" s="409"/>
    </row>
    <row r="47" spans="1:16">
      <c r="L47" s="409"/>
      <c r="M47" s="409"/>
      <c r="N47" s="409"/>
      <c r="O47" s="409"/>
      <c r="P47" s="409"/>
    </row>
    <row r="48" spans="1:16">
      <c r="L48" s="409"/>
      <c r="M48" s="409"/>
      <c r="N48" s="409"/>
      <c r="O48" s="409"/>
      <c r="P48" s="409"/>
    </row>
    <row r="49" spans="12:16">
      <c r="L49" s="409"/>
      <c r="M49" s="409"/>
      <c r="N49" s="409"/>
      <c r="O49" s="409"/>
      <c r="P49" s="409"/>
    </row>
    <row r="50" spans="12:16">
      <c r="L50" s="409"/>
      <c r="M50" s="409"/>
      <c r="N50" s="409"/>
      <c r="O50" s="409"/>
      <c r="P50" s="409"/>
    </row>
    <row r="51" spans="12:16">
      <c r="L51" s="409"/>
      <c r="M51" s="409"/>
      <c r="N51" s="409"/>
      <c r="O51" s="409"/>
      <c r="P51" s="409"/>
    </row>
    <row r="52" spans="12:16">
      <c r="L52" s="409"/>
      <c r="M52" s="409"/>
      <c r="N52" s="409"/>
      <c r="O52" s="409"/>
      <c r="P52" s="409"/>
    </row>
    <row r="53" spans="12:16">
      <c r="L53" s="409"/>
      <c r="M53" s="409"/>
      <c r="N53" s="409"/>
      <c r="O53" s="409"/>
      <c r="P53" s="409"/>
    </row>
    <row r="54" spans="12:16">
      <c r="L54" s="409"/>
      <c r="M54" s="409"/>
      <c r="N54" s="409"/>
      <c r="O54" s="409"/>
      <c r="P54" s="409"/>
    </row>
    <row r="55" spans="12:16">
      <c r="L55" s="409"/>
      <c r="M55" s="409"/>
      <c r="N55" s="409"/>
      <c r="O55" s="409"/>
      <c r="P55" s="409"/>
    </row>
    <row r="56" spans="12:16">
      <c r="L56" s="409"/>
      <c r="M56" s="409"/>
      <c r="N56" s="409"/>
      <c r="O56" s="409"/>
      <c r="P56" s="409"/>
    </row>
    <row r="57" spans="12:16">
      <c r="L57" s="409"/>
      <c r="M57" s="409"/>
      <c r="N57" s="409"/>
      <c r="O57" s="409"/>
      <c r="P57" s="409"/>
    </row>
    <row r="58" spans="12:16">
      <c r="L58" s="409"/>
      <c r="M58" s="409"/>
      <c r="N58" s="409"/>
      <c r="O58" s="409"/>
      <c r="P58" s="409"/>
    </row>
    <row r="59" spans="12:16">
      <c r="L59" s="409"/>
      <c r="M59" s="409"/>
      <c r="N59" s="409"/>
      <c r="O59" s="409"/>
      <c r="P59" s="409"/>
    </row>
    <row r="60" spans="12:16">
      <c r="L60" s="409"/>
      <c r="M60" s="409"/>
      <c r="N60" s="409"/>
      <c r="O60" s="409"/>
      <c r="P60" s="409"/>
    </row>
    <row r="61" spans="12:16">
      <c r="L61" s="409"/>
      <c r="M61" s="409"/>
      <c r="N61" s="409"/>
      <c r="O61" s="409"/>
      <c r="P61" s="409"/>
    </row>
    <row r="62" spans="12:16">
      <c r="L62" s="409"/>
      <c r="M62" s="409"/>
      <c r="N62" s="409"/>
      <c r="O62" s="409"/>
      <c r="P62" s="409"/>
    </row>
  </sheetData>
  <mergeCells count="2">
    <mergeCell ref="A1:L1"/>
    <mergeCell ref="A4:K4"/>
  </mergeCell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>
    <tabColor rgb="FF717D7E"/>
  </sheetPr>
  <dimension ref="A2:OS87"/>
  <sheetViews>
    <sheetView showGridLines="0" workbookViewId="0">
      <selection activeCell="K64" sqref="K64"/>
    </sheetView>
  </sheetViews>
  <sheetFormatPr baseColWidth="10" defaultRowHeight="16"/>
  <sheetData>
    <row r="2" spans="1:409" ht="63" customHeight="1">
      <c r="A2" s="415" t="s">
        <v>279</v>
      </c>
      <c r="B2" s="415"/>
      <c r="C2" s="415"/>
      <c r="D2" s="415"/>
      <c r="E2" s="415"/>
      <c r="F2" s="415"/>
      <c r="G2" s="415"/>
      <c r="H2" s="415"/>
      <c r="I2" s="415"/>
      <c r="J2" s="415"/>
      <c r="K2" s="415"/>
      <c r="L2" s="415"/>
      <c r="M2" s="415"/>
      <c r="N2" s="415"/>
      <c r="O2" s="415"/>
      <c r="P2" s="415"/>
      <c r="Q2" s="415"/>
      <c r="R2" s="415"/>
      <c r="S2" s="415"/>
      <c r="T2" s="415"/>
      <c r="U2" s="415"/>
      <c r="V2" s="415"/>
      <c r="W2" s="415"/>
      <c r="X2" s="415"/>
      <c r="Y2" s="415"/>
      <c r="Z2" s="415"/>
      <c r="AA2" s="415"/>
      <c r="AB2" s="415"/>
      <c r="AC2" s="415"/>
      <c r="AD2" s="415"/>
      <c r="AE2" s="415"/>
      <c r="AF2" s="415"/>
      <c r="AG2" s="415"/>
      <c r="AH2" s="415"/>
      <c r="AI2" s="415"/>
    </row>
    <row r="3" spans="1:409" ht="36" customHeight="1">
      <c r="A3" s="63"/>
      <c r="B3" s="63"/>
      <c r="C3" s="416" t="s">
        <v>614</v>
      </c>
      <c r="D3" s="416" t="s">
        <v>615</v>
      </c>
      <c r="E3" s="416" t="s">
        <v>616</v>
      </c>
      <c r="F3" s="416" t="s">
        <v>617</v>
      </c>
      <c r="G3" s="416" t="s">
        <v>280</v>
      </c>
      <c r="H3" s="416" t="s">
        <v>618</v>
      </c>
      <c r="I3" s="416" t="s">
        <v>619</v>
      </c>
      <c r="J3" s="416" t="s">
        <v>620</v>
      </c>
      <c r="K3" s="416" t="s">
        <v>621</v>
      </c>
      <c r="L3" s="416" t="s">
        <v>622</v>
      </c>
      <c r="M3" s="416" t="s">
        <v>623</v>
      </c>
      <c r="N3" s="416" t="s">
        <v>624</v>
      </c>
      <c r="O3" s="416" t="s">
        <v>625</v>
      </c>
      <c r="P3" s="416" t="s">
        <v>626</v>
      </c>
      <c r="Q3" s="416" t="s">
        <v>281</v>
      </c>
      <c r="R3" s="416" t="s">
        <v>627</v>
      </c>
      <c r="S3" s="416" t="s">
        <v>282</v>
      </c>
      <c r="T3" s="416" t="s">
        <v>283</v>
      </c>
      <c r="U3" s="416" t="s">
        <v>284</v>
      </c>
      <c r="V3" s="416" t="s">
        <v>285</v>
      </c>
      <c r="W3" s="416" t="s">
        <v>286</v>
      </c>
      <c r="X3" s="416" t="s">
        <v>287</v>
      </c>
      <c r="Y3" s="416" t="s">
        <v>288</v>
      </c>
      <c r="Z3" s="416" t="s">
        <v>289</v>
      </c>
      <c r="AA3" s="416" t="s">
        <v>290</v>
      </c>
      <c r="AB3" s="416" t="s">
        <v>291</v>
      </c>
      <c r="AC3" s="416" t="s">
        <v>292</v>
      </c>
      <c r="AD3" s="416" t="s">
        <v>293</v>
      </c>
      <c r="AE3" s="416" t="s">
        <v>294</v>
      </c>
      <c r="AF3" s="416" t="s">
        <v>295</v>
      </c>
      <c r="AG3" s="416" t="s">
        <v>296</v>
      </c>
      <c r="AH3" s="416" t="s">
        <v>628</v>
      </c>
      <c r="AI3" s="416" t="s">
        <v>629</v>
      </c>
      <c r="AJ3" s="416" t="s">
        <v>630</v>
      </c>
      <c r="AK3" s="416" t="s">
        <v>631</v>
      </c>
      <c r="AL3" s="416" t="s">
        <v>632</v>
      </c>
      <c r="AM3" s="416" t="s">
        <v>633</v>
      </c>
      <c r="AN3" s="416" t="s">
        <v>297</v>
      </c>
      <c r="AO3" s="416" t="s">
        <v>634</v>
      </c>
      <c r="AP3" s="416" t="s">
        <v>635</v>
      </c>
      <c r="AQ3" s="416" t="s">
        <v>636</v>
      </c>
      <c r="AR3" s="416" t="s">
        <v>637</v>
      </c>
      <c r="AS3" s="416" t="s">
        <v>638</v>
      </c>
      <c r="AT3" s="416" t="s">
        <v>639</v>
      </c>
      <c r="AU3" s="416" t="s">
        <v>640</v>
      </c>
      <c r="AV3" s="416" t="s">
        <v>641</v>
      </c>
      <c r="AW3" s="416" t="s">
        <v>642</v>
      </c>
      <c r="AX3" s="416" t="s">
        <v>298</v>
      </c>
      <c r="AY3" s="416" t="s">
        <v>643</v>
      </c>
      <c r="AZ3" s="416" t="s">
        <v>299</v>
      </c>
      <c r="BA3" s="416" t="s">
        <v>300</v>
      </c>
      <c r="BB3" s="416" t="s">
        <v>301</v>
      </c>
      <c r="BC3" s="416" t="s">
        <v>302</v>
      </c>
      <c r="BD3" s="416" t="s">
        <v>303</v>
      </c>
      <c r="BE3" s="416" t="s">
        <v>304</v>
      </c>
      <c r="BF3" s="416" t="s">
        <v>305</v>
      </c>
      <c r="BG3" s="416" t="s">
        <v>306</v>
      </c>
      <c r="BH3" s="416" t="s">
        <v>307</v>
      </c>
      <c r="BI3" s="416" t="s">
        <v>308</v>
      </c>
      <c r="BJ3" s="416" t="s">
        <v>309</v>
      </c>
      <c r="BK3" s="416" t="s">
        <v>310</v>
      </c>
      <c r="BL3" s="416" t="s">
        <v>311</v>
      </c>
      <c r="BM3" s="416" t="s">
        <v>312</v>
      </c>
      <c r="BN3" s="416" t="s">
        <v>313</v>
      </c>
      <c r="BO3" s="416" t="s">
        <v>644</v>
      </c>
      <c r="BP3" s="416" t="s">
        <v>645</v>
      </c>
      <c r="BQ3" s="416" t="s">
        <v>646</v>
      </c>
      <c r="BR3" s="416" t="s">
        <v>647</v>
      </c>
      <c r="BS3" s="416" t="s">
        <v>648</v>
      </c>
      <c r="BT3" s="416" t="s">
        <v>649</v>
      </c>
      <c r="BU3" s="416" t="s">
        <v>314</v>
      </c>
      <c r="BV3" s="416" t="s">
        <v>650</v>
      </c>
      <c r="BW3" s="416" t="s">
        <v>651</v>
      </c>
      <c r="BX3" s="416" t="s">
        <v>652</v>
      </c>
      <c r="BY3" s="416" t="s">
        <v>653</v>
      </c>
      <c r="BZ3" s="416" t="s">
        <v>654</v>
      </c>
      <c r="CA3" s="416" t="s">
        <v>655</v>
      </c>
      <c r="CB3" s="416" t="s">
        <v>656</v>
      </c>
      <c r="CC3" s="416" t="s">
        <v>657</v>
      </c>
      <c r="CD3" s="416" t="s">
        <v>658</v>
      </c>
      <c r="CE3" s="416" t="s">
        <v>315</v>
      </c>
      <c r="CF3" s="416" t="s">
        <v>659</v>
      </c>
      <c r="CG3" s="416" t="s">
        <v>316</v>
      </c>
      <c r="CH3" s="416" t="s">
        <v>317</v>
      </c>
      <c r="CI3" s="416" t="s">
        <v>318</v>
      </c>
      <c r="CJ3" s="416" t="s">
        <v>319</v>
      </c>
      <c r="CK3" s="416" t="s">
        <v>320</v>
      </c>
      <c r="CL3" s="416" t="s">
        <v>321</v>
      </c>
      <c r="CM3" s="416" t="s">
        <v>322</v>
      </c>
      <c r="CN3" s="416" t="s">
        <v>323</v>
      </c>
      <c r="CO3" s="416" t="s">
        <v>324</v>
      </c>
      <c r="CP3" s="416" t="s">
        <v>325</v>
      </c>
      <c r="CQ3" s="416" t="s">
        <v>326</v>
      </c>
      <c r="CR3" s="416" t="s">
        <v>327</v>
      </c>
      <c r="CS3" s="416" t="s">
        <v>328</v>
      </c>
      <c r="CT3" s="416" t="s">
        <v>329</v>
      </c>
      <c r="CU3" s="416" t="s">
        <v>330</v>
      </c>
      <c r="CV3" s="416" t="s">
        <v>660</v>
      </c>
      <c r="CW3" s="416" t="s">
        <v>661</v>
      </c>
      <c r="CX3" s="416" t="s">
        <v>662</v>
      </c>
      <c r="CY3" s="416" t="s">
        <v>663</v>
      </c>
      <c r="CZ3" s="416" t="s">
        <v>664</v>
      </c>
      <c r="DA3" s="416" t="s">
        <v>665</v>
      </c>
      <c r="DB3" s="416" t="s">
        <v>331</v>
      </c>
      <c r="DC3" s="416" t="s">
        <v>666</v>
      </c>
      <c r="DD3" s="416" t="s">
        <v>667</v>
      </c>
      <c r="DE3" s="416" t="s">
        <v>668</v>
      </c>
      <c r="DF3" s="416" t="s">
        <v>669</v>
      </c>
      <c r="DG3" s="416" t="s">
        <v>670</v>
      </c>
      <c r="DH3" s="416" t="s">
        <v>671</v>
      </c>
      <c r="DI3" s="416" t="s">
        <v>672</v>
      </c>
      <c r="DJ3" s="416" t="s">
        <v>673</v>
      </c>
      <c r="DK3" s="416" t="s">
        <v>674</v>
      </c>
      <c r="DL3" s="416" t="s">
        <v>332</v>
      </c>
      <c r="DM3" s="416" t="s">
        <v>675</v>
      </c>
      <c r="DN3" s="416" t="s">
        <v>333</v>
      </c>
      <c r="DO3" s="416" t="s">
        <v>334</v>
      </c>
      <c r="DP3" s="416" t="s">
        <v>335</v>
      </c>
      <c r="DQ3" s="416" t="s">
        <v>336</v>
      </c>
      <c r="DR3" s="416" t="s">
        <v>337</v>
      </c>
      <c r="DS3" s="416" t="s">
        <v>338</v>
      </c>
      <c r="DT3" s="416" t="s">
        <v>339</v>
      </c>
      <c r="DU3" s="416" t="s">
        <v>340</v>
      </c>
      <c r="DV3" s="416" t="s">
        <v>341</v>
      </c>
      <c r="DW3" s="416" t="s">
        <v>342</v>
      </c>
      <c r="DX3" s="416" t="s">
        <v>343</v>
      </c>
      <c r="DY3" s="416" t="s">
        <v>344</v>
      </c>
      <c r="DZ3" s="416" t="s">
        <v>345</v>
      </c>
      <c r="EA3" s="416" t="s">
        <v>346</v>
      </c>
      <c r="EB3" s="416" t="s">
        <v>347</v>
      </c>
      <c r="EC3" s="416" t="s">
        <v>676</v>
      </c>
      <c r="ED3" s="416" t="s">
        <v>677</v>
      </c>
      <c r="EE3" s="416" t="s">
        <v>678</v>
      </c>
      <c r="EF3" s="416" t="s">
        <v>679</v>
      </c>
      <c r="EG3" s="416" t="s">
        <v>680</v>
      </c>
      <c r="EH3" s="416" t="s">
        <v>681</v>
      </c>
      <c r="EI3" s="416" t="s">
        <v>348</v>
      </c>
      <c r="EJ3" s="416" t="s">
        <v>682</v>
      </c>
      <c r="EK3" s="416" t="s">
        <v>683</v>
      </c>
      <c r="EL3" s="416" t="s">
        <v>684</v>
      </c>
      <c r="EM3" s="416" t="s">
        <v>685</v>
      </c>
      <c r="EN3" s="416" t="s">
        <v>686</v>
      </c>
      <c r="EO3" s="416" t="s">
        <v>687</v>
      </c>
      <c r="EP3" s="416" t="s">
        <v>688</v>
      </c>
      <c r="EQ3" s="416" t="s">
        <v>689</v>
      </c>
      <c r="ER3" s="416" t="s">
        <v>690</v>
      </c>
      <c r="ES3" s="416" t="s">
        <v>349</v>
      </c>
      <c r="ET3" s="416" t="s">
        <v>691</v>
      </c>
      <c r="EU3" s="416" t="s">
        <v>350</v>
      </c>
      <c r="EV3" s="416" t="s">
        <v>351</v>
      </c>
      <c r="EW3" s="416" t="s">
        <v>352</v>
      </c>
      <c r="EX3" s="416" t="s">
        <v>353</v>
      </c>
      <c r="EY3" s="416" t="s">
        <v>354</v>
      </c>
      <c r="EZ3" s="416" t="s">
        <v>355</v>
      </c>
      <c r="FA3" s="416" t="s">
        <v>356</v>
      </c>
      <c r="FB3" s="416" t="s">
        <v>357</v>
      </c>
      <c r="FC3" s="416" t="s">
        <v>358</v>
      </c>
      <c r="FD3" s="416" t="s">
        <v>359</v>
      </c>
      <c r="FE3" s="416" t="s">
        <v>360</v>
      </c>
      <c r="FF3" s="416" t="s">
        <v>361</v>
      </c>
      <c r="FG3" s="416" t="s">
        <v>362</v>
      </c>
      <c r="FH3" s="416" t="s">
        <v>363</v>
      </c>
      <c r="FI3" s="416" t="s">
        <v>364</v>
      </c>
      <c r="FJ3" s="416" t="s">
        <v>692</v>
      </c>
      <c r="FK3" s="416" t="s">
        <v>693</v>
      </c>
      <c r="FL3" s="416" t="s">
        <v>694</v>
      </c>
      <c r="FM3" s="416" t="s">
        <v>695</v>
      </c>
      <c r="FN3" s="416" t="s">
        <v>696</v>
      </c>
      <c r="FO3" s="416" t="s">
        <v>697</v>
      </c>
      <c r="FP3" s="416" t="s">
        <v>365</v>
      </c>
      <c r="FQ3" s="416" t="s">
        <v>698</v>
      </c>
      <c r="FR3" s="416" t="s">
        <v>699</v>
      </c>
      <c r="FS3" s="416" t="s">
        <v>700</v>
      </c>
      <c r="FT3" s="416" t="s">
        <v>701</v>
      </c>
      <c r="FU3" s="416" t="s">
        <v>702</v>
      </c>
      <c r="FV3" s="416" t="s">
        <v>703</v>
      </c>
      <c r="FW3" s="416" t="s">
        <v>704</v>
      </c>
      <c r="FX3" s="416" t="s">
        <v>705</v>
      </c>
      <c r="FY3" s="416" t="s">
        <v>706</v>
      </c>
      <c r="FZ3" s="416" t="s">
        <v>366</v>
      </c>
      <c r="GA3" s="416" t="s">
        <v>707</v>
      </c>
      <c r="GB3" s="416" t="s">
        <v>367</v>
      </c>
      <c r="GC3" s="416" t="s">
        <v>368</v>
      </c>
      <c r="GD3" s="416" t="s">
        <v>369</v>
      </c>
      <c r="GE3" s="416" t="s">
        <v>370</v>
      </c>
      <c r="GF3" s="416" t="s">
        <v>371</v>
      </c>
      <c r="GG3" s="416" t="s">
        <v>372</v>
      </c>
      <c r="GH3" s="416" t="s">
        <v>373</v>
      </c>
      <c r="GI3" s="416" t="s">
        <v>374</v>
      </c>
      <c r="GJ3" s="416" t="s">
        <v>375</v>
      </c>
      <c r="GK3" s="416" t="s">
        <v>376</v>
      </c>
      <c r="GL3" s="416" t="s">
        <v>377</v>
      </c>
      <c r="GM3" s="416" t="s">
        <v>378</v>
      </c>
      <c r="GN3" s="416" t="s">
        <v>379</v>
      </c>
      <c r="GO3" s="416" t="s">
        <v>380</v>
      </c>
      <c r="GP3" s="416" t="s">
        <v>381</v>
      </c>
      <c r="GQ3" s="416" t="s">
        <v>708</v>
      </c>
      <c r="GR3" s="416" t="s">
        <v>709</v>
      </c>
      <c r="GS3" s="416" t="s">
        <v>710</v>
      </c>
      <c r="GT3" s="416" t="s">
        <v>711</v>
      </c>
      <c r="GU3" s="416" t="s">
        <v>712</v>
      </c>
      <c r="GV3" s="416" t="s">
        <v>713</v>
      </c>
      <c r="GW3" s="416" t="s">
        <v>382</v>
      </c>
      <c r="GX3" s="416" t="s">
        <v>714</v>
      </c>
      <c r="GY3" s="416" t="s">
        <v>715</v>
      </c>
      <c r="GZ3" s="416" t="s">
        <v>716</v>
      </c>
      <c r="HA3" s="416" t="s">
        <v>717</v>
      </c>
      <c r="HB3" s="416" t="s">
        <v>718</v>
      </c>
      <c r="HC3" s="416" t="s">
        <v>719</v>
      </c>
      <c r="HD3" s="416" t="s">
        <v>720</v>
      </c>
      <c r="HE3" s="416" t="s">
        <v>721</v>
      </c>
      <c r="HF3" s="416" t="s">
        <v>722</v>
      </c>
      <c r="HG3" s="416" t="s">
        <v>383</v>
      </c>
      <c r="HH3" s="416" t="s">
        <v>723</v>
      </c>
      <c r="HI3" s="416" t="s">
        <v>384</v>
      </c>
      <c r="HJ3" s="416" t="s">
        <v>385</v>
      </c>
      <c r="HK3" s="416" t="s">
        <v>386</v>
      </c>
      <c r="HL3" s="416" t="s">
        <v>387</v>
      </c>
      <c r="HM3" s="416" t="s">
        <v>388</v>
      </c>
      <c r="HN3" s="416" t="s">
        <v>389</v>
      </c>
      <c r="HO3" s="416" t="s">
        <v>390</v>
      </c>
      <c r="HP3" s="416" t="s">
        <v>391</v>
      </c>
      <c r="HQ3" s="416" t="s">
        <v>392</v>
      </c>
      <c r="HR3" s="416" t="s">
        <v>393</v>
      </c>
      <c r="HS3" s="416" t="s">
        <v>394</v>
      </c>
      <c r="HT3" s="416" t="s">
        <v>395</v>
      </c>
      <c r="HU3" s="416" t="s">
        <v>396</v>
      </c>
      <c r="HV3" s="416" t="s">
        <v>397</v>
      </c>
      <c r="HW3" s="416" t="s">
        <v>398</v>
      </c>
      <c r="HX3" s="416" t="s">
        <v>724</v>
      </c>
      <c r="HY3" s="416" t="s">
        <v>725</v>
      </c>
      <c r="HZ3" s="416" t="s">
        <v>726</v>
      </c>
      <c r="IA3" s="416" t="s">
        <v>727</v>
      </c>
      <c r="IB3" s="416" t="s">
        <v>728</v>
      </c>
      <c r="IC3" s="416" t="s">
        <v>729</v>
      </c>
      <c r="ID3" s="416" t="s">
        <v>399</v>
      </c>
      <c r="IE3" s="416" t="s">
        <v>730</v>
      </c>
      <c r="IF3" s="416" t="s">
        <v>731</v>
      </c>
      <c r="IG3" s="416" t="s">
        <v>732</v>
      </c>
      <c r="IH3" s="416" t="s">
        <v>733</v>
      </c>
      <c r="II3" s="416" t="s">
        <v>734</v>
      </c>
      <c r="IJ3" s="416" t="s">
        <v>735</v>
      </c>
      <c r="IK3" s="416" t="s">
        <v>736</v>
      </c>
      <c r="IL3" s="416" t="s">
        <v>737</v>
      </c>
      <c r="IM3" s="416" t="s">
        <v>738</v>
      </c>
      <c r="IN3" s="416" t="s">
        <v>400</v>
      </c>
      <c r="IO3" s="416" t="s">
        <v>739</v>
      </c>
      <c r="IP3" s="416" t="s">
        <v>401</v>
      </c>
      <c r="IQ3" s="416" t="s">
        <v>402</v>
      </c>
      <c r="IR3" s="416" t="s">
        <v>403</v>
      </c>
      <c r="IS3" s="416" t="s">
        <v>404</v>
      </c>
      <c r="IT3" s="416" t="s">
        <v>405</v>
      </c>
      <c r="IU3" s="416" t="s">
        <v>406</v>
      </c>
      <c r="IV3" s="416" t="s">
        <v>407</v>
      </c>
      <c r="IW3" s="416" t="s">
        <v>408</v>
      </c>
      <c r="IX3" s="416" t="s">
        <v>409</v>
      </c>
      <c r="IY3" s="416" t="s">
        <v>410</v>
      </c>
      <c r="IZ3" s="416" t="s">
        <v>411</v>
      </c>
      <c r="JA3" s="416" t="s">
        <v>412</v>
      </c>
      <c r="JB3" s="416" t="s">
        <v>413</v>
      </c>
      <c r="JC3" s="416" t="s">
        <v>414</v>
      </c>
      <c r="JD3" s="416" t="s">
        <v>415</v>
      </c>
      <c r="JE3" s="416" t="s">
        <v>740</v>
      </c>
      <c r="JF3" s="416" t="s">
        <v>741</v>
      </c>
      <c r="JG3" s="416" t="s">
        <v>742</v>
      </c>
      <c r="JH3" s="416" t="s">
        <v>743</v>
      </c>
      <c r="JI3" s="416" t="s">
        <v>744</v>
      </c>
      <c r="JJ3" s="416" t="s">
        <v>745</v>
      </c>
      <c r="JK3" s="416" t="s">
        <v>416</v>
      </c>
      <c r="JL3" s="416" t="s">
        <v>746</v>
      </c>
      <c r="JM3" s="416" t="s">
        <v>747</v>
      </c>
      <c r="JN3" s="416" t="s">
        <v>748</v>
      </c>
      <c r="JO3" s="416" t="s">
        <v>749</v>
      </c>
      <c r="JP3" s="416" t="s">
        <v>750</v>
      </c>
      <c r="JQ3" s="416" t="s">
        <v>751</v>
      </c>
      <c r="JR3" s="416" t="s">
        <v>752</v>
      </c>
      <c r="JS3" s="416" t="s">
        <v>753</v>
      </c>
      <c r="JT3" s="416" t="s">
        <v>754</v>
      </c>
      <c r="JU3" s="416" t="s">
        <v>417</v>
      </c>
      <c r="JV3" s="416" t="s">
        <v>755</v>
      </c>
      <c r="JW3" s="416" t="s">
        <v>418</v>
      </c>
      <c r="JX3" s="416" t="s">
        <v>419</v>
      </c>
      <c r="JY3" s="416" t="s">
        <v>420</v>
      </c>
      <c r="JZ3" s="416" t="s">
        <v>421</v>
      </c>
      <c r="KA3" s="416" t="s">
        <v>422</v>
      </c>
      <c r="KB3" s="416" t="s">
        <v>423</v>
      </c>
      <c r="KC3" s="416" t="s">
        <v>424</v>
      </c>
      <c r="KD3" s="416" t="s">
        <v>425</v>
      </c>
      <c r="KE3" s="416" t="s">
        <v>426</v>
      </c>
      <c r="KF3" s="416" t="s">
        <v>427</v>
      </c>
      <c r="KG3" s="416" t="s">
        <v>428</v>
      </c>
      <c r="KH3" s="416" t="s">
        <v>429</v>
      </c>
      <c r="KI3" s="416" t="s">
        <v>430</v>
      </c>
      <c r="KJ3" s="416" t="s">
        <v>431</v>
      </c>
      <c r="KK3" s="416" t="s">
        <v>432</v>
      </c>
      <c r="KL3" s="416" t="s">
        <v>756</v>
      </c>
      <c r="KM3" s="416" t="s">
        <v>757</v>
      </c>
      <c r="KN3" s="416" t="s">
        <v>758</v>
      </c>
      <c r="KO3" s="416" t="s">
        <v>759</v>
      </c>
      <c r="KP3" s="416" t="s">
        <v>760</v>
      </c>
      <c r="KQ3" s="416" t="s">
        <v>761</v>
      </c>
      <c r="KR3" s="416" t="s">
        <v>433</v>
      </c>
      <c r="KS3" s="416" t="s">
        <v>762</v>
      </c>
      <c r="KT3" s="416" t="s">
        <v>763</v>
      </c>
      <c r="KU3" s="416" t="s">
        <v>764</v>
      </c>
      <c r="KV3" s="416" t="s">
        <v>765</v>
      </c>
      <c r="KW3" s="416" t="s">
        <v>766</v>
      </c>
      <c r="KX3" s="416" t="s">
        <v>767</v>
      </c>
      <c r="KY3" s="416" t="s">
        <v>768</v>
      </c>
      <c r="KZ3" s="416" t="s">
        <v>769</v>
      </c>
      <c r="LA3" s="416" t="s">
        <v>770</v>
      </c>
      <c r="LB3" s="416" t="s">
        <v>434</v>
      </c>
      <c r="LC3" s="416" t="s">
        <v>771</v>
      </c>
      <c r="LD3" s="416" t="s">
        <v>435</v>
      </c>
      <c r="LE3" s="416" t="s">
        <v>436</v>
      </c>
      <c r="LF3" s="416" t="s">
        <v>437</v>
      </c>
      <c r="LG3" s="416" t="s">
        <v>438</v>
      </c>
      <c r="LH3" s="416" t="s">
        <v>439</v>
      </c>
      <c r="LI3" s="416" t="s">
        <v>440</v>
      </c>
      <c r="LJ3" s="416" t="s">
        <v>441</v>
      </c>
      <c r="LK3" s="416" t="s">
        <v>442</v>
      </c>
      <c r="LL3" s="416" t="s">
        <v>443</v>
      </c>
      <c r="LM3" s="416" t="s">
        <v>444</v>
      </c>
      <c r="LN3" s="416" t="s">
        <v>445</v>
      </c>
      <c r="LO3" s="416" t="s">
        <v>446</v>
      </c>
      <c r="LP3" s="416" t="s">
        <v>447</v>
      </c>
      <c r="LQ3" s="416" t="s">
        <v>448</v>
      </c>
      <c r="LR3" s="416" t="s">
        <v>449</v>
      </c>
      <c r="LS3" s="416" t="s">
        <v>772</v>
      </c>
      <c r="LT3" s="416" t="s">
        <v>773</v>
      </c>
      <c r="LU3" s="416" t="s">
        <v>774</v>
      </c>
      <c r="LV3" s="416" t="s">
        <v>775</v>
      </c>
      <c r="LW3" s="416" t="s">
        <v>776</v>
      </c>
      <c r="LX3" s="416" t="s">
        <v>777</v>
      </c>
      <c r="LY3" s="416" t="s">
        <v>450</v>
      </c>
      <c r="LZ3" s="416" t="s">
        <v>778</v>
      </c>
      <c r="MA3" s="416" t="s">
        <v>779</v>
      </c>
      <c r="MB3" s="416" t="s">
        <v>780</v>
      </c>
      <c r="MC3" s="416" t="s">
        <v>781</v>
      </c>
      <c r="MD3" s="416" t="s">
        <v>782</v>
      </c>
      <c r="ME3" s="416" t="s">
        <v>783</v>
      </c>
      <c r="MF3" s="416" t="s">
        <v>784</v>
      </c>
      <c r="MG3" s="416" t="s">
        <v>785</v>
      </c>
      <c r="MH3" s="416" t="s">
        <v>786</v>
      </c>
      <c r="MI3" s="416" t="s">
        <v>451</v>
      </c>
      <c r="MJ3" s="416" t="s">
        <v>787</v>
      </c>
      <c r="MK3" s="416" t="s">
        <v>452</v>
      </c>
      <c r="ML3" s="416" t="s">
        <v>453</v>
      </c>
      <c r="MM3" s="416" t="s">
        <v>454</v>
      </c>
      <c r="MN3" s="416" t="s">
        <v>455</v>
      </c>
      <c r="MO3" s="416" t="s">
        <v>456</v>
      </c>
      <c r="MP3" s="416" t="s">
        <v>457</v>
      </c>
      <c r="MQ3" s="416" t="s">
        <v>458</v>
      </c>
      <c r="MR3" s="416" t="s">
        <v>459</v>
      </c>
      <c r="MS3" s="416" t="s">
        <v>460</v>
      </c>
      <c r="MT3" s="416" t="s">
        <v>461</v>
      </c>
      <c r="MU3" s="416" t="s">
        <v>462</v>
      </c>
      <c r="MV3" s="416" t="s">
        <v>463</v>
      </c>
      <c r="MW3" s="416" t="s">
        <v>464</v>
      </c>
      <c r="MX3" s="416" t="s">
        <v>465</v>
      </c>
      <c r="MY3" s="416" t="s">
        <v>466</v>
      </c>
      <c r="MZ3" s="416" t="s">
        <v>788</v>
      </c>
      <c r="NA3" s="416" t="s">
        <v>789</v>
      </c>
      <c r="NB3" s="63"/>
      <c r="NC3" s="63"/>
      <c r="ND3" s="63"/>
      <c r="NE3" s="63"/>
      <c r="NF3" s="63"/>
      <c r="NG3" s="63"/>
      <c r="NH3" s="63"/>
      <c r="NI3" s="63"/>
      <c r="NJ3" s="63"/>
      <c r="NK3" s="63"/>
      <c r="NL3" s="63"/>
      <c r="NM3" s="63"/>
      <c r="NN3" s="63"/>
      <c r="NO3" s="63"/>
      <c r="NP3" s="63"/>
      <c r="NQ3" s="63"/>
      <c r="NR3" s="63"/>
      <c r="NS3" s="63"/>
      <c r="NT3" s="63"/>
      <c r="NU3" s="63"/>
      <c r="NV3" s="63"/>
      <c r="NW3" s="63"/>
      <c r="NX3" s="63"/>
      <c r="NY3" s="63"/>
      <c r="NZ3" s="63"/>
      <c r="OA3" s="63"/>
      <c r="OB3" s="63"/>
      <c r="OC3" s="63"/>
      <c r="OD3" s="63"/>
      <c r="OE3" s="63"/>
      <c r="OF3" s="63"/>
      <c r="OG3" s="63"/>
      <c r="OH3" s="63"/>
      <c r="OI3" s="63"/>
      <c r="OJ3" s="63"/>
      <c r="OK3" s="63"/>
      <c r="OL3" s="63"/>
      <c r="OM3" s="63"/>
      <c r="ON3" s="63"/>
      <c r="OO3" s="63"/>
      <c r="OP3" s="63"/>
      <c r="OQ3" s="63"/>
      <c r="OR3" s="63"/>
      <c r="OS3" s="63"/>
    </row>
    <row r="4" spans="1:409">
      <c r="A4" s="64" t="s">
        <v>599</v>
      </c>
      <c r="B4" s="64" t="s">
        <v>582</v>
      </c>
      <c r="C4" s="64">
        <v>2.472430155862548E-2</v>
      </c>
      <c r="D4" s="64">
        <v>2.8536393283643199E-2</v>
      </c>
      <c r="E4" s="64">
        <v>0</v>
      </c>
      <c r="F4" s="64">
        <v>0</v>
      </c>
      <c r="G4" s="64">
        <v>0</v>
      </c>
      <c r="H4" s="64">
        <v>0</v>
      </c>
      <c r="I4" s="64">
        <v>0.26441036746352381</v>
      </c>
      <c r="J4" s="64">
        <v>0</v>
      </c>
      <c r="K4" s="64">
        <v>0.26021168659474392</v>
      </c>
      <c r="L4" s="64">
        <v>3.7588821409280257E-2</v>
      </c>
      <c r="M4" s="64">
        <v>7.4059028793299328E-2</v>
      </c>
      <c r="N4" s="64">
        <v>5.2123934841778012E-2</v>
      </c>
      <c r="O4" s="64">
        <v>6.1741698306240758E-3</v>
      </c>
      <c r="P4" s="64">
        <v>0</v>
      </c>
      <c r="Q4" s="64">
        <v>0</v>
      </c>
      <c r="R4" s="64">
        <v>0</v>
      </c>
      <c r="S4" s="64">
        <v>1.354174757281554E-2</v>
      </c>
      <c r="T4" s="64">
        <v>0</v>
      </c>
      <c r="U4" s="64">
        <v>0</v>
      </c>
      <c r="V4" s="64">
        <v>0</v>
      </c>
      <c r="W4" s="64">
        <v>1.917333333333333E-3</v>
      </c>
      <c r="X4" s="64">
        <v>0</v>
      </c>
      <c r="Y4" s="64">
        <v>0</v>
      </c>
      <c r="Z4" s="64">
        <v>1.3468E-3</v>
      </c>
      <c r="AA4" s="64">
        <v>0</v>
      </c>
      <c r="AB4" s="64">
        <v>0</v>
      </c>
      <c r="AC4" s="64">
        <v>7.1845540540540547E-3</v>
      </c>
      <c r="AD4" s="64">
        <v>0</v>
      </c>
      <c r="AE4" s="64">
        <v>0</v>
      </c>
      <c r="AF4" s="64">
        <v>1.271176470588235E-3</v>
      </c>
      <c r="AG4" s="64">
        <v>6.2839999999999999E-4</v>
      </c>
      <c r="AH4" s="64">
        <v>1.8115496262172081E-3</v>
      </c>
      <c r="AI4" s="64">
        <v>4.1203459320747162E-4</v>
      </c>
      <c r="AJ4" s="64">
        <v>8.0191267640623482E-5</v>
      </c>
      <c r="AK4" s="64">
        <v>8.0191267640623482E-5</v>
      </c>
      <c r="AL4" s="64">
        <v>8.0191267640623482E-5</v>
      </c>
      <c r="AM4" s="64">
        <v>8.0191267640623482E-5</v>
      </c>
      <c r="AN4" s="64">
        <v>0</v>
      </c>
      <c r="AO4" s="64">
        <v>4.1505590174432602E-4</v>
      </c>
      <c r="AP4" s="64">
        <v>4.1505590174432602E-4</v>
      </c>
      <c r="AQ4" s="64">
        <v>4.1505590174432602E-4</v>
      </c>
      <c r="AR4" s="64">
        <v>4.1505590174432602E-4</v>
      </c>
      <c r="AS4" s="64">
        <v>4.1505590174432602E-4</v>
      </c>
      <c r="AT4" s="64">
        <v>4.1505590174432602E-4</v>
      </c>
      <c r="AU4" s="64">
        <v>4.1505590174432602E-4</v>
      </c>
      <c r="AV4" s="64">
        <v>5.5517031443508567E-5</v>
      </c>
      <c r="AW4" s="64">
        <v>5.5517031443508567E-5</v>
      </c>
      <c r="AX4" s="64">
        <v>8.8122272132553273E-7</v>
      </c>
      <c r="AY4" s="64">
        <v>8.8122272132553273E-7</v>
      </c>
      <c r="AZ4" s="64">
        <v>1.0927161744436609E-4</v>
      </c>
      <c r="BA4" s="64">
        <v>8.8122272132553273E-7</v>
      </c>
      <c r="BB4" s="64">
        <v>0</v>
      </c>
      <c r="BC4" s="64">
        <v>0</v>
      </c>
      <c r="BD4" s="64">
        <v>8.8122272132553273E-7</v>
      </c>
      <c r="BE4" s="64">
        <v>8.8122272132553273E-7</v>
      </c>
      <c r="BF4" s="64">
        <v>0</v>
      </c>
      <c r="BG4" s="64">
        <v>0</v>
      </c>
      <c r="BH4" s="64">
        <v>1.762445442651065E-6</v>
      </c>
      <c r="BI4" s="64">
        <v>0</v>
      </c>
      <c r="BJ4" s="64">
        <v>4.0536245180974508E-5</v>
      </c>
      <c r="BK4" s="64">
        <v>0</v>
      </c>
      <c r="BL4" s="64">
        <v>0</v>
      </c>
      <c r="BM4" s="64">
        <v>0</v>
      </c>
      <c r="BN4" s="64">
        <v>0</v>
      </c>
      <c r="BO4" s="64">
        <v>1.762445442651065E-6</v>
      </c>
      <c r="BP4" s="64">
        <v>1.762445442651065E-6</v>
      </c>
      <c r="BQ4" s="64">
        <v>1.640260257822677E-5</v>
      </c>
      <c r="BR4" s="64">
        <v>1.640260257822677E-5</v>
      </c>
      <c r="BS4" s="64">
        <v>1.640260257822677E-5</v>
      </c>
      <c r="BT4" s="64">
        <v>1.640260257822677E-5</v>
      </c>
      <c r="BU4" s="64">
        <v>0</v>
      </c>
      <c r="BV4" s="64">
        <v>3.7361483650405407E-5</v>
      </c>
      <c r="BW4" s="64">
        <v>3.7361483650405407E-5</v>
      </c>
      <c r="BX4" s="64">
        <v>3.7361483650405407E-5</v>
      </c>
      <c r="BY4" s="64">
        <v>3.7361483650405407E-5</v>
      </c>
      <c r="BZ4" s="64">
        <v>3.7361483650405407E-5</v>
      </c>
      <c r="CA4" s="64">
        <v>3.7361483650405407E-5</v>
      </c>
      <c r="CB4" s="64">
        <v>3.7361483650405407E-5</v>
      </c>
      <c r="CC4" s="64">
        <v>8.2013012891133835E-6</v>
      </c>
      <c r="CD4" s="64">
        <v>8.2013012891133835E-6</v>
      </c>
      <c r="CE4" s="64">
        <v>0</v>
      </c>
      <c r="CF4" s="64">
        <v>0</v>
      </c>
      <c r="CG4" s="64">
        <v>5.0119063433470676E-6</v>
      </c>
      <c r="CH4" s="64">
        <v>0</v>
      </c>
      <c r="CI4" s="64">
        <v>0</v>
      </c>
      <c r="CJ4" s="64">
        <v>0</v>
      </c>
      <c r="CK4" s="64">
        <v>0</v>
      </c>
      <c r="CL4" s="64">
        <v>0</v>
      </c>
      <c r="CM4" s="64">
        <v>0</v>
      </c>
      <c r="CN4" s="64">
        <v>0</v>
      </c>
      <c r="CO4" s="64">
        <v>0</v>
      </c>
      <c r="CP4" s="64">
        <v>0</v>
      </c>
      <c r="CQ4" s="64">
        <v>1.8225113975807519E-6</v>
      </c>
      <c r="CR4" s="64">
        <v>0</v>
      </c>
      <c r="CS4" s="64">
        <v>0</v>
      </c>
      <c r="CT4" s="64">
        <v>0</v>
      </c>
      <c r="CU4" s="64">
        <v>0</v>
      </c>
      <c r="CV4" s="64">
        <v>0</v>
      </c>
      <c r="CW4" s="64">
        <v>0</v>
      </c>
      <c r="CX4" s="64">
        <v>0</v>
      </c>
      <c r="CY4" s="64">
        <v>0</v>
      </c>
      <c r="CZ4" s="64">
        <v>0</v>
      </c>
      <c r="DA4" s="64">
        <v>0</v>
      </c>
      <c r="DB4" s="64">
        <v>0</v>
      </c>
      <c r="DC4" s="64">
        <v>6.8247384722011657E-7</v>
      </c>
      <c r="DD4" s="64">
        <v>6.8247384722011657E-7</v>
      </c>
      <c r="DE4" s="64">
        <v>6.8247384722011657E-7</v>
      </c>
      <c r="DF4" s="64">
        <v>6.8247384722011657E-7</v>
      </c>
      <c r="DG4" s="64">
        <v>6.8247384722011657E-7</v>
      </c>
      <c r="DH4" s="64">
        <v>6.8247384722011657E-7</v>
      </c>
      <c r="DI4" s="64">
        <v>6.8247384722011657E-7</v>
      </c>
      <c r="DJ4" s="64">
        <v>0</v>
      </c>
      <c r="DK4" s="64">
        <v>0</v>
      </c>
      <c r="DL4" s="64">
        <v>0</v>
      </c>
      <c r="DM4" s="64">
        <v>0</v>
      </c>
      <c r="DN4" s="64">
        <v>0</v>
      </c>
      <c r="DO4" s="64">
        <v>0</v>
      </c>
      <c r="DP4" s="64">
        <v>0</v>
      </c>
      <c r="DQ4" s="64">
        <v>0</v>
      </c>
      <c r="DR4" s="64">
        <v>0</v>
      </c>
      <c r="DS4" s="64">
        <v>0</v>
      </c>
      <c r="DT4" s="64">
        <v>0</v>
      </c>
      <c r="DU4" s="64">
        <v>0</v>
      </c>
      <c r="DV4" s="64">
        <v>0</v>
      </c>
      <c r="DW4" s="64">
        <v>0</v>
      </c>
      <c r="DX4" s="64">
        <v>0</v>
      </c>
      <c r="DY4" s="64">
        <v>0</v>
      </c>
      <c r="DZ4" s="64">
        <v>0</v>
      </c>
      <c r="EA4" s="64">
        <v>0</v>
      </c>
      <c r="EB4" s="64">
        <v>0</v>
      </c>
      <c r="EC4" s="64">
        <v>0</v>
      </c>
      <c r="ED4" s="64">
        <v>0</v>
      </c>
      <c r="EE4" s="64">
        <v>1.3649476944402329E-6</v>
      </c>
      <c r="EF4" s="64">
        <v>1.3649476944402329E-6</v>
      </c>
      <c r="EG4" s="64">
        <v>1.3649476944402329E-6</v>
      </c>
      <c r="EH4" s="64">
        <v>1.3649476944402329E-6</v>
      </c>
      <c r="EI4" s="64">
        <v>0</v>
      </c>
      <c r="EJ4" s="64">
        <v>7.5072123194212822E-6</v>
      </c>
      <c r="EK4" s="64">
        <v>7.5072123194212822E-6</v>
      </c>
      <c r="EL4" s="64">
        <v>7.5072123194212822E-6</v>
      </c>
      <c r="EM4" s="64">
        <v>7.5072123194212822E-6</v>
      </c>
      <c r="EN4" s="64">
        <v>7.5072123194212822E-6</v>
      </c>
      <c r="EO4" s="64">
        <v>7.5072123194212822E-6</v>
      </c>
      <c r="EP4" s="64">
        <v>7.5072123194212822E-6</v>
      </c>
      <c r="EQ4" s="64">
        <v>0</v>
      </c>
      <c r="ER4" s="64">
        <v>0</v>
      </c>
      <c r="ES4" s="64">
        <v>0</v>
      </c>
      <c r="ET4" s="64">
        <v>0</v>
      </c>
      <c r="EU4" s="64">
        <v>0</v>
      </c>
      <c r="EV4" s="64">
        <v>0</v>
      </c>
      <c r="EW4" s="64">
        <v>0</v>
      </c>
      <c r="EX4" s="64">
        <v>0</v>
      </c>
      <c r="EY4" s="64">
        <v>0</v>
      </c>
      <c r="EZ4" s="64">
        <v>0</v>
      </c>
      <c r="FA4" s="64">
        <v>0</v>
      </c>
      <c r="FB4" s="64">
        <v>0</v>
      </c>
      <c r="FC4" s="64">
        <v>0</v>
      </c>
      <c r="FD4" s="64">
        <v>0</v>
      </c>
      <c r="FE4" s="64">
        <v>0</v>
      </c>
      <c r="FF4" s="64">
        <v>0</v>
      </c>
      <c r="FG4" s="64">
        <v>0</v>
      </c>
      <c r="FH4" s="64">
        <v>0</v>
      </c>
      <c r="FI4" s="64">
        <v>0</v>
      </c>
      <c r="FJ4" s="64">
        <v>0</v>
      </c>
      <c r="FK4" s="64">
        <v>0</v>
      </c>
      <c r="FL4" s="64">
        <v>4.3295609771667734E-3</v>
      </c>
      <c r="FM4" s="64">
        <v>4.3295609771667734E-3</v>
      </c>
      <c r="FN4" s="64">
        <v>4.3295609771667734E-3</v>
      </c>
      <c r="FO4" s="64">
        <v>4.3295609771667734E-3</v>
      </c>
      <c r="FP4" s="64">
        <v>0</v>
      </c>
      <c r="FQ4" s="64">
        <v>9.7655763411180867E-3</v>
      </c>
      <c r="FR4" s="64">
        <v>9.7655763411180867E-3</v>
      </c>
      <c r="FS4" s="64">
        <v>9.7655763411180867E-3</v>
      </c>
      <c r="FT4" s="64">
        <v>9.7655763411180867E-3</v>
      </c>
      <c r="FU4" s="64">
        <v>9.7655763411180867E-3</v>
      </c>
      <c r="FV4" s="64">
        <v>9.7655763411180867E-3</v>
      </c>
      <c r="FW4" s="64">
        <v>9.7655763411180867E-3</v>
      </c>
      <c r="FX4" s="64">
        <v>3.7272131630159059E-3</v>
      </c>
      <c r="FY4" s="64">
        <v>3.7272131630159059E-3</v>
      </c>
      <c r="FZ4" s="64">
        <v>3.9693430916037337E-6</v>
      </c>
      <c r="GA4" s="64">
        <v>3.9693430916037337E-6</v>
      </c>
      <c r="GB4" s="64">
        <v>1.548043805725456E-4</v>
      </c>
      <c r="GC4" s="64">
        <v>9.9233577290093343E-7</v>
      </c>
      <c r="GD4" s="64">
        <v>9.9233577290093343E-7</v>
      </c>
      <c r="GE4" s="64">
        <v>8.9310219561084009E-6</v>
      </c>
      <c r="GF4" s="64">
        <v>1.0915693501910269E-5</v>
      </c>
      <c r="GG4" s="64">
        <v>2.9770073187027999E-6</v>
      </c>
      <c r="GH4" s="64">
        <v>9.9233577290093343E-7</v>
      </c>
      <c r="GI4" s="64">
        <v>3.9693430916037337E-6</v>
      </c>
      <c r="GJ4" s="64">
        <v>1.389270082061307E-5</v>
      </c>
      <c r="GK4" s="64">
        <v>9.9233577290093343E-7</v>
      </c>
      <c r="GL4" s="64">
        <v>1.529189426040338E-3</v>
      </c>
      <c r="GM4" s="64">
        <v>2.2823722776721471E-5</v>
      </c>
      <c r="GN4" s="64">
        <v>0</v>
      </c>
      <c r="GO4" s="64">
        <v>0</v>
      </c>
      <c r="GP4" s="64">
        <v>0</v>
      </c>
      <c r="GQ4" s="64">
        <v>4.3662774007641071E-5</v>
      </c>
      <c r="GR4" s="64">
        <v>4.3662774007641071E-5</v>
      </c>
      <c r="GS4" s="64">
        <v>2.7298953888804659E-6</v>
      </c>
      <c r="GT4" s="64">
        <v>2.7298953888804659E-6</v>
      </c>
      <c r="GU4" s="64">
        <v>2.7298953888804659E-6</v>
      </c>
      <c r="GV4" s="64">
        <v>2.7298953888804659E-6</v>
      </c>
      <c r="GW4" s="64">
        <v>0</v>
      </c>
      <c r="GX4" s="64">
        <v>2.9346375430465019E-5</v>
      </c>
      <c r="GY4" s="64">
        <v>2.9346375430465019E-5</v>
      </c>
      <c r="GZ4" s="64">
        <v>2.9346375430465019E-5</v>
      </c>
      <c r="HA4" s="64">
        <v>2.9346375430465019E-5</v>
      </c>
      <c r="HB4" s="64">
        <v>2.9346375430465019E-5</v>
      </c>
      <c r="HC4" s="64">
        <v>2.9346375430465019E-5</v>
      </c>
      <c r="HD4" s="64">
        <v>2.9346375430465019E-5</v>
      </c>
      <c r="HE4" s="64">
        <v>9.5546338610816327E-6</v>
      </c>
      <c r="HF4" s="64">
        <v>9.5546338610816327E-6</v>
      </c>
      <c r="HG4" s="64">
        <v>0</v>
      </c>
      <c r="HH4" s="64">
        <v>0</v>
      </c>
      <c r="HI4" s="64">
        <v>8.1896861666414002E-6</v>
      </c>
      <c r="HJ4" s="64">
        <v>0</v>
      </c>
      <c r="HK4" s="64">
        <v>0</v>
      </c>
      <c r="HL4" s="64">
        <v>0</v>
      </c>
      <c r="HM4" s="64">
        <v>0</v>
      </c>
      <c r="HN4" s="64">
        <v>0</v>
      </c>
      <c r="HO4" s="64">
        <v>0</v>
      </c>
      <c r="HP4" s="64">
        <v>0</v>
      </c>
      <c r="HQ4" s="64">
        <v>0</v>
      </c>
      <c r="HR4" s="64">
        <v>0</v>
      </c>
      <c r="HS4" s="64">
        <v>1.3649476944402329E-6</v>
      </c>
      <c r="HT4" s="64">
        <v>0</v>
      </c>
      <c r="HU4" s="64">
        <v>0</v>
      </c>
      <c r="HV4" s="64">
        <v>0</v>
      </c>
      <c r="HW4" s="64">
        <v>0</v>
      </c>
      <c r="HX4" s="64">
        <v>0</v>
      </c>
      <c r="HY4" s="64">
        <v>0</v>
      </c>
      <c r="HZ4" s="64">
        <v>4.50432739165277E-5</v>
      </c>
      <c r="IA4" s="64">
        <v>4.50432739165277E-5</v>
      </c>
      <c r="IB4" s="64">
        <v>4.50432739165277E-5</v>
      </c>
      <c r="IC4" s="64">
        <v>4.50432739165277E-5</v>
      </c>
      <c r="ID4" s="64">
        <v>0</v>
      </c>
      <c r="IE4" s="64">
        <v>1.5423908947174639E-4</v>
      </c>
      <c r="IF4" s="64">
        <v>1.5423908947174639E-4</v>
      </c>
      <c r="IG4" s="64">
        <v>1.5423908947174639E-4</v>
      </c>
      <c r="IH4" s="64">
        <v>1.5423908947174639E-4</v>
      </c>
      <c r="II4" s="64">
        <v>1.5423908947174639E-4</v>
      </c>
      <c r="IJ4" s="64">
        <v>1.5423908947174639E-4</v>
      </c>
      <c r="IK4" s="64">
        <v>1.5423908947174639E-4</v>
      </c>
      <c r="IL4" s="64">
        <v>1.0237107708301751E-5</v>
      </c>
      <c r="IM4" s="64">
        <v>1.0237107708301751E-5</v>
      </c>
      <c r="IN4" s="64">
        <v>6.8247384722011657E-7</v>
      </c>
      <c r="IO4" s="64">
        <v>6.8247384722011657E-7</v>
      </c>
      <c r="IP4" s="64">
        <v>6.1422646249810497E-6</v>
      </c>
      <c r="IQ4" s="64">
        <v>0</v>
      </c>
      <c r="IR4" s="64">
        <v>0</v>
      </c>
      <c r="IS4" s="64">
        <v>0</v>
      </c>
      <c r="IT4" s="64">
        <v>0</v>
      </c>
      <c r="IU4" s="64">
        <v>6.8247384722011668E-6</v>
      </c>
      <c r="IV4" s="64">
        <v>0</v>
      </c>
      <c r="IW4" s="64">
        <v>0</v>
      </c>
      <c r="IX4" s="64">
        <v>6.8247384722011657E-7</v>
      </c>
      <c r="IY4" s="64">
        <v>0</v>
      </c>
      <c r="IZ4" s="64">
        <v>8.1896861666414002E-6</v>
      </c>
      <c r="JA4" s="64">
        <v>0</v>
      </c>
      <c r="JB4" s="64">
        <v>0</v>
      </c>
      <c r="JC4" s="64">
        <v>0</v>
      </c>
      <c r="JD4" s="64">
        <v>0</v>
      </c>
      <c r="JE4" s="64">
        <v>3.412369236100583E-6</v>
      </c>
      <c r="JF4" s="64">
        <v>3.412369236100583E-6</v>
      </c>
      <c r="JG4" s="64">
        <v>4.8182653613740241E-4</v>
      </c>
      <c r="JH4" s="64">
        <v>4.8182653613740241E-4</v>
      </c>
      <c r="JI4" s="64">
        <v>4.8182653613740241E-4</v>
      </c>
      <c r="JJ4" s="64">
        <v>4.8182653613740241E-4</v>
      </c>
      <c r="JK4" s="64">
        <v>0</v>
      </c>
      <c r="JL4" s="64">
        <v>9.2270464144159764E-4</v>
      </c>
      <c r="JM4" s="64">
        <v>9.2270464144159764E-4</v>
      </c>
      <c r="JN4" s="64">
        <v>9.2270464144159764E-4</v>
      </c>
      <c r="JO4" s="64">
        <v>9.2270464144159764E-4</v>
      </c>
      <c r="JP4" s="64">
        <v>9.2270464144159764E-4</v>
      </c>
      <c r="JQ4" s="64">
        <v>9.2270464144159764E-4</v>
      </c>
      <c r="JR4" s="64">
        <v>9.2270464144159764E-4</v>
      </c>
      <c r="JS4" s="64">
        <v>5.9525368954538574E-3</v>
      </c>
      <c r="JT4" s="64">
        <v>5.9525368954538574E-3</v>
      </c>
      <c r="JU4" s="64">
        <v>7.6437070888653061E-5</v>
      </c>
      <c r="JV4" s="64">
        <v>7.6437070888653061E-5</v>
      </c>
      <c r="JW4" s="64">
        <v>1.274861146607178E-3</v>
      </c>
      <c r="JX4" s="64">
        <v>0</v>
      </c>
      <c r="JY4" s="64">
        <v>0</v>
      </c>
      <c r="JZ4" s="64">
        <v>6.8247384722011657E-7</v>
      </c>
      <c r="KA4" s="64">
        <v>2.04742154166035E-6</v>
      </c>
      <c r="KB4" s="64">
        <v>3.412369236100583E-6</v>
      </c>
      <c r="KC4" s="64">
        <v>0</v>
      </c>
      <c r="KD4" s="64">
        <v>0</v>
      </c>
      <c r="KE4" s="64">
        <v>5.4597907777609326E-6</v>
      </c>
      <c r="KF4" s="64">
        <v>4.7773169305408163E-6</v>
      </c>
      <c r="KG4" s="64">
        <v>1.3649476944402329E-6</v>
      </c>
      <c r="KH4" s="64">
        <v>5.1868012388728863E-5</v>
      </c>
      <c r="KI4" s="64">
        <v>6.8247384722011657E-7</v>
      </c>
      <c r="KJ4" s="64">
        <v>1.3649476944402329E-6</v>
      </c>
      <c r="KK4" s="64">
        <v>1.3649476944402329E-6</v>
      </c>
      <c r="KL4" s="64">
        <v>8.8721600138615147E-6</v>
      </c>
      <c r="KM4" s="64">
        <v>8.8721600138615147E-6</v>
      </c>
      <c r="KN4" s="64">
        <v>6.8247384722011657E-7</v>
      </c>
      <c r="KO4" s="64">
        <v>6.8247384722011657E-7</v>
      </c>
      <c r="KP4" s="64">
        <v>6.8247384722011657E-7</v>
      </c>
      <c r="KQ4" s="64">
        <v>6.8247384722011657E-7</v>
      </c>
      <c r="KR4" s="64">
        <v>0</v>
      </c>
      <c r="KS4" s="64">
        <v>6.8247384722011657E-7</v>
      </c>
      <c r="KT4" s="64">
        <v>6.8247384722011657E-7</v>
      </c>
      <c r="KU4" s="64">
        <v>6.8247384722011657E-7</v>
      </c>
      <c r="KV4" s="64">
        <v>6.8247384722011657E-7</v>
      </c>
      <c r="KW4" s="64">
        <v>6.8247384722011657E-7</v>
      </c>
      <c r="KX4" s="64">
        <v>6.8247384722011657E-7</v>
      </c>
      <c r="KY4" s="64">
        <v>6.8247384722011657E-7</v>
      </c>
      <c r="KZ4" s="64">
        <v>0</v>
      </c>
      <c r="LA4" s="64">
        <v>0</v>
      </c>
      <c r="LB4" s="64">
        <v>0</v>
      </c>
      <c r="LC4" s="64">
        <v>0</v>
      </c>
      <c r="LD4" s="64">
        <v>0</v>
      </c>
      <c r="LE4" s="64">
        <v>0</v>
      </c>
      <c r="LF4" s="64">
        <v>0</v>
      </c>
      <c r="LG4" s="64">
        <v>0</v>
      </c>
      <c r="LH4" s="64">
        <v>0</v>
      </c>
      <c r="LI4" s="64">
        <v>0</v>
      </c>
      <c r="LJ4" s="64">
        <v>0</v>
      </c>
      <c r="LK4" s="64">
        <v>0</v>
      </c>
      <c r="LL4" s="64">
        <v>0</v>
      </c>
      <c r="LM4" s="64">
        <v>0</v>
      </c>
      <c r="LN4" s="64">
        <v>0</v>
      </c>
      <c r="LO4" s="64">
        <v>0</v>
      </c>
      <c r="LP4" s="64">
        <v>0</v>
      </c>
      <c r="LQ4" s="64">
        <v>0</v>
      </c>
      <c r="LR4" s="64">
        <v>0</v>
      </c>
      <c r="LS4" s="64">
        <v>0</v>
      </c>
      <c r="LT4" s="64">
        <v>0</v>
      </c>
      <c r="LU4" s="64">
        <v>7.8004740677827523E-5</v>
      </c>
      <c r="LV4" s="64">
        <v>7.8004740677827523E-5</v>
      </c>
      <c r="LW4" s="64">
        <v>7.8004740677827523E-5</v>
      </c>
      <c r="LX4" s="64">
        <v>7.8004740677827523E-5</v>
      </c>
      <c r="LY4" s="64">
        <v>0</v>
      </c>
      <c r="LZ4" s="64">
        <v>3.9299531255781669E-4</v>
      </c>
      <c r="MA4" s="64">
        <v>3.9299531255781669E-4</v>
      </c>
      <c r="MB4" s="64">
        <v>3.9299531255781669E-4</v>
      </c>
      <c r="MC4" s="64">
        <v>3.9299531255781669E-4</v>
      </c>
      <c r="MD4" s="64">
        <v>3.9299531255781669E-4</v>
      </c>
      <c r="ME4" s="64">
        <v>3.9299531255781669E-4</v>
      </c>
      <c r="MF4" s="64">
        <v>3.9299531255781669E-4</v>
      </c>
      <c r="MG4" s="64">
        <v>1.2703629196103339E-4</v>
      </c>
      <c r="MH4" s="64">
        <v>1.2703629196103339E-4</v>
      </c>
      <c r="MI4" s="64">
        <v>7.4290229216978581E-7</v>
      </c>
      <c r="MJ4" s="64">
        <v>7.4290229216978581E-7</v>
      </c>
      <c r="MK4" s="64">
        <v>8.7662470476034733E-5</v>
      </c>
      <c r="ML4" s="64">
        <v>0</v>
      </c>
      <c r="MM4" s="64">
        <v>0</v>
      </c>
      <c r="MN4" s="64">
        <v>0</v>
      </c>
      <c r="MO4" s="64">
        <v>0</v>
      </c>
      <c r="MP4" s="64">
        <v>7.4290229216978581E-7</v>
      </c>
      <c r="MQ4" s="64">
        <v>0</v>
      </c>
      <c r="MR4" s="64">
        <v>7.4290229216978581E-7</v>
      </c>
      <c r="MS4" s="64">
        <v>1.485804584339572E-6</v>
      </c>
      <c r="MT4" s="64">
        <v>7.4290229216978581E-7</v>
      </c>
      <c r="MU4" s="64">
        <v>3.9373821484998648E-5</v>
      </c>
      <c r="MV4" s="64">
        <v>0</v>
      </c>
      <c r="MW4" s="64">
        <v>0</v>
      </c>
      <c r="MX4" s="64">
        <v>0</v>
      </c>
      <c r="MY4" s="64">
        <v>0</v>
      </c>
      <c r="MZ4" s="64">
        <v>4.4574137530187153E-6</v>
      </c>
      <c r="NA4" s="64">
        <v>4.4574137530187153E-6</v>
      </c>
      <c r="NB4" s="64"/>
      <c r="NC4" s="64"/>
      <c r="ND4" s="64"/>
      <c r="NE4" s="64"/>
      <c r="NF4" s="64"/>
      <c r="NG4" s="64"/>
      <c r="NH4" s="64"/>
      <c r="NI4" s="64"/>
      <c r="NJ4" s="64"/>
      <c r="NK4" s="64"/>
      <c r="NL4" s="64"/>
      <c r="NM4" s="64"/>
      <c r="NN4" s="64"/>
      <c r="NO4" s="64"/>
      <c r="NP4" s="64"/>
      <c r="NQ4" s="64"/>
      <c r="NR4" s="64"/>
      <c r="NS4" s="64"/>
      <c r="NT4" s="64"/>
      <c r="NU4" s="64"/>
      <c r="NV4" s="64"/>
      <c r="NW4" s="64"/>
      <c r="NX4" s="64"/>
      <c r="NY4" s="64"/>
      <c r="NZ4" s="64"/>
      <c r="OA4" s="64"/>
      <c r="OB4" s="64"/>
      <c r="OC4" s="64"/>
      <c r="OD4" s="64"/>
      <c r="OE4" s="64"/>
      <c r="OF4" s="64"/>
      <c r="OG4" s="64"/>
      <c r="OH4" s="64"/>
      <c r="OI4" s="64"/>
      <c r="OJ4" s="64"/>
      <c r="OK4" s="64"/>
      <c r="OL4" s="64"/>
      <c r="OM4" s="64"/>
      <c r="ON4" s="64"/>
      <c r="OO4" s="64"/>
      <c r="OP4" s="64"/>
      <c r="OQ4" s="64"/>
      <c r="OR4" s="64"/>
      <c r="OS4" s="64"/>
    </row>
    <row r="5" spans="1:409">
      <c r="A5" s="64" t="s">
        <v>600</v>
      </c>
      <c r="B5" s="64" t="s">
        <v>583</v>
      </c>
      <c r="C5" s="64">
        <v>0</v>
      </c>
      <c r="D5" s="64">
        <v>1.0318416884750809E-2</v>
      </c>
      <c r="E5" s="64">
        <v>0</v>
      </c>
      <c r="F5" s="64">
        <v>0</v>
      </c>
      <c r="G5" s="64">
        <v>0</v>
      </c>
      <c r="H5" s="64">
        <v>0.25275924074798112</v>
      </c>
      <c r="I5" s="64">
        <v>0</v>
      </c>
      <c r="J5" s="64">
        <v>0.18051196108600889</v>
      </c>
      <c r="K5" s="64">
        <v>5.7713295966047356E-3</v>
      </c>
      <c r="L5" s="64">
        <v>0</v>
      </c>
      <c r="M5" s="64">
        <v>5.7042229297104329E-3</v>
      </c>
      <c r="N5" s="64">
        <v>0</v>
      </c>
      <c r="O5" s="64">
        <v>0</v>
      </c>
      <c r="P5" s="64">
        <v>0</v>
      </c>
      <c r="Q5" s="64">
        <v>0</v>
      </c>
      <c r="R5" s="64">
        <v>0</v>
      </c>
      <c r="S5" s="64">
        <v>0</v>
      </c>
      <c r="T5" s="64">
        <v>0</v>
      </c>
      <c r="U5" s="64">
        <v>0</v>
      </c>
      <c r="V5" s="64">
        <v>0</v>
      </c>
      <c r="W5" s="64">
        <v>6.3911111111111102E-4</v>
      </c>
      <c r="X5" s="64">
        <v>0</v>
      </c>
      <c r="Y5" s="64">
        <v>0</v>
      </c>
      <c r="Z5" s="64">
        <v>3.3973333333333332E-4</v>
      </c>
      <c r="AA5" s="64">
        <v>0</v>
      </c>
      <c r="AB5" s="64">
        <v>0</v>
      </c>
      <c r="AC5" s="64">
        <v>1.6459459459459461E-5</v>
      </c>
      <c r="AD5" s="64">
        <v>0</v>
      </c>
      <c r="AE5" s="64">
        <v>0</v>
      </c>
      <c r="AF5" s="64">
        <v>3.8135294117647058E-4</v>
      </c>
      <c r="AG5" s="64">
        <v>1.571E-4</v>
      </c>
      <c r="AH5" s="64">
        <v>3.0192493770286812E-4</v>
      </c>
      <c r="AI5" s="64">
        <v>1.0300864830186791E-4</v>
      </c>
      <c r="AJ5" s="64">
        <v>9.6716890139779232E-6</v>
      </c>
      <c r="AK5" s="64">
        <v>9.6716890139779232E-6</v>
      </c>
      <c r="AL5" s="64">
        <v>9.6716890139779232E-6</v>
      </c>
      <c r="AM5" s="64">
        <v>9.6716890139779232E-6</v>
      </c>
      <c r="AN5" s="64">
        <v>0</v>
      </c>
      <c r="AO5" s="64">
        <v>5.005896181960002E-5</v>
      </c>
      <c r="AP5" s="64">
        <v>5.005896181960002E-5</v>
      </c>
      <c r="AQ5" s="64">
        <v>5.005896181960002E-5</v>
      </c>
      <c r="AR5" s="64">
        <v>5.005896181960002E-5</v>
      </c>
      <c r="AS5" s="64">
        <v>5.005896181960002E-5</v>
      </c>
      <c r="AT5" s="64">
        <v>5.005896181960002E-5</v>
      </c>
      <c r="AU5" s="64">
        <v>5.005896181960002E-5</v>
      </c>
      <c r="AV5" s="64">
        <v>6.6957847019847162E-6</v>
      </c>
      <c r="AW5" s="64">
        <v>6.6957847019847162E-6</v>
      </c>
      <c r="AX5" s="64">
        <v>1.062822968569003E-7</v>
      </c>
      <c r="AY5" s="64">
        <v>1.062822968569003E-7</v>
      </c>
      <c r="AZ5" s="64">
        <v>1.317900481025563E-5</v>
      </c>
      <c r="BA5" s="64">
        <v>1.062822968569003E-7</v>
      </c>
      <c r="BB5" s="64">
        <v>0</v>
      </c>
      <c r="BC5" s="64">
        <v>0</v>
      </c>
      <c r="BD5" s="64">
        <v>1.062822968569003E-7</v>
      </c>
      <c r="BE5" s="64">
        <v>1.062822968569003E-7</v>
      </c>
      <c r="BF5" s="64">
        <v>0</v>
      </c>
      <c r="BG5" s="64">
        <v>0</v>
      </c>
      <c r="BH5" s="64">
        <v>2.1256459371380049E-7</v>
      </c>
      <c r="BI5" s="64">
        <v>0</v>
      </c>
      <c r="BJ5" s="64">
        <v>4.8889856554174122E-6</v>
      </c>
      <c r="BK5" s="64">
        <v>0</v>
      </c>
      <c r="BL5" s="64">
        <v>0</v>
      </c>
      <c r="BM5" s="64">
        <v>0</v>
      </c>
      <c r="BN5" s="64">
        <v>0</v>
      </c>
      <c r="BO5" s="64">
        <v>2.1256459371380049E-7</v>
      </c>
      <c r="BP5" s="64">
        <v>2.1256459371380049E-7</v>
      </c>
      <c r="BQ5" s="64">
        <v>7.1589007595141753E-6</v>
      </c>
      <c r="BR5" s="64">
        <v>7.1589007595141753E-6</v>
      </c>
      <c r="BS5" s="64">
        <v>7.1589007595141753E-6</v>
      </c>
      <c r="BT5" s="64">
        <v>7.1589007595141753E-6</v>
      </c>
      <c r="BU5" s="64">
        <v>0</v>
      </c>
      <c r="BV5" s="64">
        <v>1.630638506333784E-5</v>
      </c>
      <c r="BW5" s="64">
        <v>1.630638506333784E-5</v>
      </c>
      <c r="BX5" s="64">
        <v>1.630638506333784E-5</v>
      </c>
      <c r="BY5" s="64">
        <v>1.630638506333784E-5</v>
      </c>
      <c r="BZ5" s="64">
        <v>1.630638506333784E-5</v>
      </c>
      <c r="CA5" s="64">
        <v>1.630638506333784E-5</v>
      </c>
      <c r="CB5" s="64">
        <v>1.630638506333784E-5</v>
      </c>
      <c r="CC5" s="64">
        <v>3.5794503797570881E-6</v>
      </c>
      <c r="CD5" s="64">
        <v>3.5794503797570881E-6</v>
      </c>
      <c r="CE5" s="64">
        <v>0</v>
      </c>
      <c r="CF5" s="64">
        <v>0</v>
      </c>
      <c r="CG5" s="64">
        <v>2.1874418987404421E-6</v>
      </c>
      <c r="CH5" s="64">
        <v>0</v>
      </c>
      <c r="CI5" s="64">
        <v>0</v>
      </c>
      <c r="CJ5" s="64">
        <v>0</v>
      </c>
      <c r="CK5" s="64">
        <v>0</v>
      </c>
      <c r="CL5" s="64">
        <v>0</v>
      </c>
      <c r="CM5" s="64">
        <v>0</v>
      </c>
      <c r="CN5" s="64">
        <v>0</v>
      </c>
      <c r="CO5" s="64">
        <v>0</v>
      </c>
      <c r="CP5" s="64">
        <v>0</v>
      </c>
      <c r="CQ5" s="64">
        <v>7.954334177237972E-7</v>
      </c>
      <c r="CR5" s="64">
        <v>0</v>
      </c>
      <c r="CS5" s="64">
        <v>0</v>
      </c>
      <c r="CT5" s="64">
        <v>0</v>
      </c>
      <c r="CU5" s="64">
        <v>0</v>
      </c>
      <c r="CV5" s="64">
        <v>0</v>
      </c>
      <c r="CW5" s="64">
        <v>0</v>
      </c>
      <c r="CX5" s="64">
        <v>0</v>
      </c>
      <c r="CY5" s="64">
        <v>0</v>
      </c>
      <c r="CZ5" s="64">
        <v>0</v>
      </c>
      <c r="DA5" s="64">
        <v>0</v>
      </c>
      <c r="DB5" s="64">
        <v>0</v>
      </c>
      <c r="DC5" s="64">
        <v>2.7651556171622881E-7</v>
      </c>
      <c r="DD5" s="64">
        <v>2.7651556171622881E-7</v>
      </c>
      <c r="DE5" s="64">
        <v>2.7651556171622881E-7</v>
      </c>
      <c r="DF5" s="64">
        <v>2.7651556171622881E-7</v>
      </c>
      <c r="DG5" s="64">
        <v>2.7651556171622881E-7</v>
      </c>
      <c r="DH5" s="64">
        <v>2.7651556171622881E-7</v>
      </c>
      <c r="DI5" s="64">
        <v>2.7651556171622881E-7</v>
      </c>
      <c r="DJ5" s="64">
        <v>0</v>
      </c>
      <c r="DK5" s="64">
        <v>0</v>
      </c>
      <c r="DL5" s="64">
        <v>0</v>
      </c>
      <c r="DM5" s="64">
        <v>0</v>
      </c>
      <c r="DN5" s="64">
        <v>0</v>
      </c>
      <c r="DO5" s="64">
        <v>0</v>
      </c>
      <c r="DP5" s="64">
        <v>0</v>
      </c>
      <c r="DQ5" s="64">
        <v>0</v>
      </c>
      <c r="DR5" s="64">
        <v>0</v>
      </c>
      <c r="DS5" s="64">
        <v>0</v>
      </c>
      <c r="DT5" s="64">
        <v>0</v>
      </c>
      <c r="DU5" s="64">
        <v>0</v>
      </c>
      <c r="DV5" s="64">
        <v>0</v>
      </c>
      <c r="DW5" s="64">
        <v>0</v>
      </c>
      <c r="DX5" s="64">
        <v>0</v>
      </c>
      <c r="DY5" s="64">
        <v>0</v>
      </c>
      <c r="DZ5" s="64">
        <v>0</v>
      </c>
      <c r="EA5" s="64">
        <v>0</v>
      </c>
      <c r="EB5" s="64">
        <v>0</v>
      </c>
      <c r="EC5" s="64">
        <v>0</v>
      </c>
      <c r="ED5" s="64">
        <v>0</v>
      </c>
      <c r="EE5" s="64">
        <v>5.5303112343245761E-7</v>
      </c>
      <c r="EF5" s="64">
        <v>5.5303112343245761E-7</v>
      </c>
      <c r="EG5" s="64">
        <v>5.5303112343245761E-7</v>
      </c>
      <c r="EH5" s="64">
        <v>5.5303112343245761E-7</v>
      </c>
      <c r="EI5" s="64">
        <v>0</v>
      </c>
      <c r="EJ5" s="64">
        <v>3.041671178878517E-6</v>
      </c>
      <c r="EK5" s="64">
        <v>3.041671178878517E-6</v>
      </c>
      <c r="EL5" s="64">
        <v>3.041671178878517E-6</v>
      </c>
      <c r="EM5" s="64">
        <v>3.041671178878517E-6</v>
      </c>
      <c r="EN5" s="64">
        <v>3.041671178878517E-6</v>
      </c>
      <c r="EO5" s="64">
        <v>3.041671178878517E-6</v>
      </c>
      <c r="EP5" s="64">
        <v>3.041671178878517E-6</v>
      </c>
      <c r="EQ5" s="64">
        <v>0</v>
      </c>
      <c r="ER5" s="64">
        <v>0</v>
      </c>
      <c r="ES5" s="64">
        <v>0</v>
      </c>
      <c r="ET5" s="64">
        <v>0</v>
      </c>
      <c r="EU5" s="64">
        <v>0</v>
      </c>
      <c r="EV5" s="64">
        <v>0</v>
      </c>
      <c r="EW5" s="64">
        <v>0</v>
      </c>
      <c r="EX5" s="64">
        <v>0</v>
      </c>
      <c r="EY5" s="64">
        <v>0</v>
      </c>
      <c r="EZ5" s="64">
        <v>0</v>
      </c>
      <c r="FA5" s="64">
        <v>0</v>
      </c>
      <c r="FB5" s="64">
        <v>0</v>
      </c>
      <c r="FC5" s="64">
        <v>0</v>
      </c>
      <c r="FD5" s="64">
        <v>0</v>
      </c>
      <c r="FE5" s="64">
        <v>0</v>
      </c>
      <c r="FF5" s="64">
        <v>0</v>
      </c>
      <c r="FG5" s="64">
        <v>0</v>
      </c>
      <c r="FH5" s="64">
        <v>0</v>
      </c>
      <c r="FI5" s="64">
        <v>0</v>
      </c>
      <c r="FJ5" s="64">
        <v>0</v>
      </c>
      <c r="FK5" s="64">
        <v>0</v>
      </c>
      <c r="FL5" s="64">
        <v>3.3430223877498222E-5</v>
      </c>
      <c r="FM5" s="64">
        <v>3.3430223877498222E-5</v>
      </c>
      <c r="FN5" s="64">
        <v>3.3430223877498222E-5</v>
      </c>
      <c r="FO5" s="64">
        <v>3.3430223877498222E-5</v>
      </c>
      <c r="FP5" s="64">
        <v>0</v>
      </c>
      <c r="FQ5" s="64">
        <v>7.5403812326027973E-5</v>
      </c>
      <c r="FR5" s="64">
        <v>7.5403812326027973E-5</v>
      </c>
      <c r="FS5" s="64">
        <v>7.5403812326027973E-5</v>
      </c>
      <c r="FT5" s="64">
        <v>7.5403812326027973E-5</v>
      </c>
      <c r="FU5" s="64">
        <v>7.5403812326027973E-5</v>
      </c>
      <c r="FV5" s="64">
        <v>7.5403812326027973E-5</v>
      </c>
      <c r="FW5" s="64">
        <v>7.5403812326027973E-5</v>
      </c>
      <c r="FX5" s="64">
        <v>2.8779262178290928E-5</v>
      </c>
      <c r="FY5" s="64">
        <v>2.8779262178290928E-5</v>
      </c>
      <c r="FZ5" s="64">
        <v>3.0648841510426982E-8</v>
      </c>
      <c r="GA5" s="64">
        <v>3.0648841510426982E-8</v>
      </c>
      <c r="GB5" s="64">
        <v>1.1953048189066519E-6</v>
      </c>
      <c r="GC5" s="64">
        <v>7.6622103776067438E-9</v>
      </c>
      <c r="GD5" s="64">
        <v>7.6622103776067438E-9</v>
      </c>
      <c r="GE5" s="64">
        <v>6.8959893398460695E-8</v>
      </c>
      <c r="GF5" s="64">
        <v>8.4284314153674173E-8</v>
      </c>
      <c r="GG5" s="64">
        <v>2.298663113282023E-8</v>
      </c>
      <c r="GH5" s="64">
        <v>7.6622103776067438E-9</v>
      </c>
      <c r="GI5" s="64">
        <v>3.0648841510426982E-8</v>
      </c>
      <c r="GJ5" s="64">
        <v>1.072709452864944E-7</v>
      </c>
      <c r="GK5" s="64">
        <v>7.6622103776067438E-9</v>
      </c>
      <c r="GL5" s="64">
        <v>1.1807466191891991E-5</v>
      </c>
      <c r="GM5" s="64">
        <v>1.762308386849551E-7</v>
      </c>
      <c r="GN5" s="64">
        <v>0</v>
      </c>
      <c r="GO5" s="64">
        <v>0</v>
      </c>
      <c r="GP5" s="64">
        <v>0</v>
      </c>
      <c r="GQ5" s="64">
        <v>3.3713725661469669E-7</v>
      </c>
      <c r="GR5" s="64">
        <v>3.3713725661469669E-7</v>
      </c>
      <c r="GS5" s="64">
        <v>1.106062246864915E-6</v>
      </c>
      <c r="GT5" s="64">
        <v>1.106062246864915E-6</v>
      </c>
      <c r="GU5" s="64">
        <v>1.106062246864915E-6</v>
      </c>
      <c r="GV5" s="64">
        <v>1.106062246864915E-6</v>
      </c>
      <c r="GW5" s="64">
        <v>0</v>
      </c>
      <c r="GX5" s="64">
        <v>1.1890169153797839E-5</v>
      </c>
      <c r="GY5" s="64">
        <v>1.1890169153797839E-5</v>
      </c>
      <c r="GZ5" s="64">
        <v>1.1890169153797839E-5</v>
      </c>
      <c r="HA5" s="64">
        <v>1.1890169153797839E-5</v>
      </c>
      <c r="HB5" s="64">
        <v>1.1890169153797839E-5</v>
      </c>
      <c r="HC5" s="64">
        <v>1.1890169153797839E-5</v>
      </c>
      <c r="HD5" s="64">
        <v>1.1890169153797839E-5</v>
      </c>
      <c r="HE5" s="64">
        <v>3.8712178640272032E-6</v>
      </c>
      <c r="HF5" s="64">
        <v>3.8712178640272032E-6</v>
      </c>
      <c r="HG5" s="64">
        <v>0</v>
      </c>
      <c r="HH5" s="64">
        <v>0</v>
      </c>
      <c r="HI5" s="64">
        <v>3.3181867405947459E-6</v>
      </c>
      <c r="HJ5" s="64">
        <v>0</v>
      </c>
      <c r="HK5" s="64">
        <v>0</v>
      </c>
      <c r="HL5" s="64">
        <v>0</v>
      </c>
      <c r="HM5" s="64">
        <v>0</v>
      </c>
      <c r="HN5" s="64">
        <v>0</v>
      </c>
      <c r="HO5" s="64">
        <v>0</v>
      </c>
      <c r="HP5" s="64">
        <v>0</v>
      </c>
      <c r="HQ5" s="64">
        <v>0</v>
      </c>
      <c r="HR5" s="64">
        <v>0</v>
      </c>
      <c r="HS5" s="64">
        <v>5.5303112343245761E-7</v>
      </c>
      <c r="HT5" s="64">
        <v>0</v>
      </c>
      <c r="HU5" s="64">
        <v>0</v>
      </c>
      <c r="HV5" s="64">
        <v>0</v>
      </c>
      <c r="HW5" s="64">
        <v>0</v>
      </c>
      <c r="HX5" s="64">
        <v>0</v>
      </c>
      <c r="HY5" s="64">
        <v>0</v>
      </c>
      <c r="HZ5" s="64">
        <v>1.8250027073271101E-5</v>
      </c>
      <c r="IA5" s="64">
        <v>1.8250027073271101E-5</v>
      </c>
      <c r="IB5" s="64">
        <v>1.8250027073271101E-5</v>
      </c>
      <c r="IC5" s="64">
        <v>1.8250027073271101E-5</v>
      </c>
      <c r="ID5" s="64">
        <v>0</v>
      </c>
      <c r="IE5" s="64">
        <v>6.2492516947867716E-5</v>
      </c>
      <c r="IF5" s="64">
        <v>6.2492516947867716E-5</v>
      </c>
      <c r="IG5" s="64">
        <v>6.2492516947867716E-5</v>
      </c>
      <c r="IH5" s="64">
        <v>6.2492516947867716E-5</v>
      </c>
      <c r="II5" s="64">
        <v>6.2492516947867716E-5</v>
      </c>
      <c r="IJ5" s="64">
        <v>6.2492516947867716E-5</v>
      </c>
      <c r="IK5" s="64">
        <v>6.2492516947867716E-5</v>
      </c>
      <c r="IL5" s="64">
        <v>4.1477334257434321E-6</v>
      </c>
      <c r="IM5" s="64">
        <v>4.1477334257434321E-6</v>
      </c>
      <c r="IN5" s="64">
        <v>2.7651556171622881E-7</v>
      </c>
      <c r="IO5" s="64">
        <v>2.7651556171622881E-7</v>
      </c>
      <c r="IP5" s="64">
        <v>2.4886400554460589E-6</v>
      </c>
      <c r="IQ5" s="64">
        <v>0</v>
      </c>
      <c r="IR5" s="64">
        <v>0</v>
      </c>
      <c r="IS5" s="64">
        <v>0</v>
      </c>
      <c r="IT5" s="64">
        <v>0</v>
      </c>
      <c r="IU5" s="64">
        <v>2.765155617162289E-6</v>
      </c>
      <c r="IV5" s="64">
        <v>0</v>
      </c>
      <c r="IW5" s="64">
        <v>0</v>
      </c>
      <c r="IX5" s="64">
        <v>2.7651556171622881E-7</v>
      </c>
      <c r="IY5" s="64">
        <v>0</v>
      </c>
      <c r="IZ5" s="64">
        <v>3.3181867405947459E-6</v>
      </c>
      <c r="JA5" s="64">
        <v>0</v>
      </c>
      <c r="JB5" s="64">
        <v>0</v>
      </c>
      <c r="JC5" s="64">
        <v>0</v>
      </c>
      <c r="JD5" s="64">
        <v>0</v>
      </c>
      <c r="JE5" s="64">
        <v>1.3825778085811441E-6</v>
      </c>
      <c r="JF5" s="64">
        <v>1.3825778085811441E-6</v>
      </c>
      <c r="JG5" s="64">
        <v>1.9521998657165749E-4</v>
      </c>
      <c r="JH5" s="64">
        <v>1.9521998657165749E-4</v>
      </c>
      <c r="JI5" s="64">
        <v>1.9521998657165749E-4</v>
      </c>
      <c r="JJ5" s="64">
        <v>1.9521998657165749E-4</v>
      </c>
      <c r="JK5" s="64">
        <v>0</v>
      </c>
      <c r="JL5" s="64">
        <v>3.7384903944034128E-4</v>
      </c>
      <c r="JM5" s="64">
        <v>3.7384903944034128E-4</v>
      </c>
      <c r="JN5" s="64">
        <v>3.7384903944034128E-4</v>
      </c>
      <c r="JO5" s="64">
        <v>3.7384903944034128E-4</v>
      </c>
      <c r="JP5" s="64">
        <v>3.7384903944034128E-4</v>
      </c>
      <c r="JQ5" s="64">
        <v>3.7384903944034128E-4</v>
      </c>
      <c r="JR5" s="64">
        <v>3.7384903944034128E-4</v>
      </c>
      <c r="JS5" s="64">
        <v>2.4117687292889481E-3</v>
      </c>
      <c r="JT5" s="64">
        <v>2.4117687292889481E-3</v>
      </c>
      <c r="JU5" s="64">
        <v>3.0969742912217632E-5</v>
      </c>
      <c r="JV5" s="64">
        <v>3.0969742912217632E-5</v>
      </c>
      <c r="JW5" s="64">
        <v>5.1653106928591542E-4</v>
      </c>
      <c r="JX5" s="64">
        <v>0</v>
      </c>
      <c r="JY5" s="64">
        <v>0</v>
      </c>
      <c r="JZ5" s="64">
        <v>2.7651556171622881E-7</v>
      </c>
      <c r="KA5" s="64">
        <v>8.2954668514868647E-7</v>
      </c>
      <c r="KB5" s="64">
        <v>1.3825778085811441E-6</v>
      </c>
      <c r="KC5" s="64">
        <v>0</v>
      </c>
      <c r="KD5" s="64">
        <v>0</v>
      </c>
      <c r="KE5" s="64">
        <v>2.21212449372983E-6</v>
      </c>
      <c r="KF5" s="64">
        <v>1.935608932013602E-6</v>
      </c>
      <c r="KG5" s="64">
        <v>5.5303112343245761E-7</v>
      </c>
      <c r="KH5" s="64">
        <v>2.101518269043339E-5</v>
      </c>
      <c r="KI5" s="64">
        <v>2.7651556171622881E-7</v>
      </c>
      <c r="KJ5" s="64">
        <v>5.5303112343245761E-7</v>
      </c>
      <c r="KK5" s="64">
        <v>5.5303112343245761E-7</v>
      </c>
      <c r="KL5" s="64">
        <v>3.5947023023109739E-6</v>
      </c>
      <c r="KM5" s="64">
        <v>3.5947023023109739E-6</v>
      </c>
      <c r="KN5" s="64">
        <v>2.7651556171622881E-7</v>
      </c>
      <c r="KO5" s="64">
        <v>2.7651556171622881E-7</v>
      </c>
      <c r="KP5" s="64">
        <v>2.7651556171622881E-7</v>
      </c>
      <c r="KQ5" s="64">
        <v>2.7651556171622881E-7</v>
      </c>
      <c r="KR5" s="64">
        <v>0</v>
      </c>
      <c r="KS5" s="64">
        <v>2.7651556171622881E-7</v>
      </c>
      <c r="KT5" s="64">
        <v>2.7651556171622881E-7</v>
      </c>
      <c r="KU5" s="64">
        <v>2.7651556171622881E-7</v>
      </c>
      <c r="KV5" s="64">
        <v>2.7651556171622881E-7</v>
      </c>
      <c r="KW5" s="64">
        <v>2.7651556171622881E-7</v>
      </c>
      <c r="KX5" s="64">
        <v>2.7651556171622881E-7</v>
      </c>
      <c r="KY5" s="64">
        <v>2.7651556171622881E-7</v>
      </c>
      <c r="KZ5" s="64">
        <v>0</v>
      </c>
      <c r="LA5" s="64">
        <v>0</v>
      </c>
      <c r="LB5" s="64">
        <v>0</v>
      </c>
      <c r="LC5" s="64">
        <v>0</v>
      </c>
      <c r="LD5" s="64">
        <v>0</v>
      </c>
      <c r="LE5" s="64">
        <v>0</v>
      </c>
      <c r="LF5" s="64">
        <v>0</v>
      </c>
      <c r="LG5" s="64">
        <v>0</v>
      </c>
      <c r="LH5" s="64">
        <v>0</v>
      </c>
      <c r="LI5" s="64">
        <v>0</v>
      </c>
      <c r="LJ5" s="64">
        <v>0</v>
      </c>
      <c r="LK5" s="64">
        <v>0</v>
      </c>
      <c r="LL5" s="64">
        <v>0</v>
      </c>
      <c r="LM5" s="64">
        <v>0</v>
      </c>
      <c r="LN5" s="64">
        <v>0</v>
      </c>
      <c r="LO5" s="64">
        <v>0</v>
      </c>
      <c r="LP5" s="64">
        <v>0</v>
      </c>
      <c r="LQ5" s="64">
        <v>0</v>
      </c>
      <c r="LR5" s="64">
        <v>0</v>
      </c>
      <c r="LS5" s="64">
        <v>0</v>
      </c>
      <c r="LT5" s="64">
        <v>0</v>
      </c>
      <c r="LU5" s="64">
        <v>1.0327650101295401E-5</v>
      </c>
      <c r="LV5" s="64">
        <v>1.0327650101295401E-5</v>
      </c>
      <c r="LW5" s="64">
        <v>1.0327650101295401E-5</v>
      </c>
      <c r="LX5" s="64">
        <v>1.0327650101295401E-5</v>
      </c>
      <c r="LY5" s="64">
        <v>0</v>
      </c>
      <c r="LZ5" s="64">
        <v>5.2031684796050158E-5</v>
      </c>
      <c r="MA5" s="64">
        <v>5.2031684796050158E-5</v>
      </c>
      <c r="MB5" s="64">
        <v>5.2031684796050158E-5</v>
      </c>
      <c r="MC5" s="64">
        <v>5.2031684796050158E-5</v>
      </c>
      <c r="MD5" s="64">
        <v>5.2031684796050158E-5</v>
      </c>
      <c r="ME5" s="64">
        <v>5.2031684796050158E-5</v>
      </c>
      <c r="MF5" s="64">
        <v>5.2031684796050158E-5</v>
      </c>
      <c r="MG5" s="64">
        <v>1.681931587925251E-5</v>
      </c>
      <c r="MH5" s="64">
        <v>1.681931587925251E-5</v>
      </c>
      <c r="MI5" s="64">
        <v>9.8358572393289531E-8</v>
      </c>
      <c r="MJ5" s="64">
        <v>9.8358572393289531E-8</v>
      </c>
      <c r="MK5" s="64">
        <v>1.1606311542408161E-5</v>
      </c>
      <c r="ML5" s="64">
        <v>0</v>
      </c>
      <c r="MM5" s="64">
        <v>0</v>
      </c>
      <c r="MN5" s="64">
        <v>0</v>
      </c>
      <c r="MO5" s="64">
        <v>0</v>
      </c>
      <c r="MP5" s="64">
        <v>9.8358572393289531E-8</v>
      </c>
      <c r="MQ5" s="64">
        <v>0</v>
      </c>
      <c r="MR5" s="64">
        <v>9.8358572393289531E-8</v>
      </c>
      <c r="MS5" s="64">
        <v>1.9671714478657909E-7</v>
      </c>
      <c r="MT5" s="64">
        <v>9.8358572393289531E-8</v>
      </c>
      <c r="MU5" s="64">
        <v>5.2130043368443448E-6</v>
      </c>
      <c r="MV5" s="64">
        <v>0</v>
      </c>
      <c r="MW5" s="64">
        <v>0</v>
      </c>
      <c r="MX5" s="64">
        <v>0</v>
      </c>
      <c r="MY5" s="64">
        <v>0</v>
      </c>
      <c r="MZ5" s="64">
        <v>5.9015143435973721E-7</v>
      </c>
      <c r="NA5" s="64">
        <v>5.9015143435973721E-7</v>
      </c>
      <c r="NB5" s="64"/>
      <c r="NC5" s="64"/>
      <c r="ND5" s="64"/>
      <c r="NE5" s="64"/>
      <c r="NF5" s="64"/>
      <c r="NG5" s="64"/>
      <c r="NH5" s="64"/>
      <c r="NI5" s="64"/>
      <c r="NJ5" s="64"/>
      <c r="NK5" s="64"/>
      <c r="NL5" s="64"/>
      <c r="NM5" s="64"/>
      <c r="NN5" s="64"/>
      <c r="NO5" s="64"/>
      <c r="NP5" s="64"/>
      <c r="NQ5" s="64"/>
      <c r="NR5" s="64"/>
      <c r="NS5" s="64"/>
      <c r="NT5" s="64"/>
      <c r="NU5" s="64"/>
      <c r="NV5" s="64"/>
      <c r="NW5" s="64"/>
      <c r="NX5" s="64"/>
      <c r="NY5" s="64"/>
      <c r="NZ5" s="64"/>
      <c r="OA5" s="64"/>
      <c r="OB5" s="64"/>
      <c r="OC5" s="64"/>
      <c r="OD5" s="64"/>
      <c r="OE5" s="64"/>
      <c r="OF5" s="64"/>
      <c r="OG5" s="64"/>
      <c r="OH5" s="64"/>
      <c r="OI5" s="64"/>
      <c r="OJ5" s="64"/>
      <c r="OK5" s="64"/>
      <c r="OL5" s="64"/>
      <c r="OM5" s="64"/>
      <c r="ON5" s="64"/>
      <c r="OO5" s="64"/>
      <c r="OP5" s="64"/>
      <c r="OQ5" s="64"/>
      <c r="OR5" s="64"/>
      <c r="OS5" s="64"/>
    </row>
    <row r="6" spans="1:409">
      <c r="A6" s="64" t="s">
        <v>601</v>
      </c>
      <c r="B6" s="64" t="s">
        <v>584</v>
      </c>
      <c r="C6" s="64">
        <v>1.736779838538668E-4</v>
      </c>
      <c r="D6" s="64">
        <v>2.4494758183384719E-4</v>
      </c>
      <c r="E6" s="64">
        <v>5.6586414466580429E-2</v>
      </c>
      <c r="F6" s="64">
        <v>0</v>
      </c>
      <c r="G6" s="64">
        <v>0</v>
      </c>
      <c r="H6" s="64">
        <v>9.5398550214248533E-4</v>
      </c>
      <c r="I6" s="64">
        <v>9.2000823752095965E-4</v>
      </c>
      <c r="J6" s="64">
        <v>1.33712563767414E-2</v>
      </c>
      <c r="K6" s="64">
        <v>2.85429887658169E-3</v>
      </c>
      <c r="L6" s="64">
        <v>4.3106446570275528E-3</v>
      </c>
      <c r="M6" s="64">
        <v>2.4926016163440549E-3</v>
      </c>
      <c r="N6" s="64">
        <v>1.832929576853733E-3</v>
      </c>
      <c r="O6" s="64">
        <v>5.1451415255200628E-4</v>
      </c>
      <c r="P6" s="64">
        <v>0</v>
      </c>
      <c r="Q6" s="64">
        <v>0.27284376291322071</v>
      </c>
      <c r="R6" s="64">
        <v>2.7246992897251589E-4</v>
      </c>
      <c r="S6" s="64">
        <v>1.674252427184466E-3</v>
      </c>
      <c r="T6" s="64">
        <v>0</v>
      </c>
      <c r="U6" s="64">
        <v>0</v>
      </c>
      <c r="V6" s="64">
        <v>0</v>
      </c>
      <c r="W6" s="64">
        <v>3.1955555555555551E-4</v>
      </c>
      <c r="X6" s="64">
        <v>3.1210000000000001E-3</v>
      </c>
      <c r="Y6" s="64">
        <v>0</v>
      </c>
      <c r="Z6" s="64">
        <v>1.3346666666666669E-4</v>
      </c>
      <c r="AA6" s="64">
        <v>3.6089999999999998E-3</v>
      </c>
      <c r="AB6" s="64">
        <v>6.1918181818181811E-3</v>
      </c>
      <c r="AC6" s="64">
        <v>7.4067567567567578E-5</v>
      </c>
      <c r="AD6" s="64">
        <v>0</v>
      </c>
      <c r="AE6" s="64">
        <v>0</v>
      </c>
      <c r="AF6" s="64">
        <v>5.0847058823529415E-4</v>
      </c>
      <c r="AG6" s="64">
        <v>7.8549999999999996E-4</v>
      </c>
      <c r="AH6" s="64">
        <v>1.358662219662906E-3</v>
      </c>
      <c r="AI6" s="64">
        <v>2.0601729660373581E-3</v>
      </c>
      <c r="AJ6" s="64">
        <v>1.137006289111843E-6</v>
      </c>
      <c r="AK6" s="64">
        <v>1.137006289111843E-6</v>
      </c>
      <c r="AL6" s="64">
        <v>1.137006289111843E-6</v>
      </c>
      <c r="AM6" s="64">
        <v>1.137006289111843E-6</v>
      </c>
      <c r="AN6" s="64">
        <v>0</v>
      </c>
      <c r="AO6" s="64">
        <v>5.8849446392492124E-6</v>
      </c>
      <c r="AP6" s="64">
        <v>5.8849446392492124E-6</v>
      </c>
      <c r="AQ6" s="64">
        <v>5.8849446392492124E-6</v>
      </c>
      <c r="AR6" s="64">
        <v>5.8849446392492124E-6</v>
      </c>
      <c r="AS6" s="64">
        <v>5.8849446392492124E-6</v>
      </c>
      <c r="AT6" s="64">
        <v>5.8849446392492124E-6</v>
      </c>
      <c r="AU6" s="64">
        <v>5.8849446392492124E-6</v>
      </c>
      <c r="AV6" s="64">
        <v>7.8715820015435306E-7</v>
      </c>
      <c r="AW6" s="64">
        <v>7.8715820015435306E-7</v>
      </c>
      <c r="AX6" s="64">
        <v>1.249457460562465E-8</v>
      </c>
      <c r="AY6" s="64">
        <v>1.249457460562465E-8</v>
      </c>
      <c r="AZ6" s="64">
        <v>1.5493272510974571E-6</v>
      </c>
      <c r="BA6" s="64">
        <v>1.249457460562465E-8</v>
      </c>
      <c r="BB6" s="64">
        <v>0</v>
      </c>
      <c r="BC6" s="64">
        <v>0</v>
      </c>
      <c r="BD6" s="64">
        <v>1.249457460562465E-8</v>
      </c>
      <c r="BE6" s="64">
        <v>1.249457460562465E-8</v>
      </c>
      <c r="BF6" s="64">
        <v>0</v>
      </c>
      <c r="BG6" s="64">
        <v>0</v>
      </c>
      <c r="BH6" s="64">
        <v>2.49891492112493E-8</v>
      </c>
      <c r="BI6" s="64">
        <v>0</v>
      </c>
      <c r="BJ6" s="64">
        <v>5.7475043185873403E-7</v>
      </c>
      <c r="BK6" s="64">
        <v>0</v>
      </c>
      <c r="BL6" s="64">
        <v>0</v>
      </c>
      <c r="BM6" s="64">
        <v>0</v>
      </c>
      <c r="BN6" s="64">
        <v>0</v>
      </c>
      <c r="BO6" s="64">
        <v>2.49891492112493E-8</v>
      </c>
      <c r="BP6" s="64">
        <v>2.49891492112493E-8</v>
      </c>
      <c r="BQ6" s="64">
        <v>1.2422202876014771E-5</v>
      </c>
      <c r="BR6" s="64">
        <v>1.2422202876014771E-5</v>
      </c>
      <c r="BS6" s="64">
        <v>1.2422202876014771E-5</v>
      </c>
      <c r="BT6" s="64">
        <v>1.2422202876014771E-5</v>
      </c>
      <c r="BU6" s="64">
        <v>0</v>
      </c>
      <c r="BV6" s="64">
        <v>2.8295017662033639E-5</v>
      </c>
      <c r="BW6" s="64">
        <v>2.8295017662033639E-5</v>
      </c>
      <c r="BX6" s="64">
        <v>2.8295017662033639E-5</v>
      </c>
      <c r="BY6" s="64">
        <v>2.8295017662033639E-5</v>
      </c>
      <c r="BZ6" s="64">
        <v>2.8295017662033639E-5</v>
      </c>
      <c r="CA6" s="64">
        <v>2.8295017662033639E-5</v>
      </c>
      <c r="CB6" s="64">
        <v>2.8295017662033639E-5</v>
      </c>
      <c r="CC6" s="64">
        <v>6.2111014380073836E-6</v>
      </c>
      <c r="CD6" s="64">
        <v>6.2111014380073836E-6</v>
      </c>
      <c r="CE6" s="64">
        <v>0</v>
      </c>
      <c r="CF6" s="64">
        <v>0</v>
      </c>
      <c r="CG6" s="64">
        <v>3.7956731010045118E-6</v>
      </c>
      <c r="CH6" s="64">
        <v>0</v>
      </c>
      <c r="CI6" s="64">
        <v>0</v>
      </c>
      <c r="CJ6" s="64">
        <v>0</v>
      </c>
      <c r="CK6" s="64">
        <v>0</v>
      </c>
      <c r="CL6" s="64">
        <v>0</v>
      </c>
      <c r="CM6" s="64">
        <v>0</v>
      </c>
      <c r="CN6" s="64">
        <v>0</v>
      </c>
      <c r="CO6" s="64">
        <v>0</v>
      </c>
      <c r="CP6" s="64">
        <v>0</v>
      </c>
      <c r="CQ6" s="64">
        <v>1.380244764001641E-6</v>
      </c>
      <c r="CR6" s="64">
        <v>0</v>
      </c>
      <c r="CS6" s="64">
        <v>0</v>
      </c>
      <c r="CT6" s="64">
        <v>0</v>
      </c>
      <c r="CU6" s="64">
        <v>0</v>
      </c>
      <c r="CV6" s="64">
        <v>0</v>
      </c>
      <c r="CW6" s="64">
        <v>0</v>
      </c>
      <c r="CX6" s="64">
        <v>0</v>
      </c>
      <c r="CY6" s="64">
        <v>0</v>
      </c>
      <c r="CZ6" s="64">
        <v>0</v>
      </c>
      <c r="DA6" s="64">
        <v>0</v>
      </c>
      <c r="DB6" s="64">
        <v>0</v>
      </c>
      <c r="DC6" s="64">
        <v>3.5011154187693579E-8</v>
      </c>
      <c r="DD6" s="64">
        <v>3.5011154187693579E-8</v>
      </c>
      <c r="DE6" s="64">
        <v>3.5011154187693579E-8</v>
      </c>
      <c r="DF6" s="64">
        <v>3.5011154187693579E-8</v>
      </c>
      <c r="DG6" s="64">
        <v>3.5011154187693579E-8</v>
      </c>
      <c r="DH6" s="64">
        <v>3.5011154187693579E-8</v>
      </c>
      <c r="DI6" s="64">
        <v>3.5011154187693579E-8</v>
      </c>
      <c r="DJ6" s="64">
        <v>0</v>
      </c>
      <c r="DK6" s="64">
        <v>0</v>
      </c>
      <c r="DL6" s="64">
        <v>0</v>
      </c>
      <c r="DM6" s="64">
        <v>0</v>
      </c>
      <c r="DN6" s="64">
        <v>0</v>
      </c>
      <c r="DO6" s="64">
        <v>0</v>
      </c>
      <c r="DP6" s="64">
        <v>0</v>
      </c>
      <c r="DQ6" s="64">
        <v>0</v>
      </c>
      <c r="DR6" s="64">
        <v>0</v>
      </c>
      <c r="DS6" s="64">
        <v>0</v>
      </c>
      <c r="DT6" s="64">
        <v>0</v>
      </c>
      <c r="DU6" s="64">
        <v>0</v>
      </c>
      <c r="DV6" s="64">
        <v>0</v>
      </c>
      <c r="DW6" s="64">
        <v>0</v>
      </c>
      <c r="DX6" s="64">
        <v>0</v>
      </c>
      <c r="DY6" s="64">
        <v>0</v>
      </c>
      <c r="DZ6" s="64">
        <v>0</v>
      </c>
      <c r="EA6" s="64">
        <v>0</v>
      </c>
      <c r="EB6" s="64">
        <v>0</v>
      </c>
      <c r="EC6" s="64">
        <v>0</v>
      </c>
      <c r="ED6" s="64">
        <v>0</v>
      </c>
      <c r="EE6" s="64">
        <v>7.0022308375387157E-8</v>
      </c>
      <c r="EF6" s="64">
        <v>7.0022308375387157E-8</v>
      </c>
      <c r="EG6" s="64">
        <v>7.0022308375387157E-8</v>
      </c>
      <c r="EH6" s="64">
        <v>7.0022308375387157E-8</v>
      </c>
      <c r="EI6" s="64">
        <v>0</v>
      </c>
      <c r="EJ6" s="64">
        <v>3.8512269606462928E-7</v>
      </c>
      <c r="EK6" s="64">
        <v>3.8512269606462928E-7</v>
      </c>
      <c r="EL6" s="64">
        <v>3.8512269606462928E-7</v>
      </c>
      <c r="EM6" s="64">
        <v>3.8512269606462928E-7</v>
      </c>
      <c r="EN6" s="64">
        <v>3.8512269606462928E-7</v>
      </c>
      <c r="EO6" s="64">
        <v>3.8512269606462928E-7</v>
      </c>
      <c r="EP6" s="64">
        <v>3.8512269606462928E-7</v>
      </c>
      <c r="EQ6" s="64">
        <v>0</v>
      </c>
      <c r="ER6" s="64">
        <v>0</v>
      </c>
      <c r="ES6" s="64">
        <v>0</v>
      </c>
      <c r="ET6" s="64">
        <v>0</v>
      </c>
      <c r="EU6" s="64">
        <v>0</v>
      </c>
      <c r="EV6" s="64">
        <v>0</v>
      </c>
      <c r="EW6" s="64">
        <v>0</v>
      </c>
      <c r="EX6" s="64">
        <v>0</v>
      </c>
      <c r="EY6" s="64">
        <v>0</v>
      </c>
      <c r="EZ6" s="64">
        <v>0</v>
      </c>
      <c r="FA6" s="64">
        <v>0</v>
      </c>
      <c r="FB6" s="64">
        <v>0</v>
      </c>
      <c r="FC6" s="64">
        <v>0</v>
      </c>
      <c r="FD6" s="64">
        <v>0</v>
      </c>
      <c r="FE6" s="64">
        <v>0</v>
      </c>
      <c r="FF6" s="64">
        <v>0</v>
      </c>
      <c r="FG6" s="64">
        <v>0</v>
      </c>
      <c r="FH6" s="64">
        <v>0</v>
      </c>
      <c r="FI6" s="64">
        <v>0</v>
      </c>
      <c r="FJ6" s="64">
        <v>0</v>
      </c>
      <c r="FK6" s="64">
        <v>0</v>
      </c>
      <c r="FL6" s="64">
        <v>4.1661495485089594E-9</v>
      </c>
      <c r="FM6" s="64">
        <v>4.1661495485089594E-9</v>
      </c>
      <c r="FN6" s="64">
        <v>4.1661495485089594E-9</v>
      </c>
      <c r="FO6" s="64">
        <v>4.1661495485089594E-9</v>
      </c>
      <c r="FP6" s="64">
        <v>0</v>
      </c>
      <c r="FQ6" s="64">
        <v>9.396992369213081E-9</v>
      </c>
      <c r="FR6" s="64">
        <v>9.396992369213081E-9</v>
      </c>
      <c r="FS6" s="64">
        <v>9.396992369213081E-9</v>
      </c>
      <c r="FT6" s="64">
        <v>9.396992369213081E-9</v>
      </c>
      <c r="FU6" s="64">
        <v>9.396992369213081E-9</v>
      </c>
      <c r="FV6" s="64">
        <v>9.396992369213081E-9</v>
      </c>
      <c r="FW6" s="64">
        <v>9.396992369213081E-9</v>
      </c>
      <c r="FX6" s="64">
        <v>3.5865362604170638E-9</v>
      </c>
      <c r="FY6" s="64">
        <v>3.5865362604170638E-9</v>
      </c>
      <c r="FZ6" s="64">
        <v>3.8195274338839873E-12</v>
      </c>
      <c r="GA6" s="64">
        <v>3.8195274338839873E-12</v>
      </c>
      <c r="GB6" s="64">
        <v>1.489615699214755E-10</v>
      </c>
      <c r="GC6" s="64">
        <v>9.5488185847099684E-13</v>
      </c>
      <c r="GD6" s="64">
        <v>9.5488185847099684E-13</v>
      </c>
      <c r="GE6" s="64">
        <v>8.5939367262389725E-12</v>
      </c>
      <c r="GF6" s="64">
        <v>1.050370044318096E-11</v>
      </c>
      <c r="GG6" s="64">
        <v>2.8646455754129911E-12</v>
      </c>
      <c r="GH6" s="64">
        <v>9.5488185847099684E-13</v>
      </c>
      <c r="GI6" s="64">
        <v>3.8195274338839873E-12</v>
      </c>
      <c r="GJ6" s="64">
        <v>1.336834601859396E-11</v>
      </c>
      <c r="GK6" s="64">
        <v>9.5488185847099684E-13</v>
      </c>
      <c r="GL6" s="64">
        <v>1.4714729439038061E-9</v>
      </c>
      <c r="GM6" s="64">
        <v>2.1962282744832931E-11</v>
      </c>
      <c r="GN6" s="64">
        <v>0</v>
      </c>
      <c r="GO6" s="64">
        <v>0</v>
      </c>
      <c r="GP6" s="64">
        <v>0</v>
      </c>
      <c r="GQ6" s="64">
        <v>4.201480177272386E-11</v>
      </c>
      <c r="GR6" s="64">
        <v>4.201480177272386E-11</v>
      </c>
      <c r="GS6" s="64">
        <v>1.4004461675077429E-7</v>
      </c>
      <c r="GT6" s="64">
        <v>1.4004461675077429E-7</v>
      </c>
      <c r="GU6" s="64">
        <v>1.4004461675077429E-7</v>
      </c>
      <c r="GV6" s="64">
        <v>1.4004461675077429E-7</v>
      </c>
      <c r="GW6" s="64">
        <v>0</v>
      </c>
      <c r="GX6" s="64">
        <v>1.5054796300708241E-6</v>
      </c>
      <c r="GY6" s="64">
        <v>1.5054796300708241E-6</v>
      </c>
      <c r="GZ6" s="64">
        <v>1.5054796300708241E-6</v>
      </c>
      <c r="HA6" s="64">
        <v>1.5054796300708241E-6</v>
      </c>
      <c r="HB6" s="64">
        <v>1.5054796300708241E-6</v>
      </c>
      <c r="HC6" s="64">
        <v>1.5054796300708241E-6</v>
      </c>
      <c r="HD6" s="64">
        <v>1.5054796300708241E-6</v>
      </c>
      <c r="HE6" s="64">
        <v>4.9015615862771005E-7</v>
      </c>
      <c r="HF6" s="64">
        <v>4.9015615862771005E-7</v>
      </c>
      <c r="HG6" s="64">
        <v>0</v>
      </c>
      <c r="HH6" s="64">
        <v>0</v>
      </c>
      <c r="HI6" s="64">
        <v>4.2013385025232289E-7</v>
      </c>
      <c r="HJ6" s="64">
        <v>0</v>
      </c>
      <c r="HK6" s="64">
        <v>0</v>
      </c>
      <c r="HL6" s="64">
        <v>0</v>
      </c>
      <c r="HM6" s="64">
        <v>0</v>
      </c>
      <c r="HN6" s="64">
        <v>0</v>
      </c>
      <c r="HO6" s="64">
        <v>0</v>
      </c>
      <c r="HP6" s="64">
        <v>0</v>
      </c>
      <c r="HQ6" s="64">
        <v>0</v>
      </c>
      <c r="HR6" s="64">
        <v>0</v>
      </c>
      <c r="HS6" s="64">
        <v>7.0022308375387157E-8</v>
      </c>
      <c r="HT6" s="64">
        <v>0</v>
      </c>
      <c r="HU6" s="64">
        <v>0</v>
      </c>
      <c r="HV6" s="64">
        <v>0</v>
      </c>
      <c r="HW6" s="64">
        <v>0</v>
      </c>
      <c r="HX6" s="64">
        <v>0</v>
      </c>
      <c r="HY6" s="64">
        <v>0</v>
      </c>
      <c r="HZ6" s="64">
        <v>2.310736176387776E-6</v>
      </c>
      <c r="IA6" s="64">
        <v>2.310736176387776E-6</v>
      </c>
      <c r="IB6" s="64">
        <v>2.310736176387776E-6</v>
      </c>
      <c r="IC6" s="64">
        <v>2.310736176387776E-6</v>
      </c>
      <c r="ID6" s="64">
        <v>0</v>
      </c>
      <c r="IE6" s="64">
        <v>7.912520846418749E-6</v>
      </c>
      <c r="IF6" s="64">
        <v>7.912520846418749E-6</v>
      </c>
      <c r="IG6" s="64">
        <v>7.912520846418749E-6</v>
      </c>
      <c r="IH6" s="64">
        <v>7.912520846418749E-6</v>
      </c>
      <c r="II6" s="64">
        <v>7.912520846418749E-6</v>
      </c>
      <c r="IJ6" s="64">
        <v>7.912520846418749E-6</v>
      </c>
      <c r="IK6" s="64">
        <v>7.912520846418749E-6</v>
      </c>
      <c r="IL6" s="64">
        <v>5.2516731281540365E-7</v>
      </c>
      <c r="IM6" s="64">
        <v>5.2516731281540365E-7</v>
      </c>
      <c r="IN6" s="64">
        <v>3.5011154187693579E-8</v>
      </c>
      <c r="IO6" s="64">
        <v>3.5011154187693579E-8</v>
      </c>
      <c r="IP6" s="64">
        <v>3.1510038768924218E-7</v>
      </c>
      <c r="IQ6" s="64">
        <v>0</v>
      </c>
      <c r="IR6" s="64">
        <v>0</v>
      </c>
      <c r="IS6" s="64">
        <v>0</v>
      </c>
      <c r="IT6" s="64">
        <v>0</v>
      </c>
      <c r="IU6" s="64">
        <v>3.5011154187693579E-7</v>
      </c>
      <c r="IV6" s="64">
        <v>0</v>
      </c>
      <c r="IW6" s="64">
        <v>0</v>
      </c>
      <c r="IX6" s="64">
        <v>3.5011154187693579E-8</v>
      </c>
      <c r="IY6" s="64">
        <v>0</v>
      </c>
      <c r="IZ6" s="64">
        <v>4.2013385025232289E-7</v>
      </c>
      <c r="JA6" s="64">
        <v>0</v>
      </c>
      <c r="JB6" s="64">
        <v>0</v>
      </c>
      <c r="JC6" s="64">
        <v>0</v>
      </c>
      <c r="JD6" s="64">
        <v>0</v>
      </c>
      <c r="JE6" s="64">
        <v>1.7505577093846789E-7</v>
      </c>
      <c r="JF6" s="64">
        <v>1.7505577093846789E-7</v>
      </c>
      <c r="JG6" s="64">
        <v>2.4717874856511671E-5</v>
      </c>
      <c r="JH6" s="64">
        <v>2.4717874856511671E-5</v>
      </c>
      <c r="JI6" s="64">
        <v>2.4717874856511671E-5</v>
      </c>
      <c r="JJ6" s="64">
        <v>2.4717874856511671E-5</v>
      </c>
      <c r="JK6" s="64">
        <v>0</v>
      </c>
      <c r="JL6" s="64">
        <v>4.7335080461761718E-5</v>
      </c>
      <c r="JM6" s="64">
        <v>4.7335080461761718E-5</v>
      </c>
      <c r="JN6" s="64">
        <v>4.7335080461761718E-5</v>
      </c>
      <c r="JO6" s="64">
        <v>4.7335080461761718E-5</v>
      </c>
      <c r="JP6" s="64">
        <v>4.7335080461761718E-5</v>
      </c>
      <c r="JQ6" s="64">
        <v>4.7335080461761718E-5</v>
      </c>
      <c r="JR6" s="64">
        <v>4.7335080461761718E-5</v>
      </c>
      <c r="JS6" s="64">
        <v>3.0536728682506339E-4</v>
      </c>
      <c r="JT6" s="64">
        <v>3.0536728682506339E-4</v>
      </c>
      <c r="JU6" s="64">
        <v>3.9212492690216804E-6</v>
      </c>
      <c r="JV6" s="64">
        <v>3.9212492690216804E-6</v>
      </c>
      <c r="JW6" s="64">
        <v>6.5400836022611603E-5</v>
      </c>
      <c r="JX6" s="64">
        <v>0</v>
      </c>
      <c r="JY6" s="64">
        <v>0</v>
      </c>
      <c r="JZ6" s="64">
        <v>3.5011154187693579E-8</v>
      </c>
      <c r="KA6" s="64">
        <v>1.050334625630807E-7</v>
      </c>
      <c r="KB6" s="64">
        <v>1.7505577093846789E-7</v>
      </c>
      <c r="KC6" s="64">
        <v>0</v>
      </c>
      <c r="KD6" s="64">
        <v>0</v>
      </c>
      <c r="KE6" s="64">
        <v>2.8008923350154858E-7</v>
      </c>
      <c r="KF6" s="64">
        <v>2.4507807931385502E-7</v>
      </c>
      <c r="KG6" s="64">
        <v>7.0022308375387157E-8</v>
      </c>
      <c r="KH6" s="64">
        <v>2.6608477182647119E-6</v>
      </c>
      <c r="KI6" s="64">
        <v>3.5011154187693579E-8</v>
      </c>
      <c r="KJ6" s="64">
        <v>7.0022308375387157E-8</v>
      </c>
      <c r="KK6" s="64">
        <v>7.0022308375387157E-8</v>
      </c>
      <c r="KL6" s="64">
        <v>4.5514500444001649E-7</v>
      </c>
      <c r="KM6" s="64">
        <v>4.5514500444001649E-7</v>
      </c>
      <c r="KN6" s="64">
        <v>3.5011154187693579E-8</v>
      </c>
      <c r="KO6" s="64">
        <v>3.5011154187693579E-8</v>
      </c>
      <c r="KP6" s="64">
        <v>3.5011154187693579E-8</v>
      </c>
      <c r="KQ6" s="64">
        <v>3.5011154187693579E-8</v>
      </c>
      <c r="KR6" s="64">
        <v>0</v>
      </c>
      <c r="KS6" s="64">
        <v>3.5011154187693579E-8</v>
      </c>
      <c r="KT6" s="64">
        <v>3.5011154187693579E-8</v>
      </c>
      <c r="KU6" s="64">
        <v>3.5011154187693579E-8</v>
      </c>
      <c r="KV6" s="64">
        <v>3.5011154187693579E-8</v>
      </c>
      <c r="KW6" s="64">
        <v>3.5011154187693579E-8</v>
      </c>
      <c r="KX6" s="64">
        <v>3.5011154187693579E-8</v>
      </c>
      <c r="KY6" s="64">
        <v>3.5011154187693579E-8</v>
      </c>
      <c r="KZ6" s="64">
        <v>0</v>
      </c>
      <c r="LA6" s="64">
        <v>0</v>
      </c>
      <c r="LB6" s="64">
        <v>0</v>
      </c>
      <c r="LC6" s="64">
        <v>0</v>
      </c>
      <c r="LD6" s="64">
        <v>0</v>
      </c>
      <c r="LE6" s="64">
        <v>0</v>
      </c>
      <c r="LF6" s="64">
        <v>0</v>
      </c>
      <c r="LG6" s="64">
        <v>0</v>
      </c>
      <c r="LH6" s="64">
        <v>0</v>
      </c>
      <c r="LI6" s="64">
        <v>0</v>
      </c>
      <c r="LJ6" s="64">
        <v>0</v>
      </c>
      <c r="LK6" s="64">
        <v>0</v>
      </c>
      <c r="LL6" s="64">
        <v>0</v>
      </c>
      <c r="LM6" s="64">
        <v>0</v>
      </c>
      <c r="LN6" s="64">
        <v>0</v>
      </c>
      <c r="LO6" s="64">
        <v>0</v>
      </c>
      <c r="LP6" s="64">
        <v>0</v>
      </c>
      <c r="LQ6" s="64">
        <v>0</v>
      </c>
      <c r="LR6" s="64">
        <v>0</v>
      </c>
      <c r="LS6" s="64">
        <v>0</v>
      </c>
      <c r="LT6" s="64">
        <v>0</v>
      </c>
      <c r="LU6" s="64">
        <v>1.6667594935465311E-5</v>
      </c>
      <c r="LV6" s="64">
        <v>1.6667594935465311E-5</v>
      </c>
      <c r="LW6" s="64">
        <v>1.6667594935465311E-5</v>
      </c>
      <c r="LX6" s="64">
        <v>1.6667594935465311E-5</v>
      </c>
      <c r="LY6" s="64">
        <v>0</v>
      </c>
      <c r="LZ6" s="64">
        <v>8.3972930674868079E-5</v>
      </c>
      <c r="MA6" s="64">
        <v>8.3972930674868079E-5</v>
      </c>
      <c r="MB6" s="64">
        <v>8.3972930674868079E-5</v>
      </c>
      <c r="MC6" s="64">
        <v>8.3972930674868079E-5</v>
      </c>
      <c r="MD6" s="64">
        <v>8.3972930674868079E-5</v>
      </c>
      <c r="ME6" s="64">
        <v>8.3972930674868079E-5</v>
      </c>
      <c r="MF6" s="64">
        <v>8.3972930674868079E-5</v>
      </c>
      <c r="MG6" s="64">
        <v>2.7144368894900649E-5</v>
      </c>
      <c r="MH6" s="64">
        <v>2.7144368894900649E-5</v>
      </c>
      <c r="MI6" s="64">
        <v>1.587389993853839E-7</v>
      </c>
      <c r="MJ6" s="64">
        <v>1.587389993853839E-7</v>
      </c>
      <c r="MK6" s="64">
        <v>1.8731201927475301E-5</v>
      </c>
      <c r="ML6" s="64">
        <v>0</v>
      </c>
      <c r="MM6" s="64">
        <v>0</v>
      </c>
      <c r="MN6" s="64">
        <v>0</v>
      </c>
      <c r="MO6" s="64">
        <v>0</v>
      </c>
      <c r="MP6" s="64">
        <v>1.587389993853839E-7</v>
      </c>
      <c r="MQ6" s="64">
        <v>0</v>
      </c>
      <c r="MR6" s="64">
        <v>1.587389993853839E-7</v>
      </c>
      <c r="MS6" s="64">
        <v>3.1747799877076779E-7</v>
      </c>
      <c r="MT6" s="64">
        <v>1.587389993853839E-7</v>
      </c>
      <c r="MU6" s="64">
        <v>8.4131669674253481E-6</v>
      </c>
      <c r="MV6" s="64">
        <v>0</v>
      </c>
      <c r="MW6" s="64">
        <v>0</v>
      </c>
      <c r="MX6" s="64">
        <v>0</v>
      </c>
      <c r="MY6" s="64">
        <v>0</v>
      </c>
      <c r="MZ6" s="64">
        <v>9.5243399631230354E-7</v>
      </c>
      <c r="NA6" s="64">
        <v>9.5243399631230354E-7</v>
      </c>
      <c r="NB6" s="64"/>
      <c r="NC6" s="64"/>
      <c r="ND6" s="64"/>
      <c r="NE6" s="64"/>
      <c r="NF6" s="64"/>
      <c r="NG6" s="64"/>
      <c r="NH6" s="64"/>
      <c r="NI6" s="64"/>
      <c r="NJ6" s="64"/>
      <c r="NK6" s="64"/>
      <c r="NL6" s="64"/>
      <c r="NM6" s="64"/>
      <c r="NN6" s="64"/>
      <c r="NO6" s="64"/>
      <c r="NP6" s="64"/>
      <c r="NQ6" s="64"/>
      <c r="NR6" s="64"/>
      <c r="NS6" s="64"/>
      <c r="NT6" s="64"/>
      <c r="NU6" s="64"/>
      <c r="NV6" s="64"/>
      <c r="NW6" s="64"/>
      <c r="NX6" s="64"/>
      <c r="NY6" s="64"/>
      <c r="NZ6" s="64"/>
      <c r="OA6" s="64"/>
      <c r="OB6" s="64"/>
      <c r="OC6" s="64"/>
      <c r="OD6" s="64"/>
      <c r="OE6" s="64"/>
      <c r="OF6" s="64"/>
      <c r="OG6" s="64"/>
      <c r="OH6" s="64"/>
      <c r="OI6" s="64"/>
      <c r="OJ6" s="64"/>
      <c r="OK6" s="64"/>
      <c r="OL6" s="64"/>
      <c r="OM6" s="64"/>
      <c r="ON6" s="64"/>
      <c r="OO6" s="64"/>
      <c r="OP6" s="64"/>
      <c r="OQ6" s="64"/>
      <c r="OR6" s="64"/>
      <c r="OS6" s="64"/>
    </row>
    <row r="7" spans="1:409">
      <c r="A7" s="64" t="s">
        <v>602</v>
      </c>
      <c r="B7" s="64" t="s">
        <v>585</v>
      </c>
      <c r="C7" s="64">
        <v>0</v>
      </c>
      <c r="D7" s="64">
        <v>0</v>
      </c>
      <c r="E7" s="64">
        <v>0</v>
      </c>
      <c r="F7" s="64">
        <v>2.8224239867082369E-3</v>
      </c>
      <c r="G7" s="64">
        <v>0</v>
      </c>
      <c r="H7" s="64">
        <v>0</v>
      </c>
      <c r="I7" s="64">
        <v>0</v>
      </c>
      <c r="J7" s="64">
        <v>0</v>
      </c>
      <c r="K7" s="64">
        <v>0</v>
      </c>
      <c r="L7" s="64">
        <v>0</v>
      </c>
      <c r="M7" s="64">
        <v>0</v>
      </c>
      <c r="N7" s="64">
        <v>0</v>
      </c>
      <c r="O7" s="64">
        <v>0</v>
      </c>
      <c r="P7" s="64">
        <v>0</v>
      </c>
      <c r="Q7" s="64">
        <v>0</v>
      </c>
      <c r="R7" s="64">
        <v>0</v>
      </c>
      <c r="S7" s="64">
        <v>0</v>
      </c>
      <c r="T7" s="64">
        <v>0</v>
      </c>
      <c r="U7" s="64">
        <v>0</v>
      </c>
      <c r="V7" s="64">
        <v>0</v>
      </c>
      <c r="W7" s="64">
        <v>0</v>
      </c>
      <c r="X7" s="64">
        <v>0</v>
      </c>
      <c r="Y7" s="64">
        <v>0</v>
      </c>
      <c r="Z7" s="64">
        <v>0</v>
      </c>
      <c r="AA7" s="64">
        <v>0</v>
      </c>
      <c r="AB7" s="64">
        <v>6.191818181818182E-4</v>
      </c>
      <c r="AC7" s="64">
        <v>3.2918918918918923E-5</v>
      </c>
      <c r="AD7" s="64">
        <v>0</v>
      </c>
      <c r="AE7" s="64">
        <v>0</v>
      </c>
      <c r="AF7" s="64">
        <v>0</v>
      </c>
      <c r="AG7" s="64">
        <v>0</v>
      </c>
      <c r="AH7" s="64">
        <v>0</v>
      </c>
      <c r="AI7" s="64">
        <v>0</v>
      </c>
      <c r="AJ7" s="64">
        <v>3.7056286732566978E-11</v>
      </c>
      <c r="AK7" s="64">
        <v>3.7056286732566978E-11</v>
      </c>
      <c r="AL7" s="64">
        <v>3.7056286732566978E-11</v>
      </c>
      <c r="AM7" s="64">
        <v>3.7056286732566978E-11</v>
      </c>
      <c r="AN7" s="64">
        <v>0</v>
      </c>
      <c r="AO7" s="64">
        <v>1.9179682473669279E-10</v>
      </c>
      <c r="AP7" s="64">
        <v>1.9179682473669279E-10</v>
      </c>
      <c r="AQ7" s="64">
        <v>1.9179682473669279E-10</v>
      </c>
      <c r="AR7" s="64">
        <v>1.9179682473669279E-10</v>
      </c>
      <c r="AS7" s="64">
        <v>1.9179682473669279E-10</v>
      </c>
      <c r="AT7" s="64">
        <v>1.9179682473669279E-10</v>
      </c>
      <c r="AU7" s="64">
        <v>1.9179682473669279E-10</v>
      </c>
      <c r="AV7" s="64">
        <v>2.5654352353315599E-11</v>
      </c>
      <c r="AW7" s="64">
        <v>2.5654352353315599E-11</v>
      </c>
      <c r="AX7" s="64">
        <v>4.0721194211612058E-13</v>
      </c>
      <c r="AY7" s="64">
        <v>4.0721194211612058E-13</v>
      </c>
      <c r="AZ7" s="64">
        <v>5.049428082239896E-11</v>
      </c>
      <c r="BA7" s="64">
        <v>4.0721194211612058E-13</v>
      </c>
      <c r="BB7" s="64">
        <v>0</v>
      </c>
      <c r="BC7" s="64">
        <v>0</v>
      </c>
      <c r="BD7" s="64">
        <v>4.0721194211612058E-13</v>
      </c>
      <c r="BE7" s="64">
        <v>4.0721194211612058E-13</v>
      </c>
      <c r="BF7" s="64">
        <v>0</v>
      </c>
      <c r="BG7" s="64">
        <v>0</v>
      </c>
      <c r="BH7" s="64">
        <v>8.1442388423224117E-13</v>
      </c>
      <c r="BI7" s="64">
        <v>0</v>
      </c>
      <c r="BJ7" s="64">
        <v>1.8731749337341551E-11</v>
      </c>
      <c r="BK7" s="64">
        <v>0</v>
      </c>
      <c r="BL7" s="64">
        <v>0</v>
      </c>
      <c r="BM7" s="64">
        <v>0</v>
      </c>
      <c r="BN7" s="64">
        <v>0</v>
      </c>
      <c r="BO7" s="64">
        <v>8.1442388423224117E-13</v>
      </c>
      <c r="BP7" s="64">
        <v>8.1442388423224117E-13</v>
      </c>
      <c r="BQ7" s="64">
        <v>1.6293786244287821E-8</v>
      </c>
      <c r="BR7" s="64">
        <v>1.6293786244287821E-8</v>
      </c>
      <c r="BS7" s="64">
        <v>1.6293786244287821E-8</v>
      </c>
      <c r="BT7" s="64">
        <v>1.6293786244287821E-8</v>
      </c>
      <c r="BU7" s="64">
        <v>0</v>
      </c>
      <c r="BV7" s="64">
        <v>3.7113624223100038E-8</v>
      </c>
      <c r="BW7" s="64">
        <v>3.7113624223100038E-8</v>
      </c>
      <c r="BX7" s="64">
        <v>3.7113624223100038E-8</v>
      </c>
      <c r="BY7" s="64">
        <v>3.7113624223100038E-8</v>
      </c>
      <c r="BZ7" s="64">
        <v>3.7113624223100038E-8</v>
      </c>
      <c r="CA7" s="64">
        <v>3.7113624223100038E-8</v>
      </c>
      <c r="CB7" s="64">
        <v>3.7113624223100038E-8</v>
      </c>
      <c r="CC7" s="64">
        <v>8.1468931221439103E-9</v>
      </c>
      <c r="CD7" s="64">
        <v>8.1468931221439103E-9</v>
      </c>
      <c r="CE7" s="64">
        <v>0</v>
      </c>
      <c r="CF7" s="64">
        <v>0</v>
      </c>
      <c r="CG7" s="64">
        <v>4.9786569079768336E-9</v>
      </c>
      <c r="CH7" s="64">
        <v>0</v>
      </c>
      <c r="CI7" s="64">
        <v>0</v>
      </c>
      <c r="CJ7" s="64">
        <v>0</v>
      </c>
      <c r="CK7" s="64">
        <v>0</v>
      </c>
      <c r="CL7" s="64">
        <v>0</v>
      </c>
      <c r="CM7" s="64">
        <v>0</v>
      </c>
      <c r="CN7" s="64">
        <v>0</v>
      </c>
      <c r="CO7" s="64">
        <v>0</v>
      </c>
      <c r="CP7" s="64">
        <v>0</v>
      </c>
      <c r="CQ7" s="64">
        <v>1.810420693809758E-9</v>
      </c>
      <c r="CR7" s="64">
        <v>0</v>
      </c>
      <c r="CS7" s="64">
        <v>0</v>
      </c>
      <c r="CT7" s="64">
        <v>0</v>
      </c>
      <c r="CU7" s="64">
        <v>0</v>
      </c>
      <c r="CV7" s="64">
        <v>0</v>
      </c>
      <c r="CW7" s="64">
        <v>0</v>
      </c>
      <c r="CX7" s="64">
        <v>0</v>
      </c>
      <c r="CY7" s="64">
        <v>0</v>
      </c>
      <c r="CZ7" s="64">
        <v>0</v>
      </c>
      <c r="DA7" s="64">
        <v>0</v>
      </c>
      <c r="DB7" s="64">
        <v>0</v>
      </c>
      <c r="DC7" s="64">
        <v>5.9994368759611023E-9</v>
      </c>
      <c r="DD7" s="64">
        <v>5.9994368759611023E-9</v>
      </c>
      <c r="DE7" s="64">
        <v>5.9994368759611023E-9</v>
      </c>
      <c r="DF7" s="64">
        <v>5.9994368759611023E-9</v>
      </c>
      <c r="DG7" s="64">
        <v>5.9994368759611023E-9</v>
      </c>
      <c r="DH7" s="64">
        <v>5.9994368759611023E-9</v>
      </c>
      <c r="DI7" s="64">
        <v>5.9994368759611023E-9</v>
      </c>
      <c r="DJ7" s="64">
        <v>0</v>
      </c>
      <c r="DK7" s="64">
        <v>0</v>
      </c>
      <c r="DL7" s="64">
        <v>0</v>
      </c>
      <c r="DM7" s="64">
        <v>0</v>
      </c>
      <c r="DN7" s="64">
        <v>0</v>
      </c>
      <c r="DO7" s="64">
        <v>0</v>
      </c>
      <c r="DP7" s="64">
        <v>0</v>
      </c>
      <c r="DQ7" s="64">
        <v>0</v>
      </c>
      <c r="DR7" s="64">
        <v>0</v>
      </c>
      <c r="DS7" s="64">
        <v>0</v>
      </c>
      <c r="DT7" s="64">
        <v>0</v>
      </c>
      <c r="DU7" s="64">
        <v>0</v>
      </c>
      <c r="DV7" s="64">
        <v>0</v>
      </c>
      <c r="DW7" s="64">
        <v>0</v>
      </c>
      <c r="DX7" s="64">
        <v>0</v>
      </c>
      <c r="DY7" s="64">
        <v>0</v>
      </c>
      <c r="DZ7" s="64">
        <v>0</v>
      </c>
      <c r="EA7" s="64">
        <v>0</v>
      </c>
      <c r="EB7" s="64">
        <v>0</v>
      </c>
      <c r="EC7" s="64">
        <v>0</v>
      </c>
      <c r="ED7" s="64">
        <v>0</v>
      </c>
      <c r="EE7" s="64">
        <v>1.19988737519222E-8</v>
      </c>
      <c r="EF7" s="64">
        <v>1.19988737519222E-8</v>
      </c>
      <c r="EG7" s="64">
        <v>1.19988737519222E-8</v>
      </c>
      <c r="EH7" s="64">
        <v>1.19988737519222E-8</v>
      </c>
      <c r="EI7" s="64">
        <v>0</v>
      </c>
      <c r="EJ7" s="64">
        <v>6.5993805635572121E-8</v>
      </c>
      <c r="EK7" s="64">
        <v>6.5993805635572121E-8</v>
      </c>
      <c r="EL7" s="64">
        <v>6.5993805635572121E-8</v>
      </c>
      <c r="EM7" s="64">
        <v>6.5993805635572121E-8</v>
      </c>
      <c r="EN7" s="64">
        <v>6.5993805635572121E-8</v>
      </c>
      <c r="EO7" s="64">
        <v>6.5993805635572121E-8</v>
      </c>
      <c r="EP7" s="64">
        <v>6.5993805635572121E-8</v>
      </c>
      <c r="EQ7" s="64">
        <v>0</v>
      </c>
      <c r="ER7" s="64">
        <v>0</v>
      </c>
      <c r="ES7" s="64">
        <v>0</v>
      </c>
      <c r="ET7" s="64">
        <v>0</v>
      </c>
      <c r="EU7" s="64">
        <v>0</v>
      </c>
      <c r="EV7" s="64">
        <v>0</v>
      </c>
      <c r="EW7" s="64">
        <v>0</v>
      </c>
      <c r="EX7" s="64">
        <v>0</v>
      </c>
      <c r="EY7" s="64">
        <v>0</v>
      </c>
      <c r="EZ7" s="64">
        <v>0</v>
      </c>
      <c r="FA7" s="64">
        <v>0</v>
      </c>
      <c r="FB7" s="64">
        <v>0</v>
      </c>
      <c r="FC7" s="64">
        <v>0</v>
      </c>
      <c r="FD7" s="64">
        <v>0</v>
      </c>
      <c r="FE7" s="64">
        <v>0</v>
      </c>
      <c r="FF7" s="64">
        <v>0</v>
      </c>
      <c r="FG7" s="64">
        <v>0</v>
      </c>
      <c r="FH7" s="64">
        <v>0</v>
      </c>
      <c r="FI7" s="64">
        <v>0</v>
      </c>
      <c r="FJ7" s="64">
        <v>0</v>
      </c>
      <c r="FK7" s="64">
        <v>0</v>
      </c>
      <c r="FL7" s="64">
        <v>4.6328061808519363E-9</v>
      </c>
      <c r="FM7" s="64">
        <v>4.6328061808519363E-9</v>
      </c>
      <c r="FN7" s="64">
        <v>4.6328061808519363E-9</v>
      </c>
      <c r="FO7" s="64">
        <v>4.6328061808519363E-9</v>
      </c>
      <c r="FP7" s="64">
        <v>0</v>
      </c>
      <c r="FQ7" s="64">
        <v>1.04495635172505E-8</v>
      </c>
      <c r="FR7" s="64">
        <v>1.04495635172505E-8</v>
      </c>
      <c r="FS7" s="64">
        <v>1.04495635172505E-8</v>
      </c>
      <c r="FT7" s="64">
        <v>1.04495635172505E-8</v>
      </c>
      <c r="FU7" s="64">
        <v>1.04495635172505E-8</v>
      </c>
      <c r="FV7" s="64">
        <v>1.04495635172505E-8</v>
      </c>
      <c r="FW7" s="64">
        <v>1.04495635172505E-8</v>
      </c>
      <c r="FX7" s="64">
        <v>3.9882695428099639E-9</v>
      </c>
      <c r="FY7" s="64">
        <v>3.9882695428099639E-9</v>
      </c>
      <c r="FZ7" s="64">
        <v>4.2473584055484166E-12</v>
      </c>
      <c r="GA7" s="64">
        <v>4.2473584055484166E-12</v>
      </c>
      <c r="GB7" s="64">
        <v>1.6564697781638831E-10</v>
      </c>
      <c r="GC7" s="64">
        <v>1.061839601387104E-12</v>
      </c>
      <c r="GD7" s="64">
        <v>1.061839601387104E-12</v>
      </c>
      <c r="GE7" s="64">
        <v>9.5565564124839388E-12</v>
      </c>
      <c r="GF7" s="64">
        <v>1.168023561525815E-11</v>
      </c>
      <c r="GG7" s="64">
        <v>3.1855188041613131E-12</v>
      </c>
      <c r="GH7" s="64">
        <v>1.061839601387104E-12</v>
      </c>
      <c r="GI7" s="64">
        <v>4.2473584055484166E-12</v>
      </c>
      <c r="GJ7" s="64">
        <v>1.4865754419419459E-11</v>
      </c>
      <c r="GK7" s="64">
        <v>1.061839601387104E-12</v>
      </c>
      <c r="GL7" s="64">
        <v>1.6362948257375279E-9</v>
      </c>
      <c r="GM7" s="64">
        <v>2.4422310831903401E-11</v>
      </c>
      <c r="GN7" s="64">
        <v>0</v>
      </c>
      <c r="GO7" s="64">
        <v>0</v>
      </c>
      <c r="GP7" s="64">
        <v>0</v>
      </c>
      <c r="GQ7" s="64">
        <v>4.6720942461032587E-11</v>
      </c>
      <c r="GR7" s="64">
        <v>4.6720942461032587E-11</v>
      </c>
      <c r="GS7" s="64">
        <v>2.3997747503844409E-8</v>
      </c>
      <c r="GT7" s="64">
        <v>2.3997747503844409E-8</v>
      </c>
      <c r="GU7" s="64">
        <v>2.3997747503844409E-8</v>
      </c>
      <c r="GV7" s="64">
        <v>2.3997747503844409E-8</v>
      </c>
      <c r="GW7" s="64">
        <v>0</v>
      </c>
      <c r="GX7" s="64">
        <v>2.5797578566632741E-7</v>
      </c>
      <c r="GY7" s="64">
        <v>2.5797578566632741E-7</v>
      </c>
      <c r="GZ7" s="64">
        <v>2.5797578566632741E-7</v>
      </c>
      <c r="HA7" s="64">
        <v>2.5797578566632741E-7</v>
      </c>
      <c r="HB7" s="64">
        <v>2.5797578566632741E-7</v>
      </c>
      <c r="HC7" s="64">
        <v>2.5797578566632741E-7</v>
      </c>
      <c r="HD7" s="64">
        <v>2.5797578566632741E-7</v>
      </c>
      <c r="HE7" s="64">
        <v>8.3992116263455423E-8</v>
      </c>
      <c r="HF7" s="64">
        <v>8.3992116263455423E-8</v>
      </c>
      <c r="HG7" s="64">
        <v>0</v>
      </c>
      <c r="HH7" s="64">
        <v>0</v>
      </c>
      <c r="HI7" s="64">
        <v>7.1993242511533222E-8</v>
      </c>
      <c r="HJ7" s="64">
        <v>0</v>
      </c>
      <c r="HK7" s="64">
        <v>0</v>
      </c>
      <c r="HL7" s="64">
        <v>0</v>
      </c>
      <c r="HM7" s="64">
        <v>0</v>
      </c>
      <c r="HN7" s="64">
        <v>0</v>
      </c>
      <c r="HO7" s="64">
        <v>0</v>
      </c>
      <c r="HP7" s="64">
        <v>0</v>
      </c>
      <c r="HQ7" s="64">
        <v>0</v>
      </c>
      <c r="HR7" s="64">
        <v>0</v>
      </c>
      <c r="HS7" s="64">
        <v>1.19988737519222E-8</v>
      </c>
      <c r="HT7" s="64">
        <v>0</v>
      </c>
      <c r="HU7" s="64">
        <v>0</v>
      </c>
      <c r="HV7" s="64">
        <v>0</v>
      </c>
      <c r="HW7" s="64">
        <v>0</v>
      </c>
      <c r="HX7" s="64">
        <v>0</v>
      </c>
      <c r="HY7" s="64">
        <v>0</v>
      </c>
      <c r="HZ7" s="64">
        <v>3.959628338134328E-7</v>
      </c>
      <c r="IA7" s="64">
        <v>3.959628338134328E-7</v>
      </c>
      <c r="IB7" s="64">
        <v>3.959628338134328E-7</v>
      </c>
      <c r="IC7" s="64">
        <v>3.959628338134328E-7</v>
      </c>
      <c r="ID7" s="64">
        <v>0</v>
      </c>
      <c r="IE7" s="64">
        <v>1.355872733967209E-6</v>
      </c>
      <c r="IF7" s="64">
        <v>1.355872733967209E-6</v>
      </c>
      <c r="IG7" s="64">
        <v>1.355872733967209E-6</v>
      </c>
      <c r="IH7" s="64">
        <v>1.355872733967209E-6</v>
      </c>
      <c r="II7" s="64">
        <v>1.355872733967209E-6</v>
      </c>
      <c r="IJ7" s="64">
        <v>1.355872733967209E-6</v>
      </c>
      <c r="IK7" s="64">
        <v>1.355872733967209E-6</v>
      </c>
      <c r="IL7" s="64">
        <v>8.9991553139416524E-8</v>
      </c>
      <c r="IM7" s="64">
        <v>8.9991553139416524E-8</v>
      </c>
      <c r="IN7" s="64">
        <v>5.9994368759611023E-9</v>
      </c>
      <c r="IO7" s="64">
        <v>5.9994368759611023E-9</v>
      </c>
      <c r="IP7" s="64">
        <v>5.3994931883649919E-8</v>
      </c>
      <c r="IQ7" s="64">
        <v>0</v>
      </c>
      <c r="IR7" s="64">
        <v>0</v>
      </c>
      <c r="IS7" s="64">
        <v>0</v>
      </c>
      <c r="IT7" s="64">
        <v>0</v>
      </c>
      <c r="IU7" s="64">
        <v>5.999436875961102E-8</v>
      </c>
      <c r="IV7" s="64">
        <v>0</v>
      </c>
      <c r="IW7" s="64">
        <v>0</v>
      </c>
      <c r="IX7" s="64">
        <v>5.9994368759611023E-9</v>
      </c>
      <c r="IY7" s="64">
        <v>0</v>
      </c>
      <c r="IZ7" s="64">
        <v>7.1993242511533222E-8</v>
      </c>
      <c r="JA7" s="64">
        <v>0</v>
      </c>
      <c r="JB7" s="64">
        <v>0</v>
      </c>
      <c r="JC7" s="64">
        <v>0</v>
      </c>
      <c r="JD7" s="64">
        <v>0</v>
      </c>
      <c r="JE7" s="64">
        <v>2.999718437980551E-8</v>
      </c>
      <c r="JF7" s="64">
        <v>2.999718437980551E-8</v>
      </c>
      <c r="JG7" s="64">
        <v>4.2356024344285384E-6</v>
      </c>
      <c r="JH7" s="64">
        <v>4.2356024344285384E-6</v>
      </c>
      <c r="JI7" s="64">
        <v>4.2356024344285384E-6</v>
      </c>
      <c r="JJ7" s="64">
        <v>4.2356024344285384E-6</v>
      </c>
      <c r="JK7" s="64">
        <v>0</v>
      </c>
      <c r="JL7" s="64">
        <v>8.1112386562994083E-6</v>
      </c>
      <c r="JM7" s="64">
        <v>8.1112386562994083E-6</v>
      </c>
      <c r="JN7" s="64">
        <v>8.1112386562994083E-6</v>
      </c>
      <c r="JO7" s="64">
        <v>8.1112386562994083E-6</v>
      </c>
      <c r="JP7" s="64">
        <v>8.1112386562994083E-6</v>
      </c>
      <c r="JQ7" s="64">
        <v>8.1112386562994083E-6</v>
      </c>
      <c r="JR7" s="64">
        <v>8.1112386562994083E-6</v>
      </c>
      <c r="JS7" s="64">
        <v>5.2327088432132733E-5</v>
      </c>
      <c r="JT7" s="64">
        <v>5.2327088432132733E-5</v>
      </c>
      <c r="JU7" s="64">
        <v>6.7193693010764338E-7</v>
      </c>
      <c r="JV7" s="64">
        <v>6.7193693010764338E-7</v>
      </c>
      <c r="JW7" s="64">
        <v>1.1206948084295341E-5</v>
      </c>
      <c r="JX7" s="64">
        <v>0</v>
      </c>
      <c r="JY7" s="64">
        <v>0</v>
      </c>
      <c r="JZ7" s="64">
        <v>5.9994368759611023E-9</v>
      </c>
      <c r="KA7" s="64">
        <v>1.7998310627883309E-8</v>
      </c>
      <c r="KB7" s="64">
        <v>2.999718437980551E-8</v>
      </c>
      <c r="KC7" s="64">
        <v>0</v>
      </c>
      <c r="KD7" s="64">
        <v>0</v>
      </c>
      <c r="KE7" s="64">
        <v>4.7995495007688812E-8</v>
      </c>
      <c r="KF7" s="64">
        <v>4.1996058131727711E-8</v>
      </c>
      <c r="KG7" s="64">
        <v>1.19988737519222E-8</v>
      </c>
      <c r="KH7" s="64">
        <v>4.5595720257304381E-7</v>
      </c>
      <c r="KI7" s="64">
        <v>5.9994368759611023E-9</v>
      </c>
      <c r="KJ7" s="64">
        <v>1.19988737519222E-8</v>
      </c>
      <c r="KK7" s="64">
        <v>1.19988737519222E-8</v>
      </c>
      <c r="KL7" s="64">
        <v>7.7992679387494322E-8</v>
      </c>
      <c r="KM7" s="64">
        <v>7.7992679387494322E-8</v>
      </c>
      <c r="KN7" s="64">
        <v>5.9994368759611023E-9</v>
      </c>
      <c r="KO7" s="64">
        <v>5.9994368759611023E-9</v>
      </c>
      <c r="KP7" s="64">
        <v>5.9994368759611023E-9</v>
      </c>
      <c r="KQ7" s="64">
        <v>5.9994368759611023E-9</v>
      </c>
      <c r="KR7" s="64">
        <v>0</v>
      </c>
      <c r="KS7" s="64">
        <v>5.9994368759611023E-9</v>
      </c>
      <c r="KT7" s="64">
        <v>5.9994368759611023E-9</v>
      </c>
      <c r="KU7" s="64">
        <v>5.9994368759611023E-9</v>
      </c>
      <c r="KV7" s="64">
        <v>5.9994368759611023E-9</v>
      </c>
      <c r="KW7" s="64">
        <v>5.9994368759611023E-9</v>
      </c>
      <c r="KX7" s="64">
        <v>5.9994368759611023E-9</v>
      </c>
      <c r="KY7" s="64">
        <v>5.9994368759611023E-9</v>
      </c>
      <c r="KZ7" s="64">
        <v>0</v>
      </c>
      <c r="LA7" s="64">
        <v>0</v>
      </c>
      <c r="LB7" s="64">
        <v>0</v>
      </c>
      <c r="LC7" s="64">
        <v>0</v>
      </c>
      <c r="LD7" s="64">
        <v>0</v>
      </c>
      <c r="LE7" s="64">
        <v>0</v>
      </c>
      <c r="LF7" s="64">
        <v>0</v>
      </c>
      <c r="LG7" s="64">
        <v>0</v>
      </c>
      <c r="LH7" s="64">
        <v>0</v>
      </c>
      <c r="LI7" s="64">
        <v>0</v>
      </c>
      <c r="LJ7" s="64">
        <v>0</v>
      </c>
      <c r="LK7" s="64">
        <v>0</v>
      </c>
      <c r="LL7" s="64">
        <v>0</v>
      </c>
      <c r="LM7" s="64">
        <v>0</v>
      </c>
      <c r="LN7" s="64">
        <v>0</v>
      </c>
      <c r="LO7" s="64">
        <v>0</v>
      </c>
      <c r="LP7" s="64">
        <v>0</v>
      </c>
      <c r="LQ7" s="64">
        <v>0</v>
      </c>
      <c r="LR7" s="64">
        <v>0</v>
      </c>
      <c r="LS7" s="64">
        <v>0</v>
      </c>
      <c r="LT7" s="64">
        <v>0</v>
      </c>
      <c r="LU7" s="64">
        <v>1.428541176304894E-11</v>
      </c>
      <c r="LV7" s="64">
        <v>1.428541176304894E-11</v>
      </c>
      <c r="LW7" s="64">
        <v>1.428541176304894E-11</v>
      </c>
      <c r="LX7" s="64">
        <v>1.428541176304894E-11</v>
      </c>
      <c r="LY7" s="64">
        <v>0</v>
      </c>
      <c r="LZ7" s="64">
        <v>7.1971264977646554E-11</v>
      </c>
      <c r="MA7" s="64">
        <v>7.1971264977646554E-11</v>
      </c>
      <c r="MB7" s="64">
        <v>7.1971264977646554E-11</v>
      </c>
      <c r="MC7" s="64">
        <v>7.1971264977646554E-11</v>
      </c>
      <c r="MD7" s="64">
        <v>7.1971264977646554E-11</v>
      </c>
      <c r="ME7" s="64">
        <v>7.1971264977646554E-11</v>
      </c>
      <c r="MF7" s="64">
        <v>7.1971264977646554E-11</v>
      </c>
      <c r="MG7" s="64">
        <v>2.3264813442679701E-11</v>
      </c>
      <c r="MH7" s="64">
        <v>2.3264813442679701E-11</v>
      </c>
      <c r="MI7" s="64">
        <v>1.3605154060046609E-13</v>
      </c>
      <c r="MJ7" s="64">
        <v>1.3605154060046609E-13</v>
      </c>
      <c r="MK7" s="64">
        <v>1.6054081790855001E-11</v>
      </c>
      <c r="ML7" s="64">
        <v>0</v>
      </c>
      <c r="MM7" s="64">
        <v>0</v>
      </c>
      <c r="MN7" s="64">
        <v>0</v>
      </c>
      <c r="MO7" s="64">
        <v>0</v>
      </c>
      <c r="MP7" s="64">
        <v>1.3605154060046609E-13</v>
      </c>
      <c r="MQ7" s="64">
        <v>0</v>
      </c>
      <c r="MR7" s="64">
        <v>1.3605154060046609E-13</v>
      </c>
      <c r="MS7" s="64">
        <v>2.7210308120093208E-13</v>
      </c>
      <c r="MT7" s="64">
        <v>1.3605154060046609E-13</v>
      </c>
      <c r="MU7" s="64">
        <v>7.2107316518247023E-12</v>
      </c>
      <c r="MV7" s="64">
        <v>0</v>
      </c>
      <c r="MW7" s="64">
        <v>0</v>
      </c>
      <c r="MX7" s="64">
        <v>0</v>
      </c>
      <c r="MY7" s="64">
        <v>0</v>
      </c>
      <c r="MZ7" s="64">
        <v>8.1630924360279654E-13</v>
      </c>
      <c r="NA7" s="64">
        <v>8.1630924360279654E-13</v>
      </c>
      <c r="NB7" s="64"/>
      <c r="NC7" s="64"/>
      <c r="ND7" s="64"/>
      <c r="NE7" s="64"/>
      <c r="NF7" s="64"/>
      <c r="NG7" s="64"/>
      <c r="NH7" s="64"/>
      <c r="NI7" s="64"/>
      <c r="NJ7" s="64"/>
      <c r="NK7" s="64"/>
      <c r="NL7" s="64"/>
      <c r="NM7" s="64"/>
      <c r="NN7" s="64"/>
      <c r="NO7" s="64"/>
      <c r="NP7" s="64"/>
      <c r="NQ7" s="64"/>
      <c r="NR7" s="64"/>
      <c r="NS7" s="64"/>
      <c r="NT7" s="64"/>
      <c r="NU7" s="64"/>
      <c r="NV7" s="64"/>
      <c r="NW7" s="64"/>
      <c r="NX7" s="64"/>
      <c r="NY7" s="64"/>
      <c r="NZ7" s="64"/>
      <c r="OA7" s="64"/>
      <c r="OB7" s="64"/>
      <c r="OC7" s="64"/>
      <c r="OD7" s="64"/>
      <c r="OE7" s="64"/>
      <c r="OF7" s="64"/>
      <c r="OG7" s="64"/>
      <c r="OH7" s="64"/>
      <c r="OI7" s="64"/>
      <c r="OJ7" s="64"/>
      <c r="OK7" s="64"/>
      <c r="OL7" s="64"/>
      <c r="OM7" s="64"/>
      <c r="ON7" s="64"/>
      <c r="OO7" s="64"/>
      <c r="OP7" s="64"/>
      <c r="OQ7" s="64"/>
      <c r="OR7" s="64"/>
      <c r="OS7" s="64"/>
    </row>
    <row r="8" spans="1:409">
      <c r="A8" s="65" t="s">
        <v>91</v>
      </c>
      <c r="B8" s="65" t="s">
        <v>10</v>
      </c>
      <c r="C8" s="65">
        <v>0</v>
      </c>
      <c r="D8" s="65">
        <v>0</v>
      </c>
      <c r="E8" s="65">
        <v>0</v>
      </c>
      <c r="F8" s="65">
        <v>0</v>
      </c>
      <c r="G8" s="65">
        <v>0</v>
      </c>
      <c r="H8" s="65">
        <v>0</v>
      </c>
      <c r="I8" s="65">
        <v>0</v>
      </c>
      <c r="J8" s="65">
        <v>0</v>
      </c>
      <c r="K8" s="65">
        <v>0</v>
      </c>
      <c r="L8" s="65">
        <v>0</v>
      </c>
      <c r="M8" s="65">
        <v>0</v>
      </c>
      <c r="N8" s="65">
        <v>0</v>
      </c>
      <c r="O8" s="65">
        <v>0</v>
      </c>
      <c r="P8" s="65">
        <v>0</v>
      </c>
      <c r="Q8" s="65">
        <v>0</v>
      </c>
      <c r="R8" s="65">
        <v>0</v>
      </c>
      <c r="S8" s="65">
        <v>0</v>
      </c>
      <c r="T8" s="65">
        <v>0</v>
      </c>
      <c r="U8" s="65">
        <v>0</v>
      </c>
      <c r="V8" s="65">
        <v>0</v>
      </c>
      <c r="W8" s="65">
        <v>0</v>
      </c>
      <c r="X8" s="65">
        <v>0</v>
      </c>
      <c r="Y8" s="65">
        <v>0</v>
      </c>
      <c r="Z8" s="65">
        <v>0</v>
      </c>
      <c r="AA8" s="65">
        <v>0</v>
      </c>
      <c r="AB8" s="65">
        <v>0</v>
      </c>
      <c r="AC8" s="65">
        <v>0</v>
      </c>
      <c r="AD8" s="65">
        <v>0</v>
      </c>
      <c r="AE8" s="65">
        <v>0</v>
      </c>
      <c r="AF8" s="65">
        <v>0</v>
      </c>
      <c r="AG8" s="65">
        <v>0</v>
      </c>
      <c r="AH8" s="65">
        <v>0</v>
      </c>
      <c r="AI8" s="65">
        <v>0</v>
      </c>
      <c r="AJ8" s="65">
        <v>0</v>
      </c>
      <c r="AK8" s="65">
        <v>0</v>
      </c>
      <c r="AL8" s="65">
        <v>0</v>
      </c>
      <c r="AM8" s="65">
        <v>0</v>
      </c>
      <c r="AN8" s="65">
        <v>0</v>
      </c>
      <c r="AO8" s="65">
        <v>0</v>
      </c>
      <c r="AP8" s="65">
        <v>0</v>
      </c>
      <c r="AQ8" s="65">
        <v>0</v>
      </c>
      <c r="AR8" s="65">
        <v>0</v>
      </c>
      <c r="AS8" s="65">
        <v>0</v>
      </c>
      <c r="AT8" s="65">
        <v>0</v>
      </c>
      <c r="AU8" s="65">
        <v>0</v>
      </c>
      <c r="AV8" s="65">
        <v>0</v>
      </c>
      <c r="AW8" s="65">
        <v>0</v>
      </c>
      <c r="AX8" s="65">
        <v>0</v>
      </c>
      <c r="AY8" s="65">
        <v>0</v>
      </c>
      <c r="AZ8" s="65">
        <v>0</v>
      </c>
      <c r="BA8" s="65">
        <v>0</v>
      </c>
      <c r="BB8" s="65">
        <v>0</v>
      </c>
      <c r="BC8" s="65">
        <v>0</v>
      </c>
      <c r="BD8" s="65">
        <v>0</v>
      </c>
      <c r="BE8" s="65">
        <v>0</v>
      </c>
      <c r="BF8" s="65">
        <v>0</v>
      </c>
      <c r="BG8" s="65">
        <v>0</v>
      </c>
      <c r="BH8" s="65">
        <v>0</v>
      </c>
      <c r="BI8" s="65">
        <v>0</v>
      </c>
      <c r="BJ8" s="65">
        <v>0</v>
      </c>
      <c r="BK8" s="65">
        <v>0</v>
      </c>
      <c r="BL8" s="65">
        <v>0</v>
      </c>
      <c r="BM8" s="65">
        <v>0</v>
      </c>
      <c r="BN8" s="65">
        <v>0</v>
      </c>
      <c r="BO8" s="65">
        <v>0</v>
      </c>
      <c r="BP8" s="65">
        <v>0</v>
      </c>
      <c r="BQ8" s="65">
        <v>0</v>
      </c>
      <c r="BR8" s="65">
        <v>0</v>
      </c>
      <c r="BS8" s="65">
        <v>0</v>
      </c>
      <c r="BT8" s="65">
        <v>0</v>
      </c>
      <c r="BU8" s="65">
        <v>0</v>
      </c>
      <c r="BV8" s="65">
        <v>0</v>
      </c>
      <c r="BW8" s="65">
        <v>0</v>
      </c>
      <c r="BX8" s="65">
        <v>0</v>
      </c>
      <c r="BY8" s="65">
        <v>0</v>
      </c>
      <c r="BZ8" s="65">
        <v>0</v>
      </c>
      <c r="CA8" s="65">
        <v>0</v>
      </c>
      <c r="CB8" s="65">
        <v>0</v>
      </c>
      <c r="CC8" s="65">
        <v>0</v>
      </c>
      <c r="CD8" s="65">
        <v>0</v>
      </c>
      <c r="CE8" s="65">
        <v>0</v>
      </c>
      <c r="CF8" s="65">
        <v>0</v>
      </c>
      <c r="CG8" s="65">
        <v>0</v>
      </c>
      <c r="CH8" s="65">
        <v>0</v>
      </c>
      <c r="CI8" s="65">
        <v>0</v>
      </c>
      <c r="CJ8" s="65">
        <v>0</v>
      </c>
      <c r="CK8" s="65">
        <v>0</v>
      </c>
      <c r="CL8" s="65">
        <v>0</v>
      </c>
      <c r="CM8" s="65">
        <v>0</v>
      </c>
      <c r="CN8" s="65">
        <v>0</v>
      </c>
      <c r="CO8" s="65">
        <v>0</v>
      </c>
      <c r="CP8" s="65">
        <v>0</v>
      </c>
      <c r="CQ8" s="65">
        <v>0</v>
      </c>
      <c r="CR8" s="65">
        <v>0</v>
      </c>
      <c r="CS8" s="65">
        <v>0</v>
      </c>
      <c r="CT8" s="65">
        <v>0</v>
      </c>
      <c r="CU8" s="65">
        <v>0</v>
      </c>
      <c r="CV8" s="65">
        <v>0</v>
      </c>
      <c r="CW8" s="65">
        <v>0</v>
      </c>
      <c r="CX8" s="65">
        <v>0</v>
      </c>
      <c r="CY8" s="65">
        <v>0</v>
      </c>
      <c r="CZ8" s="65">
        <v>0</v>
      </c>
      <c r="DA8" s="65">
        <v>0</v>
      </c>
      <c r="DB8" s="65">
        <v>0</v>
      </c>
      <c r="DC8" s="65">
        <v>0</v>
      </c>
      <c r="DD8" s="65">
        <v>0</v>
      </c>
      <c r="DE8" s="65">
        <v>0</v>
      </c>
      <c r="DF8" s="65">
        <v>0</v>
      </c>
      <c r="DG8" s="65">
        <v>0</v>
      </c>
      <c r="DH8" s="65">
        <v>0</v>
      </c>
      <c r="DI8" s="65">
        <v>0</v>
      </c>
      <c r="DJ8" s="65">
        <v>0</v>
      </c>
      <c r="DK8" s="65">
        <v>0</v>
      </c>
      <c r="DL8" s="65">
        <v>0</v>
      </c>
      <c r="DM8" s="65">
        <v>0</v>
      </c>
      <c r="DN8" s="65">
        <v>0</v>
      </c>
      <c r="DO8" s="65">
        <v>0</v>
      </c>
      <c r="DP8" s="65">
        <v>0</v>
      </c>
      <c r="DQ8" s="65">
        <v>0</v>
      </c>
      <c r="DR8" s="65">
        <v>0</v>
      </c>
      <c r="DS8" s="65">
        <v>0</v>
      </c>
      <c r="DT8" s="65">
        <v>0</v>
      </c>
      <c r="DU8" s="65">
        <v>0</v>
      </c>
      <c r="DV8" s="65">
        <v>0</v>
      </c>
      <c r="DW8" s="65">
        <v>0</v>
      </c>
      <c r="DX8" s="65">
        <v>0</v>
      </c>
      <c r="DY8" s="65">
        <v>0</v>
      </c>
      <c r="DZ8" s="65">
        <v>0</v>
      </c>
      <c r="EA8" s="65">
        <v>0</v>
      </c>
      <c r="EB8" s="65">
        <v>0</v>
      </c>
      <c r="EC8" s="65">
        <v>0</v>
      </c>
      <c r="ED8" s="65">
        <v>0</v>
      </c>
      <c r="EE8" s="65">
        <v>0</v>
      </c>
      <c r="EF8" s="65">
        <v>0</v>
      </c>
      <c r="EG8" s="65">
        <v>0</v>
      </c>
      <c r="EH8" s="65">
        <v>0</v>
      </c>
      <c r="EI8" s="65">
        <v>0</v>
      </c>
      <c r="EJ8" s="65">
        <v>0</v>
      </c>
      <c r="EK8" s="65">
        <v>0</v>
      </c>
      <c r="EL8" s="65">
        <v>0</v>
      </c>
      <c r="EM8" s="65">
        <v>0</v>
      </c>
      <c r="EN8" s="65">
        <v>0</v>
      </c>
      <c r="EO8" s="65">
        <v>0</v>
      </c>
      <c r="EP8" s="65">
        <v>0</v>
      </c>
      <c r="EQ8" s="65">
        <v>0</v>
      </c>
      <c r="ER8" s="65">
        <v>0</v>
      </c>
      <c r="ES8" s="65">
        <v>0</v>
      </c>
      <c r="ET8" s="65">
        <v>0</v>
      </c>
      <c r="EU8" s="65">
        <v>0</v>
      </c>
      <c r="EV8" s="65">
        <v>0</v>
      </c>
      <c r="EW8" s="65">
        <v>0</v>
      </c>
      <c r="EX8" s="65">
        <v>0</v>
      </c>
      <c r="EY8" s="65">
        <v>0</v>
      </c>
      <c r="EZ8" s="65">
        <v>0</v>
      </c>
      <c r="FA8" s="65">
        <v>0</v>
      </c>
      <c r="FB8" s="65">
        <v>0</v>
      </c>
      <c r="FC8" s="65">
        <v>0</v>
      </c>
      <c r="FD8" s="65">
        <v>0</v>
      </c>
      <c r="FE8" s="65">
        <v>0</v>
      </c>
      <c r="FF8" s="65">
        <v>0</v>
      </c>
      <c r="FG8" s="65">
        <v>0</v>
      </c>
      <c r="FH8" s="65">
        <v>0</v>
      </c>
      <c r="FI8" s="65">
        <v>0</v>
      </c>
      <c r="FJ8" s="65">
        <v>0</v>
      </c>
      <c r="FK8" s="65">
        <v>0</v>
      </c>
      <c r="FL8" s="65">
        <v>0</v>
      </c>
      <c r="FM8" s="65">
        <v>0</v>
      </c>
      <c r="FN8" s="65">
        <v>0</v>
      </c>
      <c r="FO8" s="65">
        <v>0</v>
      </c>
      <c r="FP8" s="65">
        <v>0</v>
      </c>
      <c r="FQ8" s="65">
        <v>0</v>
      </c>
      <c r="FR8" s="65">
        <v>0</v>
      </c>
      <c r="FS8" s="65">
        <v>0</v>
      </c>
      <c r="FT8" s="65">
        <v>0</v>
      </c>
      <c r="FU8" s="65">
        <v>0</v>
      </c>
      <c r="FV8" s="65">
        <v>0</v>
      </c>
      <c r="FW8" s="65">
        <v>0</v>
      </c>
      <c r="FX8" s="65">
        <v>0</v>
      </c>
      <c r="FY8" s="65">
        <v>0</v>
      </c>
      <c r="FZ8" s="65">
        <v>0</v>
      </c>
      <c r="GA8" s="65">
        <v>0</v>
      </c>
      <c r="GB8" s="65">
        <v>0</v>
      </c>
      <c r="GC8" s="65">
        <v>0</v>
      </c>
      <c r="GD8" s="65">
        <v>0</v>
      </c>
      <c r="GE8" s="65">
        <v>0</v>
      </c>
      <c r="GF8" s="65">
        <v>0</v>
      </c>
      <c r="GG8" s="65">
        <v>0</v>
      </c>
      <c r="GH8" s="65">
        <v>0</v>
      </c>
      <c r="GI8" s="65">
        <v>0</v>
      </c>
      <c r="GJ8" s="65">
        <v>0</v>
      </c>
      <c r="GK8" s="65">
        <v>0</v>
      </c>
      <c r="GL8" s="65">
        <v>0</v>
      </c>
      <c r="GM8" s="65">
        <v>0</v>
      </c>
      <c r="GN8" s="65">
        <v>0</v>
      </c>
      <c r="GO8" s="65">
        <v>0</v>
      </c>
      <c r="GP8" s="65">
        <v>0</v>
      </c>
      <c r="GQ8" s="65">
        <v>0</v>
      </c>
      <c r="GR8" s="65">
        <v>0</v>
      </c>
      <c r="GS8" s="65">
        <v>0</v>
      </c>
      <c r="GT8" s="65">
        <v>0</v>
      </c>
      <c r="GU8" s="65">
        <v>0</v>
      </c>
      <c r="GV8" s="65">
        <v>0</v>
      </c>
      <c r="GW8" s="65">
        <v>0</v>
      </c>
      <c r="GX8" s="65">
        <v>0</v>
      </c>
      <c r="GY8" s="65">
        <v>0</v>
      </c>
      <c r="GZ8" s="65">
        <v>0</v>
      </c>
      <c r="HA8" s="65">
        <v>0</v>
      </c>
      <c r="HB8" s="65">
        <v>0</v>
      </c>
      <c r="HC8" s="65">
        <v>0</v>
      </c>
      <c r="HD8" s="65">
        <v>0</v>
      </c>
      <c r="HE8" s="65">
        <v>0</v>
      </c>
      <c r="HF8" s="65">
        <v>0</v>
      </c>
      <c r="HG8" s="65">
        <v>0</v>
      </c>
      <c r="HH8" s="65">
        <v>0</v>
      </c>
      <c r="HI8" s="65">
        <v>0</v>
      </c>
      <c r="HJ8" s="65">
        <v>0</v>
      </c>
      <c r="HK8" s="65">
        <v>0</v>
      </c>
      <c r="HL8" s="65">
        <v>0</v>
      </c>
      <c r="HM8" s="65">
        <v>0</v>
      </c>
      <c r="HN8" s="65">
        <v>0</v>
      </c>
      <c r="HO8" s="65">
        <v>0</v>
      </c>
      <c r="HP8" s="65">
        <v>0</v>
      </c>
      <c r="HQ8" s="65">
        <v>0</v>
      </c>
      <c r="HR8" s="65">
        <v>0</v>
      </c>
      <c r="HS8" s="65">
        <v>0</v>
      </c>
      <c r="HT8" s="65">
        <v>0</v>
      </c>
      <c r="HU8" s="65">
        <v>0</v>
      </c>
      <c r="HV8" s="65">
        <v>0</v>
      </c>
      <c r="HW8" s="65">
        <v>0</v>
      </c>
      <c r="HX8" s="65">
        <v>0</v>
      </c>
      <c r="HY8" s="65">
        <v>0</v>
      </c>
      <c r="HZ8" s="65">
        <v>0</v>
      </c>
      <c r="IA8" s="65">
        <v>0</v>
      </c>
      <c r="IB8" s="65">
        <v>0</v>
      </c>
      <c r="IC8" s="65">
        <v>0</v>
      </c>
      <c r="ID8" s="65">
        <v>0</v>
      </c>
      <c r="IE8" s="65">
        <v>0</v>
      </c>
      <c r="IF8" s="65">
        <v>0</v>
      </c>
      <c r="IG8" s="65">
        <v>0</v>
      </c>
      <c r="IH8" s="65">
        <v>0</v>
      </c>
      <c r="II8" s="65">
        <v>0</v>
      </c>
      <c r="IJ8" s="65">
        <v>0</v>
      </c>
      <c r="IK8" s="65">
        <v>0</v>
      </c>
      <c r="IL8" s="65">
        <v>0</v>
      </c>
      <c r="IM8" s="65">
        <v>0</v>
      </c>
      <c r="IN8" s="65">
        <v>0</v>
      </c>
      <c r="IO8" s="65">
        <v>0</v>
      </c>
      <c r="IP8" s="65">
        <v>0</v>
      </c>
      <c r="IQ8" s="65">
        <v>0</v>
      </c>
      <c r="IR8" s="65">
        <v>0</v>
      </c>
      <c r="IS8" s="65">
        <v>0</v>
      </c>
      <c r="IT8" s="65">
        <v>0</v>
      </c>
      <c r="IU8" s="65">
        <v>0</v>
      </c>
      <c r="IV8" s="65">
        <v>0</v>
      </c>
      <c r="IW8" s="65">
        <v>0</v>
      </c>
      <c r="IX8" s="65">
        <v>0</v>
      </c>
      <c r="IY8" s="65">
        <v>0</v>
      </c>
      <c r="IZ8" s="65">
        <v>0</v>
      </c>
      <c r="JA8" s="65">
        <v>0</v>
      </c>
      <c r="JB8" s="65">
        <v>0</v>
      </c>
      <c r="JC8" s="65">
        <v>0</v>
      </c>
      <c r="JD8" s="65">
        <v>0</v>
      </c>
      <c r="JE8" s="65">
        <v>0</v>
      </c>
      <c r="JF8" s="65">
        <v>0</v>
      </c>
      <c r="JG8" s="65">
        <v>0</v>
      </c>
      <c r="JH8" s="65">
        <v>0</v>
      </c>
      <c r="JI8" s="65">
        <v>0</v>
      </c>
      <c r="JJ8" s="65">
        <v>0</v>
      </c>
      <c r="JK8" s="65">
        <v>0</v>
      </c>
      <c r="JL8" s="65">
        <v>0</v>
      </c>
      <c r="JM8" s="65">
        <v>0</v>
      </c>
      <c r="JN8" s="65">
        <v>0</v>
      </c>
      <c r="JO8" s="65">
        <v>0</v>
      </c>
      <c r="JP8" s="65">
        <v>0</v>
      </c>
      <c r="JQ8" s="65">
        <v>0</v>
      </c>
      <c r="JR8" s="65">
        <v>0</v>
      </c>
      <c r="JS8" s="65">
        <v>0</v>
      </c>
      <c r="JT8" s="65">
        <v>0</v>
      </c>
      <c r="JU8" s="65">
        <v>0</v>
      </c>
      <c r="JV8" s="65">
        <v>0</v>
      </c>
      <c r="JW8" s="65">
        <v>0</v>
      </c>
      <c r="JX8" s="65">
        <v>0</v>
      </c>
      <c r="JY8" s="65">
        <v>0</v>
      </c>
      <c r="JZ8" s="65">
        <v>0</v>
      </c>
      <c r="KA8" s="65">
        <v>0</v>
      </c>
      <c r="KB8" s="65">
        <v>0</v>
      </c>
      <c r="KC8" s="65">
        <v>0</v>
      </c>
      <c r="KD8" s="65">
        <v>0</v>
      </c>
      <c r="KE8" s="65">
        <v>0</v>
      </c>
      <c r="KF8" s="65">
        <v>0</v>
      </c>
      <c r="KG8" s="65">
        <v>0</v>
      </c>
      <c r="KH8" s="65">
        <v>0</v>
      </c>
      <c r="KI8" s="65">
        <v>0</v>
      </c>
      <c r="KJ8" s="65">
        <v>0</v>
      </c>
      <c r="KK8" s="65">
        <v>0</v>
      </c>
      <c r="KL8" s="65">
        <v>0</v>
      </c>
      <c r="KM8" s="65">
        <v>0</v>
      </c>
      <c r="KN8" s="65">
        <v>0</v>
      </c>
      <c r="KO8" s="65">
        <v>0</v>
      </c>
      <c r="KP8" s="65">
        <v>0</v>
      </c>
      <c r="KQ8" s="65">
        <v>0</v>
      </c>
      <c r="KR8" s="65">
        <v>0</v>
      </c>
      <c r="KS8" s="65">
        <v>0</v>
      </c>
      <c r="KT8" s="65">
        <v>0</v>
      </c>
      <c r="KU8" s="65">
        <v>0</v>
      </c>
      <c r="KV8" s="65">
        <v>0</v>
      </c>
      <c r="KW8" s="65">
        <v>0</v>
      </c>
      <c r="KX8" s="65">
        <v>0</v>
      </c>
      <c r="KY8" s="65">
        <v>0</v>
      </c>
      <c r="KZ8" s="65">
        <v>0</v>
      </c>
      <c r="LA8" s="65">
        <v>0</v>
      </c>
      <c r="LB8" s="65">
        <v>0</v>
      </c>
      <c r="LC8" s="65">
        <v>0</v>
      </c>
      <c r="LD8" s="65">
        <v>0</v>
      </c>
      <c r="LE8" s="65">
        <v>0</v>
      </c>
      <c r="LF8" s="65">
        <v>0</v>
      </c>
      <c r="LG8" s="65">
        <v>0</v>
      </c>
      <c r="LH8" s="65">
        <v>0</v>
      </c>
      <c r="LI8" s="65">
        <v>0</v>
      </c>
      <c r="LJ8" s="65">
        <v>0</v>
      </c>
      <c r="LK8" s="65">
        <v>0</v>
      </c>
      <c r="LL8" s="65">
        <v>0</v>
      </c>
      <c r="LM8" s="65">
        <v>0</v>
      </c>
      <c r="LN8" s="65">
        <v>0</v>
      </c>
      <c r="LO8" s="65">
        <v>0</v>
      </c>
      <c r="LP8" s="65">
        <v>0</v>
      </c>
      <c r="LQ8" s="65">
        <v>0</v>
      </c>
      <c r="LR8" s="65">
        <v>0</v>
      </c>
      <c r="LS8" s="65">
        <v>0</v>
      </c>
      <c r="LT8" s="65">
        <v>0</v>
      </c>
      <c r="LU8" s="65">
        <v>0</v>
      </c>
      <c r="LV8" s="65">
        <v>0</v>
      </c>
      <c r="LW8" s="65">
        <v>0</v>
      </c>
      <c r="LX8" s="65">
        <v>0</v>
      </c>
      <c r="LY8" s="65">
        <v>0</v>
      </c>
      <c r="LZ8" s="65">
        <v>0</v>
      </c>
      <c r="MA8" s="65">
        <v>0</v>
      </c>
      <c r="MB8" s="65">
        <v>0</v>
      </c>
      <c r="MC8" s="65">
        <v>0</v>
      </c>
      <c r="MD8" s="65">
        <v>0</v>
      </c>
      <c r="ME8" s="65">
        <v>0</v>
      </c>
      <c r="MF8" s="65">
        <v>0</v>
      </c>
      <c r="MG8" s="65">
        <v>0</v>
      </c>
      <c r="MH8" s="65">
        <v>0</v>
      </c>
      <c r="MI8" s="65">
        <v>0</v>
      </c>
      <c r="MJ8" s="65">
        <v>0</v>
      </c>
      <c r="MK8" s="65">
        <v>0</v>
      </c>
      <c r="ML8" s="65">
        <v>0</v>
      </c>
      <c r="MM8" s="65">
        <v>0</v>
      </c>
      <c r="MN8" s="65">
        <v>0</v>
      </c>
      <c r="MO8" s="65">
        <v>0</v>
      </c>
      <c r="MP8" s="65">
        <v>0</v>
      </c>
      <c r="MQ8" s="65">
        <v>0</v>
      </c>
      <c r="MR8" s="65">
        <v>0</v>
      </c>
      <c r="MS8" s="65">
        <v>0</v>
      </c>
      <c r="MT8" s="65">
        <v>0</v>
      </c>
      <c r="MU8" s="65">
        <v>0</v>
      </c>
      <c r="MV8" s="65">
        <v>0</v>
      </c>
      <c r="MW8" s="65">
        <v>0</v>
      </c>
      <c r="MX8" s="65">
        <v>0</v>
      </c>
      <c r="MY8" s="65">
        <v>0</v>
      </c>
      <c r="MZ8" s="65">
        <v>0</v>
      </c>
      <c r="NA8" s="65">
        <v>0</v>
      </c>
      <c r="NB8" s="65"/>
      <c r="NC8" s="65"/>
      <c r="ND8" s="65"/>
      <c r="NE8" s="65"/>
      <c r="NF8" s="65"/>
      <c r="NG8" s="65"/>
      <c r="NH8" s="65"/>
      <c r="NI8" s="65"/>
      <c r="NJ8" s="65"/>
      <c r="NK8" s="65"/>
      <c r="NL8" s="65"/>
      <c r="NM8" s="65"/>
      <c r="NN8" s="65"/>
      <c r="NO8" s="65"/>
      <c r="NP8" s="65"/>
      <c r="NQ8" s="65"/>
      <c r="NR8" s="65"/>
      <c r="NS8" s="65"/>
      <c r="NT8" s="65"/>
      <c r="NU8" s="65"/>
      <c r="NV8" s="65"/>
      <c r="NW8" s="65"/>
      <c r="NX8" s="65"/>
      <c r="NY8" s="65"/>
      <c r="NZ8" s="65"/>
      <c r="OA8" s="65"/>
      <c r="OB8" s="65"/>
      <c r="OC8" s="65"/>
      <c r="OD8" s="65"/>
      <c r="OE8" s="65"/>
      <c r="OF8" s="65"/>
      <c r="OG8" s="65"/>
      <c r="OH8" s="65"/>
      <c r="OI8" s="65"/>
      <c r="OJ8" s="65"/>
      <c r="OK8" s="65"/>
      <c r="OL8" s="65"/>
      <c r="OM8" s="65"/>
      <c r="ON8" s="65"/>
      <c r="OO8" s="65"/>
      <c r="OP8" s="65"/>
      <c r="OQ8" s="65"/>
      <c r="OR8" s="65"/>
      <c r="OS8" s="65"/>
    </row>
    <row r="9" spans="1:409">
      <c r="A9" s="64" t="s">
        <v>603</v>
      </c>
      <c r="B9" s="64" t="s">
        <v>586</v>
      </c>
      <c r="C9" s="64">
        <v>9.3898892015519773E-5</v>
      </c>
      <c r="D9" s="64">
        <v>7.7251273774967645E-5</v>
      </c>
      <c r="E9" s="64">
        <v>0</v>
      </c>
      <c r="F9" s="64">
        <v>0</v>
      </c>
      <c r="G9" s="64">
        <v>0</v>
      </c>
      <c r="H9" s="64">
        <v>8.040985064623871E-3</v>
      </c>
      <c r="I9" s="64">
        <v>0</v>
      </c>
      <c r="J9" s="64">
        <v>4.5325354727964962E-5</v>
      </c>
      <c r="K9" s="64">
        <v>1.6127066249109741E-3</v>
      </c>
      <c r="L9" s="64">
        <v>0</v>
      </c>
      <c r="M9" s="64">
        <v>1.07319390052188E-2</v>
      </c>
      <c r="N9" s="64">
        <v>3.7279152050416549E-5</v>
      </c>
      <c r="O9" s="64">
        <v>0</v>
      </c>
      <c r="P9" s="64">
        <v>4.3581754049730567E-2</v>
      </c>
      <c r="Q9" s="64">
        <v>5.3917796689422989E-5</v>
      </c>
      <c r="R9" s="64">
        <v>3.0332075948168378E-5</v>
      </c>
      <c r="S9" s="64">
        <v>4.5916723549488061E-4</v>
      </c>
      <c r="T9" s="64">
        <v>0</v>
      </c>
      <c r="U9" s="64">
        <v>0</v>
      </c>
      <c r="V9" s="64">
        <v>2.1538461538461529E-6</v>
      </c>
      <c r="W9" s="64">
        <v>2.3250000000000001E-4</v>
      </c>
      <c r="X9" s="64">
        <v>5.3571428571428579E-6</v>
      </c>
      <c r="Y9" s="64">
        <v>0</v>
      </c>
      <c r="Z9" s="64">
        <v>2.5886792452830189E-5</v>
      </c>
      <c r="AA9" s="64">
        <v>7.1443298969072169E-5</v>
      </c>
      <c r="AB9" s="64">
        <v>1.7319402985074619E-4</v>
      </c>
      <c r="AC9" s="64">
        <v>2.7478631096371438E-2</v>
      </c>
      <c r="AD9" s="64">
        <v>1.04375E-5</v>
      </c>
      <c r="AE9" s="64">
        <v>0</v>
      </c>
      <c r="AF9" s="64">
        <v>3.2499999999999997E-5</v>
      </c>
      <c r="AG9" s="64">
        <v>2.1651376146788991E-6</v>
      </c>
      <c r="AH9" s="64">
        <v>9.1581075521237464E-3</v>
      </c>
      <c r="AI9" s="64">
        <v>3.7872719729001341E-4</v>
      </c>
      <c r="AJ9" s="64">
        <v>0</v>
      </c>
      <c r="AK9" s="64">
        <v>0</v>
      </c>
      <c r="AL9" s="64">
        <v>0</v>
      </c>
      <c r="AM9" s="64">
        <v>0</v>
      </c>
      <c r="AN9" s="64">
        <v>0</v>
      </c>
      <c r="AO9" s="64">
        <v>0</v>
      </c>
      <c r="AP9" s="64">
        <v>0</v>
      </c>
      <c r="AQ9" s="64">
        <v>0</v>
      </c>
      <c r="AR9" s="64">
        <v>0</v>
      </c>
      <c r="AS9" s="64">
        <v>0</v>
      </c>
      <c r="AT9" s="64">
        <v>0</v>
      </c>
      <c r="AU9" s="64">
        <v>0</v>
      </c>
      <c r="AV9" s="64">
        <v>0</v>
      </c>
      <c r="AW9" s="64">
        <v>0</v>
      </c>
      <c r="AX9" s="64">
        <v>0</v>
      </c>
      <c r="AY9" s="64">
        <v>0</v>
      </c>
      <c r="AZ9" s="64">
        <v>0</v>
      </c>
      <c r="BA9" s="64">
        <v>0</v>
      </c>
      <c r="BB9" s="64">
        <v>0</v>
      </c>
      <c r="BC9" s="64">
        <v>0</v>
      </c>
      <c r="BD9" s="64">
        <v>0</v>
      </c>
      <c r="BE9" s="64">
        <v>0</v>
      </c>
      <c r="BF9" s="64">
        <v>0</v>
      </c>
      <c r="BG9" s="64">
        <v>0</v>
      </c>
      <c r="BH9" s="64">
        <v>0</v>
      </c>
      <c r="BI9" s="64">
        <v>0</v>
      </c>
      <c r="BJ9" s="64">
        <v>0</v>
      </c>
      <c r="BK9" s="64">
        <v>0</v>
      </c>
      <c r="BL9" s="64">
        <v>0</v>
      </c>
      <c r="BM9" s="64">
        <v>0</v>
      </c>
      <c r="BN9" s="64">
        <v>0</v>
      </c>
      <c r="BO9" s="64">
        <v>0</v>
      </c>
      <c r="BP9" s="64">
        <v>0</v>
      </c>
      <c r="BQ9" s="64">
        <v>0</v>
      </c>
      <c r="BR9" s="64">
        <v>0</v>
      </c>
      <c r="BS9" s="64">
        <v>0</v>
      </c>
      <c r="BT9" s="64">
        <v>0</v>
      </c>
      <c r="BU9" s="64">
        <v>0</v>
      </c>
      <c r="BV9" s="64">
        <v>0</v>
      </c>
      <c r="BW9" s="64">
        <v>0</v>
      </c>
      <c r="BX9" s="64">
        <v>0</v>
      </c>
      <c r="BY9" s="64">
        <v>0</v>
      </c>
      <c r="BZ9" s="64">
        <v>0</v>
      </c>
      <c r="CA9" s="64">
        <v>0</v>
      </c>
      <c r="CB9" s="64">
        <v>0</v>
      </c>
      <c r="CC9" s="64">
        <v>0</v>
      </c>
      <c r="CD9" s="64">
        <v>0</v>
      </c>
      <c r="CE9" s="64">
        <v>0</v>
      </c>
      <c r="CF9" s="64">
        <v>0</v>
      </c>
      <c r="CG9" s="64">
        <v>0</v>
      </c>
      <c r="CH9" s="64">
        <v>0</v>
      </c>
      <c r="CI9" s="64">
        <v>0</v>
      </c>
      <c r="CJ9" s="64">
        <v>0</v>
      </c>
      <c r="CK9" s="64">
        <v>0</v>
      </c>
      <c r="CL9" s="64">
        <v>0</v>
      </c>
      <c r="CM9" s="64">
        <v>0</v>
      </c>
      <c r="CN9" s="64">
        <v>0</v>
      </c>
      <c r="CO9" s="64">
        <v>0</v>
      </c>
      <c r="CP9" s="64">
        <v>0</v>
      </c>
      <c r="CQ9" s="64">
        <v>0</v>
      </c>
      <c r="CR9" s="64">
        <v>0</v>
      </c>
      <c r="CS9" s="64">
        <v>0</v>
      </c>
      <c r="CT9" s="64">
        <v>0</v>
      </c>
      <c r="CU9" s="64">
        <v>0</v>
      </c>
      <c r="CV9" s="64">
        <v>0</v>
      </c>
      <c r="CW9" s="64">
        <v>0</v>
      </c>
      <c r="CX9" s="64">
        <v>0</v>
      </c>
      <c r="CY9" s="64">
        <v>0</v>
      </c>
      <c r="CZ9" s="64">
        <v>0</v>
      </c>
      <c r="DA9" s="64">
        <v>0</v>
      </c>
      <c r="DB9" s="64">
        <v>0</v>
      </c>
      <c r="DC9" s="64">
        <v>0</v>
      </c>
      <c r="DD9" s="64">
        <v>0</v>
      </c>
      <c r="DE9" s="64">
        <v>0</v>
      </c>
      <c r="DF9" s="64">
        <v>0</v>
      </c>
      <c r="DG9" s="64">
        <v>0</v>
      </c>
      <c r="DH9" s="64">
        <v>0</v>
      </c>
      <c r="DI9" s="64">
        <v>0</v>
      </c>
      <c r="DJ9" s="64">
        <v>0</v>
      </c>
      <c r="DK9" s="64">
        <v>0</v>
      </c>
      <c r="DL9" s="64">
        <v>0</v>
      </c>
      <c r="DM9" s="64">
        <v>0</v>
      </c>
      <c r="DN9" s="64">
        <v>0</v>
      </c>
      <c r="DO9" s="64">
        <v>0</v>
      </c>
      <c r="DP9" s="64">
        <v>0</v>
      </c>
      <c r="DQ9" s="64">
        <v>0</v>
      </c>
      <c r="DR9" s="64">
        <v>0</v>
      </c>
      <c r="DS9" s="64">
        <v>0</v>
      </c>
      <c r="DT9" s="64">
        <v>0</v>
      </c>
      <c r="DU9" s="64">
        <v>0</v>
      </c>
      <c r="DV9" s="64">
        <v>0</v>
      </c>
      <c r="DW9" s="64">
        <v>0</v>
      </c>
      <c r="DX9" s="64">
        <v>0</v>
      </c>
      <c r="DY9" s="64">
        <v>0</v>
      </c>
      <c r="DZ9" s="64">
        <v>0</v>
      </c>
      <c r="EA9" s="64">
        <v>0</v>
      </c>
      <c r="EB9" s="64">
        <v>0</v>
      </c>
      <c r="EC9" s="64">
        <v>0</v>
      </c>
      <c r="ED9" s="64">
        <v>0</v>
      </c>
      <c r="EE9" s="64">
        <v>0</v>
      </c>
      <c r="EF9" s="64">
        <v>0</v>
      </c>
      <c r="EG9" s="64">
        <v>0</v>
      </c>
      <c r="EH9" s="64">
        <v>0</v>
      </c>
      <c r="EI9" s="64">
        <v>0</v>
      </c>
      <c r="EJ9" s="64">
        <v>0</v>
      </c>
      <c r="EK9" s="64">
        <v>0</v>
      </c>
      <c r="EL9" s="64">
        <v>0</v>
      </c>
      <c r="EM9" s="64">
        <v>0</v>
      </c>
      <c r="EN9" s="64">
        <v>0</v>
      </c>
      <c r="EO9" s="64">
        <v>0</v>
      </c>
      <c r="EP9" s="64">
        <v>0</v>
      </c>
      <c r="EQ9" s="64">
        <v>0</v>
      </c>
      <c r="ER9" s="64">
        <v>0</v>
      </c>
      <c r="ES9" s="64">
        <v>0</v>
      </c>
      <c r="ET9" s="64">
        <v>0</v>
      </c>
      <c r="EU9" s="64">
        <v>0</v>
      </c>
      <c r="EV9" s="64">
        <v>0</v>
      </c>
      <c r="EW9" s="64">
        <v>0</v>
      </c>
      <c r="EX9" s="64">
        <v>0</v>
      </c>
      <c r="EY9" s="64">
        <v>0</v>
      </c>
      <c r="EZ9" s="64">
        <v>0</v>
      </c>
      <c r="FA9" s="64">
        <v>0</v>
      </c>
      <c r="FB9" s="64">
        <v>0</v>
      </c>
      <c r="FC9" s="64">
        <v>0</v>
      </c>
      <c r="FD9" s="64">
        <v>0</v>
      </c>
      <c r="FE9" s="64">
        <v>0</v>
      </c>
      <c r="FF9" s="64">
        <v>0</v>
      </c>
      <c r="FG9" s="64">
        <v>0</v>
      </c>
      <c r="FH9" s="64">
        <v>0</v>
      </c>
      <c r="FI9" s="64">
        <v>0</v>
      </c>
      <c r="FJ9" s="64">
        <v>0</v>
      </c>
      <c r="FK9" s="64">
        <v>0</v>
      </c>
      <c r="FL9" s="64">
        <v>0</v>
      </c>
      <c r="FM9" s="64">
        <v>0</v>
      </c>
      <c r="FN9" s="64">
        <v>0</v>
      </c>
      <c r="FO9" s="64">
        <v>0</v>
      </c>
      <c r="FP9" s="64">
        <v>0</v>
      </c>
      <c r="FQ9" s="64">
        <v>0</v>
      </c>
      <c r="FR9" s="64">
        <v>0</v>
      </c>
      <c r="FS9" s="64">
        <v>0</v>
      </c>
      <c r="FT9" s="64">
        <v>0</v>
      </c>
      <c r="FU9" s="64">
        <v>0</v>
      </c>
      <c r="FV9" s="64">
        <v>0</v>
      </c>
      <c r="FW9" s="64">
        <v>0</v>
      </c>
      <c r="FX9" s="64">
        <v>0</v>
      </c>
      <c r="FY9" s="64">
        <v>0</v>
      </c>
      <c r="FZ9" s="64">
        <v>0</v>
      </c>
      <c r="GA9" s="64">
        <v>0</v>
      </c>
      <c r="GB9" s="64">
        <v>0</v>
      </c>
      <c r="GC9" s="64">
        <v>0</v>
      </c>
      <c r="GD9" s="64">
        <v>0</v>
      </c>
      <c r="GE9" s="64">
        <v>0</v>
      </c>
      <c r="GF9" s="64">
        <v>0</v>
      </c>
      <c r="GG9" s="64">
        <v>0</v>
      </c>
      <c r="GH9" s="64">
        <v>0</v>
      </c>
      <c r="GI9" s="64">
        <v>0</v>
      </c>
      <c r="GJ9" s="64">
        <v>0</v>
      </c>
      <c r="GK9" s="64">
        <v>0</v>
      </c>
      <c r="GL9" s="64">
        <v>0</v>
      </c>
      <c r="GM9" s="64">
        <v>0</v>
      </c>
      <c r="GN9" s="64">
        <v>0</v>
      </c>
      <c r="GO9" s="64">
        <v>0</v>
      </c>
      <c r="GP9" s="64">
        <v>0</v>
      </c>
      <c r="GQ9" s="64">
        <v>0</v>
      </c>
      <c r="GR9" s="64">
        <v>0</v>
      </c>
      <c r="GS9" s="64">
        <v>0</v>
      </c>
      <c r="GT9" s="64">
        <v>0</v>
      </c>
      <c r="GU9" s="64">
        <v>0</v>
      </c>
      <c r="GV9" s="64">
        <v>0</v>
      </c>
      <c r="GW9" s="64">
        <v>0</v>
      </c>
      <c r="GX9" s="64">
        <v>0</v>
      </c>
      <c r="GY9" s="64">
        <v>0</v>
      </c>
      <c r="GZ9" s="64">
        <v>0</v>
      </c>
      <c r="HA9" s="64">
        <v>0</v>
      </c>
      <c r="HB9" s="64">
        <v>0</v>
      </c>
      <c r="HC9" s="64">
        <v>0</v>
      </c>
      <c r="HD9" s="64">
        <v>0</v>
      </c>
      <c r="HE9" s="64">
        <v>0</v>
      </c>
      <c r="HF9" s="64">
        <v>0</v>
      </c>
      <c r="HG9" s="64">
        <v>0</v>
      </c>
      <c r="HH9" s="64">
        <v>0</v>
      </c>
      <c r="HI9" s="64">
        <v>0</v>
      </c>
      <c r="HJ9" s="64">
        <v>0</v>
      </c>
      <c r="HK9" s="64">
        <v>0</v>
      </c>
      <c r="HL9" s="64">
        <v>0</v>
      </c>
      <c r="HM9" s="64">
        <v>0</v>
      </c>
      <c r="HN9" s="64">
        <v>0</v>
      </c>
      <c r="HO9" s="64">
        <v>0</v>
      </c>
      <c r="HP9" s="64">
        <v>0</v>
      </c>
      <c r="HQ9" s="64">
        <v>0</v>
      </c>
      <c r="HR9" s="64">
        <v>0</v>
      </c>
      <c r="HS9" s="64">
        <v>0</v>
      </c>
      <c r="HT9" s="64">
        <v>0</v>
      </c>
      <c r="HU9" s="64">
        <v>0</v>
      </c>
      <c r="HV9" s="64">
        <v>0</v>
      </c>
      <c r="HW9" s="64">
        <v>0</v>
      </c>
      <c r="HX9" s="64">
        <v>0</v>
      </c>
      <c r="HY9" s="64">
        <v>0</v>
      </c>
      <c r="HZ9" s="64">
        <v>1.457455991964211E-4</v>
      </c>
      <c r="IA9" s="64">
        <v>1.457455991964211E-4</v>
      </c>
      <c r="IB9" s="64">
        <v>1.457455991964211E-4</v>
      </c>
      <c r="IC9" s="64">
        <v>1.457455991964211E-4</v>
      </c>
      <c r="ID9" s="64">
        <v>0</v>
      </c>
      <c r="IE9" s="64">
        <v>2.4207745072008299E-4</v>
      </c>
      <c r="IF9" s="64">
        <v>2.4207745072008299E-4</v>
      </c>
      <c r="IG9" s="64">
        <v>2.4207745072008299E-4</v>
      </c>
      <c r="IH9" s="64">
        <v>2.4207745072008299E-4</v>
      </c>
      <c r="II9" s="64">
        <v>2.4207745072008299E-4</v>
      </c>
      <c r="IJ9" s="64">
        <v>2.4207745072008299E-4</v>
      </c>
      <c r="IK9" s="64">
        <v>2.4207745072008299E-4</v>
      </c>
      <c r="IL9" s="64">
        <v>2.9947725862278298E-6</v>
      </c>
      <c r="IM9" s="64">
        <v>2.9947725862278298E-6</v>
      </c>
      <c r="IN9" s="64">
        <v>3.8932043620961802E-5</v>
      </c>
      <c r="IO9" s="64">
        <v>3.8932043620961802E-5</v>
      </c>
      <c r="IP9" s="64">
        <v>3.044685462664961E-5</v>
      </c>
      <c r="IQ9" s="64">
        <v>1.99651505748522E-6</v>
      </c>
      <c r="IR9" s="64">
        <v>4.9912876437130501E-7</v>
      </c>
      <c r="IS9" s="64">
        <v>2.9947725862278298E-6</v>
      </c>
      <c r="IT9" s="64">
        <v>9.9825752874261001E-7</v>
      </c>
      <c r="IU9" s="64">
        <v>6.9878027011982707E-6</v>
      </c>
      <c r="IV9" s="64">
        <v>4.9912876437130501E-7</v>
      </c>
      <c r="IW9" s="64">
        <v>2.9947725862278298E-6</v>
      </c>
      <c r="IX9" s="64">
        <v>3.99303011497044E-6</v>
      </c>
      <c r="IY9" s="64">
        <v>2.495643821856526E-6</v>
      </c>
      <c r="IZ9" s="64">
        <v>6.9878027011982707E-6</v>
      </c>
      <c r="JA9" s="64">
        <v>1.4973862931139149E-6</v>
      </c>
      <c r="JB9" s="64">
        <v>9.9825752874261001E-7</v>
      </c>
      <c r="JC9" s="64">
        <v>1.4973862931139149E-6</v>
      </c>
      <c r="JD9" s="64">
        <v>9.9825752874261001E-7</v>
      </c>
      <c r="JE9" s="64">
        <v>1.746950675299567E-5</v>
      </c>
      <c r="JF9" s="64">
        <v>1.746950675299567E-5</v>
      </c>
      <c r="JG9" s="64">
        <v>2.2470643984267639E-5</v>
      </c>
      <c r="JH9" s="64">
        <v>2.2470643984267639E-5</v>
      </c>
      <c r="JI9" s="64">
        <v>2.2470643984267639E-5</v>
      </c>
      <c r="JJ9" s="64">
        <v>2.2470643984267639E-5</v>
      </c>
      <c r="JK9" s="64">
        <v>0</v>
      </c>
      <c r="JL9" s="64">
        <v>5.0558948964602173E-4</v>
      </c>
      <c r="JM9" s="64">
        <v>5.0558948964602173E-4</v>
      </c>
      <c r="JN9" s="64">
        <v>5.0558948964602173E-4</v>
      </c>
      <c r="JO9" s="64">
        <v>5.0558948964602173E-4</v>
      </c>
      <c r="JP9" s="64">
        <v>5.0558948964602173E-4</v>
      </c>
      <c r="JQ9" s="64">
        <v>5.0558948964602173E-4</v>
      </c>
      <c r="JR9" s="64">
        <v>5.0558948964602173E-4</v>
      </c>
      <c r="JS9" s="64">
        <v>1.1565772638961279E-5</v>
      </c>
      <c r="JT9" s="64">
        <v>1.1565772638961279E-5</v>
      </c>
      <c r="JU9" s="64">
        <v>1.3218025873098609E-6</v>
      </c>
      <c r="JV9" s="64">
        <v>1.3218025873098609E-6</v>
      </c>
      <c r="JW9" s="64">
        <v>2.1247976591006021E-4</v>
      </c>
      <c r="JX9" s="64">
        <v>0</v>
      </c>
      <c r="JY9" s="64">
        <v>9.9135194048239573E-7</v>
      </c>
      <c r="JZ9" s="64">
        <v>0</v>
      </c>
      <c r="KA9" s="64">
        <v>1.6522532341373261E-6</v>
      </c>
      <c r="KB9" s="64">
        <v>4.2958584087570473E-6</v>
      </c>
      <c r="KC9" s="64">
        <v>0</v>
      </c>
      <c r="KD9" s="64">
        <v>0</v>
      </c>
      <c r="KE9" s="64">
        <v>1.982703880964791E-6</v>
      </c>
      <c r="KF9" s="64">
        <v>1.6522532341373261E-6</v>
      </c>
      <c r="KG9" s="64">
        <v>4.7915343789982449E-4</v>
      </c>
      <c r="KH9" s="64">
        <v>0</v>
      </c>
      <c r="KI9" s="64">
        <v>7.2699142302042347E-6</v>
      </c>
      <c r="KJ9" s="64">
        <v>0</v>
      </c>
      <c r="KK9" s="64">
        <v>0</v>
      </c>
      <c r="KL9" s="64">
        <v>1.450678339572572E-4</v>
      </c>
      <c r="KM9" s="64">
        <v>1.450678339572572E-4</v>
      </c>
      <c r="KN9" s="64">
        <v>0</v>
      </c>
      <c r="KO9" s="64">
        <v>0</v>
      </c>
      <c r="KP9" s="64">
        <v>0</v>
      </c>
      <c r="KQ9" s="64">
        <v>0</v>
      </c>
      <c r="KR9" s="64">
        <v>0</v>
      </c>
      <c r="KS9" s="64">
        <v>0</v>
      </c>
      <c r="KT9" s="64">
        <v>0</v>
      </c>
      <c r="KU9" s="64">
        <v>0</v>
      </c>
      <c r="KV9" s="64">
        <v>0</v>
      </c>
      <c r="KW9" s="64">
        <v>0</v>
      </c>
      <c r="KX9" s="64">
        <v>0</v>
      </c>
      <c r="KY9" s="64">
        <v>0</v>
      </c>
      <c r="KZ9" s="64">
        <v>0</v>
      </c>
      <c r="LA9" s="64">
        <v>0</v>
      </c>
      <c r="LB9" s="64">
        <v>0</v>
      </c>
      <c r="LC9" s="64">
        <v>0</v>
      </c>
      <c r="LD9" s="64">
        <v>0</v>
      </c>
      <c r="LE9" s="64">
        <v>0</v>
      </c>
      <c r="LF9" s="64">
        <v>0</v>
      </c>
      <c r="LG9" s="64">
        <v>0</v>
      </c>
      <c r="LH9" s="64">
        <v>0</v>
      </c>
      <c r="LI9" s="64">
        <v>0</v>
      </c>
      <c r="LJ9" s="64">
        <v>0</v>
      </c>
      <c r="LK9" s="64">
        <v>0</v>
      </c>
      <c r="LL9" s="64">
        <v>0</v>
      </c>
      <c r="LM9" s="64">
        <v>0</v>
      </c>
      <c r="LN9" s="64">
        <v>0</v>
      </c>
      <c r="LO9" s="64">
        <v>0</v>
      </c>
      <c r="LP9" s="64">
        <v>0</v>
      </c>
      <c r="LQ9" s="64">
        <v>0</v>
      </c>
      <c r="LR9" s="64">
        <v>0</v>
      </c>
      <c r="LS9" s="64">
        <v>0</v>
      </c>
      <c r="LT9" s="64">
        <v>0</v>
      </c>
      <c r="LU9" s="64">
        <v>0</v>
      </c>
      <c r="LV9" s="64">
        <v>0</v>
      </c>
      <c r="LW9" s="64">
        <v>0</v>
      </c>
      <c r="LX9" s="64">
        <v>0</v>
      </c>
      <c r="LY9" s="64">
        <v>0</v>
      </c>
      <c r="LZ9" s="64">
        <v>0</v>
      </c>
      <c r="MA9" s="64">
        <v>0</v>
      </c>
      <c r="MB9" s="64">
        <v>0</v>
      </c>
      <c r="MC9" s="64">
        <v>0</v>
      </c>
      <c r="MD9" s="64">
        <v>0</v>
      </c>
      <c r="ME9" s="64">
        <v>0</v>
      </c>
      <c r="MF9" s="64">
        <v>0</v>
      </c>
      <c r="MG9" s="64">
        <v>0</v>
      </c>
      <c r="MH9" s="64">
        <v>0</v>
      </c>
      <c r="MI9" s="64">
        <v>0</v>
      </c>
      <c r="MJ9" s="64">
        <v>0</v>
      </c>
      <c r="MK9" s="64">
        <v>0</v>
      </c>
      <c r="ML9" s="64">
        <v>0</v>
      </c>
      <c r="MM9" s="64">
        <v>0</v>
      </c>
      <c r="MN9" s="64">
        <v>0</v>
      </c>
      <c r="MO9" s="64">
        <v>0</v>
      </c>
      <c r="MP9" s="64">
        <v>0</v>
      </c>
      <c r="MQ9" s="64">
        <v>0</v>
      </c>
      <c r="MR9" s="64">
        <v>0</v>
      </c>
      <c r="MS9" s="64">
        <v>0</v>
      </c>
      <c r="MT9" s="64">
        <v>0</v>
      </c>
      <c r="MU9" s="64">
        <v>0</v>
      </c>
      <c r="MV9" s="64">
        <v>0</v>
      </c>
      <c r="MW9" s="64">
        <v>0</v>
      </c>
      <c r="MX9" s="64">
        <v>0</v>
      </c>
      <c r="MY9" s="64">
        <v>0</v>
      </c>
      <c r="MZ9" s="64">
        <v>0</v>
      </c>
      <c r="NA9" s="64">
        <v>0</v>
      </c>
      <c r="NB9" s="64"/>
      <c r="NC9" s="64"/>
      <c r="ND9" s="64"/>
      <c r="NE9" s="64"/>
      <c r="NF9" s="64"/>
      <c r="NG9" s="64"/>
      <c r="NH9" s="64"/>
      <c r="NI9" s="64"/>
      <c r="NJ9" s="64"/>
      <c r="NK9" s="64"/>
      <c r="NL9" s="64"/>
      <c r="NM9" s="64"/>
      <c r="NN9" s="64"/>
      <c r="NO9" s="64"/>
      <c r="NP9" s="64"/>
      <c r="NQ9" s="64"/>
      <c r="NR9" s="64"/>
      <c r="NS9" s="64"/>
      <c r="NT9" s="64"/>
      <c r="NU9" s="64"/>
      <c r="NV9" s="64"/>
      <c r="NW9" s="64"/>
      <c r="NX9" s="64"/>
      <c r="NY9" s="64"/>
      <c r="NZ9" s="64"/>
      <c r="OA9" s="64"/>
      <c r="OB9" s="64"/>
      <c r="OC9" s="64"/>
      <c r="OD9" s="64"/>
      <c r="OE9" s="64"/>
      <c r="OF9" s="64"/>
      <c r="OG9" s="64"/>
      <c r="OH9" s="64"/>
      <c r="OI9" s="64"/>
      <c r="OJ9" s="64"/>
      <c r="OK9" s="64"/>
      <c r="OL9" s="64"/>
      <c r="OM9" s="64"/>
      <c r="ON9" s="64"/>
      <c r="OO9" s="64"/>
      <c r="OP9" s="64"/>
      <c r="OQ9" s="64"/>
      <c r="OR9" s="64"/>
      <c r="OS9" s="64"/>
    </row>
    <row r="10" spans="1:409">
      <c r="A10" s="64" t="s">
        <v>604</v>
      </c>
      <c r="B10" s="64" t="s">
        <v>587</v>
      </c>
      <c r="C10" s="64">
        <v>4.1732840895786569E-4</v>
      </c>
      <c r="D10" s="64">
        <v>3.3475551969152652E-4</v>
      </c>
      <c r="E10" s="64">
        <v>2.0337498964532669E-4</v>
      </c>
      <c r="F10" s="64">
        <v>0</v>
      </c>
      <c r="G10" s="64">
        <v>0</v>
      </c>
      <c r="H10" s="64">
        <v>1.8321231792813879E-4</v>
      </c>
      <c r="I10" s="64">
        <v>5.9877262991066251E-5</v>
      </c>
      <c r="J10" s="64">
        <v>1.813014189118598E-4</v>
      </c>
      <c r="K10" s="64">
        <v>8.7780234014141613E-4</v>
      </c>
      <c r="L10" s="64">
        <v>0</v>
      </c>
      <c r="M10" s="64">
        <v>2.2087827952601471E-2</v>
      </c>
      <c r="N10" s="64">
        <v>1.4911660820166619E-4</v>
      </c>
      <c r="O10" s="64">
        <v>5.3052432430556213E-5</v>
      </c>
      <c r="P10" s="64">
        <v>1.71581708857207E-4</v>
      </c>
      <c r="Q10" s="64">
        <v>1.6175339006826899E-4</v>
      </c>
      <c r="R10" s="64">
        <v>1.516603797408419E-4</v>
      </c>
      <c r="S10" s="64">
        <v>8.6093856655290095E-4</v>
      </c>
      <c r="T10" s="64">
        <v>0</v>
      </c>
      <c r="U10" s="64">
        <v>0</v>
      </c>
      <c r="V10" s="64">
        <v>8.6153846153846134E-6</v>
      </c>
      <c r="W10" s="64">
        <v>6.9749999999999999E-4</v>
      </c>
      <c r="X10" s="64">
        <v>2.6785714285714281E-5</v>
      </c>
      <c r="Y10" s="64">
        <v>0</v>
      </c>
      <c r="Z10" s="64">
        <v>1.035471698113208E-4</v>
      </c>
      <c r="AA10" s="64">
        <v>3.1554123711340212E-4</v>
      </c>
      <c r="AB10" s="64">
        <v>6.0617910447761198E-4</v>
      </c>
      <c r="AC10" s="64">
        <v>3.1557764338665619E-3</v>
      </c>
      <c r="AD10" s="64">
        <v>5.2187499999999988E-5</v>
      </c>
      <c r="AE10" s="64">
        <v>0</v>
      </c>
      <c r="AF10" s="64">
        <v>9.7499999999999998E-5</v>
      </c>
      <c r="AG10" s="64">
        <v>1.0825688073394489E-5</v>
      </c>
      <c r="AH10" s="64">
        <v>3.8852577493858321E-3</v>
      </c>
      <c r="AI10" s="64">
        <v>1.5149087891600541E-3</v>
      </c>
      <c r="AJ10" s="64">
        <v>0</v>
      </c>
      <c r="AK10" s="64">
        <v>0</v>
      </c>
      <c r="AL10" s="64">
        <v>0</v>
      </c>
      <c r="AM10" s="64">
        <v>0</v>
      </c>
      <c r="AN10" s="64">
        <v>0</v>
      </c>
      <c r="AO10" s="64">
        <v>0</v>
      </c>
      <c r="AP10" s="64">
        <v>0</v>
      </c>
      <c r="AQ10" s="64">
        <v>0</v>
      </c>
      <c r="AR10" s="64">
        <v>0</v>
      </c>
      <c r="AS10" s="64">
        <v>0</v>
      </c>
      <c r="AT10" s="64">
        <v>0</v>
      </c>
      <c r="AU10" s="64">
        <v>0</v>
      </c>
      <c r="AV10" s="64">
        <v>0</v>
      </c>
      <c r="AW10" s="64">
        <v>0</v>
      </c>
      <c r="AX10" s="64">
        <v>0</v>
      </c>
      <c r="AY10" s="64">
        <v>0</v>
      </c>
      <c r="AZ10" s="64">
        <v>0</v>
      </c>
      <c r="BA10" s="64">
        <v>0</v>
      </c>
      <c r="BB10" s="64">
        <v>0</v>
      </c>
      <c r="BC10" s="64">
        <v>0</v>
      </c>
      <c r="BD10" s="64">
        <v>0</v>
      </c>
      <c r="BE10" s="64">
        <v>0</v>
      </c>
      <c r="BF10" s="64">
        <v>0</v>
      </c>
      <c r="BG10" s="64">
        <v>0</v>
      </c>
      <c r="BH10" s="64">
        <v>0</v>
      </c>
      <c r="BI10" s="64">
        <v>0</v>
      </c>
      <c r="BJ10" s="64">
        <v>0</v>
      </c>
      <c r="BK10" s="64">
        <v>0</v>
      </c>
      <c r="BL10" s="64">
        <v>0</v>
      </c>
      <c r="BM10" s="64">
        <v>0</v>
      </c>
      <c r="BN10" s="64">
        <v>0</v>
      </c>
      <c r="BO10" s="64">
        <v>0</v>
      </c>
      <c r="BP10" s="64">
        <v>0</v>
      </c>
      <c r="BQ10" s="64">
        <v>0</v>
      </c>
      <c r="BR10" s="64">
        <v>0</v>
      </c>
      <c r="BS10" s="64">
        <v>0</v>
      </c>
      <c r="BT10" s="64">
        <v>0</v>
      </c>
      <c r="BU10" s="64">
        <v>0</v>
      </c>
      <c r="BV10" s="64">
        <v>0</v>
      </c>
      <c r="BW10" s="64">
        <v>0</v>
      </c>
      <c r="BX10" s="64">
        <v>0</v>
      </c>
      <c r="BY10" s="64">
        <v>0</v>
      </c>
      <c r="BZ10" s="64">
        <v>0</v>
      </c>
      <c r="CA10" s="64">
        <v>0</v>
      </c>
      <c r="CB10" s="64">
        <v>0</v>
      </c>
      <c r="CC10" s="64">
        <v>0</v>
      </c>
      <c r="CD10" s="64">
        <v>0</v>
      </c>
      <c r="CE10" s="64">
        <v>0</v>
      </c>
      <c r="CF10" s="64">
        <v>0</v>
      </c>
      <c r="CG10" s="64">
        <v>0</v>
      </c>
      <c r="CH10" s="64">
        <v>0</v>
      </c>
      <c r="CI10" s="64">
        <v>0</v>
      </c>
      <c r="CJ10" s="64">
        <v>0</v>
      </c>
      <c r="CK10" s="64">
        <v>0</v>
      </c>
      <c r="CL10" s="64">
        <v>0</v>
      </c>
      <c r="CM10" s="64">
        <v>0</v>
      </c>
      <c r="CN10" s="64">
        <v>0</v>
      </c>
      <c r="CO10" s="64">
        <v>0</v>
      </c>
      <c r="CP10" s="64">
        <v>0</v>
      </c>
      <c r="CQ10" s="64">
        <v>0</v>
      </c>
      <c r="CR10" s="64">
        <v>0</v>
      </c>
      <c r="CS10" s="64">
        <v>0</v>
      </c>
      <c r="CT10" s="64">
        <v>0</v>
      </c>
      <c r="CU10" s="64">
        <v>0</v>
      </c>
      <c r="CV10" s="64">
        <v>0</v>
      </c>
      <c r="CW10" s="64">
        <v>0</v>
      </c>
      <c r="CX10" s="64">
        <v>0</v>
      </c>
      <c r="CY10" s="64">
        <v>0</v>
      </c>
      <c r="CZ10" s="64">
        <v>0</v>
      </c>
      <c r="DA10" s="64">
        <v>0</v>
      </c>
      <c r="DB10" s="64">
        <v>0</v>
      </c>
      <c r="DC10" s="64">
        <v>0</v>
      </c>
      <c r="DD10" s="64">
        <v>0</v>
      </c>
      <c r="DE10" s="64">
        <v>0</v>
      </c>
      <c r="DF10" s="64">
        <v>0</v>
      </c>
      <c r="DG10" s="64">
        <v>0</v>
      </c>
      <c r="DH10" s="64">
        <v>0</v>
      </c>
      <c r="DI10" s="64">
        <v>0</v>
      </c>
      <c r="DJ10" s="64">
        <v>0</v>
      </c>
      <c r="DK10" s="64">
        <v>0</v>
      </c>
      <c r="DL10" s="64">
        <v>0</v>
      </c>
      <c r="DM10" s="64">
        <v>0</v>
      </c>
      <c r="DN10" s="64">
        <v>0</v>
      </c>
      <c r="DO10" s="64">
        <v>0</v>
      </c>
      <c r="DP10" s="64">
        <v>0</v>
      </c>
      <c r="DQ10" s="64">
        <v>0</v>
      </c>
      <c r="DR10" s="64">
        <v>0</v>
      </c>
      <c r="DS10" s="64">
        <v>0</v>
      </c>
      <c r="DT10" s="64">
        <v>0</v>
      </c>
      <c r="DU10" s="64">
        <v>0</v>
      </c>
      <c r="DV10" s="64">
        <v>0</v>
      </c>
      <c r="DW10" s="64">
        <v>0</v>
      </c>
      <c r="DX10" s="64">
        <v>0</v>
      </c>
      <c r="DY10" s="64">
        <v>0</v>
      </c>
      <c r="DZ10" s="64">
        <v>0</v>
      </c>
      <c r="EA10" s="64">
        <v>0</v>
      </c>
      <c r="EB10" s="64">
        <v>0</v>
      </c>
      <c r="EC10" s="64">
        <v>0</v>
      </c>
      <c r="ED10" s="64">
        <v>0</v>
      </c>
      <c r="EE10" s="64">
        <v>0</v>
      </c>
      <c r="EF10" s="64">
        <v>0</v>
      </c>
      <c r="EG10" s="64">
        <v>0</v>
      </c>
      <c r="EH10" s="64">
        <v>0</v>
      </c>
      <c r="EI10" s="64">
        <v>0</v>
      </c>
      <c r="EJ10" s="64">
        <v>0</v>
      </c>
      <c r="EK10" s="64">
        <v>0</v>
      </c>
      <c r="EL10" s="64">
        <v>0</v>
      </c>
      <c r="EM10" s="64">
        <v>0</v>
      </c>
      <c r="EN10" s="64">
        <v>0</v>
      </c>
      <c r="EO10" s="64">
        <v>0</v>
      </c>
      <c r="EP10" s="64">
        <v>0</v>
      </c>
      <c r="EQ10" s="64">
        <v>0</v>
      </c>
      <c r="ER10" s="64">
        <v>0</v>
      </c>
      <c r="ES10" s="64">
        <v>0</v>
      </c>
      <c r="ET10" s="64">
        <v>0</v>
      </c>
      <c r="EU10" s="64">
        <v>0</v>
      </c>
      <c r="EV10" s="64">
        <v>0</v>
      </c>
      <c r="EW10" s="64">
        <v>0</v>
      </c>
      <c r="EX10" s="64">
        <v>0</v>
      </c>
      <c r="EY10" s="64">
        <v>0</v>
      </c>
      <c r="EZ10" s="64">
        <v>0</v>
      </c>
      <c r="FA10" s="64">
        <v>0</v>
      </c>
      <c r="FB10" s="64">
        <v>0</v>
      </c>
      <c r="FC10" s="64">
        <v>0</v>
      </c>
      <c r="FD10" s="64">
        <v>0</v>
      </c>
      <c r="FE10" s="64">
        <v>0</v>
      </c>
      <c r="FF10" s="64">
        <v>0</v>
      </c>
      <c r="FG10" s="64">
        <v>0</v>
      </c>
      <c r="FH10" s="64">
        <v>0</v>
      </c>
      <c r="FI10" s="64">
        <v>0</v>
      </c>
      <c r="FJ10" s="64">
        <v>0</v>
      </c>
      <c r="FK10" s="64">
        <v>0</v>
      </c>
      <c r="FL10" s="64">
        <v>0</v>
      </c>
      <c r="FM10" s="64">
        <v>0</v>
      </c>
      <c r="FN10" s="64">
        <v>0</v>
      </c>
      <c r="FO10" s="64">
        <v>0</v>
      </c>
      <c r="FP10" s="64">
        <v>0</v>
      </c>
      <c r="FQ10" s="64">
        <v>0</v>
      </c>
      <c r="FR10" s="64">
        <v>0</v>
      </c>
      <c r="FS10" s="64">
        <v>0</v>
      </c>
      <c r="FT10" s="64">
        <v>0</v>
      </c>
      <c r="FU10" s="64">
        <v>0</v>
      </c>
      <c r="FV10" s="64">
        <v>0</v>
      </c>
      <c r="FW10" s="64">
        <v>0</v>
      </c>
      <c r="FX10" s="64">
        <v>0</v>
      </c>
      <c r="FY10" s="64">
        <v>0</v>
      </c>
      <c r="FZ10" s="64">
        <v>0</v>
      </c>
      <c r="GA10" s="64">
        <v>0</v>
      </c>
      <c r="GB10" s="64">
        <v>0</v>
      </c>
      <c r="GC10" s="64">
        <v>0</v>
      </c>
      <c r="GD10" s="64">
        <v>0</v>
      </c>
      <c r="GE10" s="64">
        <v>0</v>
      </c>
      <c r="GF10" s="64">
        <v>0</v>
      </c>
      <c r="GG10" s="64">
        <v>0</v>
      </c>
      <c r="GH10" s="64">
        <v>0</v>
      </c>
      <c r="GI10" s="64">
        <v>0</v>
      </c>
      <c r="GJ10" s="64">
        <v>0</v>
      </c>
      <c r="GK10" s="64">
        <v>0</v>
      </c>
      <c r="GL10" s="64">
        <v>0</v>
      </c>
      <c r="GM10" s="64">
        <v>0</v>
      </c>
      <c r="GN10" s="64">
        <v>0</v>
      </c>
      <c r="GO10" s="64">
        <v>0</v>
      </c>
      <c r="GP10" s="64">
        <v>0</v>
      </c>
      <c r="GQ10" s="64">
        <v>0</v>
      </c>
      <c r="GR10" s="64">
        <v>0</v>
      </c>
      <c r="GS10" s="64">
        <v>0</v>
      </c>
      <c r="GT10" s="64">
        <v>0</v>
      </c>
      <c r="GU10" s="64">
        <v>0</v>
      </c>
      <c r="GV10" s="64">
        <v>0</v>
      </c>
      <c r="GW10" s="64">
        <v>0</v>
      </c>
      <c r="GX10" s="64">
        <v>0</v>
      </c>
      <c r="GY10" s="64">
        <v>0</v>
      </c>
      <c r="GZ10" s="64">
        <v>0</v>
      </c>
      <c r="HA10" s="64">
        <v>0</v>
      </c>
      <c r="HB10" s="64">
        <v>0</v>
      </c>
      <c r="HC10" s="64">
        <v>0</v>
      </c>
      <c r="HD10" s="64">
        <v>0</v>
      </c>
      <c r="HE10" s="64">
        <v>0</v>
      </c>
      <c r="HF10" s="64">
        <v>0</v>
      </c>
      <c r="HG10" s="64">
        <v>0</v>
      </c>
      <c r="HH10" s="64">
        <v>0</v>
      </c>
      <c r="HI10" s="64">
        <v>0</v>
      </c>
      <c r="HJ10" s="64">
        <v>0</v>
      </c>
      <c r="HK10" s="64">
        <v>0</v>
      </c>
      <c r="HL10" s="64">
        <v>0</v>
      </c>
      <c r="HM10" s="64">
        <v>0</v>
      </c>
      <c r="HN10" s="64">
        <v>0</v>
      </c>
      <c r="HO10" s="64">
        <v>0</v>
      </c>
      <c r="HP10" s="64">
        <v>0</v>
      </c>
      <c r="HQ10" s="64">
        <v>0</v>
      </c>
      <c r="HR10" s="64">
        <v>0</v>
      </c>
      <c r="HS10" s="64">
        <v>0</v>
      </c>
      <c r="HT10" s="64">
        <v>0</v>
      </c>
      <c r="HU10" s="64">
        <v>0</v>
      </c>
      <c r="HV10" s="64">
        <v>0</v>
      </c>
      <c r="HW10" s="64">
        <v>0</v>
      </c>
      <c r="HX10" s="64">
        <v>0</v>
      </c>
      <c r="HY10" s="64">
        <v>0</v>
      </c>
      <c r="HZ10" s="64">
        <v>1.171603100368406E-4</v>
      </c>
      <c r="IA10" s="64">
        <v>1.171603100368406E-4</v>
      </c>
      <c r="IB10" s="64">
        <v>1.171603100368406E-4</v>
      </c>
      <c r="IC10" s="64">
        <v>1.171603100368406E-4</v>
      </c>
      <c r="ID10" s="64">
        <v>0</v>
      </c>
      <c r="IE10" s="64">
        <v>1.9459846016393041E-4</v>
      </c>
      <c r="IF10" s="64">
        <v>1.9459846016393041E-4</v>
      </c>
      <c r="IG10" s="64">
        <v>1.9459846016393041E-4</v>
      </c>
      <c r="IH10" s="64">
        <v>1.9459846016393041E-4</v>
      </c>
      <c r="II10" s="64">
        <v>1.9459846016393041E-4</v>
      </c>
      <c r="IJ10" s="64">
        <v>1.9459846016393041E-4</v>
      </c>
      <c r="IK10" s="64">
        <v>1.9459846016393041E-4</v>
      </c>
      <c r="IL10" s="64">
        <v>2.4074036308939851E-6</v>
      </c>
      <c r="IM10" s="64">
        <v>2.4074036308939851E-6</v>
      </c>
      <c r="IN10" s="64">
        <v>3.1296247201621803E-5</v>
      </c>
      <c r="IO10" s="64">
        <v>3.1296247201621803E-5</v>
      </c>
      <c r="IP10" s="64">
        <v>2.447527024742218E-5</v>
      </c>
      <c r="IQ10" s="64">
        <v>1.6049357539293229E-6</v>
      </c>
      <c r="IR10" s="64">
        <v>4.0123393848233078E-7</v>
      </c>
      <c r="IS10" s="64">
        <v>2.4074036308939851E-6</v>
      </c>
      <c r="IT10" s="64">
        <v>8.0246787696466156E-7</v>
      </c>
      <c r="IU10" s="64">
        <v>5.6172751387526309E-6</v>
      </c>
      <c r="IV10" s="64">
        <v>4.0123393848233078E-7</v>
      </c>
      <c r="IW10" s="64">
        <v>2.4074036308939851E-6</v>
      </c>
      <c r="IX10" s="64">
        <v>3.2098715078586458E-6</v>
      </c>
      <c r="IY10" s="64">
        <v>2.0061696924116539E-6</v>
      </c>
      <c r="IZ10" s="64">
        <v>5.6172751387526309E-6</v>
      </c>
      <c r="JA10" s="64">
        <v>1.2037018154469919E-6</v>
      </c>
      <c r="JB10" s="64">
        <v>8.0246787696466156E-7</v>
      </c>
      <c r="JC10" s="64">
        <v>1.2037018154469919E-6</v>
      </c>
      <c r="JD10" s="64">
        <v>8.0246787696466156E-7</v>
      </c>
      <c r="JE10" s="64">
        <v>1.404318784688158E-5</v>
      </c>
      <c r="JF10" s="64">
        <v>1.404318784688158E-5</v>
      </c>
      <c r="JG10" s="64">
        <v>7.6395141291127632E-6</v>
      </c>
      <c r="JH10" s="64">
        <v>7.6395141291127632E-6</v>
      </c>
      <c r="JI10" s="64">
        <v>7.6395141291127632E-6</v>
      </c>
      <c r="JJ10" s="64">
        <v>7.6395141291127632E-6</v>
      </c>
      <c r="JK10" s="64">
        <v>0</v>
      </c>
      <c r="JL10" s="64">
        <v>1.7188906790503711E-4</v>
      </c>
      <c r="JM10" s="64">
        <v>1.7188906790503711E-4</v>
      </c>
      <c r="JN10" s="64">
        <v>1.7188906790503711E-4</v>
      </c>
      <c r="JO10" s="64">
        <v>1.7188906790503711E-4</v>
      </c>
      <c r="JP10" s="64">
        <v>1.7188906790503711E-4</v>
      </c>
      <c r="JQ10" s="64">
        <v>1.7188906790503711E-4</v>
      </c>
      <c r="JR10" s="64">
        <v>1.7188906790503711E-4</v>
      </c>
      <c r="JS10" s="64">
        <v>3.9321028605727448E-6</v>
      </c>
      <c r="JT10" s="64">
        <v>3.9321028605727448E-6</v>
      </c>
      <c r="JU10" s="64">
        <v>4.4938318406545662E-7</v>
      </c>
      <c r="JV10" s="64">
        <v>4.4938318406545662E-7</v>
      </c>
      <c r="JW10" s="64">
        <v>7.2238346838522158E-5</v>
      </c>
      <c r="JX10" s="64">
        <v>0</v>
      </c>
      <c r="JY10" s="64">
        <v>3.370373880490925E-7</v>
      </c>
      <c r="JZ10" s="64">
        <v>0</v>
      </c>
      <c r="KA10" s="64">
        <v>5.6172898008182078E-7</v>
      </c>
      <c r="KB10" s="64">
        <v>1.4604953482127339E-6</v>
      </c>
      <c r="KC10" s="64">
        <v>0</v>
      </c>
      <c r="KD10" s="64">
        <v>0</v>
      </c>
      <c r="KE10" s="64">
        <v>6.74074776098185E-7</v>
      </c>
      <c r="KF10" s="64">
        <v>5.6172898008182078E-7</v>
      </c>
      <c r="KG10" s="64">
        <v>1.6290140422372799E-4</v>
      </c>
      <c r="KH10" s="64">
        <v>0</v>
      </c>
      <c r="KI10" s="64">
        <v>2.4716075123600109E-6</v>
      </c>
      <c r="KJ10" s="64">
        <v>0</v>
      </c>
      <c r="KK10" s="64">
        <v>0</v>
      </c>
      <c r="KL10" s="64">
        <v>4.9319804451183862E-5</v>
      </c>
      <c r="KM10" s="64">
        <v>4.9319804451183862E-5</v>
      </c>
      <c r="KN10" s="64">
        <v>0</v>
      </c>
      <c r="KO10" s="64">
        <v>0</v>
      </c>
      <c r="KP10" s="64">
        <v>0</v>
      </c>
      <c r="KQ10" s="64">
        <v>0</v>
      </c>
      <c r="KR10" s="64">
        <v>0</v>
      </c>
      <c r="KS10" s="64">
        <v>0</v>
      </c>
      <c r="KT10" s="64">
        <v>0</v>
      </c>
      <c r="KU10" s="64">
        <v>0</v>
      </c>
      <c r="KV10" s="64">
        <v>0</v>
      </c>
      <c r="KW10" s="64">
        <v>0</v>
      </c>
      <c r="KX10" s="64">
        <v>0</v>
      </c>
      <c r="KY10" s="64">
        <v>0</v>
      </c>
      <c r="KZ10" s="64">
        <v>0</v>
      </c>
      <c r="LA10" s="64">
        <v>0</v>
      </c>
      <c r="LB10" s="64">
        <v>0</v>
      </c>
      <c r="LC10" s="64">
        <v>0</v>
      </c>
      <c r="LD10" s="64">
        <v>0</v>
      </c>
      <c r="LE10" s="64">
        <v>0</v>
      </c>
      <c r="LF10" s="64">
        <v>0</v>
      </c>
      <c r="LG10" s="64">
        <v>0</v>
      </c>
      <c r="LH10" s="64">
        <v>0</v>
      </c>
      <c r="LI10" s="64">
        <v>0</v>
      </c>
      <c r="LJ10" s="64">
        <v>0</v>
      </c>
      <c r="LK10" s="64">
        <v>0</v>
      </c>
      <c r="LL10" s="64">
        <v>0</v>
      </c>
      <c r="LM10" s="64">
        <v>0</v>
      </c>
      <c r="LN10" s="64">
        <v>0</v>
      </c>
      <c r="LO10" s="64">
        <v>0</v>
      </c>
      <c r="LP10" s="64">
        <v>0</v>
      </c>
      <c r="LQ10" s="64">
        <v>0</v>
      </c>
      <c r="LR10" s="64">
        <v>0</v>
      </c>
      <c r="LS10" s="64">
        <v>0</v>
      </c>
      <c r="LT10" s="64">
        <v>0</v>
      </c>
      <c r="LU10" s="64">
        <v>0</v>
      </c>
      <c r="LV10" s="64">
        <v>0</v>
      </c>
      <c r="LW10" s="64">
        <v>0</v>
      </c>
      <c r="LX10" s="64">
        <v>0</v>
      </c>
      <c r="LY10" s="64">
        <v>0</v>
      </c>
      <c r="LZ10" s="64">
        <v>0</v>
      </c>
      <c r="MA10" s="64">
        <v>0</v>
      </c>
      <c r="MB10" s="64">
        <v>0</v>
      </c>
      <c r="MC10" s="64">
        <v>0</v>
      </c>
      <c r="MD10" s="64">
        <v>0</v>
      </c>
      <c r="ME10" s="64">
        <v>0</v>
      </c>
      <c r="MF10" s="64">
        <v>0</v>
      </c>
      <c r="MG10" s="64">
        <v>0</v>
      </c>
      <c r="MH10" s="64">
        <v>0</v>
      </c>
      <c r="MI10" s="64">
        <v>0</v>
      </c>
      <c r="MJ10" s="64">
        <v>0</v>
      </c>
      <c r="MK10" s="64">
        <v>0</v>
      </c>
      <c r="ML10" s="64">
        <v>0</v>
      </c>
      <c r="MM10" s="64">
        <v>0</v>
      </c>
      <c r="MN10" s="64">
        <v>0</v>
      </c>
      <c r="MO10" s="64">
        <v>0</v>
      </c>
      <c r="MP10" s="64">
        <v>0</v>
      </c>
      <c r="MQ10" s="64">
        <v>0</v>
      </c>
      <c r="MR10" s="64">
        <v>0</v>
      </c>
      <c r="MS10" s="64">
        <v>0</v>
      </c>
      <c r="MT10" s="64">
        <v>0</v>
      </c>
      <c r="MU10" s="64">
        <v>0</v>
      </c>
      <c r="MV10" s="64">
        <v>0</v>
      </c>
      <c r="MW10" s="64">
        <v>0</v>
      </c>
      <c r="MX10" s="64">
        <v>0</v>
      </c>
      <c r="MY10" s="64">
        <v>0</v>
      </c>
      <c r="MZ10" s="64">
        <v>0</v>
      </c>
      <c r="NA10" s="64">
        <v>0</v>
      </c>
      <c r="NB10" s="64"/>
      <c r="NC10" s="64"/>
      <c r="ND10" s="64"/>
      <c r="NE10" s="64"/>
      <c r="NF10" s="64"/>
      <c r="NG10" s="64"/>
      <c r="NH10" s="64"/>
      <c r="NI10" s="64"/>
      <c r="NJ10" s="64"/>
      <c r="NK10" s="64"/>
      <c r="NL10" s="64"/>
      <c r="NM10" s="64"/>
      <c r="NN10" s="64"/>
      <c r="NO10" s="64"/>
      <c r="NP10" s="64"/>
      <c r="NQ10" s="64"/>
      <c r="NR10" s="64"/>
      <c r="NS10" s="64"/>
      <c r="NT10" s="64"/>
      <c r="NU10" s="64"/>
      <c r="NV10" s="64"/>
      <c r="NW10" s="64"/>
      <c r="NX10" s="64"/>
      <c r="NY10" s="64"/>
      <c r="NZ10" s="64"/>
      <c r="OA10" s="64"/>
      <c r="OB10" s="64"/>
      <c r="OC10" s="64"/>
      <c r="OD10" s="64"/>
      <c r="OE10" s="64"/>
      <c r="OF10" s="64"/>
      <c r="OG10" s="64"/>
      <c r="OH10" s="64"/>
      <c r="OI10" s="64"/>
      <c r="OJ10" s="64"/>
      <c r="OK10" s="64"/>
      <c r="OL10" s="64"/>
      <c r="OM10" s="64"/>
      <c r="ON10" s="64"/>
      <c r="OO10" s="64"/>
      <c r="OP10" s="64"/>
      <c r="OQ10" s="64"/>
      <c r="OR10" s="64"/>
      <c r="OS10" s="64"/>
    </row>
    <row r="11" spans="1:409">
      <c r="A11" s="64" t="s">
        <v>87</v>
      </c>
      <c r="B11" s="64" t="s">
        <v>588</v>
      </c>
      <c r="C11" s="64">
        <v>3.1299630671839933E-5</v>
      </c>
      <c r="D11" s="64">
        <v>2.5750424591655891E-5</v>
      </c>
      <c r="E11" s="64">
        <v>0</v>
      </c>
      <c r="F11" s="64">
        <v>0</v>
      </c>
      <c r="G11" s="64">
        <v>0</v>
      </c>
      <c r="H11" s="64">
        <v>2.0356924214237648E-5</v>
      </c>
      <c r="I11" s="64">
        <v>0</v>
      </c>
      <c r="J11" s="64">
        <v>7.0707553375625324E-3</v>
      </c>
      <c r="K11" s="64">
        <v>1.424897752136531E-2</v>
      </c>
      <c r="L11" s="64">
        <v>0</v>
      </c>
      <c r="M11" s="64">
        <v>8.7041016931861757E-3</v>
      </c>
      <c r="N11" s="64">
        <v>1.8639576025208271E-5</v>
      </c>
      <c r="O11" s="64">
        <v>0</v>
      </c>
      <c r="P11" s="64">
        <v>0</v>
      </c>
      <c r="Q11" s="64">
        <v>0</v>
      </c>
      <c r="R11" s="64">
        <v>0</v>
      </c>
      <c r="S11" s="64">
        <v>5.739590443686007E-5</v>
      </c>
      <c r="T11" s="64">
        <v>0</v>
      </c>
      <c r="U11" s="64">
        <v>0</v>
      </c>
      <c r="V11" s="64">
        <v>0</v>
      </c>
      <c r="W11" s="64">
        <v>0</v>
      </c>
      <c r="X11" s="64">
        <v>0</v>
      </c>
      <c r="Y11" s="64">
        <v>0</v>
      </c>
      <c r="Z11" s="64">
        <v>6.4716981132075473E-6</v>
      </c>
      <c r="AA11" s="64">
        <v>2.3814432989690729E-5</v>
      </c>
      <c r="AB11" s="64">
        <v>5.7731343283582102E-5</v>
      </c>
      <c r="AC11" s="64">
        <v>4.4882153726102216E-3</v>
      </c>
      <c r="AD11" s="64">
        <v>0</v>
      </c>
      <c r="AE11" s="64">
        <v>0</v>
      </c>
      <c r="AF11" s="64">
        <v>0</v>
      </c>
      <c r="AG11" s="64">
        <v>1.0825688073394489E-6</v>
      </c>
      <c r="AH11" s="64">
        <v>2.7751841067041659E-3</v>
      </c>
      <c r="AI11" s="64">
        <v>1.893635986450067E-4</v>
      </c>
      <c r="AJ11" s="64">
        <v>0</v>
      </c>
      <c r="AK11" s="64">
        <v>0</v>
      </c>
      <c r="AL11" s="64">
        <v>0</v>
      </c>
      <c r="AM11" s="64">
        <v>0</v>
      </c>
      <c r="AN11" s="64">
        <v>0</v>
      </c>
      <c r="AO11" s="64">
        <v>0</v>
      </c>
      <c r="AP11" s="64">
        <v>0</v>
      </c>
      <c r="AQ11" s="64">
        <v>0</v>
      </c>
      <c r="AR11" s="64">
        <v>0</v>
      </c>
      <c r="AS11" s="64">
        <v>0</v>
      </c>
      <c r="AT11" s="64">
        <v>0</v>
      </c>
      <c r="AU11" s="64">
        <v>0</v>
      </c>
      <c r="AV11" s="64">
        <v>0</v>
      </c>
      <c r="AW11" s="64">
        <v>0</v>
      </c>
      <c r="AX11" s="64">
        <v>0</v>
      </c>
      <c r="AY11" s="64">
        <v>0</v>
      </c>
      <c r="AZ11" s="64">
        <v>0</v>
      </c>
      <c r="BA11" s="64">
        <v>0</v>
      </c>
      <c r="BB11" s="64">
        <v>0</v>
      </c>
      <c r="BC11" s="64">
        <v>0</v>
      </c>
      <c r="BD11" s="64">
        <v>0</v>
      </c>
      <c r="BE11" s="64">
        <v>0</v>
      </c>
      <c r="BF11" s="64">
        <v>0</v>
      </c>
      <c r="BG11" s="64">
        <v>0</v>
      </c>
      <c r="BH11" s="64">
        <v>0</v>
      </c>
      <c r="BI11" s="64">
        <v>0</v>
      </c>
      <c r="BJ11" s="64">
        <v>0</v>
      </c>
      <c r="BK11" s="64">
        <v>0</v>
      </c>
      <c r="BL11" s="64">
        <v>0</v>
      </c>
      <c r="BM11" s="64">
        <v>0</v>
      </c>
      <c r="BN11" s="64">
        <v>0</v>
      </c>
      <c r="BO11" s="64">
        <v>0</v>
      </c>
      <c r="BP11" s="64">
        <v>0</v>
      </c>
      <c r="BQ11" s="64">
        <v>0</v>
      </c>
      <c r="BR11" s="64">
        <v>0</v>
      </c>
      <c r="BS11" s="64">
        <v>0</v>
      </c>
      <c r="BT11" s="64">
        <v>0</v>
      </c>
      <c r="BU11" s="64">
        <v>0</v>
      </c>
      <c r="BV11" s="64">
        <v>0</v>
      </c>
      <c r="BW11" s="64">
        <v>0</v>
      </c>
      <c r="BX11" s="64">
        <v>0</v>
      </c>
      <c r="BY11" s="64">
        <v>0</v>
      </c>
      <c r="BZ11" s="64">
        <v>0</v>
      </c>
      <c r="CA11" s="64">
        <v>0</v>
      </c>
      <c r="CB11" s="64">
        <v>0</v>
      </c>
      <c r="CC11" s="64">
        <v>0</v>
      </c>
      <c r="CD11" s="64">
        <v>0</v>
      </c>
      <c r="CE11" s="64">
        <v>0</v>
      </c>
      <c r="CF11" s="64">
        <v>0</v>
      </c>
      <c r="CG11" s="64">
        <v>0</v>
      </c>
      <c r="CH11" s="64">
        <v>0</v>
      </c>
      <c r="CI11" s="64">
        <v>0</v>
      </c>
      <c r="CJ11" s="64">
        <v>0</v>
      </c>
      <c r="CK11" s="64">
        <v>0</v>
      </c>
      <c r="CL11" s="64">
        <v>0</v>
      </c>
      <c r="CM11" s="64">
        <v>0</v>
      </c>
      <c r="CN11" s="64">
        <v>0</v>
      </c>
      <c r="CO11" s="64">
        <v>0</v>
      </c>
      <c r="CP11" s="64">
        <v>0</v>
      </c>
      <c r="CQ11" s="64">
        <v>0</v>
      </c>
      <c r="CR11" s="64">
        <v>0</v>
      </c>
      <c r="CS11" s="64">
        <v>0</v>
      </c>
      <c r="CT11" s="64">
        <v>0</v>
      </c>
      <c r="CU11" s="64">
        <v>0</v>
      </c>
      <c r="CV11" s="64">
        <v>0</v>
      </c>
      <c r="CW11" s="64">
        <v>0</v>
      </c>
      <c r="CX11" s="64">
        <v>0</v>
      </c>
      <c r="CY11" s="64">
        <v>0</v>
      </c>
      <c r="CZ11" s="64">
        <v>0</v>
      </c>
      <c r="DA11" s="64">
        <v>0</v>
      </c>
      <c r="DB11" s="64">
        <v>0</v>
      </c>
      <c r="DC11" s="64">
        <v>0</v>
      </c>
      <c r="DD11" s="64">
        <v>0</v>
      </c>
      <c r="DE11" s="64">
        <v>0</v>
      </c>
      <c r="DF11" s="64">
        <v>0</v>
      </c>
      <c r="DG11" s="64">
        <v>0</v>
      </c>
      <c r="DH11" s="64">
        <v>0</v>
      </c>
      <c r="DI11" s="64">
        <v>0</v>
      </c>
      <c r="DJ11" s="64">
        <v>0</v>
      </c>
      <c r="DK11" s="64">
        <v>0</v>
      </c>
      <c r="DL11" s="64">
        <v>0</v>
      </c>
      <c r="DM11" s="64">
        <v>0</v>
      </c>
      <c r="DN11" s="64">
        <v>0</v>
      </c>
      <c r="DO11" s="64">
        <v>0</v>
      </c>
      <c r="DP11" s="64">
        <v>0</v>
      </c>
      <c r="DQ11" s="64">
        <v>0</v>
      </c>
      <c r="DR11" s="64">
        <v>0</v>
      </c>
      <c r="DS11" s="64">
        <v>0</v>
      </c>
      <c r="DT11" s="64">
        <v>0</v>
      </c>
      <c r="DU11" s="64">
        <v>0</v>
      </c>
      <c r="DV11" s="64">
        <v>0</v>
      </c>
      <c r="DW11" s="64">
        <v>0</v>
      </c>
      <c r="DX11" s="64">
        <v>0</v>
      </c>
      <c r="DY11" s="64">
        <v>0</v>
      </c>
      <c r="DZ11" s="64">
        <v>0</v>
      </c>
      <c r="EA11" s="64">
        <v>0</v>
      </c>
      <c r="EB11" s="64">
        <v>0</v>
      </c>
      <c r="EC11" s="64">
        <v>0</v>
      </c>
      <c r="ED11" s="64">
        <v>0</v>
      </c>
      <c r="EE11" s="64">
        <v>0</v>
      </c>
      <c r="EF11" s="64">
        <v>0</v>
      </c>
      <c r="EG11" s="64">
        <v>0</v>
      </c>
      <c r="EH11" s="64">
        <v>0</v>
      </c>
      <c r="EI11" s="64">
        <v>0</v>
      </c>
      <c r="EJ11" s="64">
        <v>0</v>
      </c>
      <c r="EK11" s="64">
        <v>0</v>
      </c>
      <c r="EL11" s="64">
        <v>0</v>
      </c>
      <c r="EM11" s="64">
        <v>0</v>
      </c>
      <c r="EN11" s="64">
        <v>0</v>
      </c>
      <c r="EO11" s="64">
        <v>0</v>
      </c>
      <c r="EP11" s="64">
        <v>0</v>
      </c>
      <c r="EQ11" s="64">
        <v>0</v>
      </c>
      <c r="ER11" s="64">
        <v>0</v>
      </c>
      <c r="ES11" s="64">
        <v>0</v>
      </c>
      <c r="ET11" s="64">
        <v>0</v>
      </c>
      <c r="EU11" s="64">
        <v>0</v>
      </c>
      <c r="EV11" s="64">
        <v>0</v>
      </c>
      <c r="EW11" s="64">
        <v>0</v>
      </c>
      <c r="EX11" s="64">
        <v>0</v>
      </c>
      <c r="EY11" s="64">
        <v>0</v>
      </c>
      <c r="EZ11" s="64">
        <v>0</v>
      </c>
      <c r="FA11" s="64">
        <v>0</v>
      </c>
      <c r="FB11" s="64">
        <v>0</v>
      </c>
      <c r="FC11" s="64">
        <v>0</v>
      </c>
      <c r="FD11" s="64">
        <v>0</v>
      </c>
      <c r="FE11" s="64">
        <v>0</v>
      </c>
      <c r="FF11" s="64">
        <v>0</v>
      </c>
      <c r="FG11" s="64">
        <v>0</v>
      </c>
      <c r="FH11" s="64">
        <v>0</v>
      </c>
      <c r="FI11" s="64">
        <v>0</v>
      </c>
      <c r="FJ11" s="64">
        <v>0</v>
      </c>
      <c r="FK11" s="64">
        <v>0</v>
      </c>
      <c r="FL11" s="64">
        <v>0</v>
      </c>
      <c r="FM11" s="64">
        <v>0</v>
      </c>
      <c r="FN11" s="64">
        <v>0</v>
      </c>
      <c r="FO11" s="64">
        <v>0</v>
      </c>
      <c r="FP11" s="64">
        <v>0</v>
      </c>
      <c r="FQ11" s="64">
        <v>0</v>
      </c>
      <c r="FR11" s="64">
        <v>0</v>
      </c>
      <c r="FS11" s="64">
        <v>0</v>
      </c>
      <c r="FT11" s="64">
        <v>0</v>
      </c>
      <c r="FU11" s="64">
        <v>0</v>
      </c>
      <c r="FV11" s="64">
        <v>0</v>
      </c>
      <c r="FW11" s="64">
        <v>0</v>
      </c>
      <c r="FX11" s="64">
        <v>0</v>
      </c>
      <c r="FY11" s="64">
        <v>0</v>
      </c>
      <c r="FZ11" s="64">
        <v>0</v>
      </c>
      <c r="GA11" s="64">
        <v>0</v>
      </c>
      <c r="GB11" s="64">
        <v>0</v>
      </c>
      <c r="GC11" s="64">
        <v>0</v>
      </c>
      <c r="GD11" s="64">
        <v>0</v>
      </c>
      <c r="GE11" s="64">
        <v>0</v>
      </c>
      <c r="GF11" s="64">
        <v>0</v>
      </c>
      <c r="GG11" s="64">
        <v>0</v>
      </c>
      <c r="GH11" s="64">
        <v>0</v>
      </c>
      <c r="GI11" s="64">
        <v>0</v>
      </c>
      <c r="GJ11" s="64">
        <v>0</v>
      </c>
      <c r="GK11" s="64">
        <v>0</v>
      </c>
      <c r="GL11" s="64">
        <v>0</v>
      </c>
      <c r="GM11" s="64">
        <v>0</v>
      </c>
      <c r="GN11" s="64">
        <v>0</v>
      </c>
      <c r="GO11" s="64">
        <v>0</v>
      </c>
      <c r="GP11" s="64">
        <v>0</v>
      </c>
      <c r="GQ11" s="64">
        <v>0</v>
      </c>
      <c r="GR11" s="64">
        <v>0</v>
      </c>
      <c r="GS11" s="64">
        <v>0</v>
      </c>
      <c r="GT11" s="64">
        <v>0</v>
      </c>
      <c r="GU11" s="64">
        <v>0</v>
      </c>
      <c r="GV11" s="64">
        <v>0</v>
      </c>
      <c r="GW11" s="64">
        <v>0</v>
      </c>
      <c r="GX11" s="64">
        <v>0</v>
      </c>
      <c r="GY11" s="64">
        <v>0</v>
      </c>
      <c r="GZ11" s="64">
        <v>0</v>
      </c>
      <c r="HA11" s="64">
        <v>0</v>
      </c>
      <c r="HB11" s="64">
        <v>0</v>
      </c>
      <c r="HC11" s="64">
        <v>0</v>
      </c>
      <c r="HD11" s="64">
        <v>0</v>
      </c>
      <c r="HE11" s="64">
        <v>0</v>
      </c>
      <c r="HF11" s="64">
        <v>0</v>
      </c>
      <c r="HG11" s="64">
        <v>0</v>
      </c>
      <c r="HH11" s="64">
        <v>0</v>
      </c>
      <c r="HI11" s="64">
        <v>0</v>
      </c>
      <c r="HJ11" s="64">
        <v>0</v>
      </c>
      <c r="HK11" s="64">
        <v>0</v>
      </c>
      <c r="HL11" s="64">
        <v>0</v>
      </c>
      <c r="HM11" s="64">
        <v>0</v>
      </c>
      <c r="HN11" s="64">
        <v>0</v>
      </c>
      <c r="HO11" s="64">
        <v>0</v>
      </c>
      <c r="HP11" s="64">
        <v>0</v>
      </c>
      <c r="HQ11" s="64">
        <v>0</v>
      </c>
      <c r="HR11" s="64">
        <v>0</v>
      </c>
      <c r="HS11" s="64">
        <v>0</v>
      </c>
      <c r="HT11" s="64">
        <v>0</v>
      </c>
      <c r="HU11" s="64">
        <v>0</v>
      </c>
      <c r="HV11" s="64">
        <v>0</v>
      </c>
      <c r="HW11" s="64">
        <v>0</v>
      </c>
      <c r="HX11" s="64">
        <v>0</v>
      </c>
      <c r="HY11" s="64">
        <v>0</v>
      </c>
      <c r="HZ11" s="64">
        <v>7.7336142972624242E-11</v>
      </c>
      <c r="IA11" s="64">
        <v>7.7336142972624242E-11</v>
      </c>
      <c r="IB11" s="64">
        <v>7.7336142972624242E-11</v>
      </c>
      <c r="IC11" s="64">
        <v>7.7336142972624242E-11</v>
      </c>
      <c r="ID11" s="64">
        <v>0</v>
      </c>
      <c r="IE11" s="64">
        <v>1.2845215527987249E-10</v>
      </c>
      <c r="IF11" s="64">
        <v>1.2845215527987249E-10</v>
      </c>
      <c r="IG11" s="64">
        <v>1.2845215527987249E-10</v>
      </c>
      <c r="IH11" s="64">
        <v>1.2845215527987249E-10</v>
      </c>
      <c r="II11" s="64">
        <v>1.2845215527987249E-10</v>
      </c>
      <c r="IJ11" s="64">
        <v>1.2845215527987249E-10</v>
      </c>
      <c r="IK11" s="64">
        <v>1.2845215527987249E-10</v>
      </c>
      <c r="IL11" s="64">
        <v>1.5890988282046081E-12</v>
      </c>
      <c r="IM11" s="64">
        <v>1.5890988282046081E-12</v>
      </c>
      <c r="IN11" s="64">
        <v>2.0658284766659899E-11</v>
      </c>
      <c r="IO11" s="64">
        <v>2.0658284766659899E-11</v>
      </c>
      <c r="IP11" s="64">
        <v>1.6155838086746842E-11</v>
      </c>
      <c r="IQ11" s="64">
        <v>1.0593992188030721E-12</v>
      </c>
      <c r="IR11" s="64">
        <v>2.6484980470076792E-13</v>
      </c>
      <c r="IS11" s="64">
        <v>1.5890988282046081E-12</v>
      </c>
      <c r="IT11" s="64">
        <v>5.2969960940153585E-13</v>
      </c>
      <c r="IU11" s="64">
        <v>3.7078972658107516E-12</v>
      </c>
      <c r="IV11" s="64">
        <v>2.6484980470076792E-13</v>
      </c>
      <c r="IW11" s="64">
        <v>1.5890988282046081E-12</v>
      </c>
      <c r="IX11" s="64">
        <v>2.118798437606143E-12</v>
      </c>
      <c r="IY11" s="64">
        <v>1.3242490235038401E-12</v>
      </c>
      <c r="IZ11" s="64">
        <v>3.7078972658107516E-12</v>
      </c>
      <c r="JA11" s="64">
        <v>7.9454941410230392E-13</v>
      </c>
      <c r="JB11" s="64">
        <v>5.2969960940153585E-13</v>
      </c>
      <c r="JC11" s="64">
        <v>7.9454941410230392E-13</v>
      </c>
      <c r="JD11" s="64">
        <v>5.2969960940153585E-13</v>
      </c>
      <c r="JE11" s="64">
        <v>9.2697431645268775E-12</v>
      </c>
      <c r="JF11" s="64">
        <v>9.2697431645268775E-12</v>
      </c>
      <c r="JG11" s="64">
        <v>5.0461071885513897E-6</v>
      </c>
      <c r="JH11" s="64">
        <v>5.0461071885513897E-6</v>
      </c>
      <c r="JI11" s="64">
        <v>5.0461071885513897E-6</v>
      </c>
      <c r="JJ11" s="64">
        <v>5.0461071885513897E-6</v>
      </c>
      <c r="JK11" s="64">
        <v>0</v>
      </c>
      <c r="JL11" s="64">
        <v>1.135374117424063E-4</v>
      </c>
      <c r="JM11" s="64">
        <v>1.135374117424063E-4</v>
      </c>
      <c r="JN11" s="64">
        <v>1.135374117424063E-4</v>
      </c>
      <c r="JO11" s="64">
        <v>1.135374117424063E-4</v>
      </c>
      <c r="JP11" s="64">
        <v>1.135374117424063E-4</v>
      </c>
      <c r="JQ11" s="64">
        <v>1.135374117424063E-4</v>
      </c>
      <c r="JR11" s="64">
        <v>1.135374117424063E-4</v>
      </c>
      <c r="JS11" s="64">
        <v>2.597261052930862E-6</v>
      </c>
      <c r="JT11" s="64">
        <v>2.597261052930862E-6</v>
      </c>
      <c r="JU11" s="64">
        <v>2.9682983462066998E-7</v>
      </c>
      <c r="JV11" s="64">
        <v>2.9682983462066998E-7</v>
      </c>
      <c r="JW11" s="64">
        <v>4.77153959152727E-5</v>
      </c>
      <c r="JX11" s="64">
        <v>0</v>
      </c>
      <c r="JY11" s="64">
        <v>2.226223759655025E-7</v>
      </c>
      <c r="JZ11" s="64">
        <v>0</v>
      </c>
      <c r="KA11" s="64">
        <v>3.7103729327583749E-7</v>
      </c>
      <c r="KB11" s="64">
        <v>9.646969625171774E-7</v>
      </c>
      <c r="KC11" s="64">
        <v>0</v>
      </c>
      <c r="KD11" s="64">
        <v>0</v>
      </c>
      <c r="KE11" s="64">
        <v>4.45244751931005E-7</v>
      </c>
      <c r="KF11" s="64">
        <v>3.7103729327583749E-7</v>
      </c>
      <c r="KG11" s="64">
        <v>1.076008150499929E-4</v>
      </c>
      <c r="KH11" s="64">
        <v>0</v>
      </c>
      <c r="KI11" s="64">
        <v>1.632564090413685E-6</v>
      </c>
      <c r="KJ11" s="64">
        <v>0</v>
      </c>
      <c r="KK11" s="64">
        <v>0</v>
      </c>
      <c r="KL11" s="64">
        <v>3.2577074349618533E-5</v>
      </c>
      <c r="KM11" s="64">
        <v>3.2577074349618533E-5</v>
      </c>
      <c r="KN11" s="64">
        <v>0</v>
      </c>
      <c r="KO11" s="64">
        <v>0</v>
      </c>
      <c r="KP11" s="64">
        <v>0</v>
      </c>
      <c r="KQ11" s="64">
        <v>0</v>
      </c>
      <c r="KR11" s="64">
        <v>0</v>
      </c>
      <c r="KS11" s="64">
        <v>0</v>
      </c>
      <c r="KT11" s="64">
        <v>0</v>
      </c>
      <c r="KU11" s="64">
        <v>0</v>
      </c>
      <c r="KV11" s="64">
        <v>0</v>
      </c>
      <c r="KW11" s="64">
        <v>0</v>
      </c>
      <c r="KX11" s="64">
        <v>0</v>
      </c>
      <c r="KY11" s="64">
        <v>0</v>
      </c>
      <c r="KZ11" s="64">
        <v>0</v>
      </c>
      <c r="LA11" s="64">
        <v>0</v>
      </c>
      <c r="LB11" s="64">
        <v>0</v>
      </c>
      <c r="LC11" s="64">
        <v>0</v>
      </c>
      <c r="LD11" s="64">
        <v>0</v>
      </c>
      <c r="LE11" s="64">
        <v>0</v>
      </c>
      <c r="LF11" s="64">
        <v>0</v>
      </c>
      <c r="LG11" s="64">
        <v>0</v>
      </c>
      <c r="LH11" s="64">
        <v>0</v>
      </c>
      <c r="LI11" s="64">
        <v>0</v>
      </c>
      <c r="LJ11" s="64">
        <v>0</v>
      </c>
      <c r="LK11" s="64">
        <v>0</v>
      </c>
      <c r="LL11" s="64">
        <v>0</v>
      </c>
      <c r="LM11" s="64">
        <v>0</v>
      </c>
      <c r="LN11" s="64">
        <v>0</v>
      </c>
      <c r="LO11" s="64">
        <v>0</v>
      </c>
      <c r="LP11" s="64">
        <v>0</v>
      </c>
      <c r="LQ11" s="64">
        <v>0</v>
      </c>
      <c r="LR11" s="64">
        <v>0</v>
      </c>
      <c r="LS11" s="64">
        <v>0</v>
      </c>
      <c r="LT11" s="64">
        <v>0</v>
      </c>
      <c r="LU11" s="64">
        <v>0</v>
      </c>
      <c r="LV11" s="64">
        <v>0</v>
      </c>
      <c r="LW11" s="64">
        <v>0</v>
      </c>
      <c r="LX11" s="64">
        <v>0</v>
      </c>
      <c r="LY11" s="64">
        <v>0</v>
      </c>
      <c r="LZ11" s="64">
        <v>0</v>
      </c>
      <c r="MA11" s="64">
        <v>0</v>
      </c>
      <c r="MB11" s="64">
        <v>0</v>
      </c>
      <c r="MC11" s="64">
        <v>0</v>
      </c>
      <c r="MD11" s="64">
        <v>0</v>
      </c>
      <c r="ME11" s="64">
        <v>0</v>
      </c>
      <c r="MF11" s="64">
        <v>0</v>
      </c>
      <c r="MG11" s="64">
        <v>0</v>
      </c>
      <c r="MH11" s="64">
        <v>0</v>
      </c>
      <c r="MI11" s="64">
        <v>0</v>
      </c>
      <c r="MJ11" s="64">
        <v>0</v>
      </c>
      <c r="MK11" s="64">
        <v>0</v>
      </c>
      <c r="ML11" s="64">
        <v>0</v>
      </c>
      <c r="MM11" s="64">
        <v>0</v>
      </c>
      <c r="MN11" s="64">
        <v>0</v>
      </c>
      <c r="MO11" s="64">
        <v>0</v>
      </c>
      <c r="MP11" s="64">
        <v>0</v>
      </c>
      <c r="MQ11" s="64">
        <v>0</v>
      </c>
      <c r="MR11" s="64">
        <v>0</v>
      </c>
      <c r="MS11" s="64">
        <v>0</v>
      </c>
      <c r="MT11" s="64">
        <v>0</v>
      </c>
      <c r="MU11" s="64">
        <v>0</v>
      </c>
      <c r="MV11" s="64">
        <v>0</v>
      </c>
      <c r="MW11" s="64">
        <v>0</v>
      </c>
      <c r="MX11" s="64">
        <v>0</v>
      </c>
      <c r="MY11" s="64">
        <v>0</v>
      </c>
      <c r="MZ11" s="64">
        <v>0</v>
      </c>
      <c r="NA11" s="64">
        <v>0</v>
      </c>
      <c r="NB11" s="64"/>
      <c r="NC11" s="64"/>
      <c r="ND11" s="64"/>
      <c r="NE11" s="64"/>
      <c r="NF11" s="64"/>
      <c r="NG11" s="64"/>
      <c r="NH11" s="64"/>
      <c r="NI11" s="64"/>
      <c r="NJ11" s="64"/>
      <c r="NK11" s="64"/>
      <c r="NL11" s="64"/>
      <c r="NM11" s="64"/>
      <c r="NN11" s="64"/>
      <c r="NO11" s="64"/>
      <c r="NP11" s="64"/>
      <c r="NQ11" s="64"/>
      <c r="NR11" s="64"/>
      <c r="NS11" s="64"/>
      <c r="NT11" s="64"/>
      <c r="NU11" s="64"/>
      <c r="NV11" s="64"/>
      <c r="NW11" s="64"/>
      <c r="NX11" s="64"/>
      <c r="NY11" s="64"/>
      <c r="NZ11" s="64"/>
      <c r="OA11" s="64"/>
      <c r="OB11" s="64"/>
      <c r="OC11" s="64"/>
      <c r="OD11" s="64"/>
      <c r="OE11" s="64"/>
      <c r="OF11" s="64"/>
      <c r="OG11" s="64"/>
      <c r="OH11" s="64"/>
      <c r="OI11" s="64"/>
      <c r="OJ11" s="64"/>
      <c r="OK11" s="64"/>
      <c r="OL11" s="64"/>
      <c r="OM11" s="64"/>
      <c r="ON11" s="64"/>
      <c r="OO11" s="64"/>
      <c r="OP11" s="64"/>
      <c r="OQ11" s="64"/>
      <c r="OR11" s="64"/>
      <c r="OS11" s="64"/>
    </row>
    <row r="12" spans="1:409">
      <c r="A12" s="64" t="s">
        <v>605</v>
      </c>
      <c r="B12" s="64" t="s">
        <v>589</v>
      </c>
      <c r="C12" s="64">
        <v>4.3819482940575901E-4</v>
      </c>
      <c r="D12" s="64">
        <v>3.6050594428318241E-4</v>
      </c>
      <c r="E12" s="64">
        <v>0</v>
      </c>
      <c r="F12" s="64">
        <v>0</v>
      </c>
      <c r="G12" s="64">
        <v>0</v>
      </c>
      <c r="H12" s="64">
        <v>6.8704619223052049E-3</v>
      </c>
      <c r="I12" s="64">
        <v>2.9938631495533129E-5</v>
      </c>
      <c r="J12" s="64">
        <v>1.3597606418389491E-4</v>
      </c>
      <c r="K12" s="64">
        <v>3.5295819676849041E-2</v>
      </c>
      <c r="L12" s="64">
        <v>0</v>
      </c>
      <c r="M12" s="64">
        <v>2.6767452518830601E-2</v>
      </c>
      <c r="N12" s="64">
        <v>1.1183745615124961E-4</v>
      </c>
      <c r="O12" s="64">
        <v>5.3052432430556213E-5</v>
      </c>
      <c r="P12" s="64">
        <v>1.71581708857207E-4</v>
      </c>
      <c r="Q12" s="64">
        <v>1.07835593378846E-4</v>
      </c>
      <c r="R12" s="64">
        <v>3.3365283542985212E-4</v>
      </c>
      <c r="S12" s="64">
        <v>2.6976075085324231E-3</v>
      </c>
      <c r="T12" s="64">
        <v>0</v>
      </c>
      <c r="U12" s="64">
        <v>0</v>
      </c>
      <c r="V12" s="64">
        <v>6.4615384615384592E-6</v>
      </c>
      <c r="W12" s="64">
        <v>6.9749999999999999E-4</v>
      </c>
      <c r="X12" s="64">
        <v>1.6071428571428569E-5</v>
      </c>
      <c r="Y12" s="64">
        <v>0</v>
      </c>
      <c r="Z12" s="64">
        <v>7.1188679245283036E-5</v>
      </c>
      <c r="AA12" s="64">
        <v>3.691237113402062E-4</v>
      </c>
      <c r="AB12" s="64">
        <v>3.7525373134328349E-4</v>
      </c>
      <c r="AC12" s="64">
        <v>6.1362319547405382E-3</v>
      </c>
      <c r="AD12" s="64">
        <v>3.1312500000000002E-5</v>
      </c>
      <c r="AE12" s="64">
        <v>0</v>
      </c>
      <c r="AF12" s="64">
        <v>9.7499999999999998E-5</v>
      </c>
      <c r="AG12" s="64">
        <v>1.1908256880733941E-5</v>
      </c>
      <c r="AH12" s="64">
        <v>6.660441856089998E-3</v>
      </c>
      <c r="AI12" s="64">
        <v>9.4681799322503355E-4</v>
      </c>
      <c r="AJ12" s="64">
        <v>0</v>
      </c>
      <c r="AK12" s="64">
        <v>0</v>
      </c>
      <c r="AL12" s="64">
        <v>0</v>
      </c>
      <c r="AM12" s="64">
        <v>0</v>
      </c>
      <c r="AN12" s="64">
        <v>0</v>
      </c>
      <c r="AO12" s="64">
        <v>0</v>
      </c>
      <c r="AP12" s="64">
        <v>0</v>
      </c>
      <c r="AQ12" s="64">
        <v>0</v>
      </c>
      <c r="AR12" s="64">
        <v>0</v>
      </c>
      <c r="AS12" s="64">
        <v>0</v>
      </c>
      <c r="AT12" s="64">
        <v>0</v>
      </c>
      <c r="AU12" s="64">
        <v>0</v>
      </c>
      <c r="AV12" s="64">
        <v>0</v>
      </c>
      <c r="AW12" s="64">
        <v>0</v>
      </c>
      <c r="AX12" s="64">
        <v>0</v>
      </c>
      <c r="AY12" s="64">
        <v>0</v>
      </c>
      <c r="AZ12" s="64">
        <v>0</v>
      </c>
      <c r="BA12" s="64">
        <v>0</v>
      </c>
      <c r="BB12" s="64">
        <v>0</v>
      </c>
      <c r="BC12" s="64">
        <v>0</v>
      </c>
      <c r="BD12" s="64">
        <v>0</v>
      </c>
      <c r="BE12" s="64">
        <v>0</v>
      </c>
      <c r="BF12" s="64">
        <v>0</v>
      </c>
      <c r="BG12" s="64">
        <v>0</v>
      </c>
      <c r="BH12" s="64">
        <v>0</v>
      </c>
      <c r="BI12" s="64">
        <v>0</v>
      </c>
      <c r="BJ12" s="64">
        <v>0</v>
      </c>
      <c r="BK12" s="64">
        <v>0</v>
      </c>
      <c r="BL12" s="64">
        <v>0</v>
      </c>
      <c r="BM12" s="64">
        <v>0</v>
      </c>
      <c r="BN12" s="64">
        <v>0</v>
      </c>
      <c r="BO12" s="64">
        <v>0</v>
      </c>
      <c r="BP12" s="64">
        <v>0</v>
      </c>
      <c r="BQ12" s="64">
        <v>0</v>
      </c>
      <c r="BR12" s="64">
        <v>0</v>
      </c>
      <c r="BS12" s="64">
        <v>0</v>
      </c>
      <c r="BT12" s="64">
        <v>0</v>
      </c>
      <c r="BU12" s="64">
        <v>0</v>
      </c>
      <c r="BV12" s="64">
        <v>0</v>
      </c>
      <c r="BW12" s="64">
        <v>0</v>
      </c>
      <c r="BX12" s="64">
        <v>0</v>
      </c>
      <c r="BY12" s="64">
        <v>0</v>
      </c>
      <c r="BZ12" s="64">
        <v>0</v>
      </c>
      <c r="CA12" s="64">
        <v>0</v>
      </c>
      <c r="CB12" s="64">
        <v>0</v>
      </c>
      <c r="CC12" s="64">
        <v>0</v>
      </c>
      <c r="CD12" s="64">
        <v>0</v>
      </c>
      <c r="CE12" s="64">
        <v>0</v>
      </c>
      <c r="CF12" s="64">
        <v>0</v>
      </c>
      <c r="CG12" s="64">
        <v>0</v>
      </c>
      <c r="CH12" s="64">
        <v>0</v>
      </c>
      <c r="CI12" s="64">
        <v>0</v>
      </c>
      <c r="CJ12" s="64">
        <v>0</v>
      </c>
      <c r="CK12" s="64">
        <v>0</v>
      </c>
      <c r="CL12" s="64">
        <v>0</v>
      </c>
      <c r="CM12" s="64">
        <v>0</v>
      </c>
      <c r="CN12" s="64">
        <v>0</v>
      </c>
      <c r="CO12" s="64">
        <v>0</v>
      </c>
      <c r="CP12" s="64">
        <v>0</v>
      </c>
      <c r="CQ12" s="64">
        <v>0</v>
      </c>
      <c r="CR12" s="64">
        <v>0</v>
      </c>
      <c r="CS12" s="64">
        <v>0</v>
      </c>
      <c r="CT12" s="64">
        <v>0</v>
      </c>
      <c r="CU12" s="64">
        <v>0</v>
      </c>
      <c r="CV12" s="64">
        <v>0</v>
      </c>
      <c r="CW12" s="64">
        <v>0</v>
      </c>
      <c r="CX12" s="64">
        <v>0</v>
      </c>
      <c r="CY12" s="64">
        <v>0</v>
      </c>
      <c r="CZ12" s="64">
        <v>0</v>
      </c>
      <c r="DA12" s="64">
        <v>0</v>
      </c>
      <c r="DB12" s="64">
        <v>0</v>
      </c>
      <c r="DC12" s="64">
        <v>0</v>
      </c>
      <c r="DD12" s="64">
        <v>0</v>
      </c>
      <c r="DE12" s="64">
        <v>0</v>
      </c>
      <c r="DF12" s="64">
        <v>0</v>
      </c>
      <c r="DG12" s="64">
        <v>0</v>
      </c>
      <c r="DH12" s="64">
        <v>0</v>
      </c>
      <c r="DI12" s="64">
        <v>0</v>
      </c>
      <c r="DJ12" s="64">
        <v>0</v>
      </c>
      <c r="DK12" s="64">
        <v>0</v>
      </c>
      <c r="DL12" s="64">
        <v>0</v>
      </c>
      <c r="DM12" s="64">
        <v>0</v>
      </c>
      <c r="DN12" s="64">
        <v>0</v>
      </c>
      <c r="DO12" s="64">
        <v>0</v>
      </c>
      <c r="DP12" s="64">
        <v>0</v>
      </c>
      <c r="DQ12" s="64">
        <v>0</v>
      </c>
      <c r="DR12" s="64">
        <v>0</v>
      </c>
      <c r="DS12" s="64">
        <v>0</v>
      </c>
      <c r="DT12" s="64">
        <v>0</v>
      </c>
      <c r="DU12" s="64">
        <v>0</v>
      </c>
      <c r="DV12" s="64">
        <v>0</v>
      </c>
      <c r="DW12" s="64">
        <v>0</v>
      </c>
      <c r="DX12" s="64">
        <v>0</v>
      </c>
      <c r="DY12" s="64">
        <v>0</v>
      </c>
      <c r="DZ12" s="64">
        <v>0</v>
      </c>
      <c r="EA12" s="64">
        <v>0</v>
      </c>
      <c r="EB12" s="64">
        <v>0</v>
      </c>
      <c r="EC12" s="64">
        <v>0</v>
      </c>
      <c r="ED12" s="64">
        <v>0</v>
      </c>
      <c r="EE12" s="64">
        <v>0</v>
      </c>
      <c r="EF12" s="64">
        <v>0</v>
      </c>
      <c r="EG12" s="64">
        <v>0</v>
      </c>
      <c r="EH12" s="64">
        <v>0</v>
      </c>
      <c r="EI12" s="64">
        <v>0</v>
      </c>
      <c r="EJ12" s="64">
        <v>0</v>
      </c>
      <c r="EK12" s="64">
        <v>0</v>
      </c>
      <c r="EL12" s="64">
        <v>0</v>
      </c>
      <c r="EM12" s="64">
        <v>0</v>
      </c>
      <c r="EN12" s="64">
        <v>0</v>
      </c>
      <c r="EO12" s="64">
        <v>0</v>
      </c>
      <c r="EP12" s="64">
        <v>0</v>
      </c>
      <c r="EQ12" s="64">
        <v>0</v>
      </c>
      <c r="ER12" s="64">
        <v>0</v>
      </c>
      <c r="ES12" s="64">
        <v>0</v>
      </c>
      <c r="ET12" s="64">
        <v>0</v>
      </c>
      <c r="EU12" s="64">
        <v>0</v>
      </c>
      <c r="EV12" s="64">
        <v>0</v>
      </c>
      <c r="EW12" s="64">
        <v>0</v>
      </c>
      <c r="EX12" s="64">
        <v>0</v>
      </c>
      <c r="EY12" s="64">
        <v>0</v>
      </c>
      <c r="EZ12" s="64">
        <v>0</v>
      </c>
      <c r="FA12" s="64">
        <v>0</v>
      </c>
      <c r="FB12" s="64">
        <v>0</v>
      </c>
      <c r="FC12" s="64">
        <v>0</v>
      </c>
      <c r="FD12" s="64">
        <v>0</v>
      </c>
      <c r="FE12" s="64">
        <v>0</v>
      </c>
      <c r="FF12" s="64">
        <v>0</v>
      </c>
      <c r="FG12" s="64">
        <v>0</v>
      </c>
      <c r="FH12" s="64">
        <v>0</v>
      </c>
      <c r="FI12" s="64">
        <v>0</v>
      </c>
      <c r="FJ12" s="64">
        <v>0</v>
      </c>
      <c r="FK12" s="64">
        <v>0</v>
      </c>
      <c r="FL12" s="64">
        <v>0</v>
      </c>
      <c r="FM12" s="64">
        <v>0</v>
      </c>
      <c r="FN12" s="64">
        <v>0</v>
      </c>
      <c r="FO12" s="64">
        <v>0</v>
      </c>
      <c r="FP12" s="64">
        <v>0</v>
      </c>
      <c r="FQ12" s="64">
        <v>0</v>
      </c>
      <c r="FR12" s="64">
        <v>0</v>
      </c>
      <c r="FS12" s="64">
        <v>0</v>
      </c>
      <c r="FT12" s="64">
        <v>0</v>
      </c>
      <c r="FU12" s="64">
        <v>0</v>
      </c>
      <c r="FV12" s="64">
        <v>0</v>
      </c>
      <c r="FW12" s="64">
        <v>0</v>
      </c>
      <c r="FX12" s="64">
        <v>0</v>
      </c>
      <c r="FY12" s="64">
        <v>0</v>
      </c>
      <c r="FZ12" s="64">
        <v>0</v>
      </c>
      <c r="GA12" s="64">
        <v>0</v>
      </c>
      <c r="GB12" s="64">
        <v>0</v>
      </c>
      <c r="GC12" s="64">
        <v>0</v>
      </c>
      <c r="GD12" s="64">
        <v>0</v>
      </c>
      <c r="GE12" s="64">
        <v>0</v>
      </c>
      <c r="GF12" s="64">
        <v>0</v>
      </c>
      <c r="GG12" s="64">
        <v>0</v>
      </c>
      <c r="GH12" s="64">
        <v>0</v>
      </c>
      <c r="GI12" s="64">
        <v>0</v>
      </c>
      <c r="GJ12" s="64">
        <v>0</v>
      </c>
      <c r="GK12" s="64">
        <v>0</v>
      </c>
      <c r="GL12" s="64">
        <v>0</v>
      </c>
      <c r="GM12" s="64">
        <v>0</v>
      </c>
      <c r="GN12" s="64">
        <v>0</v>
      </c>
      <c r="GO12" s="64">
        <v>0</v>
      </c>
      <c r="GP12" s="64">
        <v>0</v>
      </c>
      <c r="GQ12" s="64">
        <v>0</v>
      </c>
      <c r="GR12" s="64">
        <v>0</v>
      </c>
      <c r="GS12" s="64">
        <v>0</v>
      </c>
      <c r="GT12" s="64">
        <v>0</v>
      </c>
      <c r="GU12" s="64">
        <v>0</v>
      </c>
      <c r="GV12" s="64">
        <v>0</v>
      </c>
      <c r="GW12" s="64">
        <v>0</v>
      </c>
      <c r="GX12" s="64">
        <v>0</v>
      </c>
      <c r="GY12" s="64">
        <v>0</v>
      </c>
      <c r="GZ12" s="64">
        <v>0</v>
      </c>
      <c r="HA12" s="64">
        <v>0</v>
      </c>
      <c r="HB12" s="64">
        <v>0</v>
      </c>
      <c r="HC12" s="64">
        <v>0</v>
      </c>
      <c r="HD12" s="64">
        <v>0</v>
      </c>
      <c r="HE12" s="64">
        <v>0</v>
      </c>
      <c r="HF12" s="64">
        <v>0</v>
      </c>
      <c r="HG12" s="64">
        <v>0</v>
      </c>
      <c r="HH12" s="64">
        <v>0</v>
      </c>
      <c r="HI12" s="64">
        <v>0</v>
      </c>
      <c r="HJ12" s="64">
        <v>0</v>
      </c>
      <c r="HK12" s="64">
        <v>0</v>
      </c>
      <c r="HL12" s="64">
        <v>0</v>
      </c>
      <c r="HM12" s="64">
        <v>0</v>
      </c>
      <c r="HN12" s="64">
        <v>0</v>
      </c>
      <c r="HO12" s="64">
        <v>0</v>
      </c>
      <c r="HP12" s="64">
        <v>0</v>
      </c>
      <c r="HQ12" s="64">
        <v>0</v>
      </c>
      <c r="HR12" s="64">
        <v>0</v>
      </c>
      <c r="HS12" s="64">
        <v>0</v>
      </c>
      <c r="HT12" s="64">
        <v>0</v>
      </c>
      <c r="HU12" s="64">
        <v>0</v>
      </c>
      <c r="HV12" s="64">
        <v>0</v>
      </c>
      <c r="HW12" s="64">
        <v>0</v>
      </c>
      <c r="HX12" s="64">
        <v>0</v>
      </c>
      <c r="HY12" s="64">
        <v>0</v>
      </c>
      <c r="HZ12" s="64">
        <v>1.6159956820718369E-5</v>
      </c>
      <c r="IA12" s="64">
        <v>1.6159956820718369E-5</v>
      </c>
      <c r="IB12" s="64">
        <v>1.6159956820718369E-5</v>
      </c>
      <c r="IC12" s="64">
        <v>1.6159956820718369E-5</v>
      </c>
      <c r="ID12" s="64">
        <v>0</v>
      </c>
      <c r="IE12" s="64">
        <v>2.684102417139866E-5</v>
      </c>
      <c r="IF12" s="64">
        <v>2.684102417139866E-5</v>
      </c>
      <c r="IG12" s="64">
        <v>2.684102417139866E-5</v>
      </c>
      <c r="IH12" s="64">
        <v>2.684102417139866E-5</v>
      </c>
      <c r="II12" s="64">
        <v>2.684102417139866E-5</v>
      </c>
      <c r="IJ12" s="64">
        <v>2.684102417139866E-5</v>
      </c>
      <c r="IK12" s="64">
        <v>2.684102417139866E-5</v>
      </c>
      <c r="IL12" s="64">
        <v>3.3205390727503488E-7</v>
      </c>
      <c r="IM12" s="64">
        <v>3.3205390727503488E-7</v>
      </c>
      <c r="IN12" s="64">
        <v>4.3167007945754537E-6</v>
      </c>
      <c r="IO12" s="64">
        <v>4.3167007945754537E-6</v>
      </c>
      <c r="IP12" s="64">
        <v>3.375881390629521E-6</v>
      </c>
      <c r="IQ12" s="64">
        <v>2.2136927151668989E-7</v>
      </c>
      <c r="IR12" s="64">
        <v>5.5342317879172493E-8</v>
      </c>
      <c r="IS12" s="64">
        <v>3.3205390727503488E-7</v>
      </c>
      <c r="IT12" s="64">
        <v>1.10684635758345E-7</v>
      </c>
      <c r="IU12" s="64">
        <v>7.7479245030841477E-7</v>
      </c>
      <c r="IV12" s="64">
        <v>5.5342317879172493E-8</v>
      </c>
      <c r="IW12" s="64">
        <v>3.3205390727503488E-7</v>
      </c>
      <c r="IX12" s="64">
        <v>4.4273854303337989E-7</v>
      </c>
      <c r="IY12" s="64">
        <v>2.7671158939586248E-7</v>
      </c>
      <c r="IZ12" s="64">
        <v>7.7479245030841477E-7</v>
      </c>
      <c r="JA12" s="64">
        <v>1.6602695363751749E-7</v>
      </c>
      <c r="JB12" s="64">
        <v>1.10684635758345E-7</v>
      </c>
      <c r="JC12" s="64">
        <v>1.6602695363751749E-7</v>
      </c>
      <c r="JD12" s="64">
        <v>1.10684635758345E-7</v>
      </c>
      <c r="JE12" s="64">
        <v>1.936981125771037E-6</v>
      </c>
      <c r="JF12" s="64">
        <v>1.936981125771037E-6</v>
      </c>
      <c r="JG12" s="64">
        <v>1.1203904658105479E-5</v>
      </c>
      <c r="JH12" s="64">
        <v>1.1203904658105479E-5</v>
      </c>
      <c r="JI12" s="64">
        <v>1.1203904658105479E-5</v>
      </c>
      <c r="JJ12" s="64">
        <v>1.1203904658105479E-5</v>
      </c>
      <c r="JK12" s="64">
        <v>0</v>
      </c>
      <c r="JL12" s="64">
        <v>2.5208785480737328E-4</v>
      </c>
      <c r="JM12" s="64">
        <v>2.5208785480737328E-4</v>
      </c>
      <c r="JN12" s="64">
        <v>2.5208785480737328E-4</v>
      </c>
      <c r="JO12" s="64">
        <v>2.5208785480737328E-4</v>
      </c>
      <c r="JP12" s="64">
        <v>2.5208785480737328E-4</v>
      </c>
      <c r="JQ12" s="64">
        <v>2.5208785480737328E-4</v>
      </c>
      <c r="JR12" s="64">
        <v>2.5208785480737328E-4</v>
      </c>
      <c r="JS12" s="64">
        <v>5.7667156328484078E-6</v>
      </c>
      <c r="JT12" s="64">
        <v>5.7667156328484078E-6</v>
      </c>
      <c r="JU12" s="64">
        <v>6.5905321518267523E-7</v>
      </c>
      <c r="JV12" s="64">
        <v>6.5905321518267523E-7</v>
      </c>
      <c r="JW12" s="64">
        <v>1.0594280434061511E-4</v>
      </c>
      <c r="JX12" s="64">
        <v>0</v>
      </c>
      <c r="JY12" s="64">
        <v>4.942899113870064E-7</v>
      </c>
      <c r="JZ12" s="64">
        <v>0</v>
      </c>
      <c r="KA12" s="64">
        <v>8.2381651897834407E-7</v>
      </c>
      <c r="KB12" s="64">
        <v>2.141922949343695E-6</v>
      </c>
      <c r="KC12" s="64">
        <v>0</v>
      </c>
      <c r="KD12" s="64">
        <v>0</v>
      </c>
      <c r="KE12" s="64">
        <v>9.885798227740128E-7</v>
      </c>
      <c r="KF12" s="64">
        <v>8.2381651897834407E-7</v>
      </c>
      <c r="KG12" s="64">
        <v>2.3890679050371979E-4</v>
      </c>
      <c r="KH12" s="64">
        <v>0</v>
      </c>
      <c r="KI12" s="64">
        <v>3.6247926835047142E-6</v>
      </c>
      <c r="KJ12" s="64">
        <v>0</v>
      </c>
      <c r="KK12" s="64">
        <v>0</v>
      </c>
      <c r="KL12" s="64">
        <v>7.2331090366298601E-5</v>
      </c>
      <c r="KM12" s="64">
        <v>7.2331090366298601E-5</v>
      </c>
      <c r="KN12" s="64">
        <v>0</v>
      </c>
      <c r="KO12" s="64">
        <v>0</v>
      </c>
      <c r="KP12" s="64">
        <v>0</v>
      </c>
      <c r="KQ12" s="64">
        <v>0</v>
      </c>
      <c r="KR12" s="64">
        <v>0</v>
      </c>
      <c r="KS12" s="64">
        <v>0</v>
      </c>
      <c r="KT12" s="64">
        <v>0</v>
      </c>
      <c r="KU12" s="64">
        <v>0</v>
      </c>
      <c r="KV12" s="64">
        <v>0</v>
      </c>
      <c r="KW12" s="64">
        <v>0</v>
      </c>
      <c r="KX12" s="64">
        <v>0</v>
      </c>
      <c r="KY12" s="64">
        <v>0</v>
      </c>
      <c r="KZ12" s="64">
        <v>0</v>
      </c>
      <c r="LA12" s="64">
        <v>0</v>
      </c>
      <c r="LB12" s="64">
        <v>0</v>
      </c>
      <c r="LC12" s="64">
        <v>0</v>
      </c>
      <c r="LD12" s="64">
        <v>0</v>
      </c>
      <c r="LE12" s="64">
        <v>0</v>
      </c>
      <c r="LF12" s="64">
        <v>0</v>
      </c>
      <c r="LG12" s="64">
        <v>0</v>
      </c>
      <c r="LH12" s="64">
        <v>0</v>
      </c>
      <c r="LI12" s="64">
        <v>0</v>
      </c>
      <c r="LJ12" s="64">
        <v>0</v>
      </c>
      <c r="LK12" s="64">
        <v>0</v>
      </c>
      <c r="LL12" s="64">
        <v>0</v>
      </c>
      <c r="LM12" s="64">
        <v>0</v>
      </c>
      <c r="LN12" s="64">
        <v>0</v>
      </c>
      <c r="LO12" s="64">
        <v>0</v>
      </c>
      <c r="LP12" s="64">
        <v>0</v>
      </c>
      <c r="LQ12" s="64">
        <v>0</v>
      </c>
      <c r="LR12" s="64">
        <v>0</v>
      </c>
      <c r="LS12" s="64">
        <v>0</v>
      </c>
      <c r="LT12" s="64">
        <v>0</v>
      </c>
      <c r="LU12" s="64">
        <v>0</v>
      </c>
      <c r="LV12" s="64">
        <v>0</v>
      </c>
      <c r="LW12" s="64">
        <v>0</v>
      </c>
      <c r="LX12" s="64">
        <v>0</v>
      </c>
      <c r="LY12" s="64">
        <v>0</v>
      </c>
      <c r="LZ12" s="64">
        <v>0</v>
      </c>
      <c r="MA12" s="64">
        <v>0</v>
      </c>
      <c r="MB12" s="64">
        <v>0</v>
      </c>
      <c r="MC12" s="64">
        <v>0</v>
      </c>
      <c r="MD12" s="64">
        <v>0</v>
      </c>
      <c r="ME12" s="64">
        <v>0</v>
      </c>
      <c r="MF12" s="64">
        <v>0</v>
      </c>
      <c r="MG12" s="64">
        <v>0</v>
      </c>
      <c r="MH12" s="64">
        <v>0</v>
      </c>
      <c r="MI12" s="64">
        <v>0</v>
      </c>
      <c r="MJ12" s="64">
        <v>0</v>
      </c>
      <c r="MK12" s="64">
        <v>0</v>
      </c>
      <c r="ML12" s="64">
        <v>0</v>
      </c>
      <c r="MM12" s="64">
        <v>0</v>
      </c>
      <c r="MN12" s="64">
        <v>0</v>
      </c>
      <c r="MO12" s="64">
        <v>0</v>
      </c>
      <c r="MP12" s="64">
        <v>0</v>
      </c>
      <c r="MQ12" s="64">
        <v>0</v>
      </c>
      <c r="MR12" s="64">
        <v>0</v>
      </c>
      <c r="MS12" s="64">
        <v>0</v>
      </c>
      <c r="MT12" s="64">
        <v>0</v>
      </c>
      <c r="MU12" s="64">
        <v>0</v>
      </c>
      <c r="MV12" s="64">
        <v>0</v>
      </c>
      <c r="MW12" s="64">
        <v>0</v>
      </c>
      <c r="MX12" s="64">
        <v>0</v>
      </c>
      <c r="MY12" s="64">
        <v>0</v>
      </c>
      <c r="MZ12" s="64">
        <v>0</v>
      </c>
      <c r="NA12" s="64">
        <v>0</v>
      </c>
      <c r="NB12" s="64"/>
      <c r="NC12" s="64"/>
      <c r="ND12" s="64"/>
      <c r="NE12" s="64"/>
      <c r="NF12" s="64"/>
      <c r="NG12" s="64"/>
      <c r="NH12" s="64"/>
      <c r="NI12" s="64"/>
      <c r="NJ12" s="64"/>
      <c r="NK12" s="64"/>
      <c r="NL12" s="64"/>
      <c r="NM12" s="64"/>
      <c r="NN12" s="64"/>
      <c r="NO12" s="64"/>
      <c r="NP12" s="64"/>
      <c r="NQ12" s="64"/>
      <c r="NR12" s="64"/>
      <c r="NS12" s="64"/>
      <c r="NT12" s="64"/>
      <c r="NU12" s="64"/>
      <c r="NV12" s="64"/>
      <c r="NW12" s="64"/>
      <c r="NX12" s="64"/>
      <c r="NY12" s="64"/>
      <c r="NZ12" s="64"/>
      <c r="OA12" s="64"/>
      <c r="OB12" s="64"/>
      <c r="OC12" s="64"/>
      <c r="OD12" s="64"/>
      <c r="OE12" s="64"/>
      <c r="OF12" s="64"/>
      <c r="OG12" s="64"/>
      <c r="OH12" s="64"/>
      <c r="OI12" s="64"/>
      <c r="OJ12" s="64"/>
      <c r="OK12" s="64"/>
      <c r="OL12" s="64"/>
      <c r="OM12" s="64"/>
      <c r="ON12" s="64"/>
      <c r="OO12" s="64"/>
      <c r="OP12" s="64"/>
      <c r="OQ12" s="64"/>
      <c r="OR12" s="64"/>
      <c r="OS12" s="64"/>
    </row>
    <row r="13" spans="1:409">
      <c r="A13" s="64" t="s">
        <v>606</v>
      </c>
      <c r="B13" s="64" t="s">
        <v>590</v>
      </c>
      <c r="C13" s="64">
        <v>3.1299630671839933E-5</v>
      </c>
      <c r="D13" s="64">
        <v>2.5750424591655891E-5</v>
      </c>
      <c r="E13" s="64">
        <v>0</v>
      </c>
      <c r="F13" s="64">
        <v>0</v>
      </c>
      <c r="G13" s="64">
        <v>0</v>
      </c>
      <c r="H13" s="64">
        <v>2.0356924214237648E-5</v>
      </c>
      <c r="I13" s="64">
        <v>0</v>
      </c>
      <c r="J13" s="64">
        <v>6.1642482430032336E-3</v>
      </c>
      <c r="K13" s="64">
        <v>3.2049992419116821E-3</v>
      </c>
      <c r="L13" s="64">
        <v>0</v>
      </c>
      <c r="M13" s="64">
        <v>3.2445396992521951E-3</v>
      </c>
      <c r="N13" s="64">
        <v>1.500485870029266E-2</v>
      </c>
      <c r="O13" s="64">
        <v>0</v>
      </c>
      <c r="P13" s="64">
        <v>0</v>
      </c>
      <c r="Q13" s="64">
        <v>0</v>
      </c>
      <c r="R13" s="64">
        <v>3.0332075948168378E-5</v>
      </c>
      <c r="S13" s="64">
        <v>1.147918088737201E-4</v>
      </c>
      <c r="T13" s="64">
        <v>0</v>
      </c>
      <c r="U13" s="64">
        <v>0</v>
      </c>
      <c r="V13" s="64">
        <v>0</v>
      </c>
      <c r="W13" s="64">
        <v>0</v>
      </c>
      <c r="X13" s="64">
        <v>0</v>
      </c>
      <c r="Y13" s="64">
        <v>0</v>
      </c>
      <c r="Z13" s="64">
        <v>1.2943396226415089E-5</v>
      </c>
      <c r="AA13" s="64">
        <v>2.9768041237113401E-5</v>
      </c>
      <c r="AB13" s="64">
        <v>5.7731343283582102E-5</v>
      </c>
      <c r="AC13" s="64">
        <v>1.3908792430745219E-3</v>
      </c>
      <c r="AD13" s="64">
        <v>1.04375E-5</v>
      </c>
      <c r="AE13" s="64">
        <v>0</v>
      </c>
      <c r="AF13" s="64">
        <v>0</v>
      </c>
      <c r="AG13" s="64">
        <v>1.0825688073394489E-6</v>
      </c>
      <c r="AH13" s="64">
        <v>2.775184106704166E-4</v>
      </c>
      <c r="AI13" s="64">
        <v>1.893635986450067E-4</v>
      </c>
      <c r="AJ13" s="64">
        <v>0</v>
      </c>
      <c r="AK13" s="64">
        <v>0</v>
      </c>
      <c r="AL13" s="64">
        <v>0</v>
      </c>
      <c r="AM13" s="64">
        <v>0</v>
      </c>
      <c r="AN13" s="64">
        <v>0</v>
      </c>
      <c r="AO13" s="64">
        <v>0</v>
      </c>
      <c r="AP13" s="64">
        <v>0</v>
      </c>
      <c r="AQ13" s="64">
        <v>0</v>
      </c>
      <c r="AR13" s="64">
        <v>0</v>
      </c>
      <c r="AS13" s="64">
        <v>0</v>
      </c>
      <c r="AT13" s="64">
        <v>0</v>
      </c>
      <c r="AU13" s="64">
        <v>0</v>
      </c>
      <c r="AV13" s="64">
        <v>0</v>
      </c>
      <c r="AW13" s="64">
        <v>0</v>
      </c>
      <c r="AX13" s="64">
        <v>0</v>
      </c>
      <c r="AY13" s="64">
        <v>0</v>
      </c>
      <c r="AZ13" s="64">
        <v>0</v>
      </c>
      <c r="BA13" s="64">
        <v>0</v>
      </c>
      <c r="BB13" s="64">
        <v>0</v>
      </c>
      <c r="BC13" s="64">
        <v>0</v>
      </c>
      <c r="BD13" s="64">
        <v>0</v>
      </c>
      <c r="BE13" s="64">
        <v>0</v>
      </c>
      <c r="BF13" s="64">
        <v>0</v>
      </c>
      <c r="BG13" s="64">
        <v>0</v>
      </c>
      <c r="BH13" s="64">
        <v>0</v>
      </c>
      <c r="BI13" s="64">
        <v>0</v>
      </c>
      <c r="BJ13" s="64">
        <v>0</v>
      </c>
      <c r="BK13" s="64">
        <v>0</v>
      </c>
      <c r="BL13" s="64">
        <v>0</v>
      </c>
      <c r="BM13" s="64">
        <v>0</v>
      </c>
      <c r="BN13" s="64">
        <v>0</v>
      </c>
      <c r="BO13" s="64">
        <v>0</v>
      </c>
      <c r="BP13" s="64">
        <v>0</v>
      </c>
      <c r="BQ13" s="64">
        <v>0</v>
      </c>
      <c r="BR13" s="64">
        <v>0</v>
      </c>
      <c r="BS13" s="64">
        <v>0</v>
      </c>
      <c r="BT13" s="64">
        <v>0</v>
      </c>
      <c r="BU13" s="64">
        <v>0</v>
      </c>
      <c r="BV13" s="64">
        <v>0</v>
      </c>
      <c r="BW13" s="64">
        <v>0</v>
      </c>
      <c r="BX13" s="64">
        <v>0</v>
      </c>
      <c r="BY13" s="64">
        <v>0</v>
      </c>
      <c r="BZ13" s="64">
        <v>0</v>
      </c>
      <c r="CA13" s="64">
        <v>0</v>
      </c>
      <c r="CB13" s="64">
        <v>0</v>
      </c>
      <c r="CC13" s="64">
        <v>0</v>
      </c>
      <c r="CD13" s="64">
        <v>0</v>
      </c>
      <c r="CE13" s="64">
        <v>0</v>
      </c>
      <c r="CF13" s="64">
        <v>0</v>
      </c>
      <c r="CG13" s="64">
        <v>0</v>
      </c>
      <c r="CH13" s="64">
        <v>0</v>
      </c>
      <c r="CI13" s="64">
        <v>0</v>
      </c>
      <c r="CJ13" s="64">
        <v>0</v>
      </c>
      <c r="CK13" s="64">
        <v>0</v>
      </c>
      <c r="CL13" s="64">
        <v>0</v>
      </c>
      <c r="CM13" s="64">
        <v>0</v>
      </c>
      <c r="CN13" s="64">
        <v>0</v>
      </c>
      <c r="CO13" s="64">
        <v>0</v>
      </c>
      <c r="CP13" s="64">
        <v>0</v>
      </c>
      <c r="CQ13" s="64">
        <v>0</v>
      </c>
      <c r="CR13" s="64">
        <v>0</v>
      </c>
      <c r="CS13" s="64">
        <v>0</v>
      </c>
      <c r="CT13" s="64">
        <v>0</v>
      </c>
      <c r="CU13" s="64">
        <v>0</v>
      </c>
      <c r="CV13" s="64">
        <v>0</v>
      </c>
      <c r="CW13" s="64">
        <v>0</v>
      </c>
      <c r="CX13" s="64">
        <v>0</v>
      </c>
      <c r="CY13" s="64">
        <v>0</v>
      </c>
      <c r="CZ13" s="64">
        <v>0</v>
      </c>
      <c r="DA13" s="64">
        <v>0</v>
      </c>
      <c r="DB13" s="64">
        <v>0</v>
      </c>
      <c r="DC13" s="64">
        <v>0</v>
      </c>
      <c r="DD13" s="64">
        <v>0</v>
      </c>
      <c r="DE13" s="64">
        <v>0</v>
      </c>
      <c r="DF13" s="64">
        <v>0</v>
      </c>
      <c r="DG13" s="64">
        <v>0</v>
      </c>
      <c r="DH13" s="64">
        <v>0</v>
      </c>
      <c r="DI13" s="64">
        <v>0</v>
      </c>
      <c r="DJ13" s="64">
        <v>0</v>
      </c>
      <c r="DK13" s="64">
        <v>0</v>
      </c>
      <c r="DL13" s="64">
        <v>0</v>
      </c>
      <c r="DM13" s="64">
        <v>0</v>
      </c>
      <c r="DN13" s="64">
        <v>0</v>
      </c>
      <c r="DO13" s="64">
        <v>0</v>
      </c>
      <c r="DP13" s="64">
        <v>0</v>
      </c>
      <c r="DQ13" s="64">
        <v>0</v>
      </c>
      <c r="DR13" s="64">
        <v>0</v>
      </c>
      <c r="DS13" s="64">
        <v>0</v>
      </c>
      <c r="DT13" s="64">
        <v>0</v>
      </c>
      <c r="DU13" s="64">
        <v>0</v>
      </c>
      <c r="DV13" s="64">
        <v>0</v>
      </c>
      <c r="DW13" s="64">
        <v>0</v>
      </c>
      <c r="DX13" s="64">
        <v>0</v>
      </c>
      <c r="DY13" s="64">
        <v>0</v>
      </c>
      <c r="DZ13" s="64">
        <v>0</v>
      </c>
      <c r="EA13" s="64">
        <v>0</v>
      </c>
      <c r="EB13" s="64">
        <v>0</v>
      </c>
      <c r="EC13" s="64">
        <v>0</v>
      </c>
      <c r="ED13" s="64">
        <v>0</v>
      </c>
      <c r="EE13" s="64">
        <v>0</v>
      </c>
      <c r="EF13" s="64">
        <v>0</v>
      </c>
      <c r="EG13" s="64">
        <v>0</v>
      </c>
      <c r="EH13" s="64">
        <v>0</v>
      </c>
      <c r="EI13" s="64">
        <v>0</v>
      </c>
      <c r="EJ13" s="64">
        <v>0</v>
      </c>
      <c r="EK13" s="64">
        <v>0</v>
      </c>
      <c r="EL13" s="64">
        <v>0</v>
      </c>
      <c r="EM13" s="64">
        <v>0</v>
      </c>
      <c r="EN13" s="64">
        <v>0</v>
      </c>
      <c r="EO13" s="64">
        <v>0</v>
      </c>
      <c r="EP13" s="64">
        <v>0</v>
      </c>
      <c r="EQ13" s="64">
        <v>0</v>
      </c>
      <c r="ER13" s="64">
        <v>0</v>
      </c>
      <c r="ES13" s="64">
        <v>0</v>
      </c>
      <c r="ET13" s="64">
        <v>0</v>
      </c>
      <c r="EU13" s="64">
        <v>0</v>
      </c>
      <c r="EV13" s="64">
        <v>0</v>
      </c>
      <c r="EW13" s="64">
        <v>0</v>
      </c>
      <c r="EX13" s="64">
        <v>0</v>
      </c>
      <c r="EY13" s="64">
        <v>0</v>
      </c>
      <c r="EZ13" s="64">
        <v>0</v>
      </c>
      <c r="FA13" s="64">
        <v>0</v>
      </c>
      <c r="FB13" s="64">
        <v>0</v>
      </c>
      <c r="FC13" s="64">
        <v>0</v>
      </c>
      <c r="FD13" s="64">
        <v>0</v>
      </c>
      <c r="FE13" s="64">
        <v>0</v>
      </c>
      <c r="FF13" s="64">
        <v>0</v>
      </c>
      <c r="FG13" s="64">
        <v>0</v>
      </c>
      <c r="FH13" s="64">
        <v>0</v>
      </c>
      <c r="FI13" s="64">
        <v>0</v>
      </c>
      <c r="FJ13" s="64">
        <v>0</v>
      </c>
      <c r="FK13" s="64">
        <v>0</v>
      </c>
      <c r="FL13" s="64">
        <v>0</v>
      </c>
      <c r="FM13" s="64">
        <v>0</v>
      </c>
      <c r="FN13" s="64">
        <v>0</v>
      </c>
      <c r="FO13" s="64">
        <v>0</v>
      </c>
      <c r="FP13" s="64">
        <v>0</v>
      </c>
      <c r="FQ13" s="64">
        <v>0</v>
      </c>
      <c r="FR13" s="64">
        <v>0</v>
      </c>
      <c r="FS13" s="64">
        <v>0</v>
      </c>
      <c r="FT13" s="64">
        <v>0</v>
      </c>
      <c r="FU13" s="64">
        <v>0</v>
      </c>
      <c r="FV13" s="64">
        <v>0</v>
      </c>
      <c r="FW13" s="64">
        <v>0</v>
      </c>
      <c r="FX13" s="64">
        <v>0</v>
      </c>
      <c r="FY13" s="64">
        <v>0</v>
      </c>
      <c r="FZ13" s="64">
        <v>0</v>
      </c>
      <c r="GA13" s="64">
        <v>0</v>
      </c>
      <c r="GB13" s="64">
        <v>0</v>
      </c>
      <c r="GC13" s="64">
        <v>0</v>
      </c>
      <c r="GD13" s="64">
        <v>0</v>
      </c>
      <c r="GE13" s="64">
        <v>0</v>
      </c>
      <c r="GF13" s="64">
        <v>0</v>
      </c>
      <c r="GG13" s="64">
        <v>0</v>
      </c>
      <c r="GH13" s="64">
        <v>0</v>
      </c>
      <c r="GI13" s="64">
        <v>0</v>
      </c>
      <c r="GJ13" s="64">
        <v>0</v>
      </c>
      <c r="GK13" s="64">
        <v>0</v>
      </c>
      <c r="GL13" s="64">
        <v>0</v>
      </c>
      <c r="GM13" s="64">
        <v>0</v>
      </c>
      <c r="GN13" s="64">
        <v>0</v>
      </c>
      <c r="GO13" s="64">
        <v>0</v>
      </c>
      <c r="GP13" s="64">
        <v>0</v>
      </c>
      <c r="GQ13" s="64">
        <v>0</v>
      </c>
      <c r="GR13" s="64">
        <v>0</v>
      </c>
      <c r="GS13" s="64">
        <v>0</v>
      </c>
      <c r="GT13" s="64">
        <v>0</v>
      </c>
      <c r="GU13" s="64">
        <v>0</v>
      </c>
      <c r="GV13" s="64">
        <v>0</v>
      </c>
      <c r="GW13" s="64">
        <v>0</v>
      </c>
      <c r="GX13" s="64">
        <v>0</v>
      </c>
      <c r="GY13" s="64">
        <v>0</v>
      </c>
      <c r="GZ13" s="64">
        <v>0</v>
      </c>
      <c r="HA13" s="64">
        <v>0</v>
      </c>
      <c r="HB13" s="64">
        <v>0</v>
      </c>
      <c r="HC13" s="64">
        <v>0</v>
      </c>
      <c r="HD13" s="64">
        <v>0</v>
      </c>
      <c r="HE13" s="64">
        <v>0</v>
      </c>
      <c r="HF13" s="64">
        <v>0</v>
      </c>
      <c r="HG13" s="64">
        <v>0</v>
      </c>
      <c r="HH13" s="64">
        <v>0</v>
      </c>
      <c r="HI13" s="64">
        <v>0</v>
      </c>
      <c r="HJ13" s="64">
        <v>0</v>
      </c>
      <c r="HK13" s="64">
        <v>0</v>
      </c>
      <c r="HL13" s="64">
        <v>0</v>
      </c>
      <c r="HM13" s="64">
        <v>0</v>
      </c>
      <c r="HN13" s="64">
        <v>0</v>
      </c>
      <c r="HO13" s="64">
        <v>0</v>
      </c>
      <c r="HP13" s="64">
        <v>0</v>
      </c>
      <c r="HQ13" s="64">
        <v>0</v>
      </c>
      <c r="HR13" s="64">
        <v>0</v>
      </c>
      <c r="HS13" s="64">
        <v>0</v>
      </c>
      <c r="HT13" s="64">
        <v>0</v>
      </c>
      <c r="HU13" s="64">
        <v>0</v>
      </c>
      <c r="HV13" s="64">
        <v>0</v>
      </c>
      <c r="HW13" s="64">
        <v>0</v>
      </c>
      <c r="HX13" s="64">
        <v>0</v>
      </c>
      <c r="HY13" s="64">
        <v>0</v>
      </c>
      <c r="HZ13" s="64">
        <v>8.817645339880848E-8</v>
      </c>
      <c r="IA13" s="64">
        <v>8.817645339880848E-8</v>
      </c>
      <c r="IB13" s="64">
        <v>8.817645339880848E-8</v>
      </c>
      <c r="IC13" s="64">
        <v>8.817645339880848E-8</v>
      </c>
      <c r="ID13" s="64">
        <v>0</v>
      </c>
      <c r="IE13" s="64">
        <v>1.4645746540555521E-7</v>
      </c>
      <c r="IF13" s="64">
        <v>1.4645746540555521E-7</v>
      </c>
      <c r="IG13" s="64">
        <v>1.4645746540555521E-7</v>
      </c>
      <c r="IH13" s="64">
        <v>1.4645746540555521E-7</v>
      </c>
      <c r="II13" s="64">
        <v>1.4645746540555521E-7</v>
      </c>
      <c r="IJ13" s="64">
        <v>1.4645746540555521E-7</v>
      </c>
      <c r="IK13" s="64">
        <v>1.4645746540555521E-7</v>
      </c>
      <c r="IL13" s="64">
        <v>1.811844932852229E-9</v>
      </c>
      <c r="IM13" s="64">
        <v>1.811844932852229E-9</v>
      </c>
      <c r="IN13" s="64">
        <v>2.3553984127078979E-8</v>
      </c>
      <c r="IO13" s="64">
        <v>2.3553984127078979E-8</v>
      </c>
      <c r="IP13" s="64">
        <v>1.8420423483997661E-8</v>
      </c>
      <c r="IQ13" s="64">
        <v>1.207896621901486E-9</v>
      </c>
      <c r="IR13" s="64">
        <v>3.0197415547537149E-10</v>
      </c>
      <c r="IS13" s="64">
        <v>1.811844932852229E-9</v>
      </c>
      <c r="IT13" s="64">
        <v>6.0394831095074298E-10</v>
      </c>
      <c r="IU13" s="64">
        <v>4.2276381766552007E-9</v>
      </c>
      <c r="IV13" s="64">
        <v>3.0197415547537149E-10</v>
      </c>
      <c r="IW13" s="64">
        <v>1.811844932852229E-9</v>
      </c>
      <c r="IX13" s="64">
        <v>2.4157932438029719E-9</v>
      </c>
      <c r="IY13" s="64">
        <v>1.5098707773768579E-9</v>
      </c>
      <c r="IZ13" s="64">
        <v>4.2276381766552007E-9</v>
      </c>
      <c r="JA13" s="64">
        <v>9.0592246642611452E-10</v>
      </c>
      <c r="JB13" s="64">
        <v>6.0394831095074298E-10</v>
      </c>
      <c r="JC13" s="64">
        <v>9.0592246642611452E-10</v>
      </c>
      <c r="JD13" s="64">
        <v>6.0394831095074298E-10</v>
      </c>
      <c r="JE13" s="64">
        <v>1.0569095441638E-8</v>
      </c>
      <c r="JF13" s="64">
        <v>1.0569095441638E-8</v>
      </c>
      <c r="JG13" s="64">
        <v>2.0380988485049511E-6</v>
      </c>
      <c r="JH13" s="64">
        <v>2.0380988485049511E-6</v>
      </c>
      <c r="JI13" s="64">
        <v>2.0380988485049511E-6</v>
      </c>
      <c r="JJ13" s="64">
        <v>2.0380988485049511E-6</v>
      </c>
      <c r="JK13" s="64">
        <v>0</v>
      </c>
      <c r="JL13" s="64">
        <v>4.5857224091361398E-5</v>
      </c>
      <c r="JM13" s="64">
        <v>4.5857224091361398E-5</v>
      </c>
      <c r="JN13" s="64">
        <v>4.5857224091361398E-5</v>
      </c>
      <c r="JO13" s="64">
        <v>4.5857224091361398E-5</v>
      </c>
      <c r="JP13" s="64">
        <v>4.5857224091361398E-5</v>
      </c>
      <c r="JQ13" s="64">
        <v>4.5857224091361398E-5</v>
      </c>
      <c r="JR13" s="64">
        <v>4.5857224091361398E-5</v>
      </c>
      <c r="JS13" s="64">
        <v>1.0490214661422541E-6</v>
      </c>
      <c r="JT13" s="64">
        <v>1.0490214661422541E-6</v>
      </c>
      <c r="JU13" s="64">
        <v>1.1988816755911479E-7</v>
      </c>
      <c r="JV13" s="64">
        <v>1.1988816755911479E-7</v>
      </c>
      <c r="JW13" s="64">
        <v>1.9272022935127699E-5</v>
      </c>
      <c r="JX13" s="64">
        <v>0</v>
      </c>
      <c r="JY13" s="64">
        <v>8.9916125669336088E-8</v>
      </c>
      <c r="JZ13" s="64">
        <v>0</v>
      </c>
      <c r="KA13" s="64">
        <v>1.4986020944889351E-7</v>
      </c>
      <c r="KB13" s="64">
        <v>3.8963654456712302E-7</v>
      </c>
      <c r="KC13" s="64">
        <v>0</v>
      </c>
      <c r="KD13" s="64">
        <v>0</v>
      </c>
      <c r="KE13" s="64">
        <v>1.798322513386722E-7</v>
      </c>
      <c r="KF13" s="64">
        <v>1.4986020944889351E-7</v>
      </c>
      <c r="KG13" s="64">
        <v>4.3459460740179108E-5</v>
      </c>
      <c r="KH13" s="64">
        <v>0</v>
      </c>
      <c r="KI13" s="64">
        <v>6.5938492157513127E-7</v>
      </c>
      <c r="KJ13" s="64">
        <v>0</v>
      </c>
      <c r="KK13" s="64">
        <v>0</v>
      </c>
      <c r="KL13" s="64">
        <v>1.3157726389612851E-5</v>
      </c>
      <c r="KM13" s="64">
        <v>1.3157726389612851E-5</v>
      </c>
      <c r="KN13" s="64">
        <v>0</v>
      </c>
      <c r="KO13" s="64">
        <v>0</v>
      </c>
      <c r="KP13" s="64">
        <v>0</v>
      </c>
      <c r="KQ13" s="64">
        <v>0</v>
      </c>
      <c r="KR13" s="64">
        <v>0</v>
      </c>
      <c r="KS13" s="64">
        <v>0</v>
      </c>
      <c r="KT13" s="64">
        <v>0</v>
      </c>
      <c r="KU13" s="64">
        <v>0</v>
      </c>
      <c r="KV13" s="64">
        <v>0</v>
      </c>
      <c r="KW13" s="64">
        <v>0</v>
      </c>
      <c r="KX13" s="64">
        <v>0</v>
      </c>
      <c r="KY13" s="64">
        <v>0</v>
      </c>
      <c r="KZ13" s="64">
        <v>0</v>
      </c>
      <c r="LA13" s="64">
        <v>0</v>
      </c>
      <c r="LB13" s="64">
        <v>0</v>
      </c>
      <c r="LC13" s="64">
        <v>0</v>
      </c>
      <c r="LD13" s="64">
        <v>0</v>
      </c>
      <c r="LE13" s="64">
        <v>0</v>
      </c>
      <c r="LF13" s="64">
        <v>0</v>
      </c>
      <c r="LG13" s="64">
        <v>0</v>
      </c>
      <c r="LH13" s="64">
        <v>0</v>
      </c>
      <c r="LI13" s="64">
        <v>0</v>
      </c>
      <c r="LJ13" s="64">
        <v>0</v>
      </c>
      <c r="LK13" s="64">
        <v>0</v>
      </c>
      <c r="LL13" s="64">
        <v>0</v>
      </c>
      <c r="LM13" s="64">
        <v>0</v>
      </c>
      <c r="LN13" s="64">
        <v>0</v>
      </c>
      <c r="LO13" s="64">
        <v>0</v>
      </c>
      <c r="LP13" s="64">
        <v>0</v>
      </c>
      <c r="LQ13" s="64">
        <v>0</v>
      </c>
      <c r="LR13" s="64">
        <v>0</v>
      </c>
      <c r="LS13" s="64">
        <v>0</v>
      </c>
      <c r="LT13" s="64">
        <v>0</v>
      </c>
      <c r="LU13" s="64">
        <v>0</v>
      </c>
      <c r="LV13" s="64">
        <v>0</v>
      </c>
      <c r="LW13" s="64">
        <v>0</v>
      </c>
      <c r="LX13" s="64">
        <v>0</v>
      </c>
      <c r="LY13" s="64">
        <v>0</v>
      </c>
      <c r="LZ13" s="64">
        <v>0</v>
      </c>
      <c r="MA13" s="64">
        <v>0</v>
      </c>
      <c r="MB13" s="64">
        <v>0</v>
      </c>
      <c r="MC13" s="64">
        <v>0</v>
      </c>
      <c r="MD13" s="64">
        <v>0</v>
      </c>
      <c r="ME13" s="64">
        <v>0</v>
      </c>
      <c r="MF13" s="64">
        <v>0</v>
      </c>
      <c r="MG13" s="64">
        <v>0</v>
      </c>
      <c r="MH13" s="64">
        <v>0</v>
      </c>
      <c r="MI13" s="64">
        <v>0</v>
      </c>
      <c r="MJ13" s="64">
        <v>0</v>
      </c>
      <c r="MK13" s="64">
        <v>0</v>
      </c>
      <c r="ML13" s="64">
        <v>0</v>
      </c>
      <c r="MM13" s="64">
        <v>0</v>
      </c>
      <c r="MN13" s="64">
        <v>0</v>
      </c>
      <c r="MO13" s="64">
        <v>0</v>
      </c>
      <c r="MP13" s="64">
        <v>0</v>
      </c>
      <c r="MQ13" s="64">
        <v>0</v>
      </c>
      <c r="MR13" s="64">
        <v>0</v>
      </c>
      <c r="MS13" s="64">
        <v>0</v>
      </c>
      <c r="MT13" s="64">
        <v>0</v>
      </c>
      <c r="MU13" s="64">
        <v>0</v>
      </c>
      <c r="MV13" s="64">
        <v>0</v>
      </c>
      <c r="MW13" s="64">
        <v>0</v>
      </c>
      <c r="MX13" s="64">
        <v>0</v>
      </c>
      <c r="MY13" s="64">
        <v>0</v>
      </c>
      <c r="MZ13" s="64">
        <v>0</v>
      </c>
      <c r="NA13" s="64">
        <v>0</v>
      </c>
      <c r="NB13" s="64"/>
      <c r="NC13" s="64"/>
      <c r="ND13" s="64"/>
      <c r="NE13" s="64"/>
      <c r="NF13" s="64"/>
      <c r="NG13" s="64"/>
      <c r="NH13" s="64"/>
      <c r="NI13" s="64"/>
      <c r="NJ13" s="64"/>
      <c r="NK13" s="64"/>
      <c r="NL13" s="64"/>
      <c r="NM13" s="64"/>
      <c r="NN13" s="64"/>
      <c r="NO13" s="64"/>
      <c r="NP13" s="64"/>
      <c r="NQ13" s="64"/>
      <c r="NR13" s="64"/>
      <c r="NS13" s="64"/>
      <c r="NT13" s="64"/>
      <c r="NU13" s="64"/>
      <c r="NV13" s="64"/>
      <c r="NW13" s="64"/>
      <c r="NX13" s="64"/>
      <c r="NY13" s="64"/>
      <c r="NZ13" s="64"/>
      <c r="OA13" s="64"/>
      <c r="OB13" s="64"/>
      <c r="OC13" s="64"/>
      <c r="OD13" s="64"/>
      <c r="OE13" s="64"/>
      <c r="OF13" s="64"/>
      <c r="OG13" s="64"/>
      <c r="OH13" s="64"/>
      <c r="OI13" s="64"/>
      <c r="OJ13" s="64"/>
      <c r="OK13" s="64"/>
      <c r="OL13" s="64"/>
      <c r="OM13" s="64"/>
      <c r="ON13" s="64"/>
      <c r="OO13" s="64"/>
      <c r="OP13" s="64"/>
      <c r="OQ13" s="64"/>
      <c r="OR13" s="64"/>
      <c r="OS13" s="64"/>
    </row>
    <row r="14" spans="1:409">
      <c r="A14" s="64" t="s">
        <v>607</v>
      </c>
      <c r="B14" s="64" t="s">
        <v>591</v>
      </c>
      <c r="C14" s="64">
        <v>1.7736457380709291E-4</v>
      </c>
      <c r="D14" s="64">
        <v>1.57592598500934E-2</v>
      </c>
      <c r="E14" s="64">
        <v>0</v>
      </c>
      <c r="F14" s="64">
        <v>3.441846372595108E-2</v>
      </c>
      <c r="G14" s="64">
        <v>0</v>
      </c>
      <c r="H14" s="64">
        <v>3.28764326059938E-3</v>
      </c>
      <c r="I14" s="64">
        <v>2.9938631495533129E-5</v>
      </c>
      <c r="J14" s="64">
        <v>7.2973821112023579E-3</v>
      </c>
      <c r="K14" s="64">
        <v>7.4919409030674358E-3</v>
      </c>
      <c r="L14" s="64">
        <v>0</v>
      </c>
      <c r="M14" s="64">
        <v>3.8060946471996891E-3</v>
      </c>
      <c r="N14" s="64">
        <v>1.2227561872536629E-2</v>
      </c>
      <c r="O14" s="64">
        <v>5.3052432430556213E-5</v>
      </c>
      <c r="P14" s="64">
        <v>1.71581708857207E-4</v>
      </c>
      <c r="Q14" s="64">
        <v>1.07835593378846E-4</v>
      </c>
      <c r="R14" s="64">
        <v>9.0996227844505125E-5</v>
      </c>
      <c r="S14" s="64">
        <v>1.211053583617747E-2</v>
      </c>
      <c r="T14" s="64">
        <v>0</v>
      </c>
      <c r="U14" s="64">
        <v>0</v>
      </c>
      <c r="V14" s="64">
        <v>4.3076923076923067E-6</v>
      </c>
      <c r="W14" s="64">
        <v>2.3250000000000001E-4</v>
      </c>
      <c r="X14" s="64">
        <v>1.0714285714285719E-5</v>
      </c>
      <c r="Y14" s="64">
        <v>0</v>
      </c>
      <c r="Z14" s="64">
        <v>5.8245283018867933E-5</v>
      </c>
      <c r="AA14" s="64">
        <v>1.6670103092783511E-4</v>
      </c>
      <c r="AB14" s="64">
        <v>3.1752238805970149E-4</v>
      </c>
      <c r="AC14" s="64">
        <v>4.0791332422941869E-3</v>
      </c>
      <c r="AD14" s="64">
        <v>3.1312500000000002E-5</v>
      </c>
      <c r="AE14" s="64">
        <v>0</v>
      </c>
      <c r="AF14" s="64">
        <v>3.2499999999999997E-5</v>
      </c>
      <c r="AG14" s="64">
        <v>1.3099082568807341E-4</v>
      </c>
      <c r="AH14" s="64">
        <v>4.4402945707266656E-3</v>
      </c>
      <c r="AI14" s="64">
        <v>2.6510903810300929E-3</v>
      </c>
      <c r="AJ14" s="64">
        <v>0</v>
      </c>
      <c r="AK14" s="64">
        <v>0</v>
      </c>
      <c r="AL14" s="64">
        <v>0</v>
      </c>
      <c r="AM14" s="64">
        <v>0</v>
      </c>
      <c r="AN14" s="64">
        <v>0</v>
      </c>
      <c r="AO14" s="64">
        <v>0</v>
      </c>
      <c r="AP14" s="64">
        <v>0</v>
      </c>
      <c r="AQ14" s="64">
        <v>0</v>
      </c>
      <c r="AR14" s="64">
        <v>0</v>
      </c>
      <c r="AS14" s="64">
        <v>0</v>
      </c>
      <c r="AT14" s="64">
        <v>0</v>
      </c>
      <c r="AU14" s="64">
        <v>0</v>
      </c>
      <c r="AV14" s="64">
        <v>0</v>
      </c>
      <c r="AW14" s="64">
        <v>0</v>
      </c>
      <c r="AX14" s="64">
        <v>0</v>
      </c>
      <c r="AY14" s="64">
        <v>0</v>
      </c>
      <c r="AZ14" s="64">
        <v>0</v>
      </c>
      <c r="BA14" s="64">
        <v>0</v>
      </c>
      <c r="BB14" s="64">
        <v>0</v>
      </c>
      <c r="BC14" s="64">
        <v>0</v>
      </c>
      <c r="BD14" s="64">
        <v>0</v>
      </c>
      <c r="BE14" s="64">
        <v>0</v>
      </c>
      <c r="BF14" s="64">
        <v>0</v>
      </c>
      <c r="BG14" s="64">
        <v>0</v>
      </c>
      <c r="BH14" s="64">
        <v>0</v>
      </c>
      <c r="BI14" s="64">
        <v>0</v>
      </c>
      <c r="BJ14" s="64">
        <v>0</v>
      </c>
      <c r="BK14" s="64">
        <v>0</v>
      </c>
      <c r="BL14" s="64">
        <v>0</v>
      </c>
      <c r="BM14" s="64">
        <v>0</v>
      </c>
      <c r="BN14" s="64">
        <v>0</v>
      </c>
      <c r="BO14" s="64">
        <v>0</v>
      </c>
      <c r="BP14" s="64">
        <v>0</v>
      </c>
      <c r="BQ14" s="64">
        <v>0</v>
      </c>
      <c r="BR14" s="64">
        <v>0</v>
      </c>
      <c r="BS14" s="64">
        <v>0</v>
      </c>
      <c r="BT14" s="64">
        <v>0</v>
      </c>
      <c r="BU14" s="64">
        <v>0</v>
      </c>
      <c r="BV14" s="64">
        <v>0</v>
      </c>
      <c r="BW14" s="64">
        <v>0</v>
      </c>
      <c r="BX14" s="64">
        <v>0</v>
      </c>
      <c r="BY14" s="64">
        <v>0</v>
      </c>
      <c r="BZ14" s="64">
        <v>0</v>
      </c>
      <c r="CA14" s="64">
        <v>0</v>
      </c>
      <c r="CB14" s="64">
        <v>0</v>
      </c>
      <c r="CC14" s="64">
        <v>0</v>
      </c>
      <c r="CD14" s="64">
        <v>0</v>
      </c>
      <c r="CE14" s="64">
        <v>0</v>
      </c>
      <c r="CF14" s="64">
        <v>0</v>
      </c>
      <c r="CG14" s="64">
        <v>0</v>
      </c>
      <c r="CH14" s="64">
        <v>0</v>
      </c>
      <c r="CI14" s="64">
        <v>0</v>
      </c>
      <c r="CJ14" s="64">
        <v>0</v>
      </c>
      <c r="CK14" s="64">
        <v>0</v>
      </c>
      <c r="CL14" s="64">
        <v>0</v>
      </c>
      <c r="CM14" s="64">
        <v>0</v>
      </c>
      <c r="CN14" s="64">
        <v>0</v>
      </c>
      <c r="CO14" s="64">
        <v>0</v>
      </c>
      <c r="CP14" s="64">
        <v>0</v>
      </c>
      <c r="CQ14" s="64">
        <v>0</v>
      </c>
      <c r="CR14" s="64">
        <v>0</v>
      </c>
      <c r="CS14" s="64">
        <v>0</v>
      </c>
      <c r="CT14" s="64">
        <v>0</v>
      </c>
      <c r="CU14" s="64">
        <v>0</v>
      </c>
      <c r="CV14" s="64">
        <v>0</v>
      </c>
      <c r="CW14" s="64">
        <v>0</v>
      </c>
      <c r="CX14" s="64">
        <v>0</v>
      </c>
      <c r="CY14" s="64">
        <v>0</v>
      </c>
      <c r="CZ14" s="64">
        <v>0</v>
      </c>
      <c r="DA14" s="64">
        <v>0</v>
      </c>
      <c r="DB14" s="64">
        <v>0</v>
      </c>
      <c r="DC14" s="64">
        <v>0</v>
      </c>
      <c r="DD14" s="64">
        <v>0</v>
      </c>
      <c r="DE14" s="64">
        <v>0</v>
      </c>
      <c r="DF14" s="64">
        <v>0</v>
      </c>
      <c r="DG14" s="64">
        <v>0</v>
      </c>
      <c r="DH14" s="64">
        <v>0</v>
      </c>
      <c r="DI14" s="64">
        <v>0</v>
      </c>
      <c r="DJ14" s="64">
        <v>0</v>
      </c>
      <c r="DK14" s="64">
        <v>0</v>
      </c>
      <c r="DL14" s="64">
        <v>0</v>
      </c>
      <c r="DM14" s="64">
        <v>0</v>
      </c>
      <c r="DN14" s="64">
        <v>0</v>
      </c>
      <c r="DO14" s="64">
        <v>0</v>
      </c>
      <c r="DP14" s="64">
        <v>0</v>
      </c>
      <c r="DQ14" s="64">
        <v>0</v>
      </c>
      <c r="DR14" s="64">
        <v>0</v>
      </c>
      <c r="DS14" s="64">
        <v>0</v>
      </c>
      <c r="DT14" s="64">
        <v>0</v>
      </c>
      <c r="DU14" s="64">
        <v>0</v>
      </c>
      <c r="DV14" s="64">
        <v>0</v>
      </c>
      <c r="DW14" s="64">
        <v>0</v>
      </c>
      <c r="DX14" s="64">
        <v>0</v>
      </c>
      <c r="DY14" s="64">
        <v>0</v>
      </c>
      <c r="DZ14" s="64">
        <v>0</v>
      </c>
      <c r="EA14" s="64">
        <v>0</v>
      </c>
      <c r="EB14" s="64">
        <v>0</v>
      </c>
      <c r="EC14" s="64">
        <v>0</v>
      </c>
      <c r="ED14" s="64">
        <v>0</v>
      </c>
      <c r="EE14" s="64">
        <v>0</v>
      </c>
      <c r="EF14" s="64">
        <v>0</v>
      </c>
      <c r="EG14" s="64">
        <v>0</v>
      </c>
      <c r="EH14" s="64">
        <v>0</v>
      </c>
      <c r="EI14" s="64">
        <v>0</v>
      </c>
      <c r="EJ14" s="64">
        <v>0</v>
      </c>
      <c r="EK14" s="64">
        <v>0</v>
      </c>
      <c r="EL14" s="64">
        <v>0</v>
      </c>
      <c r="EM14" s="64">
        <v>0</v>
      </c>
      <c r="EN14" s="64">
        <v>0</v>
      </c>
      <c r="EO14" s="64">
        <v>0</v>
      </c>
      <c r="EP14" s="64">
        <v>0</v>
      </c>
      <c r="EQ14" s="64">
        <v>0</v>
      </c>
      <c r="ER14" s="64">
        <v>0</v>
      </c>
      <c r="ES14" s="64">
        <v>0</v>
      </c>
      <c r="ET14" s="64">
        <v>0</v>
      </c>
      <c r="EU14" s="64">
        <v>0</v>
      </c>
      <c r="EV14" s="64">
        <v>0</v>
      </c>
      <c r="EW14" s="64">
        <v>0</v>
      </c>
      <c r="EX14" s="64">
        <v>0</v>
      </c>
      <c r="EY14" s="64">
        <v>0</v>
      </c>
      <c r="EZ14" s="64">
        <v>0</v>
      </c>
      <c r="FA14" s="64">
        <v>0</v>
      </c>
      <c r="FB14" s="64">
        <v>0</v>
      </c>
      <c r="FC14" s="64">
        <v>0</v>
      </c>
      <c r="FD14" s="64">
        <v>0</v>
      </c>
      <c r="FE14" s="64">
        <v>0</v>
      </c>
      <c r="FF14" s="64">
        <v>0</v>
      </c>
      <c r="FG14" s="64">
        <v>0</v>
      </c>
      <c r="FH14" s="64">
        <v>0</v>
      </c>
      <c r="FI14" s="64">
        <v>0</v>
      </c>
      <c r="FJ14" s="64">
        <v>0</v>
      </c>
      <c r="FK14" s="64">
        <v>0</v>
      </c>
      <c r="FL14" s="64">
        <v>0</v>
      </c>
      <c r="FM14" s="64">
        <v>0</v>
      </c>
      <c r="FN14" s="64">
        <v>0</v>
      </c>
      <c r="FO14" s="64">
        <v>0</v>
      </c>
      <c r="FP14" s="64">
        <v>0</v>
      </c>
      <c r="FQ14" s="64">
        <v>0</v>
      </c>
      <c r="FR14" s="64">
        <v>0</v>
      </c>
      <c r="FS14" s="64">
        <v>0</v>
      </c>
      <c r="FT14" s="64">
        <v>0</v>
      </c>
      <c r="FU14" s="64">
        <v>0</v>
      </c>
      <c r="FV14" s="64">
        <v>0</v>
      </c>
      <c r="FW14" s="64">
        <v>0</v>
      </c>
      <c r="FX14" s="64">
        <v>0</v>
      </c>
      <c r="FY14" s="64">
        <v>0</v>
      </c>
      <c r="FZ14" s="64">
        <v>0</v>
      </c>
      <c r="GA14" s="64">
        <v>0</v>
      </c>
      <c r="GB14" s="64">
        <v>0</v>
      </c>
      <c r="GC14" s="64">
        <v>0</v>
      </c>
      <c r="GD14" s="64">
        <v>0</v>
      </c>
      <c r="GE14" s="64">
        <v>0</v>
      </c>
      <c r="GF14" s="64">
        <v>0</v>
      </c>
      <c r="GG14" s="64">
        <v>0</v>
      </c>
      <c r="GH14" s="64">
        <v>0</v>
      </c>
      <c r="GI14" s="64">
        <v>0</v>
      </c>
      <c r="GJ14" s="64">
        <v>0</v>
      </c>
      <c r="GK14" s="64">
        <v>0</v>
      </c>
      <c r="GL14" s="64">
        <v>0</v>
      </c>
      <c r="GM14" s="64">
        <v>0</v>
      </c>
      <c r="GN14" s="64">
        <v>0</v>
      </c>
      <c r="GO14" s="64">
        <v>0</v>
      </c>
      <c r="GP14" s="64">
        <v>0</v>
      </c>
      <c r="GQ14" s="64">
        <v>0</v>
      </c>
      <c r="GR14" s="64">
        <v>0</v>
      </c>
      <c r="GS14" s="64">
        <v>0</v>
      </c>
      <c r="GT14" s="64">
        <v>0</v>
      </c>
      <c r="GU14" s="64">
        <v>0</v>
      </c>
      <c r="GV14" s="64">
        <v>0</v>
      </c>
      <c r="GW14" s="64">
        <v>0</v>
      </c>
      <c r="GX14" s="64">
        <v>0</v>
      </c>
      <c r="GY14" s="64">
        <v>0</v>
      </c>
      <c r="GZ14" s="64">
        <v>0</v>
      </c>
      <c r="HA14" s="64">
        <v>0</v>
      </c>
      <c r="HB14" s="64">
        <v>0</v>
      </c>
      <c r="HC14" s="64">
        <v>0</v>
      </c>
      <c r="HD14" s="64">
        <v>0</v>
      </c>
      <c r="HE14" s="64">
        <v>0</v>
      </c>
      <c r="HF14" s="64">
        <v>0</v>
      </c>
      <c r="HG14" s="64">
        <v>0</v>
      </c>
      <c r="HH14" s="64">
        <v>0</v>
      </c>
      <c r="HI14" s="64">
        <v>0</v>
      </c>
      <c r="HJ14" s="64">
        <v>0</v>
      </c>
      <c r="HK14" s="64">
        <v>0</v>
      </c>
      <c r="HL14" s="64">
        <v>0</v>
      </c>
      <c r="HM14" s="64">
        <v>0</v>
      </c>
      <c r="HN14" s="64">
        <v>0</v>
      </c>
      <c r="HO14" s="64">
        <v>0</v>
      </c>
      <c r="HP14" s="64">
        <v>0</v>
      </c>
      <c r="HQ14" s="64">
        <v>0</v>
      </c>
      <c r="HR14" s="64">
        <v>0</v>
      </c>
      <c r="HS14" s="64">
        <v>0</v>
      </c>
      <c r="HT14" s="64">
        <v>0</v>
      </c>
      <c r="HU14" s="64">
        <v>0</v>
      </c>
      <c r="HV14" s="64">
        <v>0</v>
      </c>
      <c r="HW14" s="64">
        <v>0</v>
      </c>
      <c r="HX14" s="64">
        <v>0</v>
      </c>
      <c r="HY14" s="64">
        <v>0</v>
      </c>
      <c r="HZ14" s="64">
        <v>6.2613222992874086E-6</v>
      </c>
      <c r="IA14" s="64">
        <v>6.2613222992874086E-6</v>
      </c>
      <c r="IB14" s="64">
        <v>6.2613222992874086E-6</v>
      </c>
      <c r="IC14" s="64">
        <v>6.2613222992874086E-6</v>
      </c>
      <c r="ID14" s="64">
        <v>0</v>
      </c>
      <c r="IE14" s="64">
        <v>1.039979902450135E-5</v>
      </c>
      <c r="IF14" s="64">
        <v>1.039979902450135E-5</v>
      </c>
      <c r="IG14" s="64">
        <v>1.039979902450135E-5</v>
      </c>
      <c r="IH14" s="64">
        <v>1.039979902450135E-5</v>
      </c>
      <c r="II14" s="64">
        <v>1.039979902450135E-5</v>
      </c>
      <c r="IJ14" s="64">
        <v>1.039979902450135E-5</v>
      </c>
      <c r="IK14" s="64">
        <v>1.039979902450135E-5</v>
      </c>
      <c r="IL14" s="64">
        <v>1.286573075196043E-7</v>
      </c>
      <c r="IM14" s="64">
        <v>1.286573075196043E-7</v>
      </c>
      <c r="IN14" s="64">
        <v>1.672544997754856E-6</v>
      </c>
      <c r="IO14" s="64">
        <v>1.672544997754856E-6</v>
      </c>
      <c r="IP14" s="64">
        <v>1.308015959782644E-6</v>
      </c>
      <c r="IQ14" s="64">
        <v>8.5771538346402872E-8</v>
      </c>
      <c r="IR14" s="64">
        <v>2.1442884586600721E-8</v>
      </c>
      <c r="IS14" s="64">
        <v>1.286573075196043E-7</v>
      </c>
      <c r="IT14" s="64">
        <v>4.2885769173201443E-8</v>
      </c>
      <c r="IU14" s="64">
        <v>3.0020038421240999E-7</v>
      </c>
      <c r="IV14" s="64">
        <v>2.1442884586600721E-8</v>
      </c>
      <c r="IW14" s="64">
        <v>1.286573075196043E-7</v>
      </c>
      <c r="IX14" s="64">
        <v>1.7154307669280569E-7</v>
      </c>
      <c r="IY14" s="64">
        <v>1.0721442293300359E-7</v>
      </c>
      <c r="IZ14" s="64">
        <v>3.0020038421240999E-7</v>
      </c>
      <c r="JA14" s="64">
        <v>6.4328653759802151E-8</v>
      </c>
      <c r="JB14" s="64">
        <v>4.2885769173201443E-8</v>
      </c>
      <c r="JC14" s="64">
        <v>6.4328653759802151E-8</v>
      </c>
      <c r="JD14" s="64">
        <v>4.2885769173201443E-8</v>
      </c>
      <c r="JE14" s="64">
        <v>7.5050096053102512E-7</v>
      </c>
      <c r="JF14" s="64">
        <v>7.5050096053102512E-7</v>
      </c>
      <c r="JG14" s="64">
        <v>7.331248321723608E-6</v>
      </c>
      <c r="JH14" s="64">
        <v>7.331248321723608E-6</v>
      </c>
      <c r="JI14" s="64">
        <v>7.331248321723608E-6</v>
      </c>
      <c r="JJ14" s="64">
        <v>7.331248321723608E-6</v>
      </c>
      <c r="JK14" s="64">
        <v>0</v>
      </c>
      <c r="JL14" s="64">
        <v>1.6495308723878121E-4</v>
      </c>
      <c r="JM14" s="64">
        <v>1.6495308723878121E-4</v>
      </c>
      <c r="JN14" s="64">
        <v>1.6495308723878121E-4</v>
      </c>
      <c r="JO14" s="64">
        <v>1.6495308723878121E-4</v>
      </c>
      <c r="JP14" s="64">
        <v>1.6495308723878121E-4</v>
      </c>
      <c r="JQ14" s="64">
        <v>1.6495308723878121E-4</v>
      </c>
      <c r="JR14" s="64">
        <v>1.6495308723878121E-4</v>
      </c>
      <c r="JS14" s="64">
        <v>3.7734366361812689E-6</v>
      </c>
      <c r="JT14" s="64">
        <v>3.7734366361812689E-6</v>
      </c>
      <c r="JU14" s="64">
        <v>4.3124990127785932E-7</v>
      </c>
      <c r="JV14" s="64">
        <v>4.3124990127785932E-7</v>
      </c>
      <c r="JW14" s="64">
        <v>6.9323421630415884E-5</v>
      </c>
      <c r="JX14" s="64">
        <v>0</v>
      </c>
      <c r="JY14" s="64">
        <v>3.2343742595839451E-7</v>
      </c>
      <c r="JZ14" s="64">
        <v>0</v>
      </c>
      <c r="KA14" s="64">
        <v>5.3906237659732419E-7</v>
      </c>
      <c r="KB14" s="64">
        <v>1.4015621791530429E-6</v>
      </c>
      <c r="KC14" s="64">
        <v>0</v>
      </c>
      <c r="KD14" s="64">
        <v>0</v>
      </c>
      <c r="KE14" s="64">
        <v>6.4687485191678891E-7</v>
      </c>
      <c r="KF14" s="64">
        <v>5.3906237659732419E-7</v>
      </c>
      <c r="KG14" s="64">
        <v>1.5632808921322401E-4</v>
      </c>
      <c r="KH14" s="64">
        <v>0</v>
      </c>
      <c r="KI14" s="64">
        <v>2.3718744570282262E-6</v>
      </c>
      <c r="KJ14" s="64">
        <v>0</v>
      </c>
      <c r="KK14" s="64">
        <v>0</v>
      </c>
      <c r="KL14" s="64">
        <v>4.7329676665245063E-5</v>
      </c>
      <c r="KM14" s="64">
        <v>4.7329676665245063E-5</v>
      </c>
      <c r="KN14" s="64">
        <v>0</v>
      </c>
      <c r="KO14" s="64">
        <v>0</v>
      </c>
      <c r="KP14" s="64">
        <v>0</v>
      </c>
      <c r="KQ14" s="64">
        <v>0</v>
      </c>
      <c r="KR14" s="64">
        <v>0</v>
      </c>
      <c r="KS14" s="64">
        <v>0</v>
      </c>
      <c r="KT14" s="64">
        <v>0</v>
      </c>
      <c r="KU14" s="64">
        <v>0</v>
      </c>
      <c r="KV14" s="64">
        <v>0</v>
      </c>
      <c r="KW14" s="64">
        <v>0</v>
      </c>
      <c r="KX14" s="64">
        <v>0</v>
      </c>
      <c r="KY14" s="64">
        <v>0</v>
      </c>
      <c r="KZ14" s="64">
        <v>0</v>
      </c>
      <c r="LA14" s="64">
        <v>0</v>
      </c>
      <c r="LB14" s="64">
        <v>0</v>
      </c>
      <c r="LC14" s="64">
        <v>0</v>
      </c>
      <c r="LD14" s="64">
        <v>0</v>
      </c>
      <c r="LE14" s="64">
        <v>0</v>
      </c>
      <c r="LF14" s="64">
        <v>0</v>
      </c>
      <c r="LG14" s="64">
        <v>0</v>
      </c>
      <c r="LH14" s="64">
        <v>0</v>
      </c>
      <c r="LI14" s="64">
        <v>0</v>
      </c>
      <c r="LJ14" s="64">
        <v>0</v>
      </c>
      <c r="LK14" s="64">
        <v>0</v>
      </c>
      <c r="LL14" s="64">
        <v>0</v>
      </c>
      <c r="LM14" s="64">
        <v>0</v>
      </c>
      <c r="LN14" s="64">
        <v>0</v>
      </c>
      <c r="LO14" s="64">
        <v>0</v>
      </c>
      <c r="LP14" s="64">
        <v>0</v>
      </c>
      <c r="LQ14" s="64">
        <v>0</v>
      </c>
      <c r="LR14" s="64">
        <v>0</v>
      </c>
      <c r="LS14" s="64">
        <v>0</v>
      </c>
      <c r="LT14" s="64">
        <v>0</v>
      </c>
      <c r="LU14" s="64">
        <v>0</v>
      </c>
      <c r="LV14" s="64">
        <v>0</v>
      </c>
      <c r="LW14" s="64">
        <v>0</v>
      </c>
      <c r="LX14" s="64">
        <v>0</v>
      </c>
      <c r="LY14" s="64">
        <v>0</v>
      </c>
      <c r="LZ14" s="64">
        <v>0</v>
      </c>
      <c r="MA14" s="64">
        <v>0</v>
      </c>
      <c r="MB14" s="64">
        <v>0</v>
      </c>
      <c r="MC14" s="64">
        <v>0</v>
      </c>
      <c r="MD14" s="64">
        <v>0</v>
      </c>
      <c r="ME14" s="64">
        <v>0</v>
      </c>
      <c r="MF14" s="64">
        <v>0</v>
      </c>
      <c r="MG14" s="64">
        <v>0</v>
      </c>
      <c r="MH14" s="64">
        <v>0</v>
      </c>
      <c r="MI14" s="64">
        <v>0</v>
      </c>
      <c r="MJ14" s="64">
        <v>0</v>
      </c>
      <c r="MK14" s="64">
        <v>0</v>
      </c>
      <c r="ML14" s="64">
        <v>0</v>
      </c>
      <c r="MM14" s="64">
        <v>0</v>
      </c>
      <c r="MN14" s="64">
        <v>0</v>
      </c>
      <c r="MO14" s="64">
        <v>0</v>
      </c>
      <c r="MP14" s="64">
        <v>0</v>
      </c>
      <c r="MQ14" s="64">
        <v>0</v>
      </c>
      <c r="MR14" s="64">
        <v>0</v>
      </c>
      <c r="MS14" s="64">
        <v>0</v>
      </c>
      <c r="MT14" s="64">
        <v>0</v>
      </c>
      <c r="MU14" s="64">
        <v>0</v>
      </c>
      <c r="MV14" s="64">
        <v>0</v>
      </c>
      <c r="MW14" s="64">
        <v>0</v>
      </c>
      <c r="MX14" s="64">
        <v>0</v>
      </c>
      <c r="MY14" s="64">
        <v>0</v>
      </c>
      <c r="MZ14" s="64">
        <v>0</v>
      </c>
      <c r="NA14" s="64">
        <v>0</v>
      </c>
      <c r="NB14" s="64"/>
      <c r="NC14" s="64"/>
      <c r="ND14" s="64"/>
      <c r="NE14" s="64"/>
      <c r="NF14" s="64"/>
      <c r="NG14" s="64"/>
      <c r="NH14" s="64"/>
      <c r="NI14" s="64"/>
      <c r="NJ14" s="64"/>
      <c r="NK14" s="64"/>
      <c r="NL14" s="64"/>
      <c r="NM14" s="64"/>
      <c r="NN14" s="64"/>
      <c r="NO14" s="64"/>
      <c r="NP14" s="64"/>
      <c r="NQ14" s="64"/>
      <c r="NR14" s="64"/>
      <c r="NS14" s="64"/>
      <c r="NT14" s="64"/>
      <c r="NU14" s="64"/>
      <c r="NV14" s="64"/>
      <c r="NW14" s="64"/>
      <c r="NX14" s="64"/>
      <c r="NY14" s="64"/>
      <c r="NZ14" s="64"/>
      <c r="OA14" s="64"/>
      <c r="OB14" s="64"/>
      <c r="OC14" s="64"/>
      <c r="OD14" s="64"/>
      <c r="OE14" s="64"/>
      <c r="OF14" s="64"/>
      <c r="OG14" s="64"/>
      <c r="OH14" s="64"/>
      <c r="OI14" s="64"/>
      <c r="OJ14" s="64"/>
      <c r="OK14" s="64"/>
      <c r="OL14" s="64"/>
      <c r="OM14" s="64"/>
      <c r="ON14" s="64"/>
      <c r="OO14" s="64"/>
      <c r="OP14" s="64"/>
      <c r="OQ14" s="64"/>
      <c r="OR14" s="64"/>
      <c r="OS14" s="64"/>
    </row>
    <row r="15" spans="1:409">
      <c r="A15" s="64" t="s">
        <v>608</v>
      </c>
      <c r="B15" s="64" t="s">
        <v>592</v>
      </c>
      <c r="C15" s="64">
        <v>1.9823099425498621E-4</v>
      </c>
      <c r="D15" s="64">
        <v>1.8025297214159121E-4</v>
      </c>
      <c r="E15" s="64">
        <v>0</v>
      </c>
      <c r="F15" s="64">
        <v>0</v>
      </c>
      <c r="G15" s="64">
        <v>0</v>
      </c>
      <c r="H15" s="64">
        <v>1.221415452854259E-4</v>
      </c>
      <c r="I15" s="64">
        <v>2.9938631495533129E-5</v>
      </c>
      <c r="J15" s="64">
        <v>9.0650709455929911E-5</v>
      </c>
      <c r="K15" s="64">
        <v>6.1242023730796483E-5</v>
      </c>
      <c r="L15" s="64">
        <v>0</v>
      </c>
      <c r="M15" s="64">
        <v>6.2394994216388361E-5</v>
      </c>
      <c r="N15" s="64">
        <v>9.3197880126041365E-5</v>
      </c>
      <c r="O15" s="64">
        <v>5.3052432430556213E-5</v>
      </c>
      <c r="P15" s="64">
        <v>1.71581708857207E-4</v>
      </c>
      <c r="Q15" s="64">
        <v>1.07835593378846E-4</v>
      </c>
      <c r="R15" s="64">
        <v>9.0996227844505125E-5</v>
      </c>
      <c r="S15" s="64">
        <v>5.1656313993174061E-4</v>
      </c>
      <c r="T15" s="64">
        <v>0</v>
      </c>
      <c r="U15" s="64">
        <v>0</v>
      </c>
      <c r="V15" s="64">
        <v>6.4615384615384592E-6</v>
      </c>
      <c r="W15" s="64">
        <v>4.6500000000000003E-4</v>
      </c>
      <c r="X15" s="64">
        <v>1.6071428571428569E-5</v>
      </c>
      <c r="Y15" s="64">
        <v>0</v>
      </c>
      <c r="Z15" s="64">
        <v>6.4716981132075468E-5</v>
      </c>
      <c r="AA15" s="64">
        <v>1.786082474226804E-4</v>
      </c>
      <c r="AB15" s="64">
        <v>3.4638805970149249E-4</v>
      </c>
      <c r="AC15" s="64">
        <v>1.3184132657042529E-2</v>
      </c>
      <c r="AD15" s="64">
        <v>3.1312500000000002E-5</v>
      </c>
      <c r="AE15" s="64">
        <v>0</v>
      </c>
      <c r="AF15" s="64">
        <v>6.4999999999999994E-5</v>
      </c>
      <c r="AG15" s="64">
        <v>7.7944954128440357E-5</v>
      </c>
      <c r="AH15" s="64">
        <v>2.164643603229249E-2</v>
      </c>
      <c r="AI15" s="64">
        <v>7.5745439458002682E-4</v>
      </c>
      <c r="AJ15" s="64">
        <v>0</v>
      </c>
      <c r="AK15" s="64">
        <v>0</v>
      </c>
      <c r="AL15" s="64">
        <v>0</v>
      </c>
      <c r="AM15" s="64">
        <v>0</v>
      </c>
      <c r="AN15" s="64">
        <v>0</v>
      </c>
      <c r="AO15" s="64">
        <v>0</v>
      </c>
      <c r="AP15" s="64">
        <v>0</v>
      </c>
      <c r="AQ15" s="64">
        <v>0</v>
      </c>
      <c r="AR15" s="64">
        <v>0</v>
      </c>
      <c r="AS15" s="64">
        <v>0</v>
      </c>
      <c r="AT15" s="64">
        <v>0</v>
      </c>
      <c r="AU15" s="64">
        <v>0</v>
      </c>
      <c r="AV15" s="64">
        <v>0</v>
      </c>
      <c r="AW15" s="64">
        <v>0</v>
      </c>
      <c r="AX15" s="64">
        <v>0</v>
      </c>
      <c r="AY15" s="64">
        <v>0</v>
      </c>
      <c r="AZ15" s="64">
        <v>0</v>
      </c>
      <c r="BA15" s="64">
        <v>0</v>
      </c>
      <c r="BB15" s="64">
        <v>0</v>
      </c>
      <c r="BC15" s="64">
        <v>0</v>
      </c>
      <c r="BD15" s="64">
        <v>0</v>
      </c>
      <c r="BE15" s="64">
        <v>0</v>
      </c>
      <c r="BF15" s="64">
        <v>0</v>
      </c>
      <c r="BG15" s="64">
        <v>0</v>
      </c>
      <c r="BH15" s="64">
        <v>0</v>
      </c>
      <c r="BI15" s="64">
        <v>0</v>
      </c>
      <c r="BJ15" s="64">
        <v>0</v>
      </c>
      <c r="BK15" s="64">
        <v>0</v>
      </c>
      <c r="BL15" s="64">
        <v>0</v>
      </c>
      <c r="BM15" s="64">
        <v>0</v>
      </c>
      <c r="BN15" s="64">
        <v>0</v>
      </c>
      <c r="BO15" s="64">
        <v>0</v>
      </c>
      <c r="BP15" s="64">
        <v>0</v>
      </c>
      <c r="BQ15" s="64">
        <v>0</v>
      </c>
      <c r="BR15" s="64">
        <v>0</v>
      </c>
      <c r="BS15" s="64">
        <v>0</v>
      </c>
      <c r="BT15" s="64">
        <v>0</v>
      </c>
      <c r="BU15" s="64">
        <v>0</v>
      </c>
      <c r="BV15" s="64">
        <v>0</v>
      </c>
      <c r="BW15" s="64">
        <v>0</v>
      </c>
      <c r="BX15" s="64">
        <v>0</v>
      </c>
      <c r="BY15" s="64">
        <v>0</v>
      </c>
      <c r="BZ15" s="64">
        <v>0</v>
      </c>
      <c r="CA15" s="64">
        <v>0</v>
      </c>
      <c r="CB15" s="64">
        <v>0</v>
      </c>
      <c r="CC15" s="64">
        <v>0</v>
      </c>
      <c r="CD15" s="64">
        <v>0</v>
      </c>
      <c r="CE15" s="64">
        <v>0</v>
      </c>
      <c r="CF15" s="64">
        <v>0</v>
      </c>
      <c r="CG15" s="64">
        <v>0</v>
      </c>
      <c r="CH15" s="64">
        <v>0</v>
      </c>
      <c r="CI15" s="64">
        <v>0</v>
      </c>
      <c r="CJ15" s="64">
        <v>0</v>
      </c>
      <c r="CK15" s="64">
        <v>0</v>
      </c>
      <c r="CL15" s="64">
        <v>0</v>
      </c>
      <c r="CM15" s="64">
        <v>0</v>
      </c>
      <c r="CN15" s="64">
        <v>0</v>
      </c>
      <c r="CO15" s="64">
        <v>0</v>
      </c>
      <c r="CP15" s="64">
        <v>0</v>
      </c>
      <c r="CQ15" s="64">
        <v>0</v>
      </c>
      <c r="CR15" s="64">
        <v>0</v>
      </c>
      <c r="CS15" s="64">
        <v>0</v>
      </c>
      <c r="CT15" s="64">
        <v>0</v>
      </c>
      <c r="CU15" s="64">
        <v>0</v>
      </c>
      <c r="CV15" s="64">
        <v>0</v>
      </c>
      <c r="CW15" s="64">
        <v>0</v>
      </c>
      <c r="CX15" s="64">
        <v>0</v>
      </c>
      <c r="CY15" s="64">
        <v>0</v>
      </c>
      <c r="CZ15" s="64">
        <v>0</v>
      </c>
      <c r="DA15" s="64">
        <v>0</v>
      </c>
      <c r="DB15" s="64">
        <v>0</v>
      </c>
      <c r="DC15" s="64">
        <v>0</v>
      </c>
      <c r="DD15" s="64">
        <v>0</v>
      </c>
      <c r="DE15" s="64">
        <v>0</v>
      </c>
      <c r="DF15" s="64">
        <v>0</v>
      </c>
      <c r="DG15" s="64">
        <v>0</v>
      </c>
      <c r="DH15" s="64">
        <v>0</v>
      </c>
      <c r="DI15" s="64">
        <v>0</v>
      </c>
      <c r="DJ15" s="64">
        <v>0</v>
      </c>
      <c r="DK15" s="64">
        <v>0</v>
      </c>
      <c r="DL15" s="64">
        <v>0</v>
      </c>
      <c r="DM15" s="64">
        <v>0</v>
      </c>
      <c r="DN15" s="64">
        <v>0</v>
      </c>
      <c r="DO15" s="64">
        <v>0</v>
      </c>
      <c r="DP15" s="64">
        <v>0</v>
      </c>
      <c r="DQ15" s="64">
        <v>0</v>
      </c>
      <c r="DR15" s="64">
        <v>0</v>
      </c>
      <c r="DS15" s="64">
        <v>0</v>
      </c>
      <c r="DT15" s="64">
        <v>0</v>
      </c>
      <c r="DU15" s="64">
        <v>0</v>
      </c>
      <c r="DV15" s="64">
        <v>0</v>
      </c>
      <c r="DW15" s="64">
        <v>0</v>
      </c>
      <c r="DX15" s="64">
        <v>0</v>
      </c>
      <c r="DY15" s="64">
        <v>0</v>
      </c>
      <c r="DZ15" s="64">
        <v>0</v>
      </c>
      <c r="EA15" s="64">
        <v>0</v>
      </c>
      <c r="EB15" s="64">
        <v>0</v>
      </c>
      <c r="EC15" s="64">
        <v>0</v>
      </c>
      <c r="ED15" s="64">
        <v>0</v>
      </c>
      <c r="EE15" s="64">
        <v>0</v>
      </c>
      <c r="EF15" s="64">
        <v>0</v>
      </c>
      <c r="EG15" s="64">
        <v>0</v>
      </c>
      <c r="EH15" s="64">
        <v>0</v>
      </c>
      <c r="EI15" s="64">
        <v>0</v>
      </c>
      <c r="EJ15" s="64">
        <v>0</v>
      </c>
      <c r="EK15" s="64">
        <v>0</v>
      </c>
      <c r="EL15" s="64">
        <v>0</v>
      </c>
      <c r="EM15" s="64">
        <v>0</v>
      </c>
      <c r="EN15" s="64">
        <v>0</v>
      </c>
      <c r="EO15" s="64">
        <v>0</v>
      </c>
      <c r="EP15" s="64">
        <v>0</v>
      </c>
      <c r="EQ15" s="64">
        <v>0</v>
      </c>
      <c r="ER15" s="64">
        <v>0</v>
      </c>
      <c r="ES15" s="64">
        <v>0</v>
      </c>
      <c r="ET15" s="64">
        <v>0</v>
      </c>
      <c r="EU15" s="64">
        <v>0</v>
      </c>
      <c r="EV15" s="64">
        <v>0</v>
      </c>
      <c r="EW15" s="64">
        <v>0</v>
      </c>
      <c r="EX15" s="64">
        <v>0</v>
      </c>
      <c r="EY15" s="64">
        <v>0</v>
      </c>
      <c r="EZ15" s="64">
        <v>0</v>
      </c>
      <c r="FA15" s="64">
        <v>0</v>
      </c>
      <c r="FB15" s="64">
        <v>0</v>
      </c>
      <c r="FC15" s="64">
        <v>0</v>
      </c>
      <c r="FD15" s="64">
        <v>0</v>
      </c>
      <c r="FE15" s="64">
        <v>0</v>
      </c>
      <c r="FF15" s="64">
        <v>0</v>
      </c>
      <c r="FG15" s="64">
        <v>0</v>
      </c>
      <c r="FH15" s="64">
        <v>0</v>
      </c>
      <c r="FI15" s="64">
        <v>0</v>
      </c>
      <c r="FJ15" s="64">
        <v>0</v>
      </c>
      <c r="FK15" s="64">
        <v>0</v>
      </c>
      <c r="FL15" s="64">
        <v>0</v>
      </c>
      <c r="FM15" s="64">
        <v>0</v>
      </c>
      <c r="FN15" s="64">
        <v>0</v>
      </c>
      <c r="FO15" s="64">
        <v>0</v>
      </c>
      <c r="FP15" s="64">
        <v>0</v>
      </c>
      <c r="FQ15" s="64">
        <v>0</v>
      </c>
      <c r="FR15" s="64">
        <v>0</v>
      </c>
      <c r="FS15" s="64">
        <v>0</v>
      </c>
      <c r="FT15" s="64">
        <v>0</v>
      </c>
      <c r="FU15" s="64">
        <v>0</v>
      </c>
      <c r="FV15" s="64">
        <v>0</v>
      </c>
      <c r="FW15" s="64">
        <v>0</v>
      </c>
      <c r="FX15" s="64">
        <v>0</v>
      </c>
      <c r="FY15" s="64">
        <v>0</v>
      </c>
      <c r="FZ15" s="64">
        <v>0</v>
      </c>
      <c r="GA15" s="64">
        <v>0</v>
      </c>
      <c r="GB15" s="64">
        <v>0</v>
      </c>
      <c r="GC15" s="64">
        <v>0</v>
      </c>
      <c r="GD15" s="64">
        <v>0</v>
      </c>
      <c r="GE15" s="64">
        <v>0</v>
      </c>
      <c r="GF15" s="64">
        <v>0</v>
      </c>
      <c r="GG15" s="64">
        <v>0</v>
      </c>
      <c r="GH15" s="64">
        <v>0</v>
      </c>
      <c r="GI15" s="64">
        <v>0</v>
      </c>
      <c r="GJ15" s="64">
        <v>0</v>
      </c>
      <c r="GK15" s="64">
        <v>0</v>
      </c>
      <c r="GL15" s="64">
        <v>0</v>
      </c>
      <c r="GM15" s="64">
        <v>0</v>
      </c>
      <c r="GN15" s="64">
        <v>0</v>
      </c>
      <c r="GO15" s="64">
        <v>0</v>
      </c>
      <c r="GP15" s="64">
        <v>0</v>
      </c>
      <c r="GQ15" s="64">
        <v>0</v>
      </c>
      <c r="GR15" s="64">
        <v>0</v>
      </c>
      <c r="GS15" s="64">
        <v>0</v>
      </c>
      <c r="GT15" s="64">
        <v>0</v>
      </c>
      <c r="GU15" s="64">
        <v>0</v>
      </c>
      <c r="GV15" s="64">
        <v>0</v>
      </c>
      <c r="GW15" s="64">
        <v>0</v>
      </c>
      <c r="GX15" s="64">
        <v>0</v>
      </c>
      <c r="GY15" s="64">
        <v>0</v>
      </c>
      <c r="GZ15" s="64">
        <v>0</v>
      </c>
      <c r="HA15" s="64">
        <v>0</v>
      </c>
      <c r="HB15" s="64">
        <v>0</v>
      </c>
      <c r="HC15" s="64">
        <v>0</v>
      </c>
      <c r="HD15" s="64">
        <v>0</v>
      </c>
      <c r="HE15" s="64">
        <v>0</v>
      </c>
      <c r="HF15" s="64">
        <v>0</v>
      </c>
      <c r="HG15" s="64">
        <v>0</v>
      </c>
      <c r="HH15" s="64">
        <v>0</v>
      </c>
      <c r="HI15" s="64">
        <v>0</v>
      </c>
      <c r="HJ15" s="64">
        <v>0</v>
      </c>
      <c r="HK15" s="64">
        <v>0</v>
      </c>
      <c r="HL15" s="64">
        <v>0</v>
      </c>
      <c r="HM15" s="64">
        <v>0</v>
      </c>
      <c r="HN15" s="64">
        <v>0</v>
      </c>
      <c r="HO15" s="64">
        <v>0</v>
      </c>
      <c r="HP15" s="64">
        <v>0</v>
      </c>
      <c r="HQ15" s="64">
        <v>0</v>
      </c>
      <c r="HR15" s="64">
        <v>0</v>
      </c>
      <c r="HS15" s="64">
        <v>0</v>
      </c>
      <c r="HT15" s="64">
        <v>0</v>
      </c>
      <c r="HU15" s="64">
        <v>0</v>
      </c>
      <c r="HV15" s="64">
        <v>0</v>
      </c>
      <c r="HW15" s="64">
        <v>0</v>
      </c>
      <c r="HX15" s="64">
        <v>0</v>
      </c>
      <c r="HY15" s="64">
        <v>0</v>
      </c>
      <c r="HZ15" s="64">
        <v>6.584557857190753E-6</v>
      </c>
      <c r="IA15" s="64">
        <v>6.584557857190753E-6</v>
      </c>
      <c r="IB15" s="64">
        <v>6.584557857190753E-6</v>
      </c>
      <c r="IC15" s="64">
        <v>6.584557857190753E-6</v>
      </c>
      <c r="ID15" s="64">
        <v>0</v>
      </c>
      <c r="IE15" s="64">
        <v>1.0936680002525741E-5</v>
      </c>
      <c r="IF15" s="64">
        <v>1.0936680002525741E-5</v>
      </c>
      <c r="IG15" s="64">
        <v>1.0936680002525741E-5</v>
      </c>
      <c r="IH15" s="64">
        <v>1.0936680002525741E-5</v>
      </c>
      <c r="II15" s="64">
        <v>1.0936680002525741E-5</v>
      </c>
      <c r="IJ15" s="64">
        <v>1.0936680002525741E-5</v>
      </c>
      <c r="IK15" s="64">
        <v>1.0936680002525741E-5</v>
      </c>
      <c r="IL15" s="64">
        <v>1.3529913405186479E-7</v>
      </c>
      <c r="IM15" s="64">
        <v>1.3529913405186479E-7</v>
      </c>
      <c r="IN15" s="64">
        <v>1.7588887426742421E-6</v>
      </c>
      <c r="IO15" s="64">
        <v>1.7588887426742421E-6</v>
      </c>
      <c r="IP15" s="64">
        <v>1.375541196193959E-6</v>
      </c>
      <c r="IQ15" s="64">
        <v>9.019942270124318E-8</v>
      </c>
      <c r="IR15" s="64">
        <v>2.2549855675310792E-8</v>
      </c>
      <c r="IS15" s="64">
        <v>1.3529913405186479E-7</v>
      </c>
      <c r="IT15" s="64">
        <v>4.509971135062159E-8</v>
      </c>
      <c r="IU15" s="64">
        <v>3.156979794543511E-7</v>
      </c>
      <c r="IV15" s="64">
        <v>2.2549855675310792E-8</v>
      </c>
      <c r="IW15" s="64">
        <v>1.3529913405186479E-7</v>
      </c>
      <c r="IX15" s="64">
        <v>1.8039884540248641E-7</v>
      </c>
      <c r="IY15" s="64">
        <v>1.12749278376554E-7</v>
      </c>
      <c r="IZ15" s="64">
        <v>3.156979794543511E-7</v>
      </c>
      <c r="JA15" s="64">
        <v>6.7649567025932395E-8</v>
      </c>
      <c r="JB15" s="64">
        <v>4.509971135062159E-8</v>
      </c>
      <c r="JC15" s="64">
        <v>6.7649567025932395E-8</v>
      </c>
      <c r="JD15" s="64">
        <v>4.509971135062159E-8</v>
      </c>
      <c r="JE15" s="64">
        <v>7.8924494863587779E-7</v>
      </c>
      <c r="JF15" s="64">
        <v>7.8924494863587779E-7</v>
      </c>
      <c r="JG15" s="64">
        <v>1.227048286973416E-5</v>
      </c>
      <c r="JH15" s="64">
        <v>1.227048286973416E-5</v>
      </c>
      <c r="JI15" s="64">
        <v>1.227048286973416E-5</v>
      </c>
      <c r="JJ15" s="64">
        <v>1.227048286973416E-5</v>
      </c>
      <c r="JK15" s="64">
        <v>0</v>
      </c>
      <c r="JL15" s="64">
        <v>2.7608586456901861E-4</v>
      </c>
      <c r="JM15" s="64">
        <v>2.7608586456901861E-4</v>
      </c>
      <c r="JN15" s="64">
        <v>2.7608586456901861E-4</v>
      </c>
      <c r="JO15" s="64">
        <v>2.7608586456901861E-4</v>
      </c>
      <c r="JP15" s="64">
        <v>2.7608586456901861E-4</v>
      </c>
      <c r="JQ15" s="64">
        <v>2.7608586456901861E-4</v>
      </c>
      <c r="JR15" s="64">
        <v>2.7608586456901861E-4</v>
      </c>
      <c r="JS15" s="64">
        <v>6.3156897123631699E-6</v>
      </c>
      <c r="JT15" s="64">
        <v>6.3156897123631699E-6</v>
      </c>
      <c r="JU15" s="64">
        <v>7.217931099843623E-7</v>
      </c>
      <c r="JV15" s="64">
        <v>7.217931099843623E-7</v>
      </c>
      <c r="JW15" s="64">
        <v>1.160282424299862E-4</v>
      </c>
      <c r="JX15" s="64">
        <v>0</v>
      </c>
      <c r="JY15" s="64">
        <v>5.4134483248827173E-7</v>
      </c>
      <c r="JZ15" s="64">
        <v>0</v>
      </c>
      <c r="KA15" s="64">
        <v>9.0224138748045298E-7</v>
      </c>
      <c r="KB15" s="64">
        <v>2.3458276074491768E-6</v>
      </c>
      <c r="KC15" s="64">
        <v>0</v>
      </c>
      <c r="KD15" s="64">
        <v>0</v>
      </c>
      <c r="KE15" s="64">
        <v>1.082689664976543E-6</v>
      </c>
      <c r="KF15" s="64">
        <v>9.0224138748045298E-7</v>
      </c>
      <c r="KG15" s="64">
        <v>2.6165000236933128E-4</v>
      </c>
      <c r="KH15" s="64">
        <v>0</v>
      </c>
      <c r="KI15" s="64">
        <v>3.9698621049139922E-6</v>
      </c>
      <c r="KJ15" s="64">
        <v>0</v>
      </c>
      <c r="KK15" s="64">
        <v>0</v>
      </c>
      <c r="KL15" s="64">
        <v>7.921679382078376E-5</v>
      </c>
      <c r="KM15" s="64">
        <v>7.921679382078376E-5</v>
      </c>
      <c r="KN15" s="64">
        <v>0</v>
      </c>
      <c r="KO15" s="64">
        <v>0</v>
      </c>
      <c r="KP15" s="64">
        <v>0</v>
      </c>
      <c r="KQ15" s="64">
        <v>0</v>
      </c>
      <c r="KR15" s="64">
        <v>0</v>
      </c>
      <c r="KS15" s="64">
        <v>0</v>
      </c>
      <c r="KT15" s="64">
        <v>0</v>
      </c>
      <c r="KU15" s="64">
        <v>0</v>
      </c>
      <c r="KV15" s="64">
        <v>0</v>
      </c>
      <c r="KW15" s="64">
        <v>0</v>
      </c>
      <c r="KX15" s="64">
        <v>0</v>
      </c>
      <c r="KY15" s="64">
        <v>0</v>
      </c>
      <c r="KZ15" s="64">
        <v>0</v>
      </c>
      <c r="LA15" s="64">
        <v>0</v>
      </c>
      <c r="LB15" s="64">
        <v>0</v>
      </c>
      <c r="LC15" s="64">
        <v>0</v>
      </c>
      <c r="LD15" s="64">
        <v>0</v>
      </c>
      <c r="LE15" s="64">
        <v>0</v>
      </c>
      <c r="LF15" s="64">
        <v>0</v>
      </c>
      <c r="LG15" s="64">
        <v>0</v>
      </c>
      <c r="LH15" s="64">
        <v>0</v>
      </c>
      <c r="LI15" s="64">
        <v>0</v>
      </c>
      <c r="LJ15" s="64">
        <v>0</v>
      </c>
      <c r="LK15" s="64">
        <v>0</v>
      </c>
      <c r="LL15" s="64">
        <v>0</v>
      </c>
      <c r="LM15" s="64">
        <v>0</v>
      </c>
      <c r="LN15" s="64">
        <v>0</v>
      </c>
      <c r="LO15" s="64">
        <v>0</v>
      </c>
      <c r="LP15" s="64">
        <v>0</v>
      </c>
      <c r="LQ15" s="64">
        <v>0</v>
      </c>
      <c r="LR15" s="64">
        <v>0</v>
      </c>
      <c r="LS15" s="64">
        <v>0</v>
      </c>
      <c r="LT15" s="64">
        <v>0</v>
      </c>
      <c r="LU15" s="64">
        <v>0</v>
      </c>
      <c r="LV15" s="64">
        <v>0</v>
      </c>
      <c r="LW15" s="64">
        <v>0</v>
      </c>
      <c r="LX15" s="64">
        <v>0</v>
      </c>
      <c r="LY15" s="64">
        <v>0</v>
      </c>
      <c r="LZ15" s="64">
        <v>0</v>
      </c>
      <c r="MA15" s="64">
        <v>0</v>
      </c>
      <c r="MB15" s="64">
        <v>0</v>
      </c>
      <c r="MC15" s="64">
        <v>0</v>
      </c>
      <c r="MD15" s="64">
        <v>0</v>
      </c>
      <c r="ME15" s="64">
        <v>0</v>
      </c>
      <c r="MF15" s="64">
        <v>0</v>
      </c>
      <c r="MG15" s="64">
        <v>0</v>
      </c>
      <c r="MH15" s="64">
        <v>0</v>
      </c>
      <c r="MI15" s="64">
        <v>0</v>
      </c>
      <c r="MJ15" s="64">
        <v>0</v>
      </c>
      <c r="MK15" s="64">
        <v>0</v>
      </c>
      <c r="ML15" s="64">
        <v>0</v>
      </c>
      <c r="MM15" s="64">
        <v>0</v>
      </c>
      <c r="MN15" s="64">
        <v>0</v>
      </c>
      <c r="MO15" s="64">
        <v>0</v>
      </c>
      <c r="MP15" s="64">
        <v>0</v>
      </c>
      <c r="MQ15" s="64">
        <v>0</v>
      </c>
      <c r="MR15" s="64">
        <v>0</v>
      </c>
      <c r="MS15" s="64">
        <v>0</v>
      </c>
      <c r="MT15" s="64">
        <v>0</v>
      </c>
      <c r="MU15" s="64">
        <v>0</v>
      </c>
      <c r="MV15" s="64">
        <v>0</v>
      </c>
      <c r="MW15" s="64">
        <v>0</v>
      </c>
      <c r="MX15" s="64">
        <v>0</v>
      </c>
      <c r="MY15" s="64">
        <v>0</v>
      </c>
      <c r="MZ15" s="64">
        <v>0</v>
      </c>
      <c r="NA15" s="64">
        <v>0</v>
      </c>
      <c r="NB15" s="64"/>
      <c r="NC15" s="64"/>
      <c r="ND15" s="64"/>
      <c r="NE15" s="64"/>
      <c r="NF15" s="64"/>
      <c r="NG15" s="64"/>
      <c r="NH15" s="64"/>
      <c r="NI15" s="64"/>
      <c r="NJ15" s="64"/>
      <c r="NK15" s="64"/>
      <c r="NL15" s="64"/>
      <c r="NM15" s="64"/>
      <c r="NN15" s="64"/>
      <c r="NO15" s="64"/>
      <c r="NP15" s="64"/>
      <c r="NQ15" s="64"/>
      <c r="NR15" s="64"/>
      <c r="NS15" s="64"/>
      <c r="NT15" s="64"/>
      <c r="NU15" s="64"/>
      <c r="NV15" s="64"/>
      <c r="NW15" s="64"/>
      <c r="NX15" s="64"/>
      <c r="NY15" s="64"/>
      <c r="NZ15" s="64"/>
      <c r="OA15" s="64"/>
      <c r="OB15" s="64"/>
      <c r="OC15" s="64"/>
      <c r="OD15" s="64"/>
      <c r="OE15" s="64"/>
      <c r="OF15" s="64"/>
      <c r="OG15" s="64"/>
      <c r="OH15" s="64"/>
      <c r="OI15" s="64"/>
      <c r="OJ15" s="64"/>
      <c r="OK15" s="64"/>
      <c r="OL15" s="64"/>
      <c r="OM15" s="64"/>
      <c r="ON15" s="64"/>
      <c r="OO15" s="64"/>
      <c r="OP15" s="64"/>
      <c r="OQ15" s="64"/>
      <c r="OR15" s="64"/>
      <c r="OS15" s="64"/>
    </row>
    <row r="16" spans="1:409">
      <c r="A16" s="65" t="s">
        <v>609</v>
      </c>
      <c r="B16" s="65" t="s">
        <v>593</v>
      </c>
      <c r="C16" s="65">
        <v>7.0324179605290736E-5</v>
      </c>
      <c r="D16" s="65">
        <v>2.4299601206497368E-3</v>
      </c>
      <c r="E16" s="65">
        <v>0</v>
      </c>
      <c r="F16" s="65">
        <v>9.817960561079404E-3</v>
      </c>
      <c r="G16" s="65">
        <v>0</v>
      </c>
      <c r="H16" s="65">
        <v>3.5128549027512259E-3</v>
      </c>
      <c r="I16" s="65">
        <v>5.658333460002214E-3</v>
      </c>
      <c r="J16" s="65">
        <v>2.2347102412274829E-3</v>
      </c>
      <c r="K16" s="65">
        <v>3.1452727187250501E-3</v>
      </c>
      <c r="L16" s="65">
        <v>5.3023579360033917E-3</v>
      </c>
      <c r="M16" s="65">
        <v>3.3326665512350092E-3</v>
      </c>
      <c r="N16" s="65">
        <v>4.5911763929850802E-2</v>
      </c>
      <c r="O16" s="65">
        <v>0.1396545642883901</v>
      </c>
      <c r="P16" s="65">
        <v>3.3960117261304948E-4</v>
      </c>
      <c r="Q16" s="65">
        <v>3.5306172054407363E-4</v>
      </c>
      <c r="R16" s="65">
        <v>3.1779028311918049E-3</v>
      </c>
      <c r="S16" s="65">
        <v>2.719978723404255E-3</v>
      </c>
      <c r="T16" s="65">
        <v>7.2700000000000022E-4</v>
      </c>
      <c r="U16" s="65">
        <v>0</v>
      </c>
      <c r="V16" s="65">
        <v>4.7999999999999989E-6</v>
      </c>
      <c r="W16" s="65">
        <v>1.7712857142857152E-2</v>
      </c>
      <c r="X16" s="65">
        <v>9.1645585714285716E-2</v>
      </c>
      <c r="Y16" s="65">
        <v>3.15E-5</v>
      </c>
      <c r="Z16" s="65">
        <v>3.5999999999999987E-5</v>
      </c>
      <c r="AA16" s="65">
        <v>5.4055555555555541E-4</v>
      </c>
      <c r="AB16" s="65">
        <v>7.6346666666666672E-4</v>
      </c>
      <c r="AC16" s="65">
        <v>3.369E-3</v>
      </c>
      <c r="AD16" s="65">
        <v>6.7999999999999999E-5</v>
      </c>
      <c r="AE16" s="65">
        <v>3.1999999999999999E-5</v>
      </c>
      <c r="AF16" s="65">
        <v>2.6800000000000001E-4</v>
      </c>
      <c r="AG16" s="65">
        <v>1.7505681818181821E-4</v>
      </c>
      <c r="AH16" s="65">
        <v>6.7265312937016333E-3</v>
      </c>
      <c r="AI16" s="65">
        <v>8.4711484220088959E-4</v>
      </c>
      <c r="AJ16" s="65">
        <v>2.9523863361208528E-6</v>
      </c>
      <c r="AK16" s="65">
        <v>2.9523863361208528E-6</v>
      </c>
      <c r="AL16" s="65">
        <v>2.9523863361208528E-6</v>
      </c>
      <c r="AM16" s="65">
        <v>2.9523863361208528E-6</v>
      </c>
      <c r="AN16" s="65">
        <v>0</v>
      </c>
      <c r="AO16" s="65">
        <v>9.8412877870695109E-7</v>
      </c>
      <c r="AP16" s="65">
        <v>9.8412877870695109E-7</v>
      </c>
      <c r="AQ16" s="65">
        <v>9.8412877870695109E-7</v>
      </c>
      <c r="AR16" s="65">
        <v>9.8412877870695109E-7</v>
      </c>
      <c r="AS16" s="65">
        <v>9.8412877870695109E-7</v>
      </c>
      <c r="AT16" s="65">
        <v>9.8412877870695109E-7</v>
      </c>
      <c r="AU16" s="65">
        <v>9.8412877870695109E-7</v>
      </c>
      <c r="AV16" s="65">
        <v>3.7495306468734828E-4</v>
      </c>
      <c r="AW16" s="65">
        <v>3.7495306468734828E-4</v>
      </c>
      <c r="AX16" s="65">
        <v>2.9523863361208528E-6</v>
      </c>
      <c r="AY16" s="65">
        <v>2.9523863361208528E-6</v>
      </c>
      <c r="AZ16" s="65">
        <v>1.2793674123190361E-5</v>
      </c>
      <c r="BA16" s="65">
        <v>9.8412877870695109E-7</v>
      </c>
      <c r="BB16" s="65">
        <v>0</v>
      </c>
      <c r="BC16" s="65">
        <v>1.9682575574139022E-6</v>
      </c>
      <c r="BD16" s="65">
        <v>1.082541656577646E-5</v>
      </c>
      <c r="BE16" s="65">
        <v>3.1492120918622428E-5</v>
      </c>
      <c r="BF16" s="65">
        <v>9.8412877870695109E-7</v>
      </c>
      <c r="BG16" s="65">
        <v>1.9682575574139022E-6</v>
      </c>
      <c r="BH16" s="65">
        <v>1.9682575574139022E-6</v>
      </c>
      <c r="BI16" s="65">
        <v>1.9682575574139022E-6</v>
      </c>
      <c r="BJ16" s="65">
        <v>4.9206438935347546E-6</v>
      </c>
      <c r="BK16" s="65">
        <v>2.9523863361208528E-6</v>
      </c>
      <c r="BL16" s="65">
        <v>0</v>
      </c>
      <c r="BM16" s="65">
        <v>0</v>
      </c>
      <c r="BN16" s="65">
        <v>0</v>
      </c>
      <c r="BO16" s="65">
        <v>1.9682575574139022E-6</v>
      </c>
      <c r="BP16" s="65">
        <v>1.9682575574139022E-6</v>
      </c>
      <c r="BQ16" s="65">
        <v>1.088627925644291E-7</v>
      </c>
      <c r="BR16" s="65">
        <v>1.088627925644291E-7</v>
      </c>
      <c r="BS16" s="65">
        <v>1.088627925644291E-7</v>
      </c>
      <c r="BT16" s="65">
        <v>1.088627925644291E-7</v>
      </c>
      <c r="BU16" s="65">
        <v>0</v>
      </c>
      <c r="BV16" s="65">
        <v>1.088627925644291E-7</v>
      </c>
      <c r="BW16" s="65">
        <v>1.088627925644291E-7</v>
      </c>
      <c r="BX16" s="65">
        <v>1.088627925644291E-7</v>
      </c>
      <c r="BY16" s="65">
        <v>1.088627925644291E-7</v>
      </c>
      <c r="BZ16" s="65">
        <v>1.088627925644291E-7</v>
      </c>
      <c r="CA16" s="65">
        <v>1.088627925644291E-7</v>
      </c>
      <c r="CB16" s="65">
        <v>1.088627925644291E-7</v>
      </c>
      <c r="CC16" s="65">
        <v>2.7868874896493839E-5</v>
      </c>
      <c r="CD16" s="65">
        <v>2.7868874896493839E-5</v>
      </c>
      <c r="CE16" s="65">
        <v>7.6203954795100345E-7</v>
      </c>
      <c r="CF16" s="65">
        <v>7.6203954795100345E-7</v>
      </c>
      <c r="CG16" s="65">
        <v>1.5240790959020071E-6</v>
      </c>
      <c r="CH16" s="65">
        <v>2.1772558512885809E-7</v>
      </c>
      <c r="CI16" s="65">
        <v>1.088627925644291E-7</v>
      </c>
      <c r="CJ16" s="65">
        <v>1.088627925644291E-7</v>
      </c>
      <c r="CK16" s="65">
        <v>6.5317675538657441E-7</v>
      </c>
      <c r="CL16" s="65">
        <v>3.374746569497301E-6</v>
      </c>
      <c r="CM16" s="65">
        <v>0</v>
      </c>
      <c r="CN16" s="65">
        <v>1.088627925644291E-7</v>
      </c>
      <c r="CO16" s="65">
        <v>2.1772558512885809E-7</v>
      </c>
      <c r="CP16" s="65">
        <v>1.088627925644291E-7</v>
      </c>
      <c r="CQ16" s="65">
        <v>2.1772558512885809E-7</v>
      </c>
      <c r="CR16" s="65">
        <v>3.2658837769328721E-7</v>
      </c>
      <c r="CS16" s="65">
        <v>0</v>
      </c>
      <c r="CT16" s="65">
        <v>0</v>
      </c>
      <c r="CU16" s="65">
        <v>0</v>
      </c>
      <c r="CV16" s="65">
        <v>1.088627925644291E-7</v>
      </c>
      <c r="CW16" s="65">
        <v>1.088627925644291E-7</v>
      </c>
      <c r="CX16" s="65">
        <v>0</v>
      </c>
      <c r="CY16" s="65">
        <v>0</v>
      </c>
      <c r="CZ16" s="65">
        <v>0</v>
      </c>
      <c r="DA16" s="65">
        <v>0</v>
      </c>
      <c r="DB16" s="65">
        <v>0</v>
      </c>
      <c r="DC16" s="65">
        <v>0</v>
      </c>
      <c r="DD16" s="65">
        <v>0</v>
      </c>
      <c r="DE16" s="65">
        <v>0</v>
      </c>
      <c r="DF16" s="65">
        <v>0</v>
      </c>
      <c r="DG16" s="65">
        <v>0</v>
      </c>
      <c r="DH16" s="65">
        <v>0</v>
      </c>
      <c r="DI16" s="65">
        <v>0</v>
      </c>
      <c r="DJ16" s="65">
        <v>0</v>
      </c>
      <c r="DK16" s="65">
        <v>0</v>
      </c>
      <c r="DL16" s="65">
        <v>0</v>
      </c>
      <c r="DM16" s="65">
        <v>0</v>
      </c>
      <c r="DN16" s="65">
        <v>0</v>
      </c>
      <c r="DO16" s="65">
        <v>0</v>
      </c>
      <c r="DP16" s="65">
        <v>0</v>
      </c>
      <c r="DQ16" s="65">
        <v>0</v>
      </c>
      <c r="DR16" s="65">
        <v>0</v>
      </c>
      <c r="DS16" s="65">
        <v>0</v>
      </c>
      <c r="DT16" s="65">
        <v>0</v>
      </c>
      <c r="DU16" s="65">
        <v>0</v>
      </c>
      <c r="DV16" s="65">
        <v>0</v>
      </c>
      <c r="DW16" s="65">
        <v>0</v>
      </c>
      <c r="DX16" s="65">
        <v>0</v>
      </c>
      <c r="DY16" s="65">
        <v>0</v>
      </c>
      <c r="DZ16" s="65">
        <v>0</v>
      </c>
      <c r="EA16" s="65">
        <v>0</v>
      </c>
      <c r="EB16" s="65">
        <v>0</v>
      </c>
      <c r="EC16" s="65">
        <v>0</v>
      </c>
      <c r="ED16" s="65">
        <v>0</v>
      </c>
      <c r="EE16" s="65">
        <v>0</v>
      </c>
      <c r="EF16" s="65">
        <v>0</v>
      </c>
      <c r="EG16" s="65">
        <v>0</v>
      </c>
      <c r="EH16" s="65">
        <v>0</v>
      </c>
      <c r="EI16" s="65">
        <v>0</v>
      </c>
      <c r="EJ16" s="65">
        <v>0</v>
      </c>
      <c r="EK16" s="65">
        <v>0</v>
      </c>
      <c r="EL16" s="65">
        <v>0</v>
      </c>
      <c r="EM16" s="65">
        <v>0</v>
      </c>
      <c r="EN16" s="65">
        <v>0</v>
      </c>
      <c r="EO16" s="65">
        <v>0</v>
      </c>
      <c r="EP16" s="65">
        <v>0</v>
      </c>
      <c r="EQ16" s="65">
        <v>7.0500148393779779E-6</v>
      </c>
      <c r="ER16" s="65">
        <v>7.0500148393779779E-6</v>
      </c>
      <c r="ES16" s="65">
        <v>6.4091043994345255E-7</v>
      </c>
      <c r="ET16" s="65">
        <v>6.4091043994345255E-7</v>
      </c>
      <c r="EU16" s="65">
        <v>1.2818208798869051E-6</v>
      </c>
      <c r="EV16" s="65">
        <v>0</v>
      </c>
      <c r="EW16" s="65">
        <v>0</v>
      </c>
      <c r="EX16" s="65">
        <v>0</v>
      </c>
      <c r="EY16" s="65">
        <v>6.4091043994345255E-7</v>
      </c>
      <c r="EZ16" s="65">
        <v>1.2818208798869051E-6</v>
      </c>
      <c r="FA16" s="65">
        <v>0</v>
      </c>
      <c r="FB16" s="65">
        <v>0</v>
      </c>
      <c r="FC16" s="65">
        <v>0</v>
      </c>
      <c r="FD16" s="65">
        <v>0</v>
      </c>
      <c r="FE16" s="65">
        <v>0</v>
      </c>
      <c r="FF16" s="65">
        <v>0</v>
      </c>
      <c r="FG16" s="65">
        <v>0</v>
      </c>
      <c r="FH16" s="65">
        <v>0</v>
      </c>
      <c r="FI16" s="65">
        <v>0</v>
      </c>
      <c r="FJ16" s="65">
        <v>0</v>
      </c>
      <c r="FK16" s="65">
        <v>0</v>
      </c>
      <c r="FL16" s="65">
        <v>2.920524454855955E-6</v>
      </c>
      <c r="FM16" s="65">
        <v>2.920524454855955E-6</v>
      </c>
      <c r="FN16" s="65">
        <v>2.920524454855955E-6</v>
      </c>
      <c r="FO16" s="65">
        <v>2.920524454855955E-6</v>
      </c>
      <c r="FP16" s="65">
        <v>0</v>
      </c>
      <c r="FQ16" s="65">
        <v>1.9470163032373032E-6</v>
      </c>
      <c r="FR16" s="65">
        <v>1.9470163032373032E-6</v>
      </c>
      <c r="FS16" s="65">
        <v>1.9470163032373032E-6</v>
      </c>
      <c r="FT16" s="65">
        <v>1.9470163032373032E-6</v>
      </c>
      <c r="FU16" s="65">
        <v>1.9470163032373032E-6</v>
      </c>
      <c r="FV16" s="65">
        <v>1.9470163032373032E-6</v>
      </c>
      <c r="FW16" s="65">
        <v>1.9470163032373032E-6</v>
      </c>
      <c r="FX16" s="65">
        <v>2.024896955366795E-4</v>
      </c>
      <c r="FY16" s="65">
        <v>2.024896955366795E-4</v>
      </c>
      <c r="FZ16" s="65">
        <v>5.8410489097119099E-6</v>
      </c>
      <c r="GA16" s="65">
        <v>5.8410489097119099E-6</v>
      </c>
      <c r="GB16" s="65">
        <v>3.7966817913127413E-5</v>
      </c>
      <c r="GC16" s="65">
        <v>2.920524454855955E-6</v>
      </c>
      <c r="GD16" s="65">
        <v>3.8940326064746063E-6</v>
      </c>
      <c r="GE16" s="65">
        <v>4.8675407580932594E-6</v>
      </c>
      <c r="GF16" s="65">
        <v>1.0708589667805169E-5</v>
      </c>
      <c r="GG16" s="65">
        <v>2.5311211942084941E-5</v>
      </c>
      <c r="GH16" s="65">
        <v>9.7350815161865159E-7</v>
      </c>
      <c r="GI16" s="65">
        <v>0</v>
      </c>
      <c r="GJ16" s="65">
        <v>3.8940326064746063E-6</v>
      </c>
      <c r="GK16" s="65">
        <v>9.7350815161865159E-7</v>
      </c>
      <c r="GL16" s="65">
        <v>5.8410489097119099E-6</v>
      </c>
      <c r="GM16" s="65">
        <v>2.920524454855955E-6</v>
      </c>
      <c r="GN16" s="65">
        <v>0</v>
      </c>
      <c r="GO16" s="65">
        <v>1.9470163032373032E-6</v>
      </c>
      <c r="GP16" s="65">
        <v>9.7350815161865159E-7</v>
      </c>
      <c r="GQ16" s="65">
        <v>5.8410489097119099E-6</v>
      </c>
      <c r="GR16" s="65">
        <v>5.8410489097119099E-6</v>
      </c>
      <c r="GS16" s="65">
        <v>0</v>
      </c>
      <c r="GT16" s="65">
        <v>0</v>
      </c>
      <c r="GU16" s="65">
        <v>0</v>
      </c>
      <c r="GV16" s="65">
        <v>0</v>
      </c>
      <c r="GW16" s="65">
        <v>0</v>
      </c>
      <c r="GX16" s="65">
        <v>0</v>
      </c>
      <c r="GY16" s="65">
        <v>0</v>
      </c>
      <c r="GZ16" s="65">
        <v>0</v>
      </c>
      <c r="HA16" s="65">
        <v>0</v>
      </c>
      <c r="HB16" s="65">
        <v>0</v>
      </c>
      <c r="HC16" s="65">
        <v>0</v>
      </c>
      <c r="HD16" s="65">
        <v>0</v>
      </c>
      <c r="HE16" s="65">
        <v>3.0553095424155601E-5</v>
      </c>
      <c r="HF16" s="65">
        <v>3.0553095424155601E-5</v>
      </c>
      <c r="HG16" s="65">
        <v>7.6382738560388994E-7</v>
      </c>
      <c r="HH16" s="65">
        <v>7.6382738560388994E-7</v>
      </c>
      <c r="HI16" s="65">
        <v>2.2914821568116698E-6</v>
      </c>
      <c r="HJ16" s="65">
        <v>0</v>
      </c>
      <c r="HK16" s="65">
        <v>0</v>
      </c>
      <c r="HL16" s="65">
        <v>0</v>
      </c>
      <c r="HM16" s="65">
        <v>7.6382738560388994E-7</v>
      </c>
      <c r="HN16" s="65">
        <v>6.1106190848311203E-6</v>
      </c>
      <c r="HO16" s="65">
        <v>0</v>
      </c>
      <c r="HP16" s="65">
        <v>0</v>
      </c>
      <c r="HQ16" s="65">
        <v>7.6382738560388994E-7</v>
      </c>
      <c r="HR16" s="65">
        <v>0</v>
      </c>
      <c r="HS16" s="65">
        <v>7.6382738560388994E-7</v>
      </c>
      <c r="HT16" s="65">
        <v>7.6382738560388994E-7</v>
      </c>
      <c r="HU16" s="65">
        <v>0</v>
      </c>
      <c r="HV16" s="65">
        <v>0</v>
      </c>
      <c r="HW16" s="65">
        <v>0</v>
      </c>
      <c r="HX16" s="65">
        <v>7.6382738560388994E-7</v>
      </c>
      <c r="HY16" s="65">
        <v>7.6382738560388994E-7</v>
      </c>
      <c r="HZ16" s="65">
        <v>0</v>
      </c>
      <c r="IA16" s="65">
        <v>0</v>
      </c>
      <c r="IB16" s="65">
        <v>0</v>
      </c>
      <c r="IC16" s="65">
        <v>0</v>
      </c>
      <c r="ID16" s="65">
        <v>0</v>
      </c>
      <c r="IE16" s="65">
        <v>0</v>
      </c>
      <c r="IF16" s="65">
        <v>0</v>
      </c>
      <c r="IG16" s="65">
        <v>0</v>
      </c>
      <c r="IH16" s="65">
        <v>0</v>
      </c>
      <c r="II16" s="65">
        <v>0</v>
      </c>
      <c r="IJ16" s="65">
        <v>0</v>
      </c>
      <c r="IK16" s="65">
        <v>0</v>
      </c>
      <c r="IL16" s="65">
        <v>3.3021204172844167E-5</v>
      </c>
      <c r="IM16" s="65">
        <v>3.3021204172844167E-5</v>
      </c>
      <c r="IN16" s="65">
        <v>9.1725567146789339E-7</v>
      </c>
      <c r="IO16" s="65">
        <v>9.1725567146789339E-7</v>
      </c>
      <c r="IP16" s="65">
        <v>1.834511342935787E-6</v>
      </c>
      <c r="IQ16" s="65">
        <v>0</v>
      </c>
      <c r="IR16" s="65">
        <v>0</v>
      </c>
      <c r="IS16" s="65">
        <v>9.1725567146789339E-7</v>
      </c>
      <c r="IT16" s="65">
        <v>9.1725567146789339E-7</v>
      </c>
      <c r="IU16" s="65">
        <v>6.4207897002752543E-6</v>
      </c>
      <c r="IV16" s="65">
        <v>0</v>
      </c>
      <c r="IW16" s="65">
        <v>9.1725567146789339E-7</v>
      </c>
      <c r="IX16" s="65">
        <v>0</v>
      </c>
      <c r="IY16" s="65">
        <v>0</v>
      </c>
      <c r="IZ16" s="65">
        <v>0</v>
      </c>
      <c r="JA16" s="65">
        <v>0</v>
      </c>
      <c r="JB16" s="65">
        <v>0</v>
      </c>
      <c r="JC16" s="65">
        <v>0</v>
      </c>
      <c r="JD16" s="65">
        <v>0</v>
      </c>
      <c r="JE16" s="65">
        <v>0</v>
      </c>
      <c r="JF16" s="65">
        <v>0</v>
      </c>
      <c r="JG16" s="65">
        <v>0</v>
      </c>
      <c r="JH16" s="65">
        <v>0</v>
      </c>
      <c r="JI16" s="65">
        <v>0</v>
      </c>
      <c r="JJ16" s="65">
        <v>0</v>
      </c>
      <c r="JK16" s="65">
        <v>0</v>
      </c>
      <c r="JL16" s="65">
        <v>1.378248821467865E-5</v>
      </c>
      <c r="JM16" s="65">
        <v>1.378248821467865E-5</v>
      </c>
      <c r="JN16" s="65">
        <v>1.378248821467865E-5</v>
      </c>
      <c r="JO16" s="65">
        <v>1.378248821467865E-5</v>
      </c>
      <c r="JP16" s="65">
        <v>1.378248821467865E-5</v>
      </c>
      <c r="JQ16" s="65">
        <v>1.378248821467865E-5</v>
      </c>
      <c r="JR16" s="65">
        <v>1.378248821467865E-5</v>
      </c>
      <c r="JS16" s="65">
        <v>1.2597194228216289E-3</v>
      </c>
      <c r="JT16" s="65">
        <v>1.2597194228216289E-3</v>
      </c>
      <c r="JU16" s="65">
        <v>2.572731133406681E-5</v>
      </c>
      <c r="JV16" s="65">
        <v>2.572731133406681E-5</v>
      </c>
      <c r="JW16" s="65">
        <v>3.8590967001100221E-5</v>
      </c>
      <c r="JX16" s="65">
        <v>2.7564976429357299E-6</v>
      </c>
      <c r="JY16" s="65">
        <v>2.7564976429357299E-6</v>
      </c>
      <c r="JZ16" s="65">
        <v>2.7564976429357299E-6</v>
      </c>
      <c r="KA16" s="65">
        <v>4.9433191063314092E-4</v>
      </c>
      <c r="KB16" s="65">
        <v>5.8805283049295567E-5</v>
      </c>
      <c r="KC16" s="65">
        <v>1.8376650952904871E-6</v>
      </c>
      <c r="KD16" s="65">
        <v>9.1883254764524334E-7</v>
      </c>
      <c r="KE16" s="65">
        <v>4.5941627382262172E-6</v>
      </c>
      <c r="KF16" s="65">
        <v>4.5941627382262172E-6</v>
      </c>
      <c r="KG16" s="65">
        <v>1.286365566703341E-5</v>
      </c>
      <c r="KH16" s="65">
        <v>5.5129952858714607E-6</v>
      </c>
      <c r="KI16" s="65">
        <v>2.7564976429357299E-6</v>
      </c>
      <c r="KJ16" s="65">
        <v>0</v>
      </c>
      <c r="KK16" s="65">
        <v>0</v>
      </c>
      <c r="KL16" s="65">
        <v>9.1883254764524345E-6</v>
      </c>
      <c r="KM16" s="65">
        <v>9.1883254764524345E-6</v>
      </c>
      <c r="KN16" s="65">
        <v>0</v>
      </c>
      <c r="KO16" s="65">
        <v>0</v>
      </c>
      <c r="KP16" s="65">
        <v>0</v>
      </c>
      <c r="KQ16" s="65">
        <v>0</v>
      </c>
      <c r="KR16" s="65">
        <v>0</v>
      </c>
      <c r="KS16" s="65">
        <v>0</v>
      </c>
      <c r="KT16" s="65">
        <v>0</v>
      </c>
      <c r="KU16" s="65">
        <v>0</v>
      </c>
      <c r="KV16" s="65">
        <v>0</v>
      </c>
      <c r="KW16" s="65">
        <v>0</v>
      </c>
      <c r="KX16" s="65">
        <v>0</v>
      </c>
      <c r="KY16" s="65">
        <v>0</v>
      </c>
      <c r="KZ16" s="65">
        <v>9.7006077971694028E-5</v>
      </c>
      <c r="LA16" s="65">
        <v>9.7006077971694028E-5</v>
      </c>
      <c r="LB16" s="65">
        <v>7.6382738560388994E-7</v>
      </c>
      <c r="LC16" s="65">
        <v>7.6382738560388994E-7</v>
      </c>
      <c r="LD16" s="65">
        <v>1.5276547712077801E-6</v>
      </c>
      <c r="LE16" s="65">
        <v>7.6382738560388994E-7</v>
      </c>
      <c r="LF16" s="65">
        <v>0</v>
      </c>
      <c r="LG16" s="65">
        <v>0</v>
      </c>
      <c r="LH16" s="65">
        <v>2.2914821568116698E-6</v>
      </c>
      <c r="LI16" s="65">
        <v>1.2221238169662241E-5</v>
      </c>
      <c r="LJ16" s="65">
        <v>0</v>
      </c>
      <c r="LK16" s="65">
        <v>0</v>
      </c>
      <c r="LL16" s="65">
        <v>2.2914821568116698E-6</v>
      </c>
      <c r="LM16" s="65">
        <v>0</v>
      </c>
      <c r="LN16" s="65">
        <v>0</v>
      </c>
      <c r="LO16" s="65">
        <v>0</v>
      </c>
      <c r="LP16" s="65">
        <v>0</v>
      </c>
      <c r="LQ16" s="65">
        <v>0</v>
      </c>
      <c r="LR16" s="65">
        <v>0</v>
      </c>
      <c r="LS16" s="65">
        <v>0</v>
      </c>
      <c r="LT16" s="65">
        <v>0</v>
      </c>
      <c r="LU16" s="65">
        <v>6.4437707721306922E-7</v>
      </c>
      <c r="LV16" s="65">
        <v>6.4437707721306922E-7</v>
      </c>
      <c r="LW16" s="65">
        <v>6.4437707721306922E-7</v>
      </c>
      <c r="LX16" s="65">
        <v>6.4437707721306922E-7</v>
      </c>
      <c r="LY16" s="65">
        <v>0</v>
      </c>
      <c r="LZ16" s="65">
        <v>6.4437707721306922E-7</v>
      </c>
      <c r="MA16" s="65">
        <v>6.4437707721306922E-7</v>
      </c>
      <c r="MB16" s="65">
        <v>6.4437707721306922E-7</v>
      </c>
      <c r="MC16" s="65">
        <v>6.4437707721306922E-7</v>
      </c>
      <c r="MD16" s="65">
        <v>6.4437707721306922E-7</v>
      </c>
      <c r="ME16" s="65">
        <v>6.4437707721306922E-7</v>
      </c>
      <c r="MF16" s="65">
        <v>6.4437707721306922E-7</v>
      </c>
      <c r="MG16" s="65">
        <v>6.7659593107372267E-5</v>
      </c>
      <c r="MH16" s="65">
        <v>6.7659593107372267E-5</v>
      </c>
      <c r="MI16" s="65">
        <v>1.933131231639208E-6</v>
      </c>
      <c r="MJ16" s="65">
        <v>1.933131231639208E-6</v>
      </c>
      <c r="MK16" s="65">
        <v>1.4820672775900589E-5</v>
      </c>
      <c r="ML16" s="65">
        <v>6.4437707721306922E-7</v>
      </c>
      <c r="MM16" s="65">
        <v>6.4437707721306922E-7</v>
      </c>
      <c r="MN16" s="65">
        <v>6.4437707721306922E-7</v>
      </c>
      <c r="MO16" s="65">
        <v>5.1550166177045538E-6</v>
      </c>
      <c r="MP16" s="65">
        <v>1.546504985311366E-5</v>
      </c>
      <c r="MQ16" s="65">
        <v>6.4437707721306922E-7</v>
      </c>
      <c r="MR16" s="65">
        <v>6.4437707721306922E-7</v>
      </c>
      <c r="MS16" s="65">
        <v>1.933131231639208E-6</v>
      </c>
      <c r="MT16" s="65">
        <v>6.4437707721306922E-7</v>
      </c>
      <c r="MU16" s="65">
        <v>2.5775083088522769E-6</v>
      </c>
      <c r="MV16" s="65">
        <v>1.933131231639208E-6</v>
      </c>
      <c r="MW16" s="65">
        <v>6.4437707721306922E-7</v>
      </c>
      <c r="MX16" s="65">
        <v>0</v>
      </c>
      <c r="MY16" s="65">
        <v>0</v>
      </c>
      <c r="MZ16" s="65">
        <v>1.933131231639208E-6</v>
      </c>
      <c r="NA16" s="65">
        <v>1.933131231639208E-6</v>
      </c>
      <c r="NB16" s="65"/>
      <c r="NC16" s="65"/>
      <c r="ND16" s="65"/>
      <c r="NE16" s="65"/>
      <c r="NF16" s="65"/>
      <c r="NG16" s="65"/>
      <c r="NH16" s="65"/>
      <c r="NI16" s="65"/>
      <c r="NJ16" s="65"/>
      <c r="NK16" s="65"/>
      <c r="NL16" s="65"/>
      <c r="NM16" s="65"/>
      <c r="NN16" s="65"/>
      <c r="NO16" s="65"/>
      <c r="NP16" s="65"/>
      <c r="NQ16" s="65"/>
      <c r="NR16" s="65"/>
      <c r="NS16" s="65"/>
      <c r="NT16" s="65"/>
      <c r="NU16" s="65"/>
      <c r="NV16" s="65"/>
      <c r="NW16" s="65"/>
      <c r="NX16" s="65"/>
      <c r="NY16" s="65"/>
      <c r="NZ16" s="65"/>
      <c r="OA16" s="65"/>
      <c r="OB16" s="65"/>
      <c r="OC16" s="65"/>
      <c r="OD16" s="65"/>
      <c r="OE16" s="65"/>
      <c r="OF16" s="65"/>
      <c r="OG16" s="65"/>
      <c r="OH16" s="65"/>
      <c r="OI16" s="65"/>
      <c r="OJ16" s="65"/>
      <c r="OK16" s="65"/>
      <c r="OL16" s="65"/>
      <c r="OM16" s="65"/>
      <c r="ON16" s="65"/>
      <c r="OO16" s="65"/>
      <c r="OP16" s="65"/>
      <c r="OQ16" s="65"/>
      <c r="OR16" s="65"/>
      <c r="OS16" s="65"/>
    </row>
    <row r="17" spans="1:409">
      <c r="A17" s="65" t="s">
        <v>610</v>
      </c>
      <c r="B17" s="65" t="s">
        <v>594</v>
      </c>
      <c r="C17" s="65">
        <v>3.1965536184223062E-6</v>
      </c>
      <c r="D17" s="65">
        <v>0</v>
      </c>
      <c r="E17" s="65">
        <v>0</v>
      </c>
      <c r="F17" s="65">
        <v>0</v>
      </c>
      <c r="G17" s="65">
        <v>0</v>
      </c>
      <c r="H17" s="65">
        <v>4.6001671345551759E-4</v>
      </c>
      <c r="I17" s="65">
        <v>1.1070652421743461E-3</v>
      </c>
      <c r="J17" s="65">
        <v>3.7245170687124718E-4</v>
      </c>
      <c r="K17" s="65">
        <v>5.4518060457900853E-4</v>
      </c>
      <c r="L17" s="65">
        <v>4.6107460313072978E-4</v>
      </c>
      <c r="M17" s="65">
        <v>2.5635896547961611E-4</v>
      </c>
      <c r="N17" s="65">
        <v>7.6583426071477557E-4</v>
      </c>
      <c r="O17" s="65">
        <v>1.1865387792923369E-2</v>
      </c>
      <c r="P17" s="65">
        <v>0.14399089718793301</v>
      </c>
      <c r="Q17" s="65">
        <v>0</v>
      </c>
      <c r="R17" s="65">
        <v>1.986189269494878E-4</v>
      </c>
      <c r="S17" s="65">
        <v>2.5302127659574471E-4</v>
      </c>
      <c r="T17" s="65">
        <v>0</v>
      </c>
      <c r="U17" s="65">
        <v>0</v>
      </c>
      <c r="V17" s="65">
        <v>3.199999999999999E-6</v>
      </c>
      <c r="W17" s="65">
        <v>4.428214285714286E-2</v>
      </c>
      <c r="X17" s="65">
        <v>1.874142857142857E-4</v>
      </c>
      <c r="Y17" s="65">
        <v>1.0499999999999999E-5</v>
      </c>
      <c r="Z17" s="65">
        <v>5.9999999999999993E-6</v>
      </c>
      <c r="AA17" s="65">
        <v>1.544444444444444E-5</v>
      </c>
      <c r="AB17" s="65">
        <v>5.4533333333333349E-5</v>
      </c>
      <c r="AC17" s="65">
        <v>0</v>
      </c>
      <c r="AD17" s="65">
        <v>0</v>
      </c>
      <c r="AE17" s="65">
        <v>0</v>
      </c>
      <c r="AF17" s="65">
        <v>0</v>
      </c>
      <c r="AG17" s="65">
        <v>1.994318181818182E-5</v>
      </c>
      <c r="AH17" s="65">
        <v>2.2572252663428299E-5</v>
      </c>
      <c r="AI17" s="65">
        <v>1.078146162801132E-4</v>
      </c>
      <c r="AJ17" s="65">
        <v>4.7613663879146713E-8</v>
      </c>
      <c r="AK17" s="65">
        <v>4.7613663879146713E-8</v>
      </c>
      <c r="AL17" s="65">
        <v>4.7613663879146713E-8</v>
      </c>
      <c r="AM17" s="65">
        <v>4.7613663879146713E-8</v>
      </c>
      <c r="AN17" s="65">
        <v>0</v>
      </c>
      <c r="AO17" s="65">
        <v>1.58712212930489E-8</v>
      </c>
      <c r="AP17" s="65">
        <v>1.58712212930489E-8</v>
      </c>
      <c r="AQ17" s="65">
        <v>1.58712212930489E-8</v>
      </c>
      <c r="AR17" s="65">
        <v>1.58712212930489E-8</v>
      </c>
      <c r="AS17" s="65">
        <v>1.58712212930489E-8</v>
      </c>
      <c r="AT17" s="65">
        <v>1.58712212930489E-8</v>
      </c>
      <c r="AU17" s="65">
        <v>1.58712212930489E-8</v>
      </c>
      <c r="AV17" s="65">
        <v>6.0469353126516316E-6</v>
      </c>
      <c r="AW17" s="65">
        <v>6.0469353126516316E-6</v>
      </c>
      <c r="AX17" s="65">
        <v>4.7613663879146713E-8</v>
      </c>
      <c r="AY17" s="65">
        <v>4.7613663879146713E-8</v>
      </c>
      <c r="AZ17" s="65">
        <v>2.0632587680963569E-7</v>
      </c>
      <c r="BA17" s="65">
        <v>1.58712212930489E-8</v>
      </c>
      <c r="BB17" s="65">
        <v>0</v>
      </c>
      <c r="BC17" s="65">
        <v>3.1742442586097813E-8</v>
      </c>
      <c r="BD17" s="65">
        <v>1.7458343422353791E-7</v>
      </c>
      <c r="BE17" s="65">
        <v>5.078790813775649E-7</v>
      </c>
      <c r="BF17" s="65">
        <v>1.58712212930489E-8</v>
      </c>
      <c r="BG17" s="65">
        <v>3.1742442586097813E-8</v>
      </c>
      <c r="BH17" s="65">
        <v>3.1742442586097813E-8</v>
      </c>
      <c r="BI17" s="65">
        <v>3.1742442586097813E-8</v>
      </c>
      <c r="BJ17" s="65">
        <v>7.935610646524452E-8</v>
      </c>
      <c r="BK17" s="65">
        <v>4.7613663879146713E-8</v>
      </c>
      <c r="BL17" s="65">
        <v>0</v>
      </c>
      <c r="BM17" s="65">
        <v>0</v>
      </c>
      <c r="BN17" s="65">
        <v>0</v>
      </c>
      <c r="BO17" s="65">
        <v>3.1742442586097813E-8</v>
      </c>
      <c r="BP17" s="65">
        <v>3.1742442586097813E-8</v>
      </c>
      <c r="BQ17" s="65">
        <v>8.9113720743557092E-7</v>
      </c>
      <c r="BR17" s="65">
        <v>8.9113720743557092E-7</v>
      </c>
      <c r="BS17" s="65">
        <v>8.9113720743557092E-7</v>
      </c>
      <c r="BT17" s="65">
        <v>8.9113720743557092E-7</v>
      </c>
      <c r="BU17" s="65">
        <v>0</v>
      </c>
      <c r="BV17" s="65">
        <v>8.9113720743557092E-7</v>
      </c>
      <c r="BW17" s="65">
        <v>8.9113720743557092E-7</v>
      </c>
      <c r="BX17" s="65">
        <v>8.9113720743557092E-7</v>
      </c>
      <c r="BY17" s="65">
        <v>8.9113720743557092E-7</v>
      </c>
      <c r="BZ17" s="65">
        <v>8.9113720743557092E-7</v>
      </c>
      <c r="CA17" s="65">
        <v>8.9113720743557092E-7</v>
      </c>
      <c r="CB17" s="65">
        <v>8.9113720743557092E-7</v>
      </c>
      <c r="CC17" s="65">
        <v>2.2813112510350621E-4</v>
      </c>
      <c r="CD17" s="65">
        <v>2.2813112510350621E-4</v>
      </c>
      <c r="CE17" s="65">
        <v>6.237960452048997E-6</v>
      </c>
      <c r="CF17" s="65">
        <v>6.237960452048997E-6</v>
      </c>
      <c r="CG17" s="65">
        <v>1.2475920904097991E-5</v>
      </c>
      <c r="CH17" s="65">
        <v>1.7822744148711421E-6</v>
      </c>
      <c r="CI17" s="65">
        <v>8.9113720743557092E-7</v>
      </c>
      <c r="CJ17" s="65">
        <v>8.9113720743557092E-7</v>
      </c>
      <c r="CK17" s="65">
        <v>5.3468232446134266E-6</v>
      </c>
      <c r="CL17" s="65">
        <v>2.7625253430502699E-5</v>
      </c>
      <c r="CM17" s="65">
        <v>0</v>
      </c>
      <c r="CN17" s="65">
        <v>8.9113720743557092E-7</v>
      </c>
      <c r="CO17" s="65">
        <v>1.7822744148711421E-6</v>
      </c>
      <c r="CP17" s="65">
        <v>8.9113720743557092E-7</v>
      </c>
      <c r="CQ17" s="65">
        <v>1.7822744148711421E-6</v>
      </c>
      <c r="CR17" s="65">
        <v>2.6734116223067129E-6</v>
      </c>
      <c r="CS17" s="65">
        <v>0</v>
      </c>
      <c r="CT17" s="65">
        <v>0</v>
      </c>
      <c r="CU17" s="65">
        <v>0</v>
      </c>
      <c r="CV17" s="65">
        <v>8.9113720743557092E-7</v>
      </c>
      <c r="CW17" s="65">
        <v>8.9113720743557092E-7</v>
      </c>
      <c r="CX17" s="65">
        <v>0</v>
      </c>
      <c r="CY17" s="65">
        <v>0</v>
      </c>
      <c r="CZ17" s="65">
        <v>0</v>
      </c>
      <c r="DA17" s="65">
        <v>0</v>
      </c>
      <c r="DB17" s="65">
        <v>0</v>
      </c>
      <c r="DC17" s="65">
        <v>0</v>
      </c>
      <c r="DD17" s="65">
        <v>0</v>
      </c>
      <c r="DE17" s="65">
        <v>0</v>
      </c>
      <c r="DF17" s="65">
        <v>0</v>
      </c>
      <c r="DG17" s="65">
        <v>0</v>
      </c>
      <c r="DH17" s="65">
        <v>0</v>
      </c>
      <c r="DI17" s="65">
        <v>0</v>
      </c>
      <c r="DJ17" s="65">
        <v>0</v>
      </c>
      <c r="DK17" s="65">
        <v>0</v>
      </c>
      <c r="DL17" s="65">
        <v>0</v>
      </c>
      <c r="DM17" s="65">
        <v>0</v>
      </c>
      <c r="DN17" s="65">
        <v>0</v>
      </c>
      <c r="DO17" s="65">
        <v>0</v>
      </c>
      <c r="DP17" s="65">
        <v>0</v>
      </c>
      <c r="DQ17" s="65">
        <v>0</v>
      </c>
      <c r="DR17" s="65">
        <v>0</v>
      </c>
      <c r="DS17" s="65">
        <v>0</v>
      </c>
      <c r="DT17" s="65">
        <v>0</v>
      </c>
      <c r="DU17" s="65">
        <v>0</v>
      </c>
      <c r="DV17" s="65">
        <v>0</v>
      </c>
      <c r="DW17" s="65">
        <v>0</v>
      </c>
      <c r="DX17" s="65">
        <v>0</v>
      </c>
      <c r="DY17" s="65">
        <v>0</v>
      </c>
      <c r="DZ17" s="65">
        <v>0</v>
      </c>
      <c r="EA17" s="65">
        <v>0</v>
      </c>
      <c r="EB17" s="65">
        <v>0</v>
      </c>
      <c r="EC17" s="65">
        <v>0</v>
      </c>
      <c r="ED17" s="65">
        <v>0</v>
      </c>
      <c r="EE17" s="65">
        <v>0</v>
      </c>
      <c r="EF17" s="65">
        <v>0</v>
      </c>
      <c r="EG17" s="65">
        <v>0</v>
      </c>
      <c r="EH17" s="65">
        <v>0</v>
      </c>
      <c r="EI17" s="65">
        <v>0</v>
      </c>
      <c r="EJ17" s="65">
        <v>0</v>
      </c>
      <c r="EK17" s="65">
        <v>0</v>
      </c>
      <c r="EL17" s="65">
        <v>0</v>
      </c>
      <c r="EM17" s="65">
        <v>0</v>
      </c>
      <c r="EN17" s="65">
        <v>0</v>
      </c>
      <c r="EO17" s="65">
        <v>0</v>
      </c>
      <c r="EP17" s="65">
        <v>0</v>
      </c>
      <c r="EQ17" s="65">
        <v>3.9499851606220219E-6</v>
      </c>
      <c r="ER17" s="65">
        <v>3.9499851606220219E-6</v>
      </c>
      <c r="ES17" s="65">
        <v>3.5908956005654751E-7</v>
      </c>
      <c r="ET17" s="65">
        <v>3.5908956005654751E-7</v>
      </c>
      <c r="EU17" s="65">
        <v>7.1817912011309491E-7</v>
      </c>
      <c r="EV17" s="65">
        <v>0</v>
      </c>
      <c r="EW17" s="65">
        <v>0</v>
      </c>
      <c r="EX17" s="65">
        <v>0</v>
      </c>
      <c r="EY17" s="65">
        <v>3.5908956005654751E-7</v>
      </c>
      <c r="EZ17" s="65">
        <v>7.1817912011309491E-7</v>
      </c>
      <c r="FA17" s="65">
        <v>0</v>
      </c>
      <c r="FB17" s="65">
        <v>0</v>
      </c>
      <c r="FC17" s="65">
        <v>0</v>
      </c>
      <c r="FD17" s="65">
        <v>0</v>
      </c>
      <c r="FE17" s="65">
        <v>0</v>
      </c>
      <c r="FF17" s="65">
        <v>0</v>
      </c>
      <c r="FG17" s="65">
        <v>0</v>
      </c>
      <c r="FH17" s="65">
        <v>0</v>
      </c>
      <c r="FI17" s="65">
        <v>0</v>
      </c>
      <c r="FJ17" s="65">
        <v>0</v>
      </c>
      <c r="FK17" s="65">
        <v>0</v>
      </c>
      <c r="FL17" s="65">
        <v>7.9475545144045027E-8</v>
      </c>
      <c r="FM17" s="65">
        <v>7.9475545144045027E-8</v>
      </c>
      <c r="FN17" s="65">
        <v>7.9475545144045027E-8</v>
      </c>
      <c r="FO17" s="65">
        <v>7.9475545144045027E-8</v>
      </c>
      <c r="FP17" s="65">
        <v>0</v>
      </c>
      <c r="FQ17" s="65">
        <v>5.2983696762696678E-8</v>
      </c>
      <c r="FR17" s="65">
        <v>5.2983696762696678E-8</v>
      </c>
      <c r="FS17" s="65">
        <v>5.2983696762696678E-8</v>
      </c>
      <c r="FT17" s="65">
        <v>5.2983696762696678E-8</v>
      </c>
      <c r="FU17" s="65">
        <v>5.2983696762696678E-8</v>
      </c>
      <c r="FV17" s="65">
        <v>5.2983696762696678E-8</v>
      </c>
      <c r="FW17" s="65">
        <v>5.2983696762696678E-8</v>
      </c>
      <c r="FX17" s="65">
        <v>5.5103044633204548E-6</v>
      </c>
      <c r="FY17" s="65">
        <v>5.5103044633204548E-6</v>
      </c>
      <c r="FZ17" s="65">
        <v>1.5895109028809011E-7</v>
      </c>
      <c r="GA17" s="65">
        <v>1.5895109028809011E-7</v>
      </c>
      <c r="GB17" s="65">
        <v>1.0331820868725849E-6</v>
      </c>
      <c r="GC17" s="65">
        <v>7.9475545144045027E-8</v>
      </c>
      <c r="GD17" s="65">
        <v>1.059673935253934E-7</v>
      </c>
      <c r="GE17" s="65">
        <v>1.3245924190674171E-7</v>
      </c>
      <c r="GF17" s="65">
        <v>2.9141033219483169E-7</v>
      </c>
      <c r="GG17" s="65">
        <v>6.8878805791505685E-7</v>
      </c>
      <c r="GH17" s="65">
        <v>2.6491848381348339E-8</v>
      </c>
      <c r="GI17" s="65">
        <v>0</v>
      </c>
      <c r="GJ17" s="65">
        <v>1.059673935253934E-7</v>
      </c>
      <c r="GK17" s="65">
        <v>2.6491848381348339E-8</v>
      </c>
      <c r="GL17" s="65">
        <v>1.5895109028809011E-7</v>
      </c>
      <c r="GM17" s="65">
        <v>7.9475545144045027E-8</v>
      </c>
      <c r="GN17" s="65">
        <v>0</v>
      </c>
      <c r="GO17" s="65">
        <v>5.2983696762696678E-8</v>
      </c>
      <c r="GP17" s="65">
        <v>2.6491848381348339E-8</v>
      </c>
      <c r="GQ17" s="65">
        <v>1.5895109028809011E-7</v>
      </c>
      <c r="GR17" s="65">
        <v>1.5895109028809011E-7</v>
      </c>
      <c r="GS17" s="65">
        <v>0</v>
      </c>
      <c r="GT17" s="65">
        <v>0</v>
      </c>
      <c r="GU17" s="65">
        <v>0</v>
      </c>
      <c r="GV17" s="65">
        <v>0</v>
      </c>
      <c r="GW17" s="65">
        <v>0</v>
      </c>
      <c r="GX17" s="65">
        <v>0</v>
      </c>
      <c r="GY17" s="65">
        <v>0</v>
      </c>
      <c r="GZ17" s="65">
        <v>0</v>
      </c>
      <c r="HA17" s="65">
        <v>0</v>
      </c>
      <c r="HB17" s="65">
        <v>0</v>
      </c>
      <c r="HC17" s="65">
        <v>0</v>
      </c>
      <c r="HD17" s="65">
        <v>0</v>
      </c>
      <c r="HE17" s="65">
        <v>9.4469045758444041E-6</v>
      </c>
      <c r="HF17" s="65">
        <v>9.4469045758444041E-6</v>
      </c>
      <c r="HG17" s="65">
        <v>2.361726143961101E-7</v>
      </c>
      <c r="HH17" s="65">
        <v>2.361726143961101E-7</v>
      </c>
      <c r="HI17" s="65">
        <v>7.0851784318833026E-7</v>
      </c>
      <c r="HJ17" s="65">
        <v>0</v>
      </c>
      <c r="HK17" s="65">
        <v>0</v>
      </c>
      <c r="HL17" s="65">
        <v>0</v>
      </c>
      <c r="HM17" s="65">
        <v>2.361726143961101E-7</v>
      </c>
      <c r="HN17" s="65">
        <v>1.889380915168881E-6</v>
      </c>
      <c r="HO17" s="65">
        <v>0</v>
      </c>
      <c r="HP17" s="65">
        <v>0</v>
      </c>
      <c r="HQ17" s="65">
        <v>2.361726143961101E-7</v>
      </c>
      <c r="HR17" s="65">
        <v>0</v>
      </c>
      <c r="HS17" s="65">
        <v>2.361726143961101E-7</v>
      </c>
      <c r="HT17" s="65">
        <v>2.361726143961101E-7</v>
      </c>
      <c r="HU17" s="65">
        <v>0</v>
      </c>
      <c r="HV17" s="65">
        <v>0</v>
      </c>
      <c r="HW17" s="65">
        <v>0</v>
      </c>
      <c r="HX17" s="65">
        <v>2.361726143961101E-7</v>
      </c>
      <c r="HY17" s="65">
        <v>2.361726143961101E-7</v>
      </c>
      <c r="HZ17" s="65">
        <v>0</v>
      </c>
      <c r="IA17" s="65">
        <v>0</v>
      </c>
      <c r="IB17" s="65">
        <v>0</v>
      </c>
      <c r="IC17" s="65">
        <v>0</v>
      </c>
      <c r="ID17" s="65">
        <v>0</v>
      </c>
      <c r="IE17" s="65">
        <v>0</v>
      </c>
      <c r="IF17" s="65">
        <v>0</v>
      </c>
      <c r="IG17" s="65">
        <v>0</v>
      </c>
      <c r="IH17" s="65">
        <v>0</v>
      </c>
      <c r="II17" s="65">
        <v>0</v>
      </c>
      <c r="IJ17" s="65">
        <v>0</v>
      </c>
      <c r="IK17" s="65">
        <v>0</v>
      </c>
      <c r="IL17" s="65">
        <v>2.9787958271558371E-6</v>
      </c>
      <c r="IM17" s="65">
        <v>2.9787958271558371E-6</v>
      </c>
      <c r="IN17" s="65">
        <v>8.2744328532106576E-8</v>
      </c>
      <c r="IO17" s="65">
        <v>8.2744328532106576E-8</v>
      </c>
      <c r="IP17" s="65">
        <v>1.654886570642132E-7</v>
      </c>
      <c r="IQ17" s="65">
        <v>0</v>
      </c>
      <c r="IR17" s="65">
        <v>0</v>
      </c>
      <c r="IS17" s="65">
        <v>8.2744328532106576E-8</v>
      </c>
      <c r="IT17" s="65">
        <v>8.2744328532106576E-8</v>
      </c>
      <c r="IU17" s="65">
        <v>5.7921029972474604E-7</v>
      </c>
      <c r="IV17" s="65">
        <v>0</v>
      </c>
      <c r="IW17" s="65">
        <v>8.2744328532106576E-8</v>
      </c>
      <c r="IX17" s="65">
        <v>0</v>
      </c>
      <c r="IY17" s="65">
        <v>0</v>
      </c>
      <c r="IZ17" s="65">
        <v>0</v>
      </c>
      <c r="JA17" s="65">
        <v>0</v>
      </c>
      <c r="JB17" s="65">
        <v>0</v>
      </c>
      <c r="JC17" s="65">
        <v>0</v>
      </c>
      <c r="JD17" s="65">
        <v>0</v>
      </c>
      <c r="JE17" s="65">
        <v>0</v>
      </c>
      <c r="JF17" s="65">
        <v>0</v>
      </c>
      <c r="JG17" s="65">
        <v>0</v>
      </c>
      <c r="JH17" s="65">
        <v>0</v>
      </c>
      <c r="JI17" s="65">
        <v>0</v>
      </c>
      <c r="JJ17" s="65">
        <v>0</v>
      </c>
      <c r="JK17" s="65">
        <v>0</v>
      </c>
      <c r="JL17" s="65">
        <v>1.21751178532135E-6</v>
      </c>
      <c r="JM17" s="65">
        <v>1.21751178532135E-6</v>
      </c>
      <c r="JN17" s="65">
        <v>1.21751178532135E-6</v>
      </c>
      <c r="JO17" s="65">
        <v>1.21751178532135E-6</v>
      </c>
      <c r="JP17" s="65">
        <v>1.21751178532135E-6</v>
      </c>
      <c r="JQ17" s="65">
        <v>1.21751178532135E-6</v>
      </c>
      <c r="JR17" s="65">
        <v>1.21751178532135E-6</v>
      </c>
      <c r="JS17" s="65">
        <v>1.1128057717837131E-4</v>
      </c>
      <c r="JT17" s="65">
        <v>1.1128057717837131E-4</v>
      </c>
      <c r="JU17" s="65">
        <v>2.2726886659331861E-6</v>
      </c>
      <c r="JV17" s="65">
        <v>2.2726886659331861E-6</v>
      </c>
      <c r="JW17" s="65">
        <v>3.4090329988997781E-6</v>
      </c>
      <c r="JX17" s="65">
        <v>2.435023570642699E-7</v>
      </c>
      <c r="JY17" s="65">
        <v>2.435023570642699E-7</v>
      </c>
      <c r="JZ17" s="65">
        <v>2.435023570642699E-7</v>
      </c>
      <c r="KA17" s="65">
        <v>4.3668089366859063E-5</v>
      </c>
      <c r="KB17" s="65">
        <v>5.1947169507044242E-6</v>
      </c>
      <c r="KC17" s="65">
        <v>1.6233490470951331E-7</v>
      </c>
      <c r="KD17" s="65">
        <v>8.1167452354756629E-8</v>
      </c>
      <c r="KE17" s="65">
        <v>4.0583726177378318E-7</v>
      </c>
      <c r="KF17" s="65">
        <v>4.0583726177378318E-7</v>
      </c>
      <c r="KG17" s="65">
        <v>1.136344332966593E-6</v>
      </c>
      <c r="KH17" s="65">
        <v>4.870047141285398E-7</v>
      </c>
      <c r="KI17" s="65">
        <v>2.435023570642699E-7</v>
      </c>
      <c r="KJ17" s="65">
        <v>0</v>
      </c>
      <c r="KK17" s="65">
        <v>0</v>
      </c>
      <c r="KL17" s="65">
        <v>8.1167452354756637E-7</v>
      </c>
      <c r="KM17" s="65">
        <v>8.1167452354756637E-7</v>
      </c>
      <c r="KN17" s="65">
        <v>0</v>
      </c>
      <c r="KO17" s="65">
        <v>0</v>
      </c>
      <c r="KP17" s="65">
        <v>0</v>
      </c>
      <c r="KQ17" s="65">
        <v>0</v>
      </c>
      <c r="KR17" s="65">
        <v>0</v>
      </c>
      <c r="KS17" s="65">
        <v>0</v>
      </c>
      <c r="KT17" s="65">
        <v>0</v>
      </c>
      <c r="KU17" s="65">
        <v>0</v>
      </c>
      <c r="KV17" s="65">
        <v>0</v>
      </c>
      <c r="KW17" s="65">
        <v>0</v>
      </c>
      <c r="KX17" s="65">
        <v>0</v>
      </c>
      <c r="KY17" s="65">
        <v>0</v>
      </c>
      <c r="KZ17" s="65">
        <v>2.9993922028305979E-5</v>
      </c>
      <c r="LA17" s="65">
        <v>2.9993922028305979E-5</v>
      </c>
      <c r="LB17" s="65">
        <v>2.361726143961101E-7</v>
      </c>
      <c r="LC17" s="65">
        <v>2.361726143961101E-7</v>
      </c>
      <c r="LD17" s="65">
        <v>4.7234522879222009E-7</v>
      </c>
      <c r="LE17" s="65">
        <v>2.361726143961101E-7</v>
      </c>
      <c r="LF17" s="65">
        <v>0</v>
      </c>
      <c r="LG17" s="65">
        <v>0</v>
      </c>
      <c r="LH17" s="65">
        <v>7.0851784318833026E-7</v>
      </c>
      <c r="LI17" s="65">
        <v>3.7787618303377611E-6</v>
      </c>
      <c r="LJ17" s="65">
        <v>0</v>
      </c>
      <c r="LK17" s="65">
        <v>0</v>
      </c>
      <c r="LL17" s="65">
        <v>7.0851784318833026E-7</v>
      </c>
      <c r="LM17" s="65">
        <v>0</v>
      </c>
      <c r="LN17" s="65">
        <v>0</v>
      </c>
      <c r="LO17" s="65">
        <v>0</v>
      </c>
      <c r="LP17" s="65">
        <v>0</v>
      </c>
      <c r="LQ17" s="65">
        <v>0</v>
      </c>
      <c r="LR17" s="65">
        <v>0</v>
      </c>
      <c r="LS17" s="65">
        <v>0</v>
      </c>
      <c r="LT17" s="65">
        <v>0</v>
      </c>
      <c r="LU17" s="65">
        <v>3.5562292278693068E-7</v>
      </c>
      <c r="LV17" s="65">
        <v>3.5562292278693068E-7</v>
      </c>
      <c r="LW17" s="65">
        <v>3.5562292278693068E-7</v>
      </c>
      <c r="LX17" s="65">
        <v>3.5562292278693068E-7</v>
      </c>
      <c r="LY17" s="65">
        <v>0</v>
      </c>
      <c r="LZ17" s="65">
        <v>3.5562292278693068E-7</v>
      </c>
      <c r="MA17" s="65">
        <v>3.5562292278693068E-7</v>
      </c>
      <c r="MB17" s="65">
        <v>3.5562292278693068E-7</v>
      </c>
      <c r="MC17" s="65">
        <v>3.5562292278693068E-7</v>
      </c>
      <c r="MD17" s="65">
        <v>3.5562292278693068E-7</v>
      </c>
      <c r="ME17" s="65">
        <v>3.5562292278693068E-7</v>
      </c>
      <c r="MF17" s="65">
        <v>3.5562292278693068E-7</v>
      </c>
      <c r="MG17" s="65">
        <v>3.734040689262773E-5</v>
      </c>
      <c r="MH17" s="65">
        <v>3.734040689262773E-5</v>
      </c>
      <c r="MI17" s="65">
        <v>1.0668687683607921E-6</v>
      </c>
      <c r="MJ17" s="65">
        <v>1.0668687683607921E-6</v>
      </c>
      <c r="MK17" s="65">
        <v>8.1793272240994072E-6</v>
      </c>
      <c r="ML17" s="65">
        <v>3.5562292278693068E-7</v>
      </c>
      <c r="MM17" s="65">
        <v>3.5562292278693068E-7</v>
      </c>
      <c r="MN17" s="65">
        <v>3.5562292278693068E-7</v>
      </c>
      <c r="MO17" s="65">
        <v>2.8449833822954459E-6</v>
      </c>
      <c r="MP17" s="65">
        <v>8.5349501468863385E-6</v>
      </c>
      <c r="MQ17" s="65">
        <v>3.5562292278693068E-7</v>
      </c>
      <c r="MR17" s="65">
        <v>3.5562292278693068E-7</v>
      </c>
      <c r="MS17" s="65">
        <v>1.0668687683607921E-6</v>
      </c>
      <c r="MT17" s="65">
        <v>3.5562292278693068E-7</v>
      </c>
      <c r="MU17" s="65">
        <v>1.4224916911477229E-6</v>
      </c>
      <c r="MV17" s="65">
        <v>1.0668687683607921E-6</v>
      </c>
      <c r="MW17" s="65">
        <v>3.5562292278693068E-7</v>
      </c>
      <c r="MX17" s="65">
        <v>0</v>
      </c>
      <c r="MY17" s="65">
        <v>0</v>
      </c>
      <c r="MZ17" s="65">
        <v>1.0668687683607921E-6</v>
      </c>
      <c r="NA17" s="65">
        <v>1.0668687683607921E-6</v>
      </c>
      <c r="NB17" s="65"/>
      <c r="NC17" s="65"/>
      <c r="ND17" s="65"/>
      <c r="NE17" s="65"/>
      <c r="NF17" s="65"/>
      <c r="NG17" s="65"/>
      <c r="NH17" s="65"/>
      <c r="NI17" s="65"/>
      <c r="NJ17" s="65"/>
      <c r="NK17" s="65"/>
      <c r="NL17" s="65"/>
      <c r="NM17" s="65"/>
      <c r="NN17" s="65"/>
      <c r="NO17" s="65"/>
      <c r="NP17" s="65"/>
      <c r="NQ17" s="65"/>
      <c r="NR17" s="65"/>
      <c r="NS17" s="65"/>
      <c r="NT17" s="65"/>
      <c r="NU17" s="65"/>
      <c r="NV17" s="65"/>
      <c r="NW17" s="65"/>
      <c r="NX17" s="65"/>
      <c r="NY17" s="65"/>
      <c r="NZ17" s="65"/>
      <c r="OA17" s="65"/>
      <c r="OB17" s="65"/>
      <c r="OC17" s="65"/>
      <c r="OD17" s="65"/>
      <c r="OE17" s="65"/>
      <c r="OF17" s="65"/>
      <c r="OG17" s="65"/>
      <c r="OH17" s="65"/>
      <c r="OI17" s="65"/>
      <c r="OJ17" s="65"/>
      <c r="OK17" s="65"/>
      <c r="OL17" s="65"/>
      <c r="OM17" s="65"/>
      <c r="ON17" s="65"/>
      <c r="OO17" s="65"/>
      <c r="OP17" s="65"/>
      <c r="OQ17" s="65"/>
      <c r="OR17" s="65"/>
      <c r="OS17" s="65"/>
    </row>
    <row r="18" spans="1:409">
      <c r="A18" s="64" t="s">
        <v>92</v>
      </c>
      <c r="B18" s="64" t="s">
        <v>595</v>
      </c>
      <c r="C18" s="64">
        <v>1.374408105563984E-2</v>
      </c>
      <c r="D18" s="64">
        <v>1.4664221351356021E-2</v>
      </c>
      <c r="E18" s="64">
        <v>1.255846541825721E-2</v>
      </c>
      <c r="F18" s="64">
        <v>4.071552215927152E-3</v>
      </c>
      <c r="G18" s="64">
        <v>0</v>
      </c>
      <c r="H18" s="64">
        <v>5.4682197221708097E-5</v>
      </c>
      <c r="I18" s="64">
        <v>0</v>
      </c>
      <c r="J18" s="64">
        <v>8.1167795301315761E-5</v>
      </c>
      <c r="K18" s="64">
        <v>3.6557022560212971E-5</v>
      </c>
      <c r="L18" s="64">
        <v>0</v>
      </c>
      <c r="M18" s="64">
        <v>5.5867892802810271E-5</v>
      </c>
      <c r="N18" s="64">
        <v>3.3379403214774293E-5</v>
      </c>
      <c r="O18" s="64">
        <v>2.8099487265395502E-4</v>
      </c>
      <c r="P18" s="64">
        <v>0</v>
      </c>
      <c r="Q18" s="64">
        <v>9.8546662609916874E-2</v>
      </c>
      <c r="R18" s="64">
        <v>3.6959038119212782E-4</v>
      </c>
      <c r="S18" s="64">
        <v>2.1382978723404258E-5</v>
      </c>
      <c r="T18" s="64">
        <v>0</v>
      </c>
      <c r="U18" s="64">
        <v>0</v>
      </c>
      <c r="V18" s="64">
        <v>0</v>
      </c>
      <c r="W18" s="64">
        <v>6.4819166666666671E-3</v>
      </c>
      <c r="X18" s="64">
        <v>9.1199644897959176E-2</v>
      </c>
      <c r="Y18" s="64">
        <v>0</v>
      </c>
      <c r="Z18" s="64">
        <v>5.6101259988419222E-2</v>
      </c>
      <c r="AA18" s="64">
        <v>3.523499999999999E-5</v>
      </c>
      <c r="AB18" s="64">
        <v>7.4533333333333342E-4</v>
      </c>
      <c r="AC18" s="64">
        <v>0</v>
      </c>
      <c r="AD18" s="64">
        <v>0</v>
      </c>
      <c r="AE18" s="64">
        <v>3.0839694656488548E-5</v>
      </c>
      <c r="AF18" s="64">
        <v>2.940789473684211E-5</v>
      </c>
      <c r="AG18" s="64">
        <v>8.8315217391304357E-6</v>
      </c>
      <c r="AH18" s="64">
        <v>1.7440878872306971E-4</v>
      </c>
      <c r="AI18" s="64">
        <v>1.190071526718994E-4</v>
      </c>
      <c r="AJ18" s="64">
        <v>0</v>
      </c>
      <c r="AK18" s="64">
        <v>0</v>
      </c>
      <c r="AL18" s="64">
        <v>0</v>
      </c>
      <c r="AM18" s="64">
        <v>0</v>
      </c>
      <c r="AN18" s="64">
        <v>0</v>
      </c>
      <c r="AO18" s="64">
        <v>0</v>
      </c>
      <c r="AP18" s="64">
        <v>0</v>
      </c>
      <c r="AQ18" s="64">
        <v>0</v>
      </c>
      <c r="AR18" s="64">
        <v>0</v>
      </c>
      <c r="AS18" s="64">
        <v>0</v>
      </c>
      <c r="AT18" s="64">
        <v>0</v>
      </c>
      <c r="AU18" s="64">
        <v>0</v>
      </c>
      <c r="AV18" s="64">
        <v>0</v>
      </c>
      <c r="AW18" s="64">
        <v>0</v>
      </c>
      <c r="AX18" s="64">
        <v>0</v>
      </c>
      <c r="AY18" s="64">
        <v>0</v>
      </c>
      <c r="AZ18" s="64">
        <v>0</v>
      </c>
      <c r="BA18" s="64">
        <v>0</v>
      </c>
      <c r="BB18" s="64">
        <v>0</v>
      </c>
      <c r="BC18" s="64">
        <v>0</v>
      </c>
      <c r="BD18" s="64">
        <v>0</v>
      </c>
      <c r="BE18" s="64">
        <v>0</v>
      </c>
      <c r="BF18" s="64">
        <v>0</v>
      </c>
      <c r="BG18" s="64">
        <v>0</v>
      </c>
      <c r="BH18" s="64">
        <v>0</v>
      </c>
      <c r="BI18" s="64">
        <v>0</v>
      </c>
      <c r="BJ18" s="64">
        <v>0</v>
      </c>
      <c r="BK18" s="64">
        <v>2.2651489204303451E-7</v>
      </c>
      <c r="BL18" s="64">
        <v>0</v>
      </c>
      <c r="BM18" s="64">
        <v>0</v>
      </c>
      <c r="BN18" s="64">
        <v>0</v>
      </c>
      <c r="BO18" s="64">
        <v>0</v>
      </c>
      <c r="BP18" s="64">
        <v>0</v>
      </c>
      <c r="BQ18" s="64">
        <v>0</v>
      </c>
      <c r="BR18" s="64">
        <v>0</v>
      </c>
      <c r="BS18" s="64">
        <v>0</v>
      </c>
      <c r="BT18" s="64">
        <v>0</v>
      </c>
      <c r="BU18" s="64">
        <v>0</v>
      </c>
      <c r="BV18" s="64">
        <v>0</v>
      </c>
      <c r="BW18" s="64">
        <v>0</v>
      </c>
      <c r="BX18" s="64">
        <v>0</v>
      </c>
      <c r="BY18" s="64">
        <v>0</v>
      </c>
      <c r="BZ18" s="64">
        <v>0</v>
      </c>
      <c r="CA18" s="64">
        <v>0</v>
      </c>
      <c r="CB18" s="64">
        <v>0</v>
      </c>
      <c r="CC18" s="64">
        <v>0</v>
      </c>
      <c r="CD18" s="64">
        <v>0</v>
      </c>
      <c r="CE18" s="64">
        <v>0</v>
      </c>
      <c r="CF18" s="64">
        <v>0</v>
      </c>
      <c r="CG18" s="64">
        <v>0</v>
      </c>
      <c r="CH18" s="64">
        <v>0</v>
      </c>
      <c r="CI18" s="64">
        <v>0</v>
      </c>
      <c r="CJ18" s="64">
        <v>0</v>
      </c>
      <c r="CK18" s="64">
        <v>0</v>
      </c>
      <c r="CL18" s="64">
        <v>0</v>
      </c>
      <c r="CM18" s="64">
        <v>0</v>
      </c>
      <c r="CN18" s="64">
        <v>0</v>
      </c>
      <c r="CO18" s="64">
        <v>0</v>
      </c>
      <c r="CP18" s="64">
        <v>0</v>
      </c>
      <c r="CQ18" s="64">
        <v>0</v>
      </c>
      <c r="CR18" s="64">
        <v>0</v>
      </c>
      <c r="CS18" s="64">
        <v>0</v>
      </c>
      <c r="CT18" s="64">
        <v>0</v>
      </c>
      <c r="CU18" s="64">
        <v>0</v>
      </c>
      <c r="CV18" s="64">
        <v>0</v>
      </c>
      <c r="CW18" s="64">
        <v>0</v>
      </c>
      <c r="CX18" s="64">
        <v>0</v>
      </c>
      <c r="CY18" s="64">
        <v>0</v>
      </c>
      <c r="CZ18" s="64">
        <v>0</v>
      </c>
      <c r="DA18" s="64">
        <v>0</v>
      </c>
      <c r="DB18" s="64">
        <v>0</v>
      </c>
      <c r="DC18" s="64">
        <v>0</v>
      </c>
      <c r="DD18" s="64">
        <v>0</v>
      </c>
      <c r="DE18" s="64">
        <v>0</v>
      </c>
      <c r="DF18" s="64">
        <v>0</v>
      </c>
      <c r="DG18" s="64">
        <v>0</v>
      </c>
      <c r="DH18" s="64">
        <v>0</v>
      </c>
      <c r="DI18" s="64">
        <v>0</v>
      </c>
      <c r="DJ18" s="64">
        <v>0</v>
      </c>
      <c r="DK18" s="64">
        <v>0</v>
      </c>
      <c r="DL18" s="64">
        <v>0</v>
      </c>
      <c r="DM18" s="64">
        <v>0</v>
      </c>
      <c r="DN18" s="64">
        <v>0</v>
      </c>
      <c r="DO18" s="64">
        <v>0</v>
      </c>
      <c r="DP18" s="64">
        <v>0</v>
      </c>
      <c r="DQ18" s="64">
        <v>0</v>
      </c>
      <c r="DR18" s="64">
        <v>0</v>
      </c>
      <c r="DS18" s="64">
        <v>0</v>
      </c>
      <c r="DT18" s="64">
        <v>0</v>
      </c>
      <c r="DU18" s="64">
        <v>0</v>
      </c>
      <c r="DV18" s="64">
        <v>0</v>
      </c>
      <c r="DW18" s="64">
        <v>0</v>
      </c>
      <c r="DX18" s="64">
        <v>0</v>
      </c>
      <c r="DY18" s="64">
        <v>0</v>
      </c>
      <c r="DZ18" s="64">
        <v>0</v>
      </c>
      <c r="EA18" s="64">
        <v>0</v>
      </c>
      <c r="EB18" s="64">
        <v>0</v>
      </c>
      <c r="EC18" s="64">
        <v>0</v>
      </c>
      <c r="ED18" s="64">
        <v>0</v>
      </c>
      <c r="EE18" s="64">
        <v>0</v>
      </c>
      <c r="EF18" s="64">
        <v>0</v>
      </c>
      <c r="EG18" s="64">
        <v>0</v>
      </c>
      <c r="EH18" s="64">
        <v>0</v>
      </c>
      <c r="EI18" s="64">
        <v>0</v>
      </c>
      <c r="EJ18" s="64">
        <v>0</v>
      </c>
      <c r="EK18" s="64">
        <v>0</v>
      </c>
      <c r="EL18" s="64">
        <v>0</v>
      </c>
      <c r="EM18" s="64">
        <v>0</v>
      </c>
      <c r="EN18" s="64">
        <v>0</v>
      </c>
      <c r="EO18" s="64">
        <v>0</v>
      </c>
      <c r="EP18" s="64">
        <v>0</v>
      </c>
      <c r="EQ18" s="64">
        <v>0</v>
      </c>
      <c r="ER18" s="64">
        <v>0</v>
      </c>
      <c r="ES18" s="64">
        <v>0</v>
      </c>
      <c r="ET18" s="64">
        <v>0</v>
      </c>
      <c r="EU18" s="64">
        <v>0</v>
      </c>
      <c r="EV18" s="64">
        <v>0</v>
      </c>
      <c r="EW18" s="64">
        <v>0</v>
      </c>
      <c r="EX18" s="64">
        <v>0</v>
      </c>
      <c r="EY18" s="64">
        <v>0</v>
      </c>
      <c r="EZ18" s="64">
        <v>0</v>
      </c>
      <c r="FA18" s="64">
        <v>0</v>
      </c>
      <c r="FB18" s="64">
        <v>0</v>
      </c>
      <c r="FC18" s="64">
        <v>0</v>
      </c>
      <c r="FD18" s="64">
        <v>0</v>
      </c>
      <c r="FE18" s="64">
        <v>0</v>
      </c>
      <c r="FF18" s="64">
        <v>0</v>
      </c>
      <c r="FG18" s="64">
        <v>0</v>
      </c>
      <c r="FH18" s="64">
        <v>0</v>
      </c>
      <c r="FI18" s="64">
        <v>0</v>
      </c>
      <c r="FJ18" s="64">
        <v>0</v>
      </c>
      <c r="FK18" s="64">
        <v>0</v>
      </c>
      <c r="FL18" s="64">
        <v>0</v>
      </c>
      <c r="FM18" s="64">
        <v>0</v>
      </c>
      <c r="FN18" s="64">
        <v>0</v>
      </c>
      <c r="FO18" s="64">
        <v>0</v>
      </c>
      <c r="FP18" s="64">
        <v>0</v>
      </c>
      <c r="FQ18" s="64">
        <v>0</v>
      </c>
      <c r="FR18" s="64">
        <v>0</v>
      </c>
      <c r="FS18" s="64">
        <v>0</v>
      </c>
      <c r="FT18" s="64">
        <v>0</v>
      </c>
      <c r="FU18" s="64">
        <v>0</v>
      </c>
      <c r="FV18" s="64">
        <v>0</v>
      </c>
      <c r="FW18" s="64">
        <v>0</v>
      </c>
      <c r="FX18" s="64">
        <v>0</v>
      </c>
      <c r="FY18" s="64">
        <v>0</v>
      </c>
      <c r="FZ18" s="64">
        <v>6.3222927770393749E-7</v>
      </c>
      <c r="GA18" s="64">
        <v>6.3222927770393749E-7</v>
      </c>
      <c r="GB18" s="64">
        <v>3.1611463885196869E-7</v>
      </c>
      <c r="GC18" s="64">
        <v>0</v>
      </c>
      <c r="GD18" s="64">
        <v>0</v>
      </c>
      <c r="GE18" s="64">
        <v>0</v>
      </c>
      <c r="GF18" s="64">
        <v>0</v>
      </c>
      <c r="GG18" s="64">
        <v>0</v>
      </c>
      <c r="GH18" s="64">
        <v>0</v>
      </c>
      <c r="GI18" s="64">
        <v>0</v>
      </c>
      <c r="GJ18" s="64">
        <v>0</v>
      </c>
      <c r="GK18" s="64">
        <v>0</v>
      </c>
      <c r="GL18" s="64">
        <v>0</v>
      </c>
      <c r="GM18" s="64">
        <v>3.1611463885196869E-7</v>
      </c>
      <c r="GN18" s="64">
        <v>0</v>
      </c>
      <c r="GO18" s="64">
        <v>0</v>
      </c>
      <c r="GP18" s="64">
        <v>0</v>
      </c>
      <c r="GQ18" s="64">
        <v>0</v>
      </c>
      <c r="GR18" s="64">
        <v>0</v>
      </c>
      <c r="GS18" s="64">
        <v>0</v>
      </c>
      <c r="GT18" s="64">
        <v>0</v>
      </c>
      <c r="GU18" s="64">
        <v>0</v>
      </c>
      <c r="GV18" s="64">
        <v>0</v>
      </c>
      <c r="GW18" s="64">
        <v>0</v>
      </c>
      <c r="GX18" s="64">
        <v>0</v>
      </c>
      <c r="GY18" s="64">
        <v>0</v>
      </c>
      <c r="GZ18" s="64">
        <v>0</v>
      </c>
      <c r="HA18" s="64">
        <v>0</v>
      </c>
      <c r="HB18" s="64">
        <v>0</v>
      </c>
      <c r="HC18" s="64">
        <v>0</v>
      </c>
      <c r="HD18" s="64">
        <v>0</v>
      </c>
      <c r="HE18" s="64">
        <v>0</v>
      </c>
      <c r="HF18" s="64">
        <v>0</v>
      </c>
      <c r="HG18" s="64">
        <v>0</v>
      </c>
      <c r="HH18" s="64">
        <v>0</v>
      </c>
      <c r="HI18" s="64">
        <v>0</v>
      </c>
      <c r="HJ18" s="64">
        <v>0</v>
      </c>
      <c r="HK18" s="64">
        <v>0</v>
      </c>
      <c r="HL18" s="64">
        <v>0</v>
      </c>
      <c r="HM18" s="64">
        <v>0</v>
      </c>
      <c r="HN18" s="64">
        <v>0</v>
      </c>
      <c r="HO18" s="64">
        <v>0</v>
      </c>
      <c r="HP18" s="64">
        <v>0</v>
      </c>
      <c r="HQ18" s="64">
        <v>0</v>
      </c>
      <c r="HR18" s="64">
        <v>0</v>
      </c>
      <c r="HS18" s="64">
        <v>0</v>
      </c>
      <c r="HT18" s="64">
        <v>0</v>
      </c>
      <c r="HU18" s="64">
        <v>0</v>
      </c>
      <c r="HV18" s="64">
        <v>0</v>
      </c>
      <c r="HW18" s="64">
        <v>0</v>
      </c>
      <c r="HX18" s="64">
        <v>0</v>
      </c>
      <c r="HY18" s="64">
        <v>0</v>
      </c>
      <c r="HZ18" s="64">
        <v>2.818397969713563E-7</v>
      </c>
      <c r="IA18" s="64">
        <v>2.818397969713563E-7</v>
      </c>
      <c r="IB18" s="64">
        <v>2.818397969713563E-7</v>
      </c>
      <c r="IC18" s="64">
        <v>2.818397969713563E-7</v>
      </c>
      <c r="ID18" s="64">
        <v>0</v>
      </c>
      <c r="IE18" s="64">
        <v>5.636795939427125E-7</v>
      </c>
      <c r="IF18" s="64">
        <v>5.636795939427125E-7</v>
      </c>
      <c r="IG18" s="64">
        <v>5.636795939427125E-7</v>
      </c>
      <c r="IH18" s="64">
        <v>5.636795939427125E-7</v>
      </c>
      <c r="II18" s="64">
        <v>5.636795939427125E-7</v>
      </c>
      <c r="IJ18" s="64">
        <v>5.636795939427125E-7</v>
      </c>
      <c r="IK18" s="64">
        <v>5.636795939427125E-7</v>
      </c>
      <c r="IL18" s="64">
        <v>5.636795939427125E-7</v>
      </c>
      <c r="IM18" s="64">
        <v>5.636795939427125E-7</v>
      </c>
      <c r="IN18" s="64">
        <v>2.4238222539536641E-5</v>
      </c>
      <c r="IO18" s="64">
        <v>2.4238222539536641E-5</v>
      </c>
      <c r="IP18" s="64">
        <v>1.6910387818281379E-6</v>
      </c>
      <c r="IQ18" s="64">
        <v>1.127359187885425E-6</v>
      </c>
      <c r="IR18" s="64">
        <v>2.818397969713563E-7</v>
      </c>
      <c r="IS18" s="64">
        <v>8.4551939091406875E-7</v>
      </c>
      <c r="IT18" s="64">
        <v>0</v>
      </c>
      <c r="IU18" s="64">
        <v>1.6910387818281379E-6</v>
      </c>
      <c r="IV18" s="64">
        <v>0</v>
      </c>
      <c r="IW18" s="64">
        <v>8.4551939091406875E-7</v>
      </c>
      <c r="IX18" s="64">
        <v>5.636795939427125E-7</v>
      </c>
      <c r="IY18" s="64">
        <v>0</v>
      </c>
      <c r="IZ18" s="64">
        <v>0</v>
      </c>
      <c r="JA18" s="64">
        <v>3.9457571575989877E-6</v>
      </c>
      <c r="JB18" s="64">
        <v>2.818397969713563E-7</v>
      </c>
      <c r="JC18" s="64">
        <v>0</v>
      </c>
      <c r="JD18" s="64">
        <v>0</v>
      </c>
      <c r="JE18" s="64">
        <v>2.818397969713563E-7</v>
      </c>
      <c r="JF18" s="64">
        <v>2.818397969713563E-7</v>
      </c>
      <c r="JG18" s="64">
        <v>1.1239899856983859E-5</v>
      </c>
      <c r="JH18" s="64">
        <v>1.1239899856983859E-5</v>
      </c>
      <c r="JI18" s="64">
        <v>1.1239899856983859E-5</v>
      </c>
      <c r="JJ18" s="64">
        <v>1.1239899856983859E-5</v>
      </c>
      <c r="JK18" s="64">
        <v>0</v>
      </c>
      <c r="JL18" s="64">
        <v>2.0071249744614049E-5</v>
      </c>
      <c r="JM18" s="64">
        <v>2.0071249744614049E-5</v>
      </c>
      <c r="JN18" s="64">
        <v>2.0071249744614049E-5</v>
      </c>
      <c r="JO18" s="64">
        <v>2.0071249744614049E-5</v>
      </c>
      <c r="JP18" s="64">
        <v>2.0071249744614049E-5</v>
      </c>
      <c r="JQ18" s="64">
        <v>2.0071249744614049E-5</v>
      </c>
      <c r="JR18" s="64">
        <v>2.0071249744614049E-5</v>
      </c>
      <c r="JS18" s="64">
        <v>5.6199499284919322E-6</v>
      </c>
      <c r="JT18" s="64">
        <v>5.6199499284919322E-6</v>
      </c>
      <c r="JU18" s="64">
        <v>3.1311149601597908E-4</v>
      </c>
      <c r="JV18" s="64">
        <v>3.1311149601597908E-4</v>
      </c>
      <c r="JW18" s="64">
        <v>5.2185249335996507E-5</v>
      </c>
      <c r="JX18" s="64">
        <v>2.569119967310598E-5</v>
      </c>
      <c r="JY18" s="64">
        <v>7.2256499080610559E-6</v>
      </c>
      <c r="JZ18" s="64">
        <v>2.7618039648588932E-4</v>
      </c>
      <c r="KA18" s="64">
        <v>3.2113999591382468E-4</v>
      </c>
      <c r="KB18" s="64">
        <v>1.1207785857392479E-3</v>
      </c>
      <c r="KC18" s="64">
        <v>8.0284998978456186E-6</v>
      </c>
      <c r="KD18" s="64">
        <v>3.7894519517831313E-4</v>
      </c>
      <c r="KE18" s="64">
        <v>5.6199499284919322E-6</v>
      </c>
      <c r="KF18" s="64">
        <v>8.8313498876301797E-6</v>
      </c>
      <c r="KG18" s="64">
        <v>1.6859849785475802E-5</v>
      </c>
      <c r="KH18" s="64">
        <v>2.8099749642459659E-5</v>
      </c>
      <c r="KI18" s="64">
        <v>2.0071249744614049E-5</v>
      </c>
      <c r="KJ18" s="64">
        <v>0</v>
      </c>
      <c r="KK18" s="64">
        <v>0</v>
      </c>
      <c r="KL18" s="64">
        <v>1.6859849785475802E-5</v>
      </c>
      <c r="KM18" s="64">
        <v>1.6859849785475802E-5</v>
      </c>
      <c r="KN18" s="64">
        <v>0</v>
      </c>
      <c r="KO18" s="64">
        <v>0</v>
      </c>
      <c r="KP18" s="64">
        <v>0</v>
      </c>
      <c r="KQ18" s="64">
        <v>0</v>
      </c>
      <c r="KR18" s="64">
        <v>0</v>
      </c>
      <c r="KS18" s="64">
        <v>0</v>
      </c>
      <c r="KT18" s="64">
        <v>0</v>
      </c>
      <c r="KU18" s="64">
        <v>0</v>
      </c>
      <c r="KV18" s="64">
        <v>0</v>
      </c>
      <c r="KW18" s="64">
        <v>0</v>
      </c>
      <c r="KX18" s="64">
        <v>0</v>
      </c>
      <c r="KY18" s="64">
        <v>0</v>
      </c>
      <c r="KZ18" s="64">
        <v>0</v>
      </c>
      <c r="LA18" s="64">
        <v>0</v>
      </c>
      <c r="LB18" s="64">
        <v>0</v>
      </c>
      <c r="LC18" s="64">
        <v>0</v>
      </c>
      <c r="LD18" s="64">
        <v>0</v>
      </c>
      <c r="LE18" s="64">
        <v>0</v>
      </c>
      <c r="LF18" s="64">
        <v>0</v>
      </c>
      <c r="LG18" s="64">
        <v>0</v>
      </c>
      <c r="LH18" s="64">
        <v>0</v>
      </c>
      <c r="LI18" s="64">
        <v>0</v>
      </c>
      <c r="LJ18" s="64">
        <v>0</v>
      </c>
      <c r="LK18" s="64">
        <v>0</v>
      </c>
      <c r="LL18" s="64">
        <v>0</v>
      </c>
      <c r="LM18" s="64">
        <v>0</v>
      </c>
      <c r="LN18" s="64">
        <v>0</v>
      </c>
      <c r="LO18" s="64">
        <v>0</v>
      </c>
      <c r="LP18" s="64">
        <v>0</v>
      </c>
      <c r="LQ18" s="64">
        <v>0</v>
      </c>
      <c r="LR18" s="64">
        <v>0</v>
      </c>
      <c r="LS18" s="64">
        <v>0</v>
      </c>
      <c r="LT18" s="64">
        <v>0</v>
      </c>
      <c r="LU18" s="64">
        <v>0</v>
      </c>
      <c r="LV18" s="64">
        <v>0</v>
      </c>
      <c r="LW18" s="64">
        <v>0</v>
      </c>
      <c r="LX18" s="64">
        <v>0</v>
      </c>
      <c r="LY18" s="64">
        <v>0</v>
      </c>
      <c r="LZ18" s="64">
        <v>0</v>
      </c>
      <c r="MA18" s="64">
        <v>0</v>
      </c>
      <c r="MB18" s="64">
        <v>0</v>
      </c>
      <c r="MC18" s="64">
        <v>0</v>
      </c>
      <c r="MD18" s="64">
        <v>0</v>
      </c>
      <c r="ME18" s="64">
        <v>0</v>
      </c>
      <c r="MF18" s="64">
        <v>0</v>
      </c>
      <c r="MG18" s="64">
        <v>0</v>
      </c>
      <c r="MH18" s="64">
        <v>0</v>
      </c>
      <c r="MI18" s="64">
        <v>0</v>
      </c>
      <c r="MJ18" s="64">
        <v>0</v>
      </c>
      <c r="MK18" s="64">
        <v>0</v>
      </c>
      <c r="ML18" s="64">
        <v>0</v>
      </c>
      <c r="MM18" s="64">
        <v>0</v>
      </c>
      <c r="MN18" s="64">
        <v>0</v>
      </c>
      <c r="MO18" s="64">
        <v>0</v>
      </c>
      <c r="MP18" s="64">
        <v>0</v>
      </c>
      <c r="MQ18" s="64">
        <v>0</v>
      </c>
      <c r="MR18" s="64">
        <v>0</v>
      </c>
      <c r="MS18" s="64">
        <v>0</v>
      </c>
      <c r="MT18" s="64">
        <v>0</v>
      </c>
      <c r="MU18" s="64">
        <v>0</v>
      </c>
      <c r="MV18" s="64">
        <v>0</v>
      </c>
      <c r="MW18" s="64">
        <v>0</v>
      </c>
      <c r="MX18" s="64">
        <v>0</v>
      </c>
      <c r="MY18" s="64">
        <v>0</v>
      </c>
      <c r="MZ18" s="64">
        <v>0</v>
      </c>
      <c r="NA18" s="64">
        <v>0</v>
      </c>
      <c r="NB18" s="64"/>
      <c r="NC18" s="64"/>
      <c r="ND18" s="64"/>
      <c r="NE18" s="64"/>
      <c r="NF18" s="64"/>
      <c r="NG18" s="64"/>
      <c r="NH18" s="64"/>
      <c r="NI18" s="64"/>
      <c r="NJ18" s="64"/>
      <c r="NK18" s="64"/>
      <c r="NL18" s="64"/>
      <c r="NM18" s="64"/>
      <c r="NN18" s="64"/>
      <c r="NO18" s="64"/>
      <c r="NP18" s="64"/>
      <c r="NQ18" s="64"/>
      <c r="NR18" s="64"/>
      <c r="NS18" s="64"/>
      <c r="NT18" s="64"/>
      <c r="NU18" s="64"/>
      <c r="NV18" s="64"/>
      <c r="NW18" s="64"/>
      <c r="NX18" s="64"/>
      <c r="NY18" s="64"/>
      <c r="NZ18" s="64"/>
      <c r="OA18" s="64"/>
      <c r="OB18" s="64"/>
      <c r="OC18" s="64"/>
      <c r="OD18" s="64"/>
      <c r="OE18" s="64"/>
      <c r="OF18" s="64"/>
      <c r="OG18" s="64"/>
      <c r="OH18" s="64"/>
      <c r="OI18" s="64"/>
      <c r="OJ18" s="64"/>
      <c r="OK18" s="64"/>
      <c r="OL18" s="64"/>
      <c r="OM18" s="64"/>
      <c r="ON18" s="64"/>
      <c r="OO18" s="64"/>
      <c r="OP18" s="64"/>
      <c r="OQ18" s="64"/>
      <c r="OR18" s="64"/>
      <c r="OS18" s="64"/>
    </row>
    <row r="19" spans="1:409">
      <c r="A19" s="64" t="s">
        <v>611</v>
      </c>
      <c r="B19" s="64" t="s">
        <v>596</v>
      </c>
      <c r="C19" s="64">
        <v>8.1784440656606887E-3</v>
      </c>
      <c r="D19" s="64">
        <v>2.075959046728111E-3</v>
      </c>
      <c r="E19" s="64">
        <v>5.5815401858920937E-3</v>
      </c>
      <c r="F19" s="64">
        <v>0</v>
      </c>
      <c r="G19" s="64">
        <v>0</v>
      </c>
      <c r="H19" s="64">
        <v>4.7026689610668972E-3</v>
      </c>
      <c r="I19" s="64">
        <v>3.5921071712919448E-3</v>
      </c>
      <c r="J19" s="64">
        <v>5.1135711039828934E-3</v>
      </c>
      <c r="K19" s="64">
        <v>2.6686626468955471E-3</v>
      </c>
      <c r="L19" s="64">
        <v>1.0048123908447471E-3</v>
      </c>
      <c r="M19" s="64">
        <v>4.6370351026332529E-3</v>
      </c>
      <c r="N19" s="64">
        <v>3.0241739312585499E-2</v>
      </c>
      <c r="O19" s="64">
        <v>2.2479589812316402E-3</v>
      </c>
      <c r="P19" s="64">
        <v>9.0879113777089775E-3</v>
      </c>
      <c r="Q19" s="64">
        <v>2.8156189317119108E-4</v>
      </c>
      <c r="R19" s="64">
        <v>9.2978380182762443E-2</v>
      </c>
      <c r="S19" s="64">
        <v>6.4861702127659571E-4</v>
      </c>
      <c r="T19" s="64">
        <v>3.5628000000000007E-2</v>
      </c>
      <c r="U19" s="64">
        <v>2.4629999999999999E-3</v>
      </c>
      <c r="V19" s="64">
        <v>1.237E-3</v>
      </c>
      <c r="W19" s="64">
        <v>7.1301083333333348E-2</v>
      </c>
      <c r="X19" s="64">
        <v>1.370135510204081E-2</v>
      </c>
      <c r="Y19" s="64">
        <v>1.302E-3</v>
      </c>
      <c r="Z19" s="64">
        <v>3.2674001158077589E-4</v>
      </c>
      <c r="AA19" s="64">
        <v>1.1709765E-2</v>
      </c>
      <c r="AB19" s="64">
        <v>2.1614666666666671E-2</v>
      </c>
      <c r="AC19" s="64">
        <v>6.7389999999999993E-3</v>
      </c>
      <c r="AD19" s="64">
        <v>1.0666E-2</v>
      </c>
      <c r="AE19" s="64">
        <v>4.0091603053435121E-3</v>
      </c>
      <c r="AF19" s="64">
        <v>2.2055921052631581E-3</v>
      </c>
      <c r="AG19" s="64">
        <v>1.61616847826087E-3</v>
      </c>
      <c r="AH19" s="64">
        <v>1.459220198983017E-2</v>
      </c>
      <c r="AI19" s="64">
        <v>5.7520123791418064E-3</v>
      </c>
      <c r="AJ19" s="64">
        <v>0</v>
      </c>
      <c r="AK19" s="64">
        <v>0</v>
      </c>
      <c r="AL19" s="64">
        <v>0</v>
      </c>
      <c r="AM19" s="64">
        <v>0</v>
      </c>
      <c r="AN19" s="64">
        <v>0</v>
      </c>
      <c r="AO19" s="64">
        <v>0</v>
      </c>
      <c r="AP19" s="64">
        <v>0</v>
      </c>
      <c r="AQ19" s="64">
        <v>0</v>
      </c>
      <c r="AR19" s="64">
        <v>0</v>
      </c>
      <c r="AS19" s="64">
        <v>0</v>
      </c>
      <c r="AT19" s="64">
        <v>0</v>
      </c>
      <c r="AU19" s="64">
        <v>0</v>
      </c>
      <c r="AV19" s="64">
        <v>0</v>
      </c>
      <c r="AW19" s="64">
        <v>0</v>
      </c>
      <c r="AX19" s="64">
        <v>0</v>
      </c>
      <c r="AY19" s="64">
        <v>0</v>
      </c>
      <c r="AZ19" s="64">
        <v>0</v>
      </c>
      <c r="BA19" s="64">
        <v>0</v>
      </c>
      <c r="BB19" s="64">
        <v>0</v>
      </c>
      <c r="BC19" s="64">
        <v>0</v>
      </c>
      <c r="BD19" s="64">
        <v>0</v>
      </c>
      <c r="BE19" s="64">
        <v>0</v>
      </c>
      <c r="BF19" s="64">
        <v>0</v>
      </c>
      <c r="BG19" s="64">
        <v>0</v>
      </c>
      <c r="BH19" s="64">
        <v>0</v>
      </c>
      <c r="BI19" s="64">
        <v>0</v>
      </c>
      <c r="BJ19" s="64">
        <v>0</v>
      </c>
      <c r="BK19" s="64">
        <v>7.7348510795696539E-7</v>
      </c>
      <c r="BL19" s="64">
        <v>0</v>
      </c>
      <c r="BM19" s="64">
        <v>0</v>
      </c>
      <c r="BN19" s="64">
        <v>0</v>
      </c>
      <c r="BO19" s="64">
        <v>0</v>
      </c>
      <c r="BP19" s="64">
        <v>0</v>
      </c>
      <c r="BQ19" s="64">
        <v>0</v>
      </c>
      <c r="BR19" s="64">
        <v>0</v>
      </c>
      <c r="BS19" s="64">
        <v>0</v>
      </c>
      <c r="BT19" s="64">
        <v>0</v>
      </c>
      <c r="BU19" s="64">
        <v>0</v>
      </c>
      <c r="BV19" s="64">
        <v>0</v>
      </c>
      <c r="BW19" s="64">
        <v>0</v>
      </c>
      <c r="BX19" s="64">
        <v>0</v>
      </c>
      <c r="BY19" s="64">
        <v>0</v>
      </c>
      <c r="BZ19" s="64">
        <v>0</v>
      </c>
      <c r="CA19" s="64">
        <v>0</v>
      </c>
      <c r="CB19" s="64">
        <v>0</v>
      </c>
      <c r="CC19" s="64">
        <v>0</v>
      </c>
      <c r="CD19" s="64">
        <v>0</v>
      </c>
      <c r="CE19" s="64">
        <v>0</v>
      </c>
      <c r="CF19" s="64">
        <v>0</v>
      </c>
      <c r="CG19" s="64">
        <v>0</v>
      </c>
      <c r="CH19" s="64">
        <v>0</v>
      </c>
      <c r="CI19" s="64">
        <v>0</v>
      </c>
      <c r="CJ19" s="64">
        <v>0</v>
      </c>
      <c r="CK19" s="64">
        <v>0</v>
      </c>
      <c r="CL19" s="64">
        <v>0</v>
      </c>
      <c r="CM19" s="64">
        <v>0</v>
      </c>
      <c r="CN19" s="64">
        <v>0</v>
      </c>
      <c r="CO19" s="64">
        <v>0</v>
      </c>
      <c r="CP19" s="64">
        <v>0</v>
      </c>
      <c r="CQ19" s="64">
        <v>0</v>
      </c>
      <c r="CR19" s="64">
        <v>0</v>
      </c>
      <c r="CS19" s="64">
        <v>0</v>
      </c>
      <c r="CT19" s="64">
        <v>0</v>
      </c>
      <c r="CU19" s="64">
        <v>0</v>
      </c>
      <c r="CV19" s="64">
        <v>0</v>
      </c>
      <c r="CW19" s="64">
        <v>0</v>
      </c>
      <c r="CX19" s="64">
        <v>0</v>
      </c>
      <c r="CY19" s="64">
        <v>0</v>
      </c>
      <c r="CZ19" s="64">
        <v>0</v>
      </c>
      <c r="DA19" s="64">
        <v>0</v>
      </c>
      <c r="DB19" s="64">
        <v>0</v>
      </c>
      <c r="DC19" s="64">
        <v>0</v>
      </c>
      <c r="DD19" s="64">
        <v>0</v>
      </c>
      <c r="DE19" s="64">
        <v>0</v>
      </c>
      <c r="DF19" s="64">
        <v>0</v>
      </c>
      <c r="DG19" s="64">
        <v>0</v>
      </c>
      <c r="DH19" s="64">
        <v>0</v>
      </c>
      <c r="DI19" s="64">
        <v>0</v>
      </c>
      <c r="DJ19" s="64">
        <v>0</v>
      </c>
      <c r="DK19" s="64">
        <v>0</v>
      </c>
      <c r="DL19" s="64">
        <v>0</v>
      </c>
      <c r="DM19" s="64">
        <v>0</v>
      </c>
      <c r="DN19" s="64">
        <v>0</v>
      </c>
      <c r="DO19" s="64">
        <v>0</v>
      </c>
      <c r="DP19" s="64">
        <v>0</v>
      </c>
      <c r="DQ19" s="64">
        <v>0</v>
      </c>
      <c r="DR19" s="64">
        <v>0</v>
      </c>
      <c r="DS19" s="64">
        <v>0</v>
      </c>
      <c r="DT19" s="64">
        <v>0</v>
      </c>
      <c r="DU19" s="64">
        <v>0</v>
      </c>
      <c r="DV19" s="64">
        <v>0</v>
      </c>
      <c r="DW19" s="64">
        <v>0</v>
      </c>
      <c r="DX19" s="64">
        <v>0</v>
      </c>
      <c r="DY19" s="64">
        <v>0</v>
      </c>
      <c r="DZ19" s="64">
        <v>0</v>
      </c>
      <c r="EA19" s="64">
        <v>0</v>
      </c>
      <c r="EB19" s="64">
        <v>0</v>
      </c>
      <c r="EC19" s="64">
        <v>0</v>
      </c>
      <c r="ED19" s="64">
        <v>0</v>
      </c>
      <c r="EE19" s="64">
        <v>0</v>
      </c>
      <c r="EF19" s="64">
        <v>0</v>
      </c>
      <c r="EG19" s="64">
        <v>0</v>
      </c>
      <c r="EH19" s="64">
        <v>0</v>
      </c>
      <c r="EI19" s="64">
        <v>0</v>
      </c>
      <c r="EJ19" s="64">
        <v>0</v>
      </c>
      <c r="EK19" s="64">
        <v>0</v>
      </c>
      <c r="EL19" s="64">
        <v>0</v>
      </c>
      <c r="EM19" s="64">
        <v>0</v>
      </c>
      <c r="EN19" s="64">
        <v>0</v>
      </c>
      <c r="EO19" s="64">
        <v>0</v>
      </c>
      <c r="EP19" s="64">
        <v>0</v>
      </c>
      <c r="EQ19" s="64">
        <v>0</v>
      </c>
      <c r="ER19" s="64">
        <v>0</v>
      </c>
      <c r="ES19" s="64">
        <v>0</v>
      </c>
      <c r="ET19" s="64">
        <v>0</v>
      </c>
      <c r="EU19" s="64">
        <v>0</v>
      </c>
      <c r="EV19" s="64">
        <v>0</v>
      </c>
      <c r="EW19" s="64">
        <v>0</v>
      </c>
      <c r="EX19" s="64">
        <v>0</v>
      </c>
      <c r="EY19" s="64">
        <v>0</v>
      </c>
      <c r="EZ19" s="64">
        <v>0</v>
      </c>
      <c r="FA19" s="64">
        <v>0</v>
      </c>
      <c r="FB19" s="64">
        <v>0</v>
      </c>
      <c r="FC19" s="64">
        <v>0</v>
      </c>
      <c r="FD19" s="64">
        <v>0</v>
      </c>
      <c r="FE19" s="64">
        <v>0</v>
      </c>
      <c r="FF19" s="64">
        <v>0</v>
      </c>
      <c r="FG19" s="64">
        <v>0</v>
      </c>
      <c r="FH19" s="64">
        <v>0</v>
      </c>
      <c r="FI19" s="64">
        <v>0</v>
      </c>
      <c r="FJ19" s="64">
        <v>0</v>
      </c>
      <c r="FK19" s="64">
        <v>0</v>
      </c>
      <c r="FL19" s="64">
        <v>0</v>
      </c>
      <c r="FM19" s="64">
        <v>0</v>
      </c>
      <c r="FN19" s="64">
        <v>0</v>
      </c>
      <c r="FO19" s="64">
        <v>0</v>
      </c>
      <c r="FP19" s="64">
        <v>0</v>
      </c>
      <c r="FQ19" s="64">
        <v>0</v>
      </c>
      <c r="FR19" s="64">
        <v>0</v>
      </c>
      <c r="FS19" s="64">
        <v>0</v>
      </c>
      <c r="FT19" s="64">
        <v>0</v>
      </c>
      <c r="FU19" s="64">
        <v>0</v>
      </c>
      <c r="FV19" s="64">
        <v>0</v>
      </c>
      <c r="FW19" s="64">
        <v>0</v>
      </c>
      <c r="FX19" s="64">
        <v>0</v>
      </c>
      <c r="FY19" s="64">
        <v>0</v>
      </c>
      <c r="FZ19" s="64">
        <v>1.3677707222960629E-6</v>
      </c>
      <c r="GA19" s="64">
        <v>1.3677707222960629E-6</v>
      </c>
      <c r="GB19" s="64">
        <v>6.8388536114803126E-7</v>
      </c>
      <c r="GC19" s="64">
        <v>0</v>
      </c>
      <c r="GD19" s="64">
        <v>0</v>
      </c>
      <c r="GE19" s="64">
        <v>0</v>
      </c>
      <c r="GF19" s="64">
        <v>0</v>
      </c>
      <c r="GG19" s="64">
        <v>0</v>
      </c>
      <c r="GH19" s="64">
        <v>0</v>
      </c>
      <c r="GI19" s="64">
        <v>0</v>
      </c>
      <c r="GJ19" s="64">
        <v>0</v>
      </c>
      <c r="GK19" s="64">
        <v>0</v>
      </c>
      <c r="GL19" s="64">
        <v>0</v>
      </c>
      <c r="GM19" s="64">
        <v>6.8388536114803126E-7</v>
      </c>
      <c r="GN19" s="64">
        <v>0</v>
      </c>
      <c r="GO19" s="64">
        <v>0</v>
      </c>
      <c r="GP19" s="64">
        <v>0</v>
      </c>
      <c r="GQ19" s="64">
        <v>0</v>
      </c>
      <c r="GR19" s="64">
        <v>0</v>
      </c>
      <c r="GS19" s="64">
        <v>0</v>
      </c>
      <c r="GT19" s="64">
        <v>0</v>
      </c>
      <c r="GU19" s="64">
        <v>0</v>
      </c>
      <c r="GV19" s="64">
        <v>0</v>
      </c>
      <c r="GW19" s="64">
        <v>0</v>
      </c>
      <c r="GX19" s="64">
        <v>0</v>
      </c>
      <c r="GY19" s="64">
        <v>0</v>
      </c>
      <c r="GZ19" s="64">
        <v>0</v>
      </c>
      <c r="HA19" s="64">
        <v>0</v>
      </c>
      <c r="HB19" s="64">
        <v>0</v>
      </c>
      <c r="HC19" s="64">
        <v>0</v>
      </c>
      <c r="HD19" s="64">
        <v>0</v>
      </c>
      <c r="HE19" s="64">
        <v>0</v>
      </c>
      <c r="HF19" s="64">
        <v>0</v>
      </c>
      <c r="HG19" s="64">
        <v>0</v>
      </c>
      <c r="HH19" s="64">
        <v>0</v>
      </c>
      <c r="HI19" s="64">
        <v>0</v>
      </c>
      <c r="HJ19" s="64">
        <v>0</v>
      </c>
      <c r="HK19" s="64">
        <v>0</v>
      </c>
      <c r="HL19" s="64">
        <v>0</v>
      </c>
      <c r="HM19" s="64">
        <v>0</v>
      </c>
      <c r="HN19" s="64">
        <v>0</v>
      </c>
      <c r="HO19" s="64">
        <v>0</v>
      </c>
      <c r="HP19" s="64">
        <v>0</v>
      </c>
      <c r="HQ19" s="64">
        <v>0</v>
      </c>
      <c r="HR19" s="64">
        <v>0</v>
      </c>
      <c r="HS19" s="64">
        <v>0</v>
      </c>
      <c r="HT19" s="64">
        <v>0</v>
      </c>
      <c r="HU19" s="64">
        <v>0</v>
      </c>
      <c r="HV19" s="64">
        <v>0</v>
      </c>
      <c r="HW19" s="64">
        <v>0</v>
      </c>
      <c r="HX19" s="64">
        <v>0</v>
      </c>
      <c r="HY19" s="64">
        <v>0</v>
      </c>
      <c r="HZ19" s="64">
        <v>7.181602030286437E-7</v>
      </c>
      <c r="IA19" s="64">
        <v>7.181602030286437E-7</v>
      </c>
      <c r="IB19" s="64">
        <v>7.181602030286437E-7</v>
      </c>
      <c r="IC19" s="64">
        <v>7.181602030286437E-7</v>
      </c>
      <c r="ID19" s="64">
        <v>0</v>
      </c>
      <c r="IE19" s="64">
        <v>1.436320406057287E-6</v>
      </c>
      <c r="IF19" s="64">
        <v>1.436320406057287E-6</v>
      </c>
      <c r="IG19" s="64">
        <v>1.436320406057287E-6</v>
      </c>
      <c r="IH19" s="64">
        <v>1.436320406057287E-6</v>
      </c>
      <c r="II19" s="64">
        <v>1.436320406057287E-6</v>
      </c>
      <c r="IJ19" s="64">
        <v>1.436320406057287E-6</v>
      </c>
      <c r="IK19" s="64">
        <v>1.436320406057287E-6</v>
      </c>
      <c r="IL19" s="64">
        <v>1.436320406057287E-6</v>
      </c>
      <c r="IM19" s="64">
        <v>1.436320406057287E-6</v>
      </c>
      <c r="IN19" s="64">
        <v>6.1761777460463366E-5</v>
      </c>
      <c r="IO19" s="64">
        <v>6.1761777460463366E-5</v>
      </c>
      <c r="IP19" s="64">
        <v>4.3089612181718616E-6</v>
      </c>
      <c r="IQ19" s="64">
        <v>2.8726408121145748E-6</v>
      </c>
      <c r="IR19" s="64">
        <v>7.181602030286437E-7</v>
      </c>
      <c r="IS19" s="64">
        <v>2.1544806090859308E-6</v>
      </c>
      <c r="IT19" s="64">
        <v>0</v>
      </c>
      <c r="IU19" s="64">
        <v>4.3089612181718616E-6</v>
      </c>
      <c r="IV19" s="64">
        <v>0</v>
      </c>
      <c r="IW19" s="64">
        <v>2.1544806090859308E-6</v>
      </c>
      <c r="IX19" s="64">
        <v>1.436320406057287E-6</v>
      </c>
      <c r="IY19" s="64">
        <v>0</v>
      </c>
      <c r="IZ19" s="64">
        <v>0</v>
      </c>
      <c r="JA19" s="64">
        <v>1.005424284240101E-5</v>
      </c>
      <c r="JB19" s="64">
        <v>7.181602030286437E-7</v>
      </c>
      <c r="JC19" s="64">
        <v>0</v>
      </c>
      <c r="JD19" s="64">
        <v>0</v>
      </c>
      <c r="JE19" s="64">
        <v>7.181602030286437E-7</v>
      </c>
      <c r="JF19" s="64">
        <v>7.181602030286437E-7</v>
      </c>
      <c r="JG19" s="64">
        <v>2.7601001430161358E-6</v>
      </c>
      <c r="JH19" s="64">
        <v>2.7601001430161358E-6</v>
      </c>
      <c r="JI19" s="64">
        <v>2.7601001430161358E-6</v>
      </c>
      <c r="JJ19" s="64">
        <v>2.7601001430161358E-6</v>
      </c>
      <c r="JK19" s="64">
        <v>0</v>
      </c>
      <c r="JL19" s="64">
        <v>4.9287502553859571E-6</v>
      </c>
      <c r="JM19" s="64">
        <v>4.9287502553859571E-6</v>
      </c>
      <c r="JN19" s="64">
        <v>4.9287502553859571E-6</v>
      </c>
      <c r="JO19" s="64">
        <v>4.9287502553859571E-6</v>
      </c>
      <c r="JP19" s="64">
        <v>4.9287502553859571E-6</v>
      </c>
      <c r="JQ19" s="64">
        <v>4.9287502553859571E-6</v>
      </c>
      <c r="JR19" s="64">
        <v>4.9287502553859571E-6</v>
      </c>
      <c r="JS19" s="64">
        <v>1.3800500715080679E-6</v>
      </c>
      <c r="JT19" s="64">
        <v>1.3800500715080679E-6</v>
      </c>
      <c r="JU19" s="64">
        <v>7.6888503984020939E-5</v>
      </c>
      <c r="JV19" s="64">
        <v>7.6888503984020939E-5</v>
      </c>
      <c r="JW19" s="64">
        <v>1.2814750664003489E-5</v>
      </c>
      <c r="JX19" s="64">
        <v>6.3088003268940248E-6</v>
      </c>
      <c r="JY19" s="64">
        <v>1.7743500919389449E-6</v>
      </c>
      <c r="JZ19" s="64">
        <v>6.7819603514110779E-5</v>
      </c>
      <c r="KA19" s="64">
        <v>7.8860004086175314E-5</v>
      </c>
      <c r="KB19" s="64">
        <v>2.7522141426075192E-4</v>
      </c>
      <c r="KC19" s="64">
        <v>1.971500102154383E-6</v>
      </c>
      <c r="KD19" s="64">
        <v>9.3054804821686868E-5</v>
      </c>
      <c r="KE19" s="64">
        <v>1.3800500715080679E-6</v>
      </c>
      <c r="KF19" s="64">
        <v>2.1686501123698209E-6</v>
      </c>
      <c r="KG19" s="64">
        <v>4.1401502145242039E-6</v>
      </c>
      <c r="KH19" s="64">
        <v>6.9002503575403393E-6</v>
      </c>
      <c r="KI19" s="64">
        <v>4.9287502553859571E-6</v>
      </c>
      <c r="KJ19" s="64">
        <v>0</v>
      </c>
      <c r="KK19" s="64">
        <v>0</v>
      </c>
      <c r="KL19" s="64">
        <v>4.1401502145242039E-6</v>
      </c>
      <c r="KM19" s="64">
        <v>4.1401502145242039E-6</v>
      </c>
      <c r="KN19" s="64">
        <v>0</v>
      </c>
      <c r="KO19" s="64">
        <v>0</v>
      </c>
      <c r="KP19" s="64">
        <v>0</v>
      </c>
      <c r="KQ19" s="64">
        <v>0</v>
      </c>
      <c r="KR19" s="64">
        <v>0</v>
      </c>
      <c r="KS19" s="64">
        <v>0</v>
      </c>
      <c r="KT19" s="64">
        <v>0</v>
      </c>
      <c r="KU19" s="64">
        <v>0</v>
      </c>
      <c r="KV19" s="64">
        <v>0</v>
      </c>
      <c r="KW19" s="64">
        <v>0</v>
      </c>
      <c r="KX19" s="64">
        <v>0</v>
      </c>
      <c r="KY19" s="64">
        <v>0</v>
      </c>
      <c r="KZ19" s="64">
        <v>0</v>
      </c>
      <c r="LA19" s="64">
        <v>0</v>
      </c>
      <c r="LB19" s="64">
        <v>0</v>
      </c>
      <c r="LC19" s="64">
        <v>0</v>
      </c>
      <c r="LD19" s="64">
        <v>0</v>
      </c>
      <c r="LE19" s="64">
        <v>0</v>
      </c>
      <c r="LF19" s="64">
        <v>0</v>
      </c>
      <c r="LG19" s="64">
        <v>0</v>
      </c>
      <c r="LH19" s="64">
        <v>0</v>
      </c>
      <c r="LI19" s="64">
        <v>0</v>
      </c>
      <c r="LJ19" s="64">
        <v>0</v>
      </c>
      <c r="LK19" s="64">
        <v>0</v>
      </c>
      <c r="LL19" s="64">
        <v>0</v>
      </c>
      <c r="LM19" s="64">
        <v>0</v>
      </c>
      <c r="LN19" s="64">
        <v>0</v>
      </c>
      <c r="LO19" s="64">
        <v>0</v>
      </c>
      <c r="LP19" s="64">
        <v>0</v>
      </c>
      <c r="LQ19" s="64">
        <v>0</v>
      </c>
      <c r="LR19" s="64">
        <v>0</v>
      </c>
      <c r="LS19" s="64">
        <v>0</v>
      </c>
      <c r="LT19" s="64">
        <v>0</v>
      </c>
      <c r="LU19" s="64">
        <v>0</v>
      </c>
      <c r="LV19" s="64">
        <v>0</v>
      </c>
      <c r="LW19" s="64">
        <v>0</v>
      </c>
      <c r="LX19" s="64">
        <v>0</v>
      </c>
      <c r="LY19" s="64">
        <v>0</v>
      </c>
      <c r="LZ19" s="64">
        <v>0</v>
      </c>
      <c r="MA19" s="64">
        <v>0</v>
      </c>
      <c r="MB19" s="64">
        <v>0</v>
      </c>
      <c r="MC19" s="64">
        <v>0</v>
      </c>
      <c r="MD19" s="64">
        <v>0</v>
      </c>
      <c r="ME19" s="64">
        <v>0</v>
      </c>
      <c r="MF19" s="64">
        <v>0</v>
      </c>
      <c r="MG19" s="64">
        <v>0</v>
      </c>
      <c r="MH19" s="64">
        <v>0</v>
      </c>
      <c r="MI19" s="64">
        <v>0</v>
      </c>
      <c r="MJ19" s="64">
        <v>0</v>
      </c>
      <c r="MK19" s="64">
        <v>0</v>
      </c>
      <c r="ML19" s="64">
        <v>0</v>
      </c>
      <c r="MM19" s="64">
        <v>0</v>
      </c>
      <c r="MN19" s="64">
        <v>0</v>
      </c>
      <c r="MO19" s="64">
        <v>0</v>
      </c>
      <c r="MP19" s="64">
        <v>0</v>
      </c>
      <c r="MQ19" s="64">
        <v>0</v>
      </c>
      <c r="MR19" s="64">
        <v>0</v>
      </c>
      <c r="MS19" s="64">
        <v>0</v>
      </c>
      <c r="MT19" s="64">
        <v>0</v>
      </c>
      <c r="MU19" s="64">
        <v>0</v>
      </c>
      <c r="MV19" s="64">
        <v>0</v>
      </c>
      <c r="MW19" s="64">
        <v>0</v>
      </c>
      <c r="MX19" s="64">
        <v>0</v>
      </c>
      <c r="MY19" s="64">
        <v>0</v>
      </c>
      <c r="MZ19" s="64">
        <v>0</v>
      </c>
      <c r="NA19" s="64">
        <v>0</v>
      </c>
      <c r="NB19" s="64"/>
      <c r="NC19" s="64"/>
      <c r="ND19" s="64"/>
      <c r="NE19" s="64"/>
      <c r="NF19" s="64"/>
      <c r="NG19" s="64"/>
      <c r="NH19" s="64"/>
      <c r="NI19" s="64"/>
      <c r="NJ19" s="64"/>
      <c r="NK19" s="64"/>
      <c r="NL19" s="64"/>
      <c r="NM19" s="64"/>
      <c r="NN19" s="64"/>
      <c r="NO19" s="64"/>
      <c r="NP19" s="64"/>
      <c r="NQ19" s="64"/>
      <c r="NR19" s="64"/>
      <c r="NS19" s="64"/>
      <c r="NT19" s="64"/>
      <c r="NU19" s="64"/>
      <c r="NV19" s="64"/>
      <c r="NW19" s="64"/>
      <c r="NX19" s="64"/>
      <c r="NY19" s="64"/>
      <c r="NZ19" s="64"/>
      <c r="OA19" s="64"/>
      <c r="OB19" s="64"/>
      <c r="OC19" s="64"/>
      <c r="OD19" s="64"/>
      <c r="OE19" s="64"/>
      <c r="OF19" s="64"/>
      <c r="OG19" s="64"/>
      <c r="OH19" s="64"/>
      <c r="OI19" s="64"/>
      <c r="OJ19" s="64"/>
      <c r="OK19" s="64"/>
      <c r="OL19" s="64"/>
      <c r="OM19" s="64"/>
      <c r="ON19" s="64"/>
      <c r="OO19" s="64"/>
      <c r="OP19" s="64"/>
      <c r="OQ19" s="64"/>
      <c r="OR19" s="64"/>
      <c r="OS19" s="64"/>
    </row>
    <row r="20" spans="1:409">
      <c r="A20" s="65" t="s">
        <v>93</v>
      </c>
      <c r="B20" s="65" t="s">
        <v>11</v>
      </c>
      <c r="C20" s="65">
        <v>1.3500242709113441E-2</v>
      </c>
      <c r="D20" s="65">
        <v>5.0407529980630384E-3</v>
      </c>
      <c r="E20" s="65">
        <v>1.0931293861770689E-2</v>
      </c>
      <c r="F20" s="65">
        <v>1.1813368450028301E-2</v>
      </c>
      <c r="G20" s="65">
        <v>0</v>
      </c>
      <c r="H20" s="65">
        <v>1.0183601660392739E-2</v>
      </c>
      <c r="I20" s="65">
        <v>1.095083290471096E-2</v>
      </c>
      <c r="J20" s="65">
        <v>9.9961177485570363E-3</v>
      </c>
      <c r="K20" s="65">
        <v>1.136514349210402E-2</v>
      </c>
      <c r="L20" s="65">
        <v>8.1491535841991449E-3</v>
      </c>
      <c r="M20" s="65">
        <v>1.6781317256386461E-2</v>
      </c>
      <c r="N20" s="65">
        <v>4.9630371202788473E-2</v>
      </c>
      <c r="O20" s="65">
        <v>1.2106473253302521E-2</v>
      </c>
      <c r="P20" s="65">
        <v>4.8535450290697668E-2</v>
      </c>
      <c r="Q20" s="65">
        <v>1.2236946202595401E-2</v>
      </c>
      <c r="R20" s="65">
        <v>4.7439978032883912E-2</v>
      </c>
      <c r="S20" s="65">
        <v>0.39279599999999998</v>
      </c>
      <c r="T20" s="65">
        <v>1.9848999999999999E-2</v>
      </c>
      <c r="U20" s="65">
        <v>2.0688999999999999E-2</v>
      </c>
      <c r="V20" s="65">
        <v>5.0589999999999984E-3</v>
      </c>
      <c r="W20" s="65">
        <v>5.3178999999999997E-2</v>
      </c>
      <c r="X20" s="65">
        <v>2.4416E-2</v>
      </c>
      <c r="Y20" s="65">
        <v>1.9819999999999998E-3</v>
      </c>
      <c r="Z20" s="65">
        <v>2.5217E-2</v>
      </c>
      <c r="AA20" s="65">
        <v>1.5299E-2</v>
      </c>
      <c r="AB20" s="65">
        <v>1.029E-3</v>
      </c>
      <c r="AC20" s="65">
        <v>2.9239999999999999E-2</v>
      </c>
      <c r="AD20" s="65">
        <v>1.585E-3</v>
      </c>
      <c r="AE20" s="65">
        <v>1.75E-4</v>
      </c>
      <c r="AF20" s="65">
        <v>2.372E-3</v>
      </c>
      <c r="AG20" s="65">
        <v>1.725E-3</v>
      </c>
      <c r="AH20" s="65">
        <v>2.8895085221054651E-2</v>
      </c>
      <c r="AI20" s="65">
        <v>2.729839542326026E-2</v>
      </c>
      <c r="AJ20" s="65">
        <v>1.426E-3</v>
      </c>
      <c r="AK20" s="65">
        <v>1.426E-3</v>
      </c>
      <c r="AL20" s="65">
        <v>1.426E-3</v>
      </c>
      <c r="AM20" s="65">
        <v>1.426E-3</v>
      </c>
      <c r="AN20" s="65">
        <v>0</v>
      </c>
      <c r="AO20" s="65">
        <v>6.7999999999999999E-5</v>
      </c>
      <c r="AP20" s="65">
        <v>6.7999999999999999E-5</v>
      </c>
      <c r="AQ20" s="65">
        <v>6.7999999999999999E-5</v>
      </c>
      <c r="AR20" s="65">
        <v>6.7999999999999999E-5</v>
      </c>
      <c r="AS20" s="65">
        <v>6.7999999999999999E-5</v>
      </c>
      <c r="AT20" s="65">
        <v>6.7999999999999999E-5</v>
      </c>
      <c r="AU20" s="65">
        <v>6.7999999999999999E-5</v>
      </c>
      <c r="AV20" s="65">
        <v>4.2000000000000002E-4</v>
      </c>
      <c r="AW20" s="65">
        <v>4.2000000000000002E-4</v>
      </c>
      <c r="AX20" s="65">
        <v>6.3400000000000001E-4</v>
      </c>
      <c r="AY20" s="65">
        <v>6.3400000000000001E-4</v>
      </c>
      <c r="AZ20" s="65">
        <v>4.6899999999999997E-3</v>
      </c>
      <c r="BA20" s="65">
        <v>4.3399999999999998E-4</v>
      </c>
      <c r="BB20" s="65">
        <v>1.16E-4</v>
      </c>
      <c r="BC20" s="65">
        <v>2.7799999999999998E-4</v>
      </c>
      <c r="BD20" s="65">
        <v>2.3699999999999999E-4</v>
      </c>
      <c r="BE20" s="65">
        <v>4.57E-4</v>
      </c>
      <c r="BF20" s="65">
        <v>1.4E-5</v>
      </c>
      <c r="BG20" s="65">
        <v>1.47E-4</v>
      </c>
      <c r="BH20" s="65">
        <v>1.7E-5</v>
      </c>
      <c r="BI20" s="65">
        <v>3.6000000000000001E-5</v>
      </c>
      <c r="BJ20" s="65">
        <v>9.0000000000000002E-6</v>
      </c>
      <c r="BK20" s="65">
        <v>3.3000000000000003E-5</v>
      </c>
      <c r="BL20" s="65">
        <v>1.9999999999999999E-6</v>
      </c>
      <c r="BM20" s="65">
        <v>9.0000000000000002E-6</v>
      </c>
      <c r="BN20" s="65">
        <v>6.9999999999999999E-6</v>
      </c>
      <c r="BO20" s="65">
        <v>3.8000000000000002E-5</v>
      </c>
      <c r="BP20" s="65">
        <v>3.8000000000000002E-5</v>
      </c>
      <c r="BQ20" s="65">
        <v>0</v>
      </c>
      <c r="BR20" s="65">
        <v>0</v>
      </c>
      <c r="BS20" s="65">
        <v>0</v>
      </c>
      <c r="BT20" s="65">
        <v>0</v>
      </c>
      <c r="BU20" s="65">
        <v>0</v>
      </c>
      <c r="BV20" s="65">
        <v>0</v>
      </c>
      <c r="BW20" s="65">
        <v>0</v>
      </c>
      <c r="BX20" s="65">
        <v>0</v>
      </c>
      <c r="BY20" s="65">
        <v>0</v>
      </c>
      <c r="BZ20" s="65">
        <v>0</v>
      </c>
      <c r="CA20" s="65">
        <v>0</v>
      </c>
      <c r="CB20" s="65">
        <v>0</v>
      </c>
      <c r="CC20" s="65">
        <v>0</v>
      </c>
      <c r="CD20" s="65">
        <v>0</v>
      </c>
      <c r="CE20" s="65">
        <v>0</v>
      </c>
      <c r="CF20" s="65">
        <v>0</v>
      </c>
      <c r="CG20" s="65">
        <v>3.0000000000000001E-6</v>
      </c>
      <c r="CH20" s="65">
        <v>0</v>
      </c>
      <c r="CI20" s="65">
        <v>0</v>
      </c>
      <c r="CJ20" s="65">
        <v>0</v>
      </c>
      <c r="CK20" s="65">
        <v>0</v>
      </c>
      <c r="CL20" s="65">
        <v>0</v>
      </c>
      <c r="CM20" s="65">
        <v>0</v>
      </c>
      <c r="CN20" s="65">
        <v>0</v>
      </c>
      <c r="CO20" s="65">
        <v>0</v>
      </c>
      <c r="CP20" s="65">
        <v>0</v>
      </c>
      <c r="CQ20" s="65">
        <v>0</v>
      </c>
      <c r="CR20" s="65">
        <v>0</v>
      </c>
      <c r="CS20" s="65">
        <v>0</v>
      </c>
      <c r="CT20" s="65">
        <v>0</v>
      </c>
      <c r="CU20" s="65">
        <v>0</v>
      </c>
      <c r="CV20" s="65">
        <v>0</v>
      </c>
      <c r="CW20" s="65">
        <v>0</v>
      </c>
      <c r="CX20" s="65">
        <v>9.9999999999999995E-7</v>
      </c>
      <c r="CY20" s="65">
        <v>9.9999999999999995E-7</v>
      </c>
      <c r="CZ20" s="65">
        <v>9.9999999999999995E-7</v>
      </c>
      <c r="DA20" s="65">
        <v>9.9999999999999995E-7</v>
      </c>
      <c r="DB20" s="65">
        <v>0</v>
      </c>
      <c r="DC20" s="65">
        <v>0</v>
      </c>
      <c r="DD20" s="65">
        <v>0</v>
      </c>
      <c r="DE20" s="65">
        <v>0</v>
      </c>
      <c r="DF20" s="65">
        <v>0</v>
      </c>
      <c r="DG20" s="65">
        <v>0</v>
      </c>
      <c r="DH20" s="65">
        <v>0</v>
      </c>
      <c r="DI20" s="65">
        <v>0</v>
      </c>
      <c r="DJ20" s="65">
        <v>9.9999999999999995E-7</v>
      </c>
      <c r="DK20" s="65">
        <v>9.9999999999999995E-7</v>
      </c>
      <c r="DL20" s="65">
        <v>9.9999999999999995E-7</v>
      </c>
      <c r="DM20" s="65">
        <v>9.9999999999999995E-7</v>
      </c>
      <c r="DN20" s="65">
        <v>1.1E-5</v>
      </c>
      <c r="DO20" s="65">
        <v>9.9999999999999995E-7</v>
      </c>
      <c r="DP20" s="65">
        <v>0</v>
      </c>
      <c r="DQ20" s="65">
        <v>0</v>
      </c>
      <c r="DR20" s="65">
        <v>9.9999999999999995E-7</v>
      </c>
      <c r="DS20" s="65">
        <v>9.9999999999999995E-7</v>
      </c>
      <c r="DT20" s="65">
        <v>0</v>
      </c>
      <c r="DU20" s="65">
        <v>0</v>
      </c>
      <c r="DV20" s="65">
        <v>0</v>
      </c>
      <c r="DW20" s="65">
        <v>0</v>
      </c>
      <c r="DX20" s="65">
        <v>0</v>
      </c>
      <c r="DY20" s="65">
        <v>0</v>
      </c>
      <c r="DZ20" s="65">
        <v>0</v>
      </c>
      <c r="EA20" s="65">
        <v>0</v>
      </c>
      <c r="EB20" s="65">
        <v>0</v>
      </c>
      <c r="EC20" s="65">
        <v>0</v>
      </c>
      <c r="ED20" s="65">
        <v>0</v>
      </c>
      <c r="EE20" s="65">
        <v>3.0000000000000001E-6</v>
      </c>
      <c r="EF20" s="65">
        <v>3.0000000000000001E-6</v>
      </c>
      <c r="EG20" s="65">
        <v>3.0000000000000001E-6</v>
      </c>
      <c r="EH20" s="65">
        <v>3.0000000000000001E-6</v>
      </c>
      <c r="EI20" s="65">
        <v>0</v>
      </c>
      <c r="EJ20" s="65">
        <v>9.9999999999999995E-7</v>
      </c>
      <c r="EK20" s="65">
        <v>9.9999999999999995E-7</v>
      </c>
      <c r="EL20" s="65">
        <v>9.9999999999999995E-7</v>
      </c>
      <c r="EM20" s="65">
        <v>9.9999999999999995E-7</v>
      </c>
      <c r="EN20" s="65">
        <v>9.9999999999999995E-7</v>
      </c>
      <c r="EO20" s="65">
        <v>9.9999999999999995E-7</v>
      </c>
      <c r="EP20" s="65">
        <v>9.9999999999999995E-7</v>
      </c>
      <c r="EQ20" s="65">
        <v>9.0000000000000002E-6</v>
      </c>
      <c r="ER20" s="65">
        <v>9.0000000000000002E-6</v>
      </c>
      <c r="ES20" s="65">
        <v>3.0000000000000001E-6</v>
      </c>
      <c r="ET20" s="65">
        <v>3.0000000000000001E-6</v>
      </c>
      <c r="EU20" s="65">
        <v>3.6000000000000001E-5</v>
      </c>
      <c r="EV20" s="65">
        <v>1.9999999999999999E-6</v>
      </c>
      <c r="EW20" s="65">
        <v>9.9999999999999995E-7</v>
      </c>
      <c r="EX20" s="65">
        <v>9.9999999999999995E-7</v>
      </c>
      <c r="EY20" s="65">
        <v>9.9999999999999995E-7</v>
      </c>
      <c r="EZ20" s="65">
        <v>1.9999999999999999E-6</v>
      </c>
      <c r="FA20" s="65">
        <v>0</v>
      </c>
      <c r="FB20" s="65">
        <v>0</v>
      </c>
      <c r="FC20" s="65">
        <v>0</v>
      </c>
      <c r="FD20" s="65">
        <v>0</v>
      </c>
      <c r="FE20" s="65">
        <v>0</v>
      </c>
      <c r="FF20" s="65">
        <v>0</v>
      </c>
      <c r="FG20" s="65">
        <v>0</v>
      </c>
      <c r="FH20" s="65">
        <v>0</v>
      </c>
      <c r="FI20" s="65">
        <v>0</v>
      </c>
      <c r="FJ20" s="65">
        <v>0</v>
      </c>
      <c r="FK20" s="65">
        <v>0</v>
      </c>
      <c r="FL20" s="65">
        <v>1.5799999999999999E-4</v>
      </c>
      <c r="FM20" s="65">
        <v>1.5799999999999999E-4</v>
      </c>
      <c r="FN20" s="65">
        <v>1.5799999999999999E-4</v>
      </c>
      <c r="FO20" s="65">
        <v>1.5799999999999999E-4</v>
      </c>
      <c r="FP20" s="65">
        <v>0</v>
      </c>
      <c r="FQ20" s="65">
        <v>1.9000000000000001E-5</v>
      </c>
      <c r="FR20" s="65">
        <v>1.9000000000000001E-5</v>
      </c>
      <c r="FS20" s="65">
        <v>1.9000000000000001E-5</v>
      </c>
      <c r="FT20" s="65">
        <v>1.9000000000000001E-5</v>
      </c>
      <c r="FU20" s="65">
        <v>1.9000000000000001E-5</v>
      </c>
      <c r="FV20" s="65">
        <v>1.9000000000000001E-5</v>
      </c>
      <c r="FW20" s="65">
        <v>1.9000000000000001E-5</v>
      </c>
      <c r="FX20" s="65">
        <v>1.94E-4</v>
      </c>
      <c r="FY20" s="65">
        <v>1.94E-4</v>
      </c>
      <c r="FZ20" s="65">
        <v>1.5300000000000001E-4</v>
      </c>
      <c r="GA20" s="65">
        <v>1.5300000000000001E-4</v>
      </c>
      <c r="GB20" s="65">
        <v>1.8619999999999999E-3</v>
      </c>
      <c r="GC20" s="65">
        <v>7.2999999999999999E-5</v>
      </c>
      <c r="GD20" s="65">
        <v>4.1999999999999998E-5</v>
      </c>
      <c r="GE20" s="65">
        <v>7.2000000000000002E-5</v>
      </c>
      <c r="GF20" s="65">
        <v>1.15E-4</v>
      </c>
      <c r="GG20" s="65">
        <v>1.4100000000000001E-4</v>
      </c>
      <c r="GH20" s="65">
        <v>1.0000000000000001E-5</v>
      </c>
      <c r="GI20" s="65">
        <v>3.6999999999999998E-5</v>
      </c>
      <c r="GJ20" s="65">
        <v>3.9999999999999998E-6</v>
      </c>
      <c r="GK20" s="65">
        <v>1.0000000000000001E-5</v>
      </c>
      <c r="GL20" s="65">
        <v>5.0000000000000004E-6</v>
      </c>
      <c r="GM20" s="65">
        <v>1.9000000000000001E-5</v>
      </c>
      <c r="GN20" s="65">
        <v>9.9999999999999995E-7</v>
      </c>
      <c r="GO20" s="65">
        <v>1.4E-5</v>
      </c>
      <c r="GP20" s="65">
        <v>1.0000000000000001E-5</v>
      </c>
      <c r="GQ20" s="65">
        <v>2.3E-5</v>
      </c>
      <c r="GR20" s="65">
        <v>2.3E-5</v>
      </c>
      <c r="GS20" s="65">
        <v>0</v>
      </c>
      <c r="GT20" s="65">
        <v>0</v>
      </c>
      <c r="GU20" s="65">
        <v>0</v>
      </c>
      <c r="GV20" s="65">
        <v>0</v>
      </c>
      <c r="GW20" s="65">
        <v>0</v>
      </c>
      <c r="GX20" s="65">
        <v>0</v>
      </c>
      <c r="GY20" s="65">
        <v>0</v>
      </c>
      <c r="GZ20" s="65">
        <v>0</v>
      </c>
      <c r="HA20" s="65">
        <v>0</v>
      </c>
      <c r="HB20" s="65">
        <v>0</v>
      </c>
      <c r="HC20" s="65">
        <v>0</v>
      </c>
      <c r="HD20" s="65">
        <v>0</v>
      </c>
      <c r="HE20" s="65">
        <v>0</v>
      </c>
      <c r="HF20" s="65">
        <v>0</v>
      </c>
      <c r="HG20" s="65">
        <v>0</v>
      </c>
      <c r="HH20" s="65">
        <v>0</v>
      </c>
      <c r="HI20" s="65">
        <v>9.9999999999999995E-7</v>
      </c>
      <c r="HJ20" s="65">
        <v>0</v>
      </c>
      <c r="HK20" s="65">
        <v>0</v>
      </c>
      <c r="HL20" s="65">
        <v>0</v>
      </c>
      <c r="HM20" s="65">
        <v>0</v>
      </c>
      <c r="HN20" s="65">
        <v>0</v>
      </c>
      <c r="HO20" s="65">
        <v>0</v>
      </c>
      <c r="HP20" s="65">
        <v>0</v>
      </c>
      <c r="HQ20" s="65">
        <v>0</v>
      </c>
      <c r="HR20" s="65">
        <v>0</v>
      </c>
      <c r="HS20" s="65">
        <v>0</v>
      </c>
      <c r="HT20" s="65">
        <v>0</v>
      </c>
      <c r="HU20" s="65">
        <v>0</v>
      </c>
      <c r="HV20" s="65">
        <v>0</v>
      </c>
      <c r="HW20" s="65">
        <v>0</v>
      </c>
      <c r="HX20" s="65">
        <v>0</v>
      </c>
      <c r="HY20" s="65">
        <v>0</v>
      </c>
      <c r="HZ20" s="65">
        <v>3.9999999999999998E-6</v>
      </c>
      <c r="IA20" s="65">
        <v>3.9999999999999998E-6</v>
      </c>
      <c r="IB20" s="65">
        <v>3.9999999999999998E-6</v>
      </c>
      <c r="IC20" s="65">
        <v>3.9999999999999998E-6</v>
      </c>
      <c r="ID20" s="65">
        <v>0</v>
      </c>
      <c r="IE20" s="65">
        <v>1.9999999999999999E-6</v>
      </c>
      <c r="IF20" s="65">
        <v>1.9999999999999999E-6</v>
      </c>
      <c r="IG20" s="65">
        <v>1.9999999999999999E-6</v>
      </c>
      <c r="IH20" s="65">
        <v>1.9999999999999999E-6</v>
      </c>
      <c r="II20" s="65">
        <v>1.9999999999999999E-6</v>
      </c>
      <c r="IJ20" s="65">
        <v>1.9999999999999999E-6</v>
      </c>
      <c r="IK20" s="65">
        <v>1.9999999999999999E-6</v>
      </c>
      <c r="IL20" s="65">
        <v>1.9999999999999999E-6</v>
      </c>
      <c r="IM20" s="65">
        <v>1.9999999999999999E-6</v>
      </c>
      <c r="IN20" s="65">
        <v>3.9999999999999998E-6</v>
      </c>
      <c r="IO20" s="65">
        <v>3.9999999999999998E-6</v>
      </c>
      <c r="IP20" s="65">
        <v>3.6000000000000001E-5</v>
      </c>
      <c r="IQ20" s="65">
        <v>1.9999999999999999E-6</v>
      </c>
      <c r="IR20" s="65">
        <v>9.9999999999999995E-7</v>
      </c>
      <c r="IS20" s="65">
        <v>1.9999999999999999E-6</v>
      </c>
      <c r="IT20" s="65">
        <v>9.9999999999999995E-7</v>
      </c>
      <c r="IU20" s="65">
        <v>6.0000000000000002E-6</v>
      </c>
      <c r="IV20" s="65">
        <v>0</v>
      </c>
      <c r="IW20" s="65">
        <v>9.9999999999999995E-7</v>
      </c>
      <c r="IX20" s="65">
        <v>0</v>
      </c>
      <c r="IY20" s="65">
        <v>9.9999999999999995E-7</v>
      </c>
      <c r="IZ20" s="65">
        <v>0</v>
      </c>
      <c r="JA20" s="65">
        <v>9.9999999999999995E-7</v>
      </c>
      <c r="JB20" s="65">
        <v>0</v>
      </c>
      <c r="JC20" s="65">
        <v>0</v>
      </c>
      <c r="JD20" s="65">
        <v>0</v>
      </c>
      <c r="JE20" s="65">
        <v>1.9999999999999999E-6</v>
      </c>
      <c r="JF20" s="65">
        <v>1.9999999999999999E-6</v>
      </c>
      <c r="JG20" s="65">
        <v>2.4000000000000001E-4</v>
      </c>
      <c r="JH20" s="65">
        <v>2.4000000000000001E-4</v>
      </c>
      <c r="JI20" s="65">
        <v>2.4000000000000001E-4</v>
      </c>
      <c r="JJ20" s="65">
        <v>2.4000000000000001E-4</v>
      </c>
      <c r="JK20" s="65">
        <v>0</v>
      </c>
      <c r="JL20" s="65">
        <v>1.93E-4</v>
      </c>
      <c r="JM20" s="65">
        <v>1.93E-4</v>
      </c>
      <c r="JN20" s="65">
        <v>1.93E-4</v>
      </c>
      <c r="JO20" s="65">
        <v>1.93E-4</v>
      </c>
      <c r="JP20" s="65">
        <v>1.93E-4</v>
      </c>
      <c r="JQ20" s="65">
        <v>1.93E-4</v>
      </c>
      <c r="JR20" s="65">
        <v>1.93E-4</v>
      </c>
      <c r="JS20" s="65">
        <v>3.8499999999999998E-4</v>
      </c>
      <c r="JT20" s="65">
        <v>3.8499999999999998E-4</v>
      </c>
      <c r="JU20" s="65">
        <v>1.2899999999999999E-4</v>
      </c>
      <c r="JV20" s="65">
        <v>1.2899999999999999E-4</v>
      </c>
      <c r="JW20" s="65">
        <v>1.7329999999999999E-3</v>
      </c>
      <c r="JX20" s="65">
        <v>1.6699999999999999E-4</v>
      </c>
      <c r="JY20" s="65">
        <v>2.1000000000000001E-4</v>
      </c>
      <c r="JZ20" s="65">
        <v>1.92E-4</v>
      </c>
      <c r="KA20" s="65">
        <v>3.0299999999999999E-4</v>
      </c>
      <c r="KB20" s="65">
        <v>1.3200000000000001E-4</v>
      </c>
      <c r="KC20" s="65">
        <v>7.3999999999999996E-5</v>
      </c>
      <c r="KD20" s="65">
        <v>1.8100000000000001E-4</v>
      </c>
      <c r="KE20" s="65">
        <v>3.6000000000000001E-5</v>
      </c>
      <c r="KF20" s="65">
        <v>2.52E-4</v>
      </c>
      <c r="KG20" s="65">
        <v>1.1E-4</v>
      </c>
      <c r="KH20" s="65">
        <v>8.2999999999999998E-5</v>
      </c>
      <c r="KI20" s="65">
        <v>3.0000000000000001E-6</v>
      </c>
      <c r="KJ20" s="65">
        <v>0</v>
      </c>
      <c r="KK20" s="65">
        <v>0</v>
      </c>
      <c r="KL20" s="65">
        <v>4.1999999999999998E-5</v>
      </c>
      <c r="KM20" s="65">
        <v>4.1999999999999998E-5</v>
      </c>
      <c r="KN20" s="65">
        <v>0</v>
      </c>
      <c r="KO20" s="65">
        <v>0</v>
      </c>
      <c r="KP20" s="65">
        <v>0</v>
      </c>
      <c r="KQ20" s="65">
        <v>0</v>
      </c>
      <c r="KR20" s="65">
        <v>0</v>
      </c>
      <c r="KS20" s="65">
        <v>0</v>
      </c>
      <c r="KT20" s="65">
        <v>0</v>
      </c>
      <c r="KU20" s="65">
        <v>0</v>
      </c>
      <c r="KV20" s="65">
        <v>0</v>
      </c>
      <c r="KW20" s="65">
        <v>0</v>
      </c>
      <c r="KX20" s="65">
        <v>0</v>
      </c>
      <c r="KY20" s="65">
        <v>0</v>
      </c>
      <c r="KZ20" s="65">
        <v>0</v>
      </c>
      <c r="LA20" s="65">
        <v>0</v>
      </c>
      <c r="LB20" s="65">
        <v>0</v>
      </c>
      <c r="LC20" s="65">
        <v>0</v>
      </c>
      <c r="LD20" s="65">
        <v>0</v>
      </c>
      <c r="LE20" s="65">
        <v>0</v>
      </c>
      <c r="LF20" s="65">
        <v>0</v>
      </c>
      <c r="LG20" s="65">
        <v>0</v>
      </c>
      <c r="LH20" s="65">
        <v>0</v>
      </c>
      <c r="LI20" s="65">
        <v>0</v>
      </c>
      <c r="LJ20" s="65">
        <v>0</v>
      </c>
      <c r="LK20" s="65">
        <v>0</v>
      </c>
      <c r="LL20" s="65">
        <v>0</v>
      </c>
      <c r="LM20" s="65">
        <v>0</v>
      </c>
      <c r="LN20" s="65">
        <v>0</v>
      </c>
      <c r="LO20" s="65">
        <v>0</v>
      </c>
      <c r="LP20" s="65">
        <v>0</v>
      </c>
      <c r="LQ20" s="65">
        <v>0</v>
      </c>
      <c r="LR20" s="65">
        <v>0</v>
      </c>
      <c r="LS20" s="65">
        <v>0</v>
      </c>
      <c r="LT20" s="65">
        <v>0</v>
      </c>
      <c r="LU20" s="65">
        <v>1.0000000000000001E-5</v>
      </c>
      <c r="LV20" s="65">
        <v>1.0000000000000001E-5</v>
      </c>
      <c r="LW20" s="65">
        <v>1.0000000000000001E-5</v>
      </c>
      <c r="LX20" s="65">
        <v>1.0000000000000001E-5</v>
      </c>
      <c r="LY20" s="65">
        <v>0</v>
      </c>
      <c r="LZ20" s="65">
        <v>1.9999999999999999E-6</v>
      </c>
      <c r="MA20" s="65">
        <v>1.9999999999999999E-6</v>
      </c>
      <c r="MB20" s="65">
        <v>1.9999999999999999E-6</v>
      </c>
      <c r="MC20" s="65">
        <v>1.9999999999999999E-6</v>
      </c>
      <c r="MD20" s="65">
        <v>1.9999999999999999E-6</v>
      </c>
      <c r="ME20" s="65">
        <v>1.9999999999999999E-6</v>
      </c>
      <c r="MF20" s="65">
        <v>1.9999999999999999E-6</v>
      </c>
      <c r="MG20" s="65">
        <v>4.8999999999999998E-5</v>
      </c>
      <c r="MH20" s="65">
        <v>4.8999999999999998E-5</v>
      </c>
      <c r="MI20" s="65">
        <v>1.2E-5</v>
      </c>
      <c r="MJ20" s="65">
        <v>1.2E-5</v>
      </c>
      <c r="MK20" s="65">
        <v>1.37E-4</v>
      </c>
      <c r="ML20" s="65">
        <v>1.2E-5</v>
      </c>
      <c r="MM20" s="65">
        <v>6.9999999999999999E-6</v>
      </c>
      <c r="MN20" s="65">
        <v>3.9999999999999998E-6</v>
      </c>
      <c r="MO20" s="65">
        <v>6.0000000000000002E-6</v>
      </c>
      <c r="MP20" s="65">
        <v>1.4E-5</v>
      </c>
      <c r="MQ20" s="65">
        <v>9.9999999999999995E-7</v>
      </c>
      <c r="MR20" s="65">
        <v>9.9999999999999995E-7</v>
      </c>
      <c r="MS20" s="65">
        <v>9.9999999999999995E-7</v>
      </c>
      <c r="MT20" s="65">
        <v>0</v>
      </c>
      <c r="MU20" s="65">
        <v>0</v>
      </c>
      <c r="MV20" s="65">
        <v>0</v>
      </c>
      <c r="MW20" s="65">
        <v>0</v>
      </c>
      <c r="MX20" s="65">
        <v>0</v>
      </c>
      <c r="MY20" s="65">
        <v>0</v>
      </c>
      <c r="MZ20" s="65">
        <v>0</v>
      </c>
      <c r="NA20" s="65">
        <v>0</v>
      </c>
      <c r="NB20" s="65"/>
      <c r="NC20" s="65"/>
      <c r="ND20" s="65"/>
      <c r="NE20" s="65"/>
      <c r="NF20" s="65"/>
      <c r="NG20" s="65"/>
      <c r="NH20" s="65"/>
      <c r="NI20" s="65"/>
      <c r="NJ20" s="65"/>
      <c r="NK20" s="65"/>
      <c r="NL20" s="65"/>
      <c r="NM20" s="65"/>
      <c r="NN20" s="65"/>
      <c r="NO20" s="65"/>
      <c r="NP20" s="65"/>
      <c r="NQ20" s="65"/>
      <c r="NR20" s="65"/>
      <c r="NS20" s="65"/>
      <c r="NT20" s="65"/>
      <c r="NU20" s="65"/>
      <c r="NV20" s="65"/>
      <c r="NW20" s="65"/>
      <c r="NX20" s="65"/>
      <c r="NY20" s="65"/>
      <c r="NZ20" s="65"/>
      <c r="OA20" s="65"/>
      <c r="OB20" s="65"/>
      <c r="OC20" s="65"/>
      <c r="OD20" s="65"/>
      <c r="OE20" s="65"/>
      <c r="OF20" s="65"/>
      <c r="OG20" s="65"/>
      <c r="OH20" s="65"/>
      <c r="OI20" s="65"/>
      <c r="OJ20" s="65"/>
      <c r="OK20" s="65"/>
      <c r="OL20" s="65"/>
      <c r="OM20" s="65"/>
      <c r="ON20" s="65"/>
      <c r="OO20" s="65"/>
      <c r="OP20" s="65"/>
      <c r="OQ20" s="65"/>
      <c r="OR20" s="65"/>
      <c r="OS20" s="65"/>
    </row>
    <row r="21" spans="1:409">
      <c r="A21" s="64" t="s">
        <v>94</v>
      </c>
      <c r="B21" s="64" t="s">
        <v>12</v>
      </c>
      <c r="C21" s="64">
        <v>2.135612970279748E-4</v>
      </c>
      <c r="D21" s="64">
        <v>3.0119720484731843E-4</v>
      </c>
      <c r="E21" s="64">
        <v>1.0110043325526929E-2</v>
      </c>
      <c r="F21" s="64">
        <v>0</v>
      </c>
      <c r="G21" s="64">
        <v>0</v>
      </c>
      <c r="H21" s="64">
        <v>1.1993425741989631E-4</v>
      </c>
      <c r="I21" s="64">
        <v>5.0395875116303107E-5</v>
      </c>
      <c r="J21" s="64">
        <v>1.5259287431447681E-4</v>
      </c>
      <c r="K21" s="64">
        <v>6.8726040027745366E-5</v>
      </c>
      <c r="L21" s="64">
        <v>5.6670460358056271E-4</v>
      </c>
      <c r="M21" s="64">
        <v>3.1508958619708968E-4</v>
      </c>
      <c r="N21" s="64">
        <v>1.474677092344291E-3</v>
      </c>
      <c r="O21" s="64">
        <v>0</v>
      </c>
      <c r="P21" s="64">
        <v>0</v>
      </c>
      <c r="Q21" s="64">
        <v>7.5788348853054747E-5</v>
      </c>
      <c r="R21" s="64">
        <v>2.558136379316954E-4</v>
      </c>
      <c r="S21" s="64">
        <v>3.7299999999999998E-3</v>
      </c>
      <c r="T21" s="64">
        <v>1.6954E-2</v>
      </c>
      <c r="U21" s="64">
        <v>0</v>
      </c>
      <c r="V21" s="64">
        <v>1.694999999999999E-3</v>
      </c>
      <c r="W21" s="64">
        <v>7.1349999999999998E-3</v>
      </c>
      <c r="X21" s="64">
        <v>4.8899999999999996E-4</v>
      </c>
      <c r="Y21" s="64">
        <v>2.3699999999999999E-4</v>
      </c>
      <c r="Z21" s="64">
        <v>8.1223000000000004E-2</v>
      </c>
      <c r="AA21" s="64">
        <v>3.8999999999999999E-5</v>
      </c>
      <c r="AB21" s="64">
        <v>3.3000000000000003E-5</v>
      </c>
      <c r="AC21" s="64">
        <v>1.057E-3</v>
      </c>
      <c r="AD21" s="64">
        <v>0</v>
      </c>
      <c r="AE21" s="64">
        <v>0</v>
      </c>
      <c r="AF21" s="64">
        <v>4.3999999999999999E-5</v>
      </c>
      <c r="AG21" s="64">
        <v>3.1999999999999999E-5</v>
      </c>
      <c r="AH21" s="64">
        <v>1.13526190743014E-3</v>
      </c>
      <c r="AI21" s="64">
        <v>9.6490433477798489E-4</v>
      </c>
      <c r="AJ21" s="64">
        <v>0</v>
      </c>
      <c r="AK21" s="64">
        <v>0</v>
      </c>
      <c r="AL21" s="64">
        <v>0</v>
      </c>
      <c r="AM21" s="64">
        <v>0</v>
      </c>
      <c r="AN21" s="64">
        <v>0</v>
      </c>
      <c r="AO21" s="64">
        <v>0</v>
      </c>
      <c r="AP21" s="64">
        <v>0</v>
      </c>
      <c r="AQ21" s="64">
        <v>0</v>
      </c>
      <c r="AR21" s="64">
        <v>0</v>
      </c>
      <c r="AS21" s="64">
        <v>0</v>
      </c>
      <c r="AT21" s="64">
        <v>0</v>
      </c>
      <c r="AU21" s="64">
        <v>0</v>
      </c>
      <c r="AV21" s="64">
        <v>0</v>
      </c>
      <c r="AW21" s="64">
        <v>0</v>
      </c>
      <c r="AX21" s="64">
        <v>0</v>
      </c>
      <c r="AY21" s="64">
        <v>0</v>
      </c>
      <c r="AZ21" s="64">
        <v>0</v>
      </c>
      <c r="BA21" s="64">
        <v>0</v>
      </c>
      <c r="BB21" s="64">
        <v>0</v>
      </c>
      <c r="BC21" s="64">
        <v>0</v>
      </c>
      <c r="BD21" s="64">
        <v>0</v>
      </c>
      <c r="BE21" s="64">
        <v>0</v>
      </c>
      <c r="BF21" s="64">
        <v>0</v>
      </c>
      <c r="BG21" s="64">
        <v>0</v>
      </c>
      <c r="BH21" s="64">
        <v>0</v>
      </c>
      <c r="BI21" s="64">
        <v>0</v>
      </c>
      <c r="BJ21" s="64">
        <v>0</v>
      </c>
      <c r="BK21" s="64">
        <v>0</v>
      </c>
      <c r="BL21" s="64">
        <v>0</v>
      </c>
      <c r="BM21" s="64">
        <v>0</v>
      </c>
      <c r="BN21" s="64">
        <v>0</v>
      </c>
      <c r="BO21" s="64">
        <v>0</v>
      </c>
      <c r="BP21" s="64">
        <v>0</v>
      </c>
      <c r="BQ21" s="64">
        <v>0</v>
      </c>
      <c r="BR21" s="64">
        <v>0</v>
      </c>
      <c r="BS21" s="64">
        <v>0</v>
      </c>
      <c r="BT21" s="64">
        <v>0</v>
      </c>
      <c r="BU21" s="64">
        <v>0</v>
      </c>
      <c r="BV21" s="64">
        <v>0</v>
      </c>
      <c r="BW21" s="64">
        <v>0</v>
      </c>
      <c r="BX21" s="64">
        <v>0</v>
      </c>
      <c r="BY21" s="64">
        <v>0</v>
      </c>
      <c r="BZ21" s="64">
        <v>0</v>
      </c>
      <c r="CA21" s="64">
        <v>0</v>
      </c>
      <c r="CB21" s="64">
        <v>0</v>
      </c>
      <c r="CC21" s="64">
        <v>0</v>
      </c>
      <c r="CD21" s="64">
        <v>0</v>
      </c>
      <c r="CE21" s="64">
        <v>0</v>
      </c>
      <c r="CF21" s="64">
        <v>0</v>
      </c>
      <c r="CG21" s="64">
        <v>0</v>
      </c>
      <c r="CH21" s="64">
        <v>0</v>
      </c>
      <c r="CI21" s="64">
        <v>0</v>
      </c>
      <c r="CJ21" s="64">
        <v>0</v>
      </c>
      <c r="CK21" s="64">
        <v>0</v>
      </c>
      <c r="CL21" s="64">
        <v>0</v>
      </c>
      <c r="CM21" s="64">
        <v>0</v>
      </c>
      <c r="CN21" s="64">
        <v>0</v>
      </c>
      <c r="CO21" s="64">
        <v>0</v>
      </c>
      <c r="CP21" s="64">
        <v>0</v>
      </c>
      <c r="CQ21" s="64">
        <v>0</v>
      </c>
      <c r="CR21" s="64">
        <v>0</v>
      </c>
      <c r="CS21" s="64">
        <v>0</v>
      </c>
      <c r="CT21" s="64">
        <v>0</v>
      </c>
      <c r="CU21" s="64">
        <v>0</v>
      </c>
      <c r="CV21" s="64">
        <v>0</v>
      </c>
      <c r="CW21" s="64">
        <v>0</v>
      </c>
      <c r="CX21" s="64">
        <v>0</v>
      </c>
      <c r="CY21" s="64">
        <v>0</v>
      </c>
      <c r="CZ21" s="64">
        <v>0</v>
      </c>
      <c r="DA21" s="64">
        <v>0</v>
      </c>
      <c r="DB21" s="64">
        <v>0</v>
      </c>
      <c r="DC21" s="64">
        <v>0</v>
      </c>
      <c r="DD21" s="64">
        <v>0</v>
      </c>
      <c r="DE21" s="64">
        <v>0</v>
      </c>
      <c r="DF21" s="64">
        <v>0</v>
      </c>
      <c r="DG21" s="64">
        <v>0</v>
      </c>
      <c r="DH21" s="64">
        <v>0</v>
      </c>
      <c r="DI21" s="64">
        <v>0</v>
      </c>
      <c r="DJ21" s="64">
        <v>0</v>
      </c>
      <c r="DK21" s="64">
        <v>0</v>
      </c>
      <c r="DL21" s="64">
        <v>0</v>
      </c>
      <c r="DM21" s="64">
        <v>0</v>
      </c>
      <c r="DN21" s="64">
        <v>0</v>
      </c>
      <c r="DO21" s="64">
        <v>0</v>
      </c>
      <c r="DP21" s="64">
        <v>0</v>
      </c>
      <c r="DQ21" s="64">
        <v>0</v>
      </c>
      <c r="DR21" s="64">
        <v>0</v>
      </c>
      <c r="DS21" s="64">
        <v>0</v>
      </c>
      <c r="DT21" s="64">
        <v>0</v>
      </c>
      <c r="DU21" s="64">
        <v>0</v>
      </c>
      <c r="DV21" s="64">
        <v>0</v>
      </c>
      <c r="DW21" s="64">
        <v>0</v>
      </c>
      <c r="DX21" s="64">
        <v>0</v>
      </c>
      <c r="DY21" s="64">
        <v>0</v>
      </c>
      <c r="DZ21" s="64">
        <v>0</v>
      </c>
      <c r="EA21" s="64">
        <v>0</v>
      </c>
      <c r="EB21" s="64">
        <v>0</v>
      </c>
      <c r="EC21" s="64">
        <v>0</v>
      </c>
      <c r="ED21" s="64">
        <v>0</v>
      </c>
      <c r="EE21" s="64">
        <v>0</v>
      </c>
      <c r="EF21" s="64">
        <v>0</v>
      </c>
      <c r="EG21" s="64">
        <v>0</v>
      </c>
      <c r="EH21" s="64">
        <v>0</v>
      </c>
      <c r="EI21" s="64">
        <v>0</v>
      </c>
      <c r="EJ21" s="64">
        <v>0</v>
      </c>
      <c r="EK21" s="64">
        <v>0</v>
      </c>
      <c r="EL21" s="64">
        <v>0</v>
      </c>
      <c r="EM21" s="64">
        <v>0</v>
      </c>
      <c r="EN21" s="64">
        <v>0</v>
      </c>
      <c r="EO21" s="64">
        <v>0</v>
      </c>
      <c r="EP21" s="64">
        <v>0</v>
      </c>
      <c r="EQ21" s="64">
        <v>0</v>
      </c>
      <c r="ER21" s="64">
        <v>0</v>
      </c>
      <c r="ES21" s="64">
        <v>0</v>
      </c>
      <c r="ET21" s="64">
        <v>0</v>
      </c>
      <c r="EU21" s="64">
        <v>0</v>
      </c>
      <c r="EV21" s="64">
        <v>0</v>
      </c>
      <c r="EW21" s="64">
        <v>0</v>
      </c>
      <c r="EX21" s="64">
        <v>0</v>
      </c>
      <c r="EY21" s="64">
        <v>0</v>
      </c>
      <c r="EZ21" s="64">
        <v>0</v>
      </c>
      <c r="FA21" s="64">
        <v>0</v>
      </c>
      <c r="FB21" s="64">
        <v>0</v>
      </c>
      <c r="FC21" s="64">
        <v>0</v>
      </c>
      <c r="FD21" s="64">
        <v>0</v>
      </c>
      <c r="FE21" s="64">
        <v>0</v>
      </c>
      <c r="FF21" s="64">
        <v>0</v>
      </c>
      <c r="FG21" s="64">
        <v>0</v>
      </c>
      <c r="FH21" s="64">
        <v>0</v>
      </c>
      <c r="FI21" s="64">
        <v>0</v>
      </c>
      <c r="FJ21" s="64">
        <v>0</v>
      </c>
      <c r="FK21" s="64">
        <v>0</v>
      </c>
      <c r="FL21" s="64">
        <v>0</v>
      </c>
      <c r="FM21" s="64">
        <v>0</v>
      </c>
      <c r="FN21" s="64">
        <v>0</v>
      </c>
      <c r="FO21" s="64">
        <v>0</v>
      </c>
      <c r="FP21" s="64">
        <v>0</v>
      </c>
      <c r="FQ21" s="64">
        <v>0</v>
      </c>
      <c r="FR21" s="64">
        <v>0</v>
      </c>
      <c r="FS21" s="64">
        <v>0</v>
      </c>
      <c r="FT21" s="64">
        <v>0</v>
      </c>
      <c r="FU21" s="64">
        <v>0</v>
      </c>
      <c r="FV21" s="64">
        <v>0</v>
      </c>
      <c r="FW21" s="64">
        <v>0</v>
      </c>
      <c r="FX21" s="64">
        <v>0</v>
      </c>
      <c r="FY21" s="64">
        <v>0</v>
      </c>
      <c r="FZ21" s="64">
        <v>0</v>
      </c>
      <c r="GA21" s="64">
        <v>0</v>
      </c>
      <c r="GB21" s="64">
        <v>0</v>
      </c>
      <c r="GC21" s="64">
        <v>0</v>
      </c>
      <c r="GD21" s="64">
        <v>0</v>
      </c>
      <c r="GE21" s="64">
        <v>0</v>
      </c>
      <c r="GF21" s="64">
        <v>0</v>
      </c>
      <c r="GG21" s="64">
        <v>0</v>
      </c>
      <c r="GH21" s="64">
        <v>0</v>
      </c>
      <c r="GI21" s="64">
        <v>0</v>
      </c>
      <c r="GJ21" s="64">
        <v>0</v>
      </c>
      <c r="GK21" s="64">
        <v>0</v>
      </c>
      <c r="GL21" s="64">
        <v>0</v>
      </c>
      <c r="GM21" s="64">
        <v>0</v>
      </c>
      <c r="GN21" s="64">
        <v>0</v>
      </c>
      <c r="GO21" s="64">
        <v>0</v>
      </c>
      <c r="GP21" s="64">
        <v>0</v>
      </c>
      <c r="GQ21" s="64">
        <v>0</v>
      </c>
      <c r="GR21" s="64">
        <v>0</v>
      </c>
      <c r="GS21" s="64">
        <v>0</v>
      </c>
      <c r="GT21" s="64">
        <v>0</v>
      </c>
      <c r="GU21" s="64">
        <v>0</v>
      </c>
      <c r="GV21" s="64">
        <v>0</v>
      </c>
      <c r="GW21" s="64">
        <v>0</v>
      </c>
      <c r="GX21" s="64">
        <v>0</v>
      </c>
      <c r="GY21" s="64">
        <v>0</v>
      </c>
      <c r="GZ21" s="64">
        <v>0</v>
      </c>
      <c r="HA21" s="64">
        <v>0</v>
      </c>
      <c r="HB21" s="64">
        <v>0</v>
      </c>
      <c r="HC21" s="64">
        <v>0</v>
      </c>
      <c r="HD21" s="64">
        <v>0</v>
      </c>
      <c r="HE21" s="64">
        <v>0</v>
      </c>
      <c r="HF21" s="64">
        <v>0</v>
      </c>
      <c r="HG21" s="64">
        <v>0</v>
      </c>
      <c r="HH21" s="64">
        <v>0</v>
      </c>
      <c r="HI21" s="64">
        <v>0</v>
      </c>
      <c r="HJ21" s="64">
        <v>0</v>
      </c>
      <c r="HK21" s="64">
        <v>0</v>
      </c>
      <c r="HL21" s="64">
        <v>0</v>
      </c>
      <c r="HM21" s="64">
        <v>0</v>
      </c>
      <c r="HN21" s="64">
        <v>0</v>
      </c>
      <c r="HO21" s="64">
        <v>0</v>
      </c>
      <c r="HP21" s="64">
        <v>0</v>
      </c>
      <c r="HQ21" s="64">
        <v>0</v>
      </c>
      <c r="HR21" s="64">
        <v>0</v>
      </c>
      <c r="HS21" s="64">
        <v>0</v>
      </c>
      <c r="HT21" s="64">
        <v>0</v>
      </c>
      <c r="HU21" s="64">
        <v>0</v>
      </c>
      <c r="HV21" s="64">
        <v>0</v>
      </c>
      <c r="HW21" s="64">
        <v>0</v>
      </c>
      <c r="HX21" s="64">
        <v>0</v>
      </c>
      <c r="HY21" s="64">
        <v>0</v>
      </c>
      <c r="HZ21" s="64">
        <v>0</v>
      </c>
      <c r="IA21" s="64">
        <v>0</v>
      </c>
      <c r="IB21" s="64">
        <v>0</v>
      </c>
      <c r="IC21" s="64">
        <v>0</v>
      </c>
      <c r="ID21" s="64">
        <v>0</v>
      </c>
      <c r="IE21" s="64">
        <v>0</v>
      </c>
      <c r="IF21" s="64">
        <v>0</v>
      </c>
      <c r="IG21" s="64">
        <v>0</v>
      </c>
      <c r="IH21" s="64">
        <v>0</v>
      </c>
      <c r="II21" s="64">
        <v>0</v>
      </c>
      <c r="IJ21" s="64">
        <v>0</v>
      </c>
      <c r="IK21" s="64">
        <v>0</v>
      </c>
      <c r="IL21" s="64">
        <v>0</v>
      </c>
      <c r="IM21" s="64">
        <v>0</v>
      </c>
      <c r="IN21" s="64">
        <v>0</v>
      </c>
      <c r="IO21" s="64">
        <v>0</v>
      </c>
      <c r="IP21" s="64">
        <v>0</v>
      </c>
      <c r="IQ21" s="64">
        <v>5.0000000000000004E-6</v>
      </c>
      <c r="IR21" s="64">
        <v>0</v>
      </c>
      <c r="IS21" s="64">
        <v>0</v>
      </c>
      <c r="IT21" s="64">
        <v>0</v>
      </c>
      <c r="IU21" s="64">
        <v>0</v>
      </c>
      <c r="IV21" s="64">
        <v>0</v>
      </c>
      <c r="IW21" s="64">
        <v>9.9999999999999995E-7</v>
      </c>
      <c r="IX21" s="64">
        <v>0</v>
      </c>
      <c r="IY21" s="64">
        <v>0</v>
      </c>
      <c r="IZ21" s="64">
        <v>0</v>
      </c>
      <c r="JA21" s="64">
        <v>0</v>
      </c>
      <c r="JB21" s="64">
        <v>0</v>
      </c>
      <c r="JC21" s="64">
        <v>0</v>
      </c>
      <c r="JD21" s="64">
        <v>0</v>
      </c>
      <c r="JE21" s="64">
        <v>0</v>
      </c>
      <c r="JF21" s="64">
        <v>0</v>
      </c>
      <c r="JG21" s="64">
        <v>0</v>
      </c>
      <c r="JH21" s="64">
        <v>0</v>
      </c>
      <c r="JI21" s="64">
        <v>0</v>
      </c>
      <c r="JJ21" s="64">
        <v>0</v>
      </c>
      <c r="JK21" s="64">
        <v>0</v>
      </c>
      <c r="JL21" s="64">
        <v>5.0000000000000004E-6</v>
      </c>
      <c r="JM21" s="64">
        <v>5.0000000000000004E-6</v>
      </c>
      <c r="JN21" s="64">
        <v>5.0000000000000004E-6</v>
      </c>
      <c r="JO21" s="64">
        <v>5.0000000000000004E-6</v>
      </c>
      <c r="JP21" s="64">
        <v>5.0000000000000004E-6</v>
      </c>
      <c r="JQ21" s="64">
        <v>5.0000000000000004E-6</v>
      </c>
      <c r="JR21" s="64">
        <v>5.0000000000000004E-6</v>
      </c>
      <c r="JS21" s="64">
        <v>1.9999999999999999E-6</v>
      </c>
      <c r="JT21" s="64">
        <v>1.9999999999999999E-6</v>
      </c>
      <c r="JU21" s="64">
        <v>6.9999999999999999E-6</v>
      </c>
      <c r="JV21" s="64">
        <v>6.9999999999999999E-6</v>
      </c>
      <c r="JW21" s="64">
        <v>1.9000000000000001E-5</v>
      </c>
      <c r="JX21" s="64">
        <v>2.5999999999999998E-5</v>
      </c>
      <c r="JY21" s="64">
        <v>3.9999999999999998E-6</v>
      </c>
      <c r="JZ21" s="64">
        <v>1.0000000000000001E-5</v>
      </c>
      <c r="KA21" s="64">
        <v>5.5000000000000002E-5</v>
      </c>
      <c r="KB21" s="64">
        <v>6.9999999999999999E-6</v>
      </c>
      <c r="KC21" s="64">
        <v>3.0000000000000001E-6</v>
      </c>
      <c r="KD21" s="64">
        <v>9.7E-5</v>
      </c>
      <c r="KE21" s="64">
        <v>1.9999999999999999E-6</v>
      </c>
      <c r="KF21" s="64">
        <v>9.9999999999999995E-7</v>
      </c>
      <c r="KG21" s="64">
        <v>7.9999999999999996E-6</v>
      </c>
      <c r="KH21" s="64">
        <v>5.0000000000000004E-6</v>
      </c>
      <c r="KI21" s="64">
        <v>0</v>
      </c>
      <c r="KJ21" s="64">
        <v>0</v>
      </c>
      <c r="KK21" s="64">
        <v>0</v>
      </c>
      <c r="KL21" s="64">
        <v>9.9999999999999995E-7</v>
      </c>
      <c r="KM21" s="64">
        <v>9.9999999999999995E-7</v>
      </c>
      <c r="KN21" s="64">
        <v>0</v>
      </c>
      <c r="KO21" s="64">
        <v>0</v>
      </c>
      <c r="KP21" s="64">
        <v>0</v>
      </c>
      <c r="KQ21" s="64">
        <v>0</v>
      </c>
      <c r="KR21" s="64">
        <v>0</v>
      </c>
      <c r="KS21" s="64">
        <v>0</v>
      </c>
      <c r="KT21" s="64">
        <v>0</v>
      </c>
      <c r="KU21" s="64">
        <v>0</v>
      </c>
      <c r="KV21" s="64">
        <v>0</v>
      </c>
      <c r="KW21" s="64">
        <v>0</v>
      </c>
      <c r="KX21" s="64">
        <v>0</v>
      </c>
      <c r="KY21" s="64">
        <v>0</v>
      </c>
      <c r="KZ21" s="64">
        <v>0</v>
      </c>
      <c r="LA21" s="64">
        <v>0</v>
      </c>
      <c r="LB21" s="64">
        <v>0</v>
      </c>
      <c r="LC21" s="64">
        <v>0</v>
      </c>
      <c r="LD21" s="64">
        <v>0</v>
      </c>
      <c r="LE21" s="64">
        <v>0</v>
      </c>
      <c r="LF21" s="64">
        <v>0</v>
      </c>
      <c r="LG21" s="64">
        <v>0</v>
      </c>
      <c r="LH21" s="64">
        <v>0</v>
      </c>
      <c r="LI21" s="64">
        <v>0</v>
      </c>
      <c r="LJ21" s="64">
        <v>0</v>
      </c>
      <c r="LK21" s="64">
        <v>0</v>
      </c>
      <c r="LL21" s="64">
        <v>0</v>
      </c>
      <c r="LM21" s="64">
        <v>0</v>
      </c>
      <c r="LN21" s="64">
        <v>0</v>
      </c>
      <c r="LO21" s="64">
        <v>0</v>
      </c>
      <c r="LP21" s="64">
        <v>0</v>
      </c>
      <c r="LQ21" s="64">
        <v>0</v>
      </c>
      <c r="LR21" s="64">
        <v>0</v>
      </c>
      <c r="LS21" s="64">
        <v>0</v>
      </c>
      <c r="LT21" s="64">
        <v>0</v>
      </c>
      <c r="LU21" s="64">
        <v>0</v>
      </c>
      <c r="LV21" s="64">
        <v>0</v>
      </c>
      <c r="LW21" s="64">
        <v>0</v>
      </c>
      <c r="LX21" s="64">
        <v>0</v>
      </c>
      <c r="LY21" s="64">
        <v>0</v>
      </c>
      <c r="LZ21" s="64">
        <v>0</v>
      </c>
      <c r="MA21" s="64">
        <v>0</v>
      </c>
      <c r="MB21" s="64">
        <v>0</v>
      </c>
      <c r="MC21" s="64">
        <v>0</v>
      </c>
      <c r="MD21" s="64">
        <v>0</v>
      </c>
      <c r="ME21" s="64">
        <v>0</v>
      </c>
      <c r="MF21" s="64">
        <v>0</v>
      </c>
      <c r="MG21" s="64">
        <v>0</v>
      </c>
      <c r="MH21" s="64">
        <v>0</v>
      </c>
      <c r="MI21" s="64">
        <v>0</v>
      </c>
      <c r="MJ21" s="64">
        <v>0</v>
      </c>
      <c r="MK21" s="64">
        <v>0</v>
      </c>
      <c r="ML21" s="64">
        <v>0</v>
      </c>
      <c r="MM21" s="64">
        <v>0</v>
      </c>
      <c r="MN21" s="64">
        <v>0</v>
      </c>
      <c r="MO21" s="64">
        <v>0</v>
      </c>
      <c r="MP21" s="64">
        <v>0</v>
      </c>
      <c r="MQ21" s="64">
        <v>0</v>
      </c>
      <c r="MR21" s="64">
        <v>0</v>
      </c>
      <c r="MS21" s="64">
        <v>0</v>
      </c>
      <c r="MT21" s="64">
        <v>0</v>
      </c>
      <c r="MU21" s="64">
        <v>0</v>
      </c>
      <c r="MV21" s="64">
        <v>0</v>
      </c>
      <c r="MW21" s="64">
        <v>0</v>
      </c>
      <c r="MX21" s="64">
        <v>0</v>
      </c>
      <c r="MY21" s="64">
        <v>0</v>
      </c>
      <c r="MZ21" s="64">
        <v>0</v>
      </c>
      <c r="NA21" s="64">
        <v>0</v>
      </c>
      <c r="NB21" s="64"/>
      <c r="NC21" s="64"/>
      <c r="ND21" s="64"/>
      <c r="NE21" s="64"/>
      <c r="NF21" s="64"/>
      <c r="NG21" s="64"/>
      <c r="NH21" s="64"/>
      <c r="NI21" s="64"/>
      <c r="NJ21" s="64"/>
      <c r="NK21" s="64"/>
      <c r="NL21" s="64"/>
      <c r="NM21" s="64"/>
      <c r="NN21" s="64"/>
      <c r="NO21" s="64"/>
      <c r="NP21" s="64"/>
      <c r="NQ21" s="64"/>
      <c r="NR21" s="64"/>
      <c r="NS21" s="64"/>
      <c r="NT21" s="64"/>
      <c r="NU21" s="64"/>
      <c r="NV21" s="64"/>
      <c r="NW21" s="64"/>
      <c r="NX21" s="64"/>
      <c r="NY21" s="64"/>
      <c r="NZ21" s="64"/>
      <c r="OA21" s="64"/>
      <c r="OB21" s="64"/>
      <c r="OC21" s="64"/>
      <c r="OD21" s="64"/>
      <c r="OE21" s="64"/>
      <c r="OF21" s="64"/>
      <c r="OG21" s="64"/>
      <c r="OH21" s="64"/>
      <c r="OI21" s="64"/>
      <c r="OJ21" s="64"/>
      <c r="OK21" s="64"/>
      <c r="OL21" s="64"/>
      <c r="OM21" s="64"/>
      <c r="ON21" s="64"/>
      <c r="OO21" s="64"/>
      <c r="OP21" s="64"/>
      <c r="OQ21" s="64"/>
      <c r="OR21" s="64"/>
      <c r="OS21" s="64"/>
    </row>
    <row r="22" spans="1:409">
      <c r="A22" s="65" t="s">
        <v>95</v>
      </c>
      <c r="B22" s="65" t="s">
        <v>13</v>
      </c>
      <c r="C22" s="65">
        <v>3.6514716402038703E-4</v>
      </c>
      <c r="D22" s="65">
        <v>3.9284269561488619E-4</v>
      </c>
      <c r="E22" s="65">
        <v>5.4752526645242109E-4</v>
      </c>
      <c r="F22" s="65">
        <v>0</v>
      </c>
      <c r="G22" s="65">
        <v>0</v>
      </c>
      <c r="H22" s="65">
        <v>4.1069456821231399E-5</v>
      </c>
      <c r="I22" s="65">
        <v>0</v>
      </c>
      <c r="J22" s="65">
        <v>0</v>
      </c>
      <c r="K22" s="65">
        <v>0</v>
      </c>
      <c r="L22" s="65">
        <v>0</v>
      </c>
      <c r="M22" s="65">
        <v>0</v>
      </c>
      <c r="N22" s="65">
        <v>1.5041904261704679E-3</v>
      </c>
      <c r="O22" s="65">
        <v>0</v>
      </c>
      <c r="P22" s="65">
        <v>0</v>
      </c>
      <c r="Q22" s="65">
        <v>0</v>
      </c>
      <c r="R22" s="65">
        <v>1.012539844378857E-3</v>
      </c>
      <c r="S22" s="65">
        <v>5.7499999999999999E-3</v>
      </c>
      <c r="T22" s="65">
        <v>0</v>
      </c>
      <c r="U22" s="65">
        <v>2.1614999999999999E-2</v>
      </c>
      <c r="V22" s="65">
        <v>0</v>
      </c>
      <c r="W22" s="65">
        <v>0.153032</v>
      </c>
      <c r="X22" s="65">
        <v>1.6211E-2</v>
      </c>
      <c r="Y22" s="65">
        <v>0</v>
      </c>
      <c r="Z22" s="65">
        <v>8.2159999999999993E-3</v>
      </c>
      <c r="AA22" s="65">
        <v>3.6999999999999998E-5</v>
      </c>
      <c r="AB22" s="65">
        <v>1.9000000000000001E-5</v>
      </c>
      <c r="AC22" s="65">
        <v>0</v>
      </c>
      <c r="AD22" s="65">
        <v>0</v>
      </c>
      <c r="AE22" s="65">
        <v>1.25E-3</v>
      </c>
      <c r="AF22" s="65">
        <v>2.5000000000000001E-5</v>
      </c>
      <c r="AG22" s="65">
        <v>1.8E-5</v>
      </c>
      <c r="AH22" s="65">
        <v>6.0097342142285733E-5</v>
      </c>
      <c r="AI22" s="65">
        <v>2.8705029928285052E-4</v>
      </c>
      <c r="AJ22" s="65">
        <v>9.9999999999999995E-7</v>
      </c>
      <c r="AK22" s="65">
        <v>9.9999999999999995E-7</v>
      </c>
      <c r="AL22" s="65">
        <v>9.9999999999999995E-7</v>
      </c>
      <c r="AM22" s="65">
        <v>9.9999999999999995E-7</v>
      </c>
      <c r="AN22" s="65">
        <v>0</v>
      </c>
      <c r="AO22" s="65">
        <v>9.9999999999999995E-7</v>
      </c>
      <c r="AP22" s="65">
        <v>9.9999999999999995E-7</v>
      </c>
      <c r="AQ22" s="65">
        <v>9.9999999999999995E-7</v>
      </c>
      <c r="AR22" s="65">
        <v>9.9999999999999995E-7</v>
      </c>
      <c r="AS22" s="65">
        <v>9.9999999999999995E-7</v>
      </c>
      <c r="AT22" s="65">
        <v>9.9999999999999995E-7</v>
      </c>
      <c r="AU22" s="65">
        <v>9.9999999999999995E-7</v>
      </c>
      <c r="AV22" s="65">
        <v>0</v>
      </c>
      <c r="AW22" s="65">
        <v>0</v>
      </c>
      <c r="AX22" s="65">
        <v>1.9999999999999999E-6</v>
      </c>
      <c r="AY22" s="65">
        <v>1.9999999999999999E-6</v>
      </c>
      <c r="AZ22" s="65">
        <v>5.0000000000000004E-6</v>
      </c>
      <c r="BA22" s="65">
        <v>3.9999999999999998E-6</v>
      </c>
      <c r="BB22" s="65">
        <v>4.8000000000000001E-5</v>
      </c>
      <c r="BC22" s="65">
        <v>9.5000000000000005E-5</v>
      </c>
      <c r="BD22" s="65">
        <v>6.4999999999999994E-5</v>
      </c>
      <c r="BE22" s="65">
        <v>3.6999999999999998E-5</v>
      </c>
      <c r="BF22" s="65">
        <v>9.9999999999999995E-7</v>
      </c>
      <c r="BG22" s="65">
        <v>1.2E-5</v>
      </c>
      <c r="BH22" s="65">
        <v>0</v>
      </c>
      <c r="BI22" s="65">
        <v>0</v>
      </c>
      <c r="BJ22" s="65">
        <v>0</v>
      </c>
      <c r="BK22" s="65">
        <v>0</v>
      </c>
      <c r="BL22" s="65">
        <v>0</v>
      </c>
      <c r="BM22" s="65">
        <v>0</v>
      </c>
      <c r="BN22" s="65">
        <v>0</v>
      </c>
      <c r="BO22" s="65">
        <v>0</v>
      </c>
      <c r="BP22" s="65">
        <v>0</v>
      </c>
      <c r="BQ22" s="65">
        <v>0</v>
      </c>
      <c r="BR22" s="65">
        <v>0</v>
      </c>
      <c r="BS22" s="65">
        <v>0</v>
      </c>
      <c r="BT22" s="65">
        <v>0</v>
      </c>
      <c r="BU22" s="65">
        <v>0</v>
      </c>
      <c r="BV22" s="65">
        <v>0</v>
      </c>
      <c r="BW22" s="65">
        <v>0</v>
      </c>
      <c r="BX22" s="65">
        <v>0</v>
      </c>
      <c r="BY22" s="65">
        <v>0</v>
      </c>
      <c r="BZ22" s="65">
        <v>0</v>
      </c>
      <c r="CA22" s="65">
        <v>0</v>
      </c>
      <c r="CB22" s="65">
        <v>0</v>
      </c>
      <c r="CC22" s="65">
        <v>0</v>
      </c>
      <c r="CD22" s="65">
        <v>0</v>
      </c>
      <c r="CE22" s="65">
        <v>0</v>
      </c>
      <c r="CF22" s="65">
        <v>0</v>
      </c>
      <c r="CG22" s="65">
        <v>9.9999999999999995E-7</v>
      </c>
      <c r="CH22" s="65">
        <v>0</v>
      </c>
      <c r="CI22" s="65">
        <v>1.5999999999999999E-5</v>
      </c>
      <c r="CJ22" s="65">
        <v>6.0000000000000002E-6</v>
      </c>
      <c r="CK22" s="65">
        <v>3.0000000000000001E-6</v>
      </c>
      <c r="CL22" s="65">
        <v>1.9999999999999999E-6</v>
      </c>
      <c r="CM22" s="65">
        <v>0</v>
      </c>
      <c r="CN22" s="65">
        <v>0</v>
      </c>
      <c r="CO22" s="65">
        <v>0</v>
      </c>
      <c r="CP22" s="65">
        <v>0</v>
      </c>
      <c r="CQ22" s="65">
        <v>0</v>
      </c>
      <c r="CR22" s="65">
        <v>0</v>
      </c>
      <c r="CS22" s="65">
        <v>0</v>
      </c>
      <c r="CT22" s="65">
        <v>0</v>
      </c>
      <c r="CU22" s="65">
        <v>0</v>
      </c>
      <c r="CV22" s="65">
        <v>0</v>
      </c>
      <c r="CW22" s="65">
        <v>0</v>
      </c>
      <c r="CX22" s="65">
        <v>0</v>
      </c>
      <c r="CY22" s="65">
        <v>0</v>
      </c>
      <c r="CZ22" s="65">
        <v>0</v>
      </c>
      <c r="DA22" s="65">
        <v>0</v>
      </c>
      <c r="DB22" s="65">
        <v>0</v>
      </c>
      <c r="DC22" s="65">
        <v>0</v>
      </c>
      <c r="DD22" s="65">
        <v>0</v>
      </c>
      <c r="DE22" s="65">
        <v>0</v>
      </c>
      <c r="DF22" s="65">
        <v>0</v>
      </c>
      <c r="DG22" s="65">
        <v>0</v>
      </c>
      <c r="DH22" s="65">
        <v>0</v>
      </c>
      <c r="DI22" s="65">
        <v>0</v>
      </c>
      <c r="DJ22" s="65">
        <v>0</v>
      </c>
      <c r="DK22" s="65">
        <v>0</v>
      </c>
      <c r="DL22" s="65">
        <v>0</v>
      </c>
      <c r="DM22" s="65">
        <v>0</v>
      </c>
      <c r="DN22" s="65">
        <v>0</v>
      </c>
      <c r="DO22" s="65">
        <v>0</v>
      </c>
      <c r="DP22" s="65">
        <v>0</v>
      </c>
      <c r="DQ22" s="65">
        <v>0</v>
      </c>
      <c r="DR22" s="65">
        <v>0</v>
      </c>
      <c r="DS22" s="65">
        <v>0</v>
      </c>
      <c r="DT22" s="65">
        <v>0</v>
      </c>
      <c r="DU22" s="65">
        <v>0</v>
      </c>
      <c r="DV22" s="65">
        <v>0</v>
      </c>
      <c r="DW22" s="65">
        <v>0</v>
      </c>
      <c r="DX22" s="65">
        <v>0</v>
      </c>
      <c r="DY22" s="65">
        <v>0</v>
      </c>
      <c r="DZ22" s="65">
        <v>0</v>
      </c>
      <c r="EA22" s="65">
        <v>0</v>
      </c>
      <c r="EB22" s="65">
        <v>0</v>
      </c>
      <c r="EC22" s="65">
        <v>0</v>
      </c>
      <c r="ED22" s="65">
        <v>0</v>
      </c>
      <c r="EE22" s="65">
        <v>0</v>
      </c>
      <c r="EF22" s="65">
        <v>0</v>
      </c>
      <c r="EG22" s="65">
        <v>0</v>
      </c>
      <c r="EH22" s="65">
        <v>0</v>
      </c>
      <c r="EI22" s="65">
        <v>0</v>
      </c>
      <c r="EJ22" s="65">
        <v>0</v>
      </c>
      <c r="EK22" s="65">
        <v>0</v>
      </c>
      <c r="EL22" s="65">
        <v>0</v>
      </c>
      <c r="EM22" s="65">
        <v>0</v>
      </c>
      <c r="EN22" s="65">
        <v>0</v>
      </c>
      <c r="EO22" s="65">
        <v>0</v>
      </c>
      <c r="EP22" s="65">
        <v>0</v>
      </c>
      <c r="EQ22" s="65">
        <v>0</v>
      </c>
      <c r="ER22" s="65">
        <v>0</v>
      </c>
      <c r="ES22" s="65">
        <v>0</v>
      </c>
      <c r="ET22" s="65">
        <v>0</v>
      </c>
      <c r="EU22" s="65">
        <v>0</v>
      </c>
      <c r="EV22" s="65">
        <v>0</v>
      </c>
      <c r="EW22" s="65">
        <v>5.0000000000000004E-6</v>
      </c>
      <c r="EX22" s="65">
        <v>1.9999999999999999E-6</v>
      </c>
      <c r="EY22" s="65">
        <v>9.9999999999999995E-7</v>
      </c>
      <c r="EZ22" s="65">
        <v>9.9999999999999995E-7</v>
      </c>
      <c r="FA22" s="65">
        <v>0</v>
      </c>
      <c r="FB22" s="65">
        <v>0</v>
      </c>
      <c r="FC22" s="65">
        <v>0</v>
      </c>
      <c r="FD22" s="65">
        <v>0</v>
      </c>
      <c r="FE22" s="65">
        <v>0</v>
      </c>
      <c r="FF22" s="65">
        <v>0</v>
      </c>
      <c r="FG22" s="65">
        <v>0</v>
      </c>
      <c r="FH22" s="65">
        <v>0</v>
      </c>
      <c r="FI22" s="65">
        <v>0</v>
      </c>
      <c r="FJ22" s="65">
        <v>0</v>
      </c>
      <c r="FK22" s="65">
        <v>0</v>
      </c>
      <c r="FL22" s="65">
        <v>0</v>
      </c>
      <c r="FM22" s="65">
        <v>0</v>
      </c>
      <c r="FN22" s="65">
        <v>0</v>
      </c>
      <c r="FO22" s="65">
        <v>0</v>
      </c>
      <c r="FP22" s="65">
        <v>0</v>
      </c>
      <c r="FQ22" s="65">
        <v>0</v>
      </c>
      <c r="FR22" s="65">
        <v>0</v>
      </c>
      <c r="FS22" s="65">
        <v>0</v>
      </c>
      <c r="FT22" s="65">
        <v>0</v>
      </c>
      <c r="FU22" s="65">
        <v>0</v>
      </c>
      <c r="FV22" s="65">
        <v>0</v>
      </c>
      <c r="FW22" s="65">
        <v>0</v>
      </c>
      <c r="FX22" s="65">
        <v>0</v>
      </c>
      <c r="FY22" s="65">
        <v>0</v>
      </c>
      <c r="FZ22" s="65">
        <v>0</v>
      </c>
      <c r="GA22" s="65">
        <v>0</v>
      </c>
      <c r="GB22" s="65">
        <v>9.9999999999999995E-7</v>
      </c>
      <c r="GC22" s="65">
        <v>9.9999999999999995E-7</v>
      </c>
      <c r="GD22" s="65">
        <v>1.5E-5</v>
      </c>
      <c r="GE22" s="65">
        <v>2.0000000000000002E-5</v>
      </c>
      <c r="GF22" s="65">
        <v>1.1E-5</v>
      </c>
      <c r="GG22" s="65">
        <v>6.0000000000000002E-6</v>
      </c>
      <c r="GH22" s="65">
        <v>0</v>
      </c>
      <c r="GI22" s="65">
        <v>3.9999999999999998E-6</v>
      </c>
      <c r="GJ22" s="65">
        <v>0</v>
      </c>
      <c r="GK22" s="65">
        <v>0</v>
      </c>
      <c r="GL22" s="65">
        <v>0</v>
      </c>
      <c r="GM22" s="65">
        <v>0</v>
      </c>
      <c r="GN22" s="65">
        <v>0</v>
      </c>
      <c r="GO22" s="65">
        <v>0</v>
      </c>
      <c r="GP22" s="65">
        <v>0</v>
      </c>
      <c r="GQ22" s="65">
        <v>0</v>
      </c>
      <c r="GR22" s="65">
        <v>0</v>
      </c>
      <c r="GS22" s="65">
        <v>0</v>
      </c>
      <c r="GT22" s="65">
        <v>0</v>
      </c>
      <c r="GU22" s="65">
        <v>0</v>
      </c>
      <c r="GV22" s="65">
        <v>0</v>
      </c>
      <c r="GW22" s="65">
        <v>0</v>
      </c>
      <c r="GX22" s="65">
        <v>0</v>
      </c>
      <c r="GY22" s="65">
        <v>0</v>
      </c>
      <c r="GZ22" s="65">
        <v>0</v>
      </c>
      <c r="HA22" s="65">
        <v>0</v>
      </c>
      <c r="HB22" s="65">
        <v>0</v>
      </c>
      <c r="HC22" s="65">
        <v>0</v>
      </c>
      <c r="HD22" s="65">
        <v>0</v>
      </c>
      <c r="HE22" s="65">
        <v>0</v>
      </c>
      <c r="HF22" s="65">
        <v>0</v>
      </c>
      <c r="HG22" s="65">
        <v>0</v>
      </c>
      <c r="HH22" s="65">
        <v>0</v>
      </c>
      <c r="HI22" s="65">
        <v>0</v>
      </c>
      <c r="HJ22" s="65">
        <v>0</v>
      </c>
      <c r="HK22" s="65">
        <v>9.9999999999999995E-7</v>
      </c>
      <c r="HL22" s="65">
        <v>3.9999999999999998E-6</v>
      </c>
      <c r="HM22" s="65">
        <v>1.9999999999999999E-6</v>
      </c>
      <c r="HN22" s="65">
        <v>6.0000000000000002E-6</v>
      </c>
      <c r="HO22" s="65">
        <v>0</v>
      </c>
      <c r="HP22" s="65">
        <v>9.9999999999999995E-7</v>
      </c>
      <c r="HQ22" s="65">
        <v>0</v>
      </c>
      <c r="HR22" s="65">
        <v>0</v>
      </c>
      <c r="HS22" s="65">
        <v>0</v>
      </c>
      <c r="HT22" s="65">
        <v>0</v>
      </c>
      <c r="HU22" s="65">
        <v>0</v>
      </c>
      <c r="HV22" s="65">
        <v>0</v>
      </c>
      <c r="HW22" s="65">
        <v>0</v>
      </c>
      <c r="HX22" s="65">
        <v>0</v>
      </c>
      <c r="HY22" s="65">
        <v>0</v>
      </c>
      <c r="HZ22" s="65">
        <v>0</v>
      </c>
      <c r="IA22" s="65">
        <v>0</v>
      </c>
      <c r="IB22" s="65">
        <v>0</v>
      </c>
      <c r="IC22" s="65">
        <v>0</v>
      </c>
      <c r="ID22" s="65">
        <v>0</v>
      </c>
      <c r="IE22" s="65">
        <v>0</v>
      </c>
      <c r="IF22" s="65">
        <v>0</v>
      </c>
      <c r="IG22" s="65">
        <v>0</v>
      </c>
      <c r="IH22" s="65">
        <v>0</v>
      </c>
      <c r="II22" s="65">
        <v>0</v>
      </c>
      <c r="IJ22" s="65">
        <v>0</v>
      </c>
      <c r="IK22" s="65">
        <v>0</v>
      </c>
      <c r="IL22" s="65">
        <v>0</v>
      </c>
      <c r="IM22" s="65">
        <v>0</v>
      </c>
      <c r="IN22" s="65">
        <v>0</v>
      </c>
      <c r="IO22" s="65">
        <v>0</v>
      </c>
      <c r="IP22" s="65">
        <v>0</v>
      </c>
      <c r="IQ22" s="65">
        <v>0</v>
      </c>
      <c r="IR22" s="65">
        <v>9.9999999999999995E-7</v>
      </c>
      <c r="IS22" s="65">
        <v>1.9999999999999999E-6</v>
      </c>
      <c r="IT22" s="65">
        <v>1.9999999999999999E-6</v>
      </c>
      <c r="IU22" s="65">
        <v>9.9999999999999995E-7</v>
      </c>
      <c r="IV22" s="65">
        <v>0</v>
      </c>
      <c r="IW22" s="65">
        <v>0</v>
      </c>
      <c r="IX22" s="65">
        <v>0</v>
      </c>
      <c r="IY22" s="65">
        <v>0</v>
      </c>
      <c r="IZ22" s="65">
        <v>0</v>
      </c>
      <c r="JA22" s="65">
        <v>0</v>
      </c>
      <c r="JB22" s="65">
        <v>0</v>
      </c>
      <c r="JC22" s="65">
        <v>0</v>
      </c>
      <c r="JD22" s="65">
        <v>0</v>
      </c>
      <c r="JE22" s="65">
        <v>0</v>
      </c>
      <c r="JF22" s="65">
        <v>0</v>
      </c>
      <c r="JG22" s="65">
        <v>0</v>
      </c>
      <c r="JH22" s="65">
        <v>0</v>
      </c>
      <c r="JI22" s="65">
        <v>0</v>
      </c>
      <c r="JJ22" s="65">
        <v>0</v>
      </c>
      <c r="JK22" s="65">
        <v>0</v>
      </c>
      <c r="JL22" s="65">
        <v>9.9999999999999995E-7</v>
      </c>
      <c r="JM22" s="65">
        <v>9.9999999999999995E-7</v>
      </c>
      <c r="JN22" s="65">
        <v>9.9999999999999995E-7</v>
      </c>
      <c r="JO22" s="65">
        <v>9.9999999999999995E-7</v>
      </c>
      <c r="JP22" s="65">
        <v>9.9999999999999995E-7</v>
      </c>
      <c r="JQ22" s="65">
        <v>9.9999999999999995E-7</v>
      </c>
      <c r="JR22" s="65">
        <v>9.9999999999999995E-7</v>
      </c>
      <c r="JS22" s="65">
        <v>0</v>
      </c>
      <c r="JT22" s="65">
        <v>0</v>
      </c>
      <c r="JU22" s="65">
        <v>3.0000000000000001E-6</v>
      </c>
      <c r="JV22" s="65">
        <v>3.0000000000000001E-6</v>
      </c>
      <c r="JW22" s="65">
        <v>2.3E-5</v>
      </c>
      <c r="JX22" s="65">
        <v>9.9999999999999995E-7</v>
      </c>
      <c r="JY22" s="65">
        <v>1.9999999999999999E-6</v>
      </c>
      <c r="JZ22" s="65">
        <v>6.9999999999999999E-6</v>
      </c>
      <c r="KA22" s="65">
        <v>3.9999999999999998E-6</v>
      </c>
      <c r="KB22" s="65">
        <v>1.16E-4</v>
      </c>
      <c r="KC22" s="65">
        <v>9.9999999999999995E-7</v>
      </c>
      <c r="KD22" s="65">
        <v>3.1000000000000001E-5</v>
      </c>
      <c r="KE22" s="65">
        <v>0</v>
      </c>
      <c r="KF22" s="65">
        <v>0</v>
      </c>
      <c r="KG22" s="65">
        <v>0</v>
      </c>
      <c r="KH22" s="65">
        <v>9.9999999999999995E-7</v>
      </c>
      <c r="KI22" s="65">
        <v>0</v>
      </c>
      <c r="KJ22" s="65">
        <v>0</v>
      </c>
      <c r="KK22" s="65">
        <v>0</v>
      </c>
      <c r="KL22" s="65">
        <v>9.9999999999999995E-7</v>
      </c>
      <c r="KM22" s="65">
        <v>9.9999999999999995E-7</v>
      </c>
      <c r="KN22" s="65">
        <v>0</v>
      </c>
      <c r="KO22" s="65">
        <v>0</v>
      </c>
      <c r="KP22" s="65">
        <v>0</v>
      </c>
      <c r="KQ22" s="65">
        <v>0</v>
      </c>
      <c r="KR22" s="65">
        <v>0</v>
      </c>
      <c r="KS22" s="65">
        <v>0</v>
      </c>
      <c r="KT22" s="65">
        <v>0</v>
      </c>
      <c r="KU22" s="65">
        <v>0</v>
      </c>
      <c r="KV22" s="65">
        <v>0</v>
      </c>
      <c r="KW22" s="65">
        <v>0</v>
      </c>
      <c r="KX22" s="65">
        <v>0</v>
      </c>
      <c r="KY22" s="65">
        <v>0</v>
      </c>
      <c r="KZ22" s="65">
        <v>0</v>
      </c>
      <c r="LA22" s="65">
        <v>0</v>
      </c>
      <c r="LB22" s="65">
        <v>0</v>
      </c>
      <c r="LC22" s="65">
        <v>0</v>
      </c>
      <c r="LD22" s="65">
        <v>3.0000000000000001E-6</v>
      </c>
      <c r="LE22" s="65">
        <v>9.9999999999999995E-7</v>
      </c>
      <c r="LF22" s="65">
        <v>7.8999999999999996E-5</v>
      </c>
      <c r="LG22" s="65">
        <v>3.1999999999999999E-5</v>
      </c>
      <c r="LH22" s="65">
        <v>3.4E-5</v>
      </c>
      <c r="LI22" s="65">
        <v>1.2E-5</v>
      </c>
      <c r="LJ22" s="65">
        <v>0</v>
      </c>
      <c r="LK22" s="65">
        <v>0</v>
      </c>
      <c r="LL22" s="65">
        <v>0</v>
      </c>
      <c r="LM22" s="65">
        <v>0</v>
      </c>
      <c r="LN22" s="65">
        <v>0</v>
      </c>
      <c r="LO22" s="65">
        <v>0</v>
      </c>
      <c r="LP22" s="65">
        <v>0</v>
      </c>
      <c r="LQ22" s="65">
        <v>0</v>
      </c>
      <c r="LR22" s="65">
        <v>0</v>
      </c>
      <c r="LS22" s="65">
        <v>0</v>
      </c>
      <c r="LT22" s="65">
        <v>0</v>
      </c>
      <c r="LU22" s="65">
        <v>0</v>
      </c>
      <c r="LV22" s="65">
        <v>0</v>
      </c>
      <c r="LW22" s="65">
        <v>0</v>
      </c>
      <c r="LX22" s="65">
        <v>0</v>
      </c>
      <c r="LY22" s="65">
        <v>0</v>
      </c>
      <c r="LZ22" s="65">
        <v>0</v>
      </c>
      <c r="MA22" s="65">
        <v>0</v>
      </c>
      <c r="MB22" s="65">
        <v>0</v>
      </c>
      <c r="MC22" s="65">
        <v>0</v>
      </c>
      <c r="MD22" s="65">
        <v>0</v>
      </c>
      <c r="ME22" s="65">
        <v>0</v>
      </c>
      <c r="MF22" s="65">
        <v>0</v>
      </c>
      <c r="MG22" s="65">
        <v>0</v>
      </c>
      <c r="MH22" s="65">
        <v>0</v>
      </c>
      <c r="MI22" s="65">
        <v>0</v>
      </c>
      <c r="MJ22" s="65">
        <v>0</v>
      </c>
      <c r="MK22" s="65">
        <v>9.9999999999999995E-7</v>
      </c>
      <c r="ML22" s="65">
        <v>9.9999999999999995E-7</v>
      </c>
      <c r="MM22" s="65">
        <v>9.0000000000000002E-6</v>
      </c>
      <c r="MN22" s="65">
        <v>1.2E-5</v>
      </c>
      <c r="MO22" s="65">
        <v>1.5E-5</v>
      </c>
      <c r="MP22" s="65">
        <v>6.9999999999999999E-6</v>
      </c>
      <c r="MQ22" s="65">
        <v>0</v>
      </c>
      <c r="MR22" s="65">
        <v>1.9999999999999999E-6</v>
      </c>
      <c r="MS22" s="65">
        <v>0</v>
      </c>
      <c r="MT22" s="65">
        <v>0</v>
      </c>
      <c r="MU22" s="65">
        <v>0</v>
      </c>
      <c r="MV22" s="65">
        <v>0</v>
      </c>
      <c r="MW22" s="65">
        <v>0</v>
      </c>
      <c r="MX22" s="65">
        <v>0</v>
      </c>
      <c r="MY22" s="65">
        <v>0</v>
      </c>
      <c r="MZ22" s="65">
        <v>0</v>
      </c>
      <c r="NA22" s="65">
        <v>0</v>
      </c>
      <c r="NB22" s="65"/>
      <c r="NC22" s="65"/>
      <c r="ND22" s="65"/>
      <c r="NE22" s="65"/>
      <c r="NF22" s="65"/>
      <c r="NG22" s="65"/>
      <c r="NH22" s="65"/>
      <c r="NI22" s="65"/>
      <c r="NJ22" s="65"/>
      <c r="NK22" s="65"/>
      <c r="NL22" s="65"/>
      <c r="NM22" s="65"/>
      <c r="NN22" s="65"/>
      <c r="NO22" s="65"/>
      <c r="NP22" s="65"/>
      <c r="NQ22" s="65"/>
      <c r="NR22" s="65"/>
      <c r="NS22" s="65"/>
      <c r="NT22" s="65"/>
      <c r="NU22" s="65"/>
      <c r="NV22" s="65"/>
      <c r="NW22" s="65"/>
      <c r="NX22" s="65"/>
      <c r="NY22" s="65"/>
      <c r="NZ22" s="65"/>
      <c r="OA22" s="65"/>
      <c r="OB22" s="65"/>
      <c r="OC22" s="65"/>
      <c r="OD22" s="65"/>
      <c r="OE22" s="65"/>
      <c r="OF22" s="65"/>
      <c r="OG22" s="65"/>
      <c r="OH22" s="65"/>
      <c r="OI22" s="65"/>
      <c r="OJ22" s="65"/>
      <c r="OK22" s="65"/>
      <c r="OL22" s="65"/>
      <c r="OM22" s="65"/>
      <c r="ON22" s="65"/>
      <c r="OO22" s="65"/>
      <c r="OP22" s="65"/>
      <c r="OQ22" s="65"/>
      <c r="OR22" s="65"/>
      <c r="OS22" s="65"/>
    </row>
    <row r="23" spans="1:409">
      <c r="A23" s="64" t="s">
        <v>96</v>
      </c>
      <c r="B23" s="64" t="s">
        <v>14</v>
      </c>
      <c r="C23" s="64">
        <v>1.4384733336029139E-4</v>
      </c>
      <c r="D23" s="64">
        <v>2.2592984601598029E-4</v>
      </c>
      <c r="E23" s="64">
        <v>1.019644326485271E-4</v>
      </c>
      <c r="F23" s="64">
        <v>2.9751896277318418E-4</v>
      </c>
      <c r="G23" s="64">
        <v>0</v>
      </c>
      <c r="H23" s="64">
        <v>0</v>
      </c>
      <c r="I23" s="64">
        <v>0</v>
      </c>
      <c r="J23" s="64">
        <v>0</v>
      </c>
      <c r="K23" s="64">
        <v>0</v>
      </c>
      <c r="L23" s="64">
        <v>0</v>
      </c>
      <c r="M23" s="64">
        <v>0</v>
      </c>
      <c r="N23" s="64">
        <v>0</v>
      </c>
      <c r="O23" s="64">
        <v>7.8551779015573485E-6</v>
      </c>
      <c r="P23" s="64">
        <v>1.2702573529411761E-5</v>
      </c>
      <c r="Q23" s="64">
        <v>3.540687975901598E-4</v>
      </c>
      <c r="R23" s="64">
        <v>8.8210708015006674E-4</v>
      </c>
      <c r="S23" s="64">
        <v>1.9605999999999998E-2</v>
      </c>
      <c r="T23" s="64">
        <v>1.2999999999999999E-4</v>
      </c>
      <c r="U23" s="64">
        <v>0</v>
      </c>
      <c r="V23" s="64">
        <v>7.2671999999999987E-2</v>
      </c>
      <c r="W23" s="64">
        <v>7.2418999999999997E-2</v>
      </c>
      <c r="X23" s="64">
        <v>5.0271000000000003E-2</v>
      </c>
      <c r="Y23" s="64">
        <v>8.4800000000000001E-4</v>
      </c>
      <c r="Z23" s="64">
        <v>6.0020000000000004E-3</v>
      </c>
      <c r="AA23" s="64">
        <v>2.7169999999999998E-3</v>
      </c>
      <c r="AB23" s="64">
        <v>6.5600000000000001E-4</v>
      </c>
      <c r="AC23" s="64">
        <v>1.804E-3</v>
      </c>
      <c r="AD23" s="64">
        <v>0</v>
      </c>
      <c r="AE23" s="64">
        <v>5.0000000000000004E-6</v>
      </c>
      <c r="AF23" s="64">
        <v>2.52E-4</v>
      </c>
      <c r="AG23" s="64">
        <v>1.83E-4</v>
      </c>
      <c r="AH23" s="64">
        <v>2.4258228005741181E-3</v>
      </c>
      <c r="AI23" s="64">
        <v>1.0095855150184969E-3</v>
      </c>
      <c r="AJ23" s="64">
        <v>3.0000000000000001E-6</v>
      </c>
      <c r="AK23" s="64">
        <v>3.0000000000000001E-6</v>
      </c>
      <c r="AL23" s="64">
        <v>3.0000000000000001E-6</v>
      </c>
      <c r="AM23" s="64">
        <v>3.0000000000000001E-6</v>
      </c>
      <c r="AN23" s="64">
        <v>0</v>
      </c>
      <c r="AO23" s="64">
        <v>1.2999999999999999E-5</v>
      </c>
      <c r="AP23" s="64">
        <v>1.2999999999999999E-5</v>
      </c>
      <c r="AQ23" s="64">
        <v>1.2999999999999999E-5</v>
      </c>
      <c r="AR23" s="64">
        <v>1.2999999999999999E-5</v>
      </c>
      <c r="AS23" s="64">
        <v>1.2999999999999999E-5</v>
      </c>
      <c r="AT23" s="64">
        <v>1.2999999999999999E-5</v>
      </c>
      <c r="AU23" s="64">
        <v>1.2999999999999999E-5</v>
      </c>
      <c r="AV23" s="64">
        <v>1.9999999999999999E-6</v>
      </c>
      <c r="AW23" s="64">
        <v>1.9999999999999999E-6</v>
      </c>
      <c r="AX23" s="64">
        <v>5.0000000000000004E-6</v>
      </c>
      <c r="AY23" s="64">
        <v>5.0000000000000004E-6</v>
      </c>
      <c r="AZ23" s="64">
        <v>1.2E-5</v>
      </c>
      <c r="BA23" s="64">
        <v>3.0000000000000001E-6</v>
      </c>
      <c r="BB23" s="64">
        <v>1.2E-5</v>
      </c>
      <c r="BC23" s="64">
        <v>1.05E-4</v>
      </c>
      <c r="BD23" s="64">
        <v>7.2000000000000002E-5</v>
      </c>
      <c r="BE23" s="64">
        <v>8.0000000000000007E-5</v>
      </c>
      <c r="BF23" s="64">
        <v>6.9999999999999999E-6</v>
      </c>
      <c r="BG23" s="64">
        <v>5.0000000000000002E-5</v>
      </c>
      <c r="BH23" s="64">
        <v>9.9999999999999995E-7</v>
      </c>
      <c r="BI23" s="64">
        <v>9.9999999999999995E-7</v>
      </c>
      <c r="BJ23" s="64">
        <v>9.0000000000000002E-6</v>
      </c>
      <c r="BK23" s="64">
        <v>0</v>
      </c>
      <c r="BL23" s="64">
        <v>0</v>
      </c>
      <c r="BM23" s="64">
        <v>0</v>
      </c>
      <c r="BN23" s="64">
        <v>0</v>
      </c>
      <c r="BO23" s="64">
        <v>9.9999999999999995E-7</v>
      </c>
      <c r="BP23" s="64">
        <v>9.9999999999999995E-7</v>
      </c>
      <c r="BQ23" s="64">
        <v>0</v>
      </c>
      <c r="BR23" s="64">
        <v>0</v>
      </c>
      <c r="BS23" s="64">
        <v>0</v>
      </c>
      <c r="BT23" s="64">
        <v>0</v>
      </c>
      <c r="BU23" s="64">
        <v>0</v>
      </c>
      <c r="BV23" s="64">
        <v>0</v>
      </c>
      <c r="BW23" s="64">
        <v>0</v>
      </c>
      <c r="BX23" s="64">
        <v>0</v>
      </c>
      <c r="BY23" s="64">
        <v>0</v>
      </c>
      <c r="BZ23" s="64">
        <v>0</v>
      </c>
      <c r="CA23" s="64">
        <v>0</v>
      </c>
      <c r="CB23" s="64">
        <v>0</v>
      </c>
      <c r="CC23" s="64">
        <v>0</v>
      </c>
      <c r="CD23" s="64">
        <v>0</v>
      </c>
      <c r="CE23" s="64">
        <v>0</v>
      </c>
      <c r="CF23" s="64">
        <v>0</v>
      </c>
      <c r="CG23" s="64">
        <v>0</v>
      </c>
      <c r="CH23" s="64">
        <v>0</v>
      </c>
      <c r="CI23" s="64">
        <v>0</v>
      </c>
      <c r="CJ23" s="64">
        <v>0</v>
      </c>
      <c r="CK23" s="64">
        <v>0</v>
      </c>
      <c r="CL23" s="64">
        <v>0</v>
      </c>
      <c r="CM23" s="64">
        <v>0</v>
      </c>
      <c r="CN23" s="64">
        <v>0</v>
      </c>
      <c r="CO23" s="64">
        <v>0</v>
      </c>
      <c r="CP23" s="64">
        <v>0</v>
      </c>
      <c r="CQ23" s="64">
        <v>0</v>
      </c>
      <c r="CR23" s="64">
        <v>0</v>
      </c>
      <c r="CS23" s="64">
        <v>0</v>
      </c>
      <c r="CT23" s="64">
        <v>0</v>
      </c>
      <c r="CU23" s="64">
        <v>0</v>
      </c>
      <c r="CV23" s="64">
        <v>0</v>
      </c>
      <c r="CW23" s="64">
        <v>0</v>
      </c>
      <c r="CX23" s="64">
        <v>0</v>
      </c>
      <c r="CY23" s="64">
        <v>0</v>
      </c>
      <c r="CZ23" s="64">
        <v>0</v>
      </c>
      <c r="DA23" s="64">
        <v>0</v>
      </c>
      <c r="DB23" s="64">
        <v>0</v>
      </c>
      <c r="DC23" s="64">
        <v>0</v>
      </c>
      <c r="DD23" s="64">
        <v>0</v>
      </c>
      <c r="DE23" s="64">
        <v>0</v>
      </c>
      <c r="DF23" s="64">
        <v>0</v>
      </c>
      <c r="DG23" s="64">
        <v>0</v>
      </c>
      <c r="DH23" s="64">
        <v>0</v>
      </c>
      <c r="DI23" s="64">
        <v>0</v>
      </c>
      <c r="DJ23" s="64">
        <v>0</v>
      </c>
      <c r="DK23" s="64">
        <v>0</v>
      </c>
      <c r="DL23" s="64">
        <v>0</v>
      </c>
      <c r="DM23" s="64">
        <v>0</v>
      </c>
      <c r="DN23" s="64">
        <v>0</v>
      </c>
      <c r="DO23" s="64">
        <v>0</v>
      </c>
      <c r="DP23" s="64">
        <v>0</v>
      </c>
      <c r="DQ23" s="64">
        <v>0</v>
      </c>
      <c r="DR23" s="64">
        <v>0</v>
      </c>
      <c r="DS23" s="64">
        <v>0</v>
      </c>
      <c r="DT23" s="64">
        <v>0</v>
      </c>
      <c r="DU23" s="64">
        <v>0</v>
      </c>
      <c r="DV23" s="64">
        <v>0</v>
      </c>
      <c r="DW23" s="64">
        <v>0</v>
      </c>
      <c r="DX23" s="64">
        <v>0</v>
      </c>
      <c r="DY23" s="64">
        <v>0</v>
      </c>
      <c r="DZ23" s="64">
        <v>0</v>
      </c>
      <c r="EA23" s="64">
        <v>0</v>
      </c>
      <c r="EB23" s="64">
        <v>0</v>
      </c>
      <c r="EC23" s="64">
        <v>0</v>
      </c>
      <c r="ED23" s="64">
        <v>0</v>
      </c>
      <c r="EE23" s="64">
        <v>0</v>
      </c>
      <c r="EF23" s="64">
        <v>0</v>
      </c>
      <c r="EG23" s="64">
        <v>0</v>
      </c>
      <c r="EH23" s="64">
        <v>0</v>
      </c>
      <c r="EI23" s="64">
        <v>0</v>
      </c>
      <c r="EJ23" s="64">
        <v>0</v>
      </c>
      <c r="EK23" s="64">
        <v>0</v>
      </c>
      <c r="EL23" s="64">
        <v>0</v>
      </c>
      <c r="EM23" s="64">
        <v>0</v>
      </c>
      <c r="EN23" s="64">
        <v>0</v>
      </c>
      <c r="EO23" s="64">
        <v>0</v>
      </c>
      <c r="EP23" s="64">
        <v>0</v>
      </c>
      <c r="EQ23" s="64">
        <v>0</v>
      </c>
      <c r="ER23" s="64">
        <v>0</v>
      </c>
      <c r="ES23" s="64">
        <v>0</v>
      </c>
      <c r="ET23" s="64">
        <v>0</v>
      </c>
      <c r="EU23" s="64">
        <v>0</v>
      </c>
      <c r="EV23" s="64">
        <v>0</v>
      </c>
      <c r="EW23" s="64">
        <v>0</v>
      </c>
      <c r="EX23" s="64">
        <v>0</v>
      </c>
      <c r="EY23" s="64">
        <v>0</v>
      </c>
      <c r="EZ23" s="64">
        <v>0</v>
      </c>
      <c r="FA23" s="64">
        <v>0</v>
      </c>
      <c r="FB23" s="64">
        <v>0</v>
      </c>
      <c r="FC23" s="64">
        <v>0</v>
      </c>
      <c r="FD23" s="64">
        <v>0</v>
      </c>
      <c r="FE23" s="64">
        <v>0</v>
      </c>
      <c r="FF23" s="64">
        <v>0</v>
      </c>
      <c r="FG23" s="64">
        <v>0</v>
      </c>
      <c r="FH23" s="64">
        <v>0</v>
      </c>
      <c r="FI23" s="64">
        <v>0</v>
      </c>
      <c r="FJ23" s="64">
        <v>0</v>
      </c>
      <c r="FK23" s="64">
        <v>0</v>
      </c>
      <c r="FL23" s="64">
        <v>1.9999999999999999E-6</v>
      </c>
      <c r="FM23" s="64">
        <v>1.9999999999999999E-6</v>
      </c>
      <c r="FN23" s="64">
        <v>1.9999999999999999E-6</v>
      </c>
      <c r="FO23" s="64">
        <v>1.9999999999999999E-6</v>
      </c>
      <c r="FP23" s="64">
        <v>0</v>
      </c>
      <c r="FQ23" s="64">
        <v>5.0000000000000004E-6</v>
      </c>
      <c r="FR23" s="64">
        <v>5.0000000000000004E-6</v>
      </c>
      <c r="FS23" s="64">
        <v>5.0000000000000004E-6</v>
      </c>
      <c r="FT23" s="64">
        <v>5.0000000000000004E-6</v>
      </c>
      <c r="FU23" s="64">
        <v>5.0000000000000004E-6</v>
      </c>
      <c r="FV23" s="64">
        <v>5.0000000000000004E-6</v>
      </c>
      <c r="FW23" s="64">
        <v>5.0000000000000004E-6</v>
      </c>
      <c r="FX23" s="64">
        <v>5.0000000000000004E-6</v>
      </c>
      <c r="FY23" s="64">
        <v>5.0000000000000004E-6</v>
      </c>
      <c r="FZ23" s="64">
        <v>3.9999999999999998E-6</v>
      </c>
      <c r="GA23" s="64">
        <v>3.9999999999999998E-6</v>
      </c>
      <c r="GB23" s="64">
        <v>1.8E-5</v>
      </c>
      <c r="GC23" s="64">
        <v>9.9999999999999995E-7</v>
      </c>
      <c r="GD23" s="64">
        <v>3.9999999999999998E-6</v>
      </c>
      <c r="GE23" s="64">
        <v>2.0999999999999999E-5</v>
      </c>
      <c r="GF23" s="64">
        <v>9.7999999999999997E-5</v>
      </c>
      <c r="GG23" s="64">
        <v>4.1999999999999998E-5</v>
      </c>
      <c r="GH23" s="64">
        <v>9.9999999999999995E-7</v>
      </c>
      <c r="GI23" s="64">
        <v>2.4000000000000001E-5</v>
      </c>
      <c r="GJ23" s="64">
        <v>9.9999999999999995E-7</v>
      </c>
      <c r="GK23" s="64">
        <v>3.0000000000000001E-6</v>
      </c>
      <c r="GL23" s="64">
        <v>1.9999999999999999E-6</v>
      </c>
      <c r="GM23" s="64">
        <v>1.1E-5</v>
      </c>
      <c r="GN23" s="64">
        <v>0</v>
      </c>
      <c r="GO23" s="64">
        <v>3.9999999999999998E-6</v>
      </c>
      <c r="GP23" s="64">
        <v>3.0000000000000001E-6</v>
      </c>
      <c r="GQ23" s="64">
        <v>9.9999999999999995E-7</v>
      </c>
      <c r="GR23" s="64">
        <v>9.9999999999999995E-7</v>
      </c>
      <c r="GS23" s="64">
        <v>0</v>
      </c>
      <c r="GT23" s="64">
        <v>0</v>
      </c>
      <c r="GU23" s="64">
        <v>0</v>
      </c>
      <c r="GV23" s="64">
        <v>0</v>
      </c>
      <c r="GW23" s="64">
        <v>0</v>
      </c>
      <c r="GX23" s="64">
        <v>0</v>
      </c>
      <c r="GY23" s="64">
        <v>0</v>
      </c>
      <c r="GZ23" s="64">
        <v>0</v>
      </c>
      <c r="HA23" s="64">
        <v>0</v>
      </c>
      <c r="HB23" s="64">
        <v>0</v>
      </c>
      <c r="HC23" s="64">
        <v>0</v>
      </c>
      <c r="HD23" s="64">
        <v>0</v>
      </c>
      <c r="HE23" s="64">
        <v>0</v>
      </c>
      <c r="HF23" s="64">
        <v>0</v>
      </c>
      <c r="HG23" s="64">
        <v>0</v>
      </c>
      <c r="HH23" s="64">
        <v>0</v>
      </c>
      <c r="HI23" s="64">
        <v>0</v>
      </c>
      <c r="HJ23" s="64">
        <v>0</v>
      </c>
      <c r="HK23" s="64">
        <v>0</v>
      </c>
      <c r="HL23" s="64">
        <v>0</v>
      </c>
      <c r="HM23" s="64">
        <v>0</v>
      </c>
      <c r="HN23" s="64">
        <v>0</v>
      </c>
      <c r="HO23" s="64">
        <v>0</v>
      </c>
      <c r="HP23" s="64">
        <v>0</v>
      </c>
      <c r="HQ23" s="64">
        <v>0</v>
      </c>
      <c r="HR23" s="64">
        <v>0</v>
      </c>
      <c r="HS23" s="64">
        <v>0</v>
      </c>
      <c r="HT23" s="64">
        <v>0</v>
      </c>
      <c r="HU23" s="64">
        <v>0</v>
      </c>
      <c r="HV23" s="64">
        <v>0</v>
      </c>
      <c r="HW23" s="64">
        <v>0</v>
      </c>
      <c r="HX23" s="64">
        <v>0</v>
      </c>
      <c r="HY23" s="64">
        <v>0</v>
      </c>
      <c r="HZ23" s="64">
        <v>0</v>
      </c>
      <c r="IA23" s="64">
        <v>0</v>
      </c>
      <c r="IB23" s="64">
        <v>0</v>
      </c>
      <c r="IC23" s="64">
        <v>0</v>
      </c>
      <c r="ID23" s="64">
        <v>0</v>
      </c>
      <c r="IE23" s="64">
        <v>0</v>
      </c>
      <c r="IF23" s="64">
        <v>0</v>
      </c>
      <c r="IG23" s="64">
        <v>0</v>
      </c>
      <c r="IH23" s="64">
        <v>0</v>
      </c>
      <c r="II23" s="64">
        <v>0</v>
      </c>
      <c r="IJ23" s="64">
        <v>0</v>
      </c>
      <c r="IK23" s="64">
        <v>0</v>
      </c>
      <c r="IL23" s="64">
        <v>0</v>
      </c>
      <c r="IM23" s="64">
        <v>0</v>
      </c>
      <c r="IN23" s="64">
        <v>0</v>
      </c>
      <c r="IO23" s="64">
        <v>0</v>
      </c>
      <c r="IP23" s="64">
        <v>0</v>
      </c>
      <c r="IQ23" s="64">
        <v>0</v>
      </c>
      <c r="IR23" s="64">
        <v>0</v>
      </c>
      <c r="IS23" s="64">
        <v>9.9999999999999995E-7</v>
      </c>
      <c r="IT23" s="64">
        <v>0</v>
      </c>
      <c r="IU23" s="64">
        <v>9.9999999999999995E-7</v>
      </c>
      <c r="IV23" s="64">
        <v>0</v>
      </c>
      <c r="IW23" s="64">
        <v>9.9999999999999995E-7</v>
      </c>
      <c r="IX23" s="64">
        <v>0</v>
      </c>
      <c r="IY23" s="64">
        <v>0</v>
      </c>
      <c r="IZ23" s="64">
        <v>0</v>
      </c>
      <c r="JA23" s="64">
        <v>0</v>
      </c>
      <c r="JB23" s="64">
        <v>0</v>
      </c>
      <c r="JC23" s="64">
        <v>0</v>
      </c>
      <c r="JD23" s="64">
        <v>0</v>
      </c>
      <c r="JE23" s="64">
        <v>0</v>
      </c>
      <c r="JF23" s="64">
        <v>0</v>
      </c>
      <c r="JG23" s="64">
        <v>1.9999999999999999E-6</v>
      </c>
      <c r="JH23" s="64">
        <v>1.9999999999999999E-6</v>
      </c>
      <c r="JI23" s="64">
        <v>1.9999999999999999E-6</v>
      </c>
      <c r="JJ23" s="64">
        <v>1.9999999999999999E-6</v>
      </c>
      <c r="JK23" s="64">
        <v>0</v>
      </c>
      <c r="JL23" s="64">
        <v>6.0000000000000002E-6</v>
      </c>
      <c r="JM23" s="64">
        <v>6.0000000000000002E-6</v>
      </c>
      <c r="JN23" s="64">
        <v>6.0000000000000002E-6</v>
      </c>
      <c r="JO23" s="64">
        <v>6.0000000000000002E-6</v>
      </c>
      <c r="JP23" s="64">
        <v>6.0000000000000002E-6</v>
      </c>
      <c r="JQ23" s="64">
        <v>6.0000000000000002E-6</v>
      </c>
      <c r="JR23" s="64">
        <v>6.0000000000000002E-6</v>
      </c>
      <c r="JS23" s="64">
        <v>5.0000000000000004E-6</v>
      </c>
      <c r="JT23" s="64">
        <v>5.0000000000000004E-6</v>
      </c>
      <c r="JU23" s="64">
        <v>6.0000000000000002E-6</v>
      </c>
      <c r="JV23" s="64">
        <v>6.0000000000000002E-6</v>
      </c>
      <c r="JW23" s="64">
        <v>1.5E-5</v>
      </c>
      <c r="JX23" s="64">
        <v>3.9999999999999998E-6</v>
      </c>
      <c r="JY23" s="64">
        <v>3.6000000000000001E-5</v>
      </c>
      <c r="JZ23" s="64">
        <v>9.6000000000000002E-5</v>
      </c>
      <c r="KA23" s="64">
        <v>1.0399999999999999E-4</v>
      </c>
      <c r="KB23" s="64">
        <v>1.2799999999999999E-4</v>
      </c>
      <c r="KC23" s="64">
        <v>6.0000000000000002E-6</v>
      </c>
      <c r="KD23" s="64">
        <v>3.3000000000000003E-5</v>
      </c>
      <c r="KE23" s="64">
        <v>6.0000000000000002E-6</v>
      </c>
      <c r="KF23" s="64">
        <v>2.5000000000000001E-5</v>
      </c>
      <c r="KG23" s="64">
        <v>3.0000000000000001E-6</v>
      </c>
      <c r="KH23" s="64">
        <v>3.0000000000000001E-6</v>
      </c>
      <c r="KI23" s="64">
        <v>1.9999999999999999E-6</v>
      </c>
      <c r="KJ23" s="64">
        <v>0</v>
      </c>
      <c r="KK23" s="64">
        <v>0</v>
      </c>
      <c r="KL23" s="64">
        <v>3.0000000000000001E-6</v>
      </c>
      <c r="KM23" s="64">
        <v>3.0000000000000001E-6</v>
      </c>
      <c r="KN23" s="64">
        <v>0</v>
      </c>
      <c r="KO23" s="64">
        <v>0</v>
      </c>
      <c r="KP23" s="64">
        <v>0</v>
      </c>
      <c r="KQ23" s="64">
        <v>0</v>
      </c>
      <c r="KR23" s="64">
        <v>0</v>
      </c>
      <c r="KS23" s="64">
        <v>0</v>
      </c>
      <c r="KT23" s="64">
        <v>0</v>
      </c>
      <c r="KU23" s="64">
        <v>0</v>
      </c>
      <c r="KV23" s="64">
        <v>0</v>
      </c>
      <c r="KW23" s="64">
        <v>0</v>
      </c>
      <c r="KX23" s="64">
        <v>0</v>
      </c>
      <c r="KY23" s="64">
        <v>0</v>
      </c>
      <c r="KZ23" s="64">
        <v>0</v>
      </c>
      <c r="LA23" s="64">
        <v>0</v>
      </c>
      <c r="LB23" s="64">
        <v>0</v>
      </c>
      <c r="LC23" s="64">
        <v>0</v>
      </c>
      <c r="LD23" s="64">
        <v>0</v>
      </c>
      <c r="LE23" s="64">
        <v>0</v>
      </c>
      <c r="LF23" s="64">
        <v>0</v>
      </c>
      <c r="LG23" s="64">
        <v>0</v>
      </c>
      <c r="LH23" s="64">
        <v>0</v>
      </c>
      <c r="LI23" s="64">
        <v>0</v>
      </c>
      <c r="LJ23" s="64">
        <v>0</v>
      </c>
      <c r="LK23" s="64">
        <v>0</v>
      </c>
      <c r="LL23" s="64">
        <v>0</v>
      </c>
      <c r="LM23" s="64">
        <v>0</v>
      </c>
      <c r="LN23" s="64">
        <v>0</v>
      </c>
      <c r="LO23" s="64">
        <v>0</v>
      </c>
      <c r="LP23" s="64">
        <v>0</v>
      </c>
      <c r="LQ23" s="64">
        <v>0</v>
      </c>
      <c r="LR23" s="64">
        <v>0</v>
      </c>
      <c r="LS23" s="64">
        <v>0</v>
      </c>
      <c r="LT23" s="64">
        <v>0</v>
      </c>
      <c r="LU23" s="64">
        <v>0</v>
      </c>
      <c r="LV23" s="64">
        <v>0</v>
      </c>
      <c r="LW23" s="64">
        <v>0</v>
      </c>
      <c r="LX23" s="64">
        <v>0</v>
      </c>
      <c r="LY23" s="64">
        <v>0</v>
      </c>
      <c r="LZ23" s="64">
        <v>0</v>
      </c>
      <c r="MA23" s="64">
        <v>0</v>
      </c>
      <c r="MB23" s="64">
        <v>0</v>
      </c>
      <c r="MC23" s="64">
        <v>0</v>
      </c>
      <c r="MD23" s="64">
        <v>0</v>
      </c>
      <c r="ME23" s="64">
        <v>0</v>
      </c>
      <c r="MF23" s="64">
        <v>0</v>
      </c>
      <c r="MG23" s="64">
        <v>0</v>
      </c>
      <c r="MH23" s="64">
        <v>0</v>
      </c>
      <c r="MI23" s="64">
        <v>0</v>
      </c>
      <c r="MJ23" s="64">
        <v>0</v>
      </c>
      <c r="MK23" s="64">
        <v>0</v>
      </c>
      <c r="ML23" s="64">
        <v>0</v>
      </c>
      <c r="MM23" s="64">
        <v>0</v>
      </c>
      <c r="MN23" s="64">
        <v>0</v>
      </c>
      <c r="MO23" s="64">
        <v>0</v>
      </c>
      <c r="MP23" s="64">
        <v>0</v>
      </c>
      <c r="MQ23" s="64">
        <v>0</v>
      </c>
      <c r="MR23" s="64">
        <v>0</v>
      </c>
      <c r="MS23" s="64">
        <v>0</v>
      </c>
      <c r="MT23" s="64">
        <v>0</v>
      </c>
      <c r="MU23" s="64">
        <v>0</v>
      </c>
      <c r="MV23" s="64">
        <v>0</v>
      </c>
      <c r="MW23" s="64">
        <v>0</v>
      </c>
      <c r="MX23" s="64">
        <v>0</v>
      </c>
      <c r="MY23" s="64">
        <v>0</v>
      </c>
      <c r="MZ23" s="64">
        <v>0</v>
      </c>
      <c r="NA23" s="64">
        <v>0</v>
      </c>
      <c r="NB23" s="64"/>
      <c r="NC23" s="64"/>
      <c r="ND23" s="64"/>
      <c r="NE23" s="64"/>
      <c r="NF23" s="64"/>
      <c r="NG23" s="64"/>
      <c r="NH23" s="64"/>
      <c r="NI23" s="64"/>
      <c r="NJ23" s="64"/>
      <c r="NK23" s="64"/>
      <c r="NL23" s="64"/>
      <c r="NM23" s="64"/>
      <c r="NN23" s="64"/>
      <c r="NO23" s="64"/>
      <c r="NP23" s="64"/>
      <c r="NQ23" s="64"/>
      <c r="NR23" s="64"/>
      <c r="NS23" s="64"/>
      <c r="NT23" s="64"/>
      <c r="NU23" s="64"/>
      <c r="NV23" s="64"/>
      <c r="NW23" s="64"/>
      <c r="NX23" s="64"/>
      <c r="NY23" s="64"/>
      <c r="NZ23" s="64"/>
      <c r="OA23" s="64"/>
      <c r="OB23" s="64"/>
      <c r="OC23" s="64"/>
      <c r="OD23" s="64"/>
      <c r="OE23" s="64"/>
      <c r="OF23" s="64"/>
      <c r="OG23" s="64"/>
      <c r="OH23" s="64"/>
      <c r="OI23" s="64"/>
      <c r="OJ23" s="64"/>
      <c r="OK23" s="64"/>
      <c r="OL23" s="64"/>
      <c r="OM23" s="64"/>
      <c r="ON23" s="64"/>
      <c r="OO23" s="64"/>
      <c r="OP23" s="64"/>
      <c r="OQ23" s="64"/>
      <c r="OR23" s="64"/>
      <c r="OS23" s="64"/>
    </row>
    <row r="24" spans="1:409">
      <c r="A24" s="65" t="s">
        <v>97</v>
      </c>
      <c r="B24" s="65" t="s">
        <v>15</v>
      </c>
      <c r="C24" s="65">
        <v>0</v>
      </c>
      <c r="D24" s="65">
        <v>0</v>
      </c>
      <c r="E24" s="65">
        <v>0</v>
      </c>
      <c r="F24" s="65">
        <v>0</v>
      </c>
      <c r="G24" s="65">
        <v>0</v>
      </c>
      <c r="H24" s="65">
        <v>3.4861484190148431E-4</v>
      </c>
      <c r="I24" s="65">
        <v>1.2817569068541301E-4</v>
      </c>
      <c r="J24" s="65">
        <v>3.8810114942528748E-4</v>
      </c>
      <c r="K24" s="65">
        <v>1.747962036238137E-4</v>
      </c>
      <c r="L24" s="65">
        <v>0</v>
      </c>
      <c r="M24" s="65">
        <v>2.6713049593436391E-4</v>
      </c>
      <c r="N24" s="65">
        <v>3.990063025210085E-4</v>
      </c>
      <c r="O24" s="65">
        <v>0</v>
      </c>
      <c r="P24" s="65">
        <v>0</v>
      </c>
      <c r="Q24" s="65">
        <v>1.708213831478537E-4</v>
      </c>
      <c r="R24" s="65">
        <v>2.8829259458009121E-4</v>
      </c>
      <c r="S24" s="65">
        <v>2.3605999999999999E-2</v>
      </c>
      <c r="T24" s="65">
        <v>3.0000000000000011E-5</v>
      </c>
      <c r="U24" s="65">
        <v>5.9999999999999995E-4</v>
      </c>
      <c r="V24" s="65">
        <v>6.8514999999999993E-2</v>
      </c>
      <c r="W24" s="65">
        <v>0.35565999999999998</v>
      </c>
      <c r="X24" s="65">
        <v>0.15815199999999999</v>
      </c>
      <c r="Y24" s="65">
        <v>5.8299999999999997E-4</v>
      </c>
      <c r="Z24" s="65">
        <v>1.6080000000000001E-3</v>
      </c>
      <c r="AA24" s="65">
        <v>7.0299999999999996E-4</v>
      </c>
      <c r="AB24" s="65">
        <v>8.8730000000000007E-3</v>
      </c>
      <c r="AC24" s="65">
        <v>4.3899999999999998E-3</v>
      </c>
      <c r="AD24" s="65">
        <v>6.3157000000000005E-2</v>
      </c>
      <c r="AE24" s="65">
        <v>9.8400000000000007E-4</v>
      </c>
      <c r="AF24" s="65">
        <v>1.9100000000000001E-4</v>
      </c>
      <c r="AG24" s="65">
        <v>1.3899999999999999E-4</v>
      </c>
      <c r="AH24" s="65">
        <v>1.3840336315265949E-3</v>
      </c>
      <c r="AI24" s="65">
        <v>4.4071529509200477E-3</v>
      </c>
      <c r="AJ24" s="65">
        <v>0</v>
      </c>
      <c r="AK24" s="65">
        <v>0</v>
      </c>
      <c r="AL24" s="65">
        <v>0</v>
      </c>
      <c r="AM24" s="65">
        <v>0</v>
      </c>
      <c r="AN24" s="65">
        <v>0</v>
      </c>
      <c r="AO24" s="65">
        <v>0</v>
      </c>
      <c r="AP24" s="65">
        <v>0</v>
      </c>
      <c r="AQ24" s="65">
        <v>0</v>
      </c>
      <c r="AR24" s="65">
        <v>0</v>
      </c>
      <c r="AS24" s="65">
        <v>0</v>
      </c>
      <c r="AT24" s="65">
        <v>0</v>
      </c>
      <c r="AU24" s="65">
        <v>0</v>
      </c>
      <c r="AV24" s="65">
        <v>0</v>
      </c>
      <c r="AW24" s="65">
        <v>0</v>
      </c>
      <c r="AX24" s="65">
        <v>3.0000000000000001E-6</v>
      </c>
      <c r="AY24" s="65">
        <v>3.0000000000000001E-6</v>
      </c>
      <c r="AZ24" s="65">
        <v>9.9999999999999995E-7</v>
      </c>
      <c r="BA24" s="65">
        <v>9.9999999999999995E-7</v>
      </c>
      <c r="BB24" s="65">
        <v>0</v>
      </c>
      <c r="BC24" s="65">
        <v>0</v>
      </c>
      <c r="BD24" s="65">
        <v>1.56E-4</v>
      </c>
      <c r="BE24" s="65">
        <v>4.0000000000000003E-5</v>
      </c>
      <c r="BF24" s="65">
        <v>5.0000000000000004E-6</v>
      </c>
      <c r="BG24" s="65">
        <v>6.9999999999999999E-6</v>
      </c>
      <c r="BH24" s="65">
        <v>1.9999999999999999E-6</v>
      </c>
      <c r="BI24" s="65">
        <v>3.9999999999999998E-6</v>
      </c>
      <c r="BJ24" s="65">
        <v>0</v>
      </c>
      <c r="BK24" s="65">
        <v>1.2E-5</v>
      </c>
      <c r="BL24" s="65">
        <v>9.9999999999999995E-7</v>
      </c>
      <c r="BM24" s="65">
        <v>0</v>
      </c>
      <c r="BN24" s="65">
        <v>0</v>
      </c>
      <c r="BO24" s="65">
        <v>1.9999999999999999E-6</v>
      </c>
      <c r="BP24" s="65">
        <v>1.9999999999999999E-6</v>
      </c>
      <c r="BQ24" s="65">
        <v>0</v>
      </c>
      <c r="BR24" s="65">
        <v>0</v>
      </c>
      <c r="BS24" s="65">
        <v>0</v>
      </c>
      <c r="BT24" s="65">
        <v>0</v>
      </c>
      <c r="BU24" s="65">
        <v>0</v>
      </c>
      <c r="BV24" s="65">
        <v>0</v>
      </c>
      <c r="BW24" s="65">
        <v>0</v>
      </c>
      <c r="BX24" s="65">
        <v>0</v>
      </c>
      <c r="BY24" s="65">
        <v>0</v>
      </c>
      <c r="BZ24" s="65">
        <v>0</v>
      </c>
      <c r="CA24" s="65">
        <v>0</v>
      </c>
      <c r="CB24" s="65">
        <v>0</v>
      </c>
      <c r="CC24" s="65">
        <v>0</v>
      </c>
      <c r="CD24" s="65">
        <v>0</v>
      </c>
      <c r="CE24" s="65">
        <v>0</v>
      </c>
      <c r="CF24" s="65">
        <v>0</v>
      </c>
      <c r="CG24" s="65">
        <v>0</v>
      </c>
      <c r="CH24" s="65">
        <v>0</v>
      </c>
      <c r="CI24" s="65">
        <v>0</v>
      </c>
      <c r="CJ24" s="65">
        <v>0</v>
      </c>
      <c r="CK24" s="65">
        <v>1.9999999999999999E-6</v>
      </c>
      <c r="CL24" s="65">
        <v>9.9999999999999995E-7</v>
      </c>
      <c r="CM24" s="65">
        <v>0</v>
      </c>
      <c r="CN24" s="65">
        <v>9.9999999999999995E-7</v>
      </c>
      <c r="CO24" s="65">
        <v>0</v>
      </c>
      <c r="CP24" s="65">
        <v>0</v>
      </c>
      <c r="CQ24" s="65">
        <v>0</v>
      </c>
      <c r="CR24" s="65">
        <v>0</v>
      </c>
      <c r="CS24" s="65">
        <v>0</v>
      </c>
      <c r="CT24" s="65">
        <v>0</v>
      </c>
      <c r="CU24" s="65">
        <v>0</v>
      </c>
      <c r="CV24" s="65">
        <v>0</v>
      </c>
      <c r="CW24" s="65">
        <v>0</v>
      </c>
      <c r="CX24" s="65">
        <v>0</v>
      </c>
      <c r="CY24" s="65">
        <v>0</v>
      </c>
      <c r="CZ24" s="65">
        <v>0</v>
      </c>
      <c r="DA24" s="65">
        <v>0</v>
      </c>
      <c r="DB24" s="65">
        <v>0</v>
      </c>
      <c r="DC24" s="65">
        <v>0</v>
      </c>
      <c r="DD24" s="65">
        <v>0</v>
      </c>
      <c r="DE24" s="65">
        <v>0</v>
      </c>
      <c r="DF24" s="65">
        <v>0</v>
      </c>
      <c r="DG24" s="65">
        <v>0</v>
      </c>
      <c r="DH24" s="65">
        <v>0</v>
      </c>
      <c r="DI24" s="65">
        <v>0</v>
      </c>
      <c r="DJ24" s="65">
        <v>0</v>
      </c>
      <c r="DK24" s="65">
        <v>0</v>
      </c>
      <c r="DL24" s="65">
        <v>0</v>
      </c>
      <c r="DM24" s="65">
        <v>0</v>
      </c>
      <c r="DN24" s="65">
        <v>0</v>
      </c>
      <c r="DO24" s="65">
        <v>0</v>
      </c>
      <c r="DP24" s="65">
        <v>0</v>
      </c>
      <c r="DQ24" s="65">
        <v>0</v>
      </c>
      <c r="DR24" s="65">
        <v>9.9999999999999995E-7</v>
      </c>
      <c r="DS24" s="65">
        <v>0</v>
      </c>
      <c r="DT24" s="65">
        <v>0</v>
      </c>
      <c r="DU24" s="65">
        <v>0</v>
      </c>
      <c r="DV24" s="65">
        <v>0</v>
      </c>
      <c r="DW24" s="65">
        <v>0</v>
      </c>
      <c r="DX24" s="65">
        <v>0</v>
      </c>
      <c r="DY24" s="65">
        <v>0</v>
      </c>
      <c r="DZ24" s="65">
        <v>0</v>
      </c>
      <c r="EA24" s="65">
        <v>0</v>
      </c>
      <c r="EB24" s="65">
        <v>0</v>
      </c>
      <c r="EC24" s="65">
        <v>0</v>
      </c>
      <c r="ED24" s="65">
        <v>0</v>
      </c>
      <c r="EE24" s="65">
        <v>0</v>
      </c>
      <c r="EF24" s="65">
        <v>0</v>
      </c>
      <c r="EG24" s="65">
        <v>0</v>
      </c>
      <c r="EH24" s="65">
        <v>0</v>
      </c>
      <c r="EI24" s="65">
        <v>0</v>
      </c>
      <c r="EJ24" s="65">
        <v>0</v>
      </c>
      <c r="EK24" s="65">
        <v>0</v>
      </c>
      <c r="EL24" s="65">
        <v>0</v>
      </c>
      <c r="EM24" s="65">
        <v>0</v>
      </c>
      <c r="EN24" s="65">
        <v>0</v>
      </c>
      <c r="EO24" s="65">
        <v>0</v>
      </c>
      <c r="EP24" s="65">
        <v>0</v>
      </c>
      <c r="EQ24" s="65">
        <v>0</v>
      </c>
      <c r="ER24" s="65">
        <v>0</v>
      </c>
      <c r="ES24" s="65">
        <v>0</v>
      </c>
      <c r="ET24" s="65">
        <v>0</v>
      </c>
      <c r="EU24" s="65">
        <v>0</v>
      </c>
      <c r="EV24" s="65">
        <v>0</v>
      </c>
      <c r="EW24" s="65">
        <v>0</v>
      </c>
      <c r="EX24" s="65">
        <v>0</v>
      </c>
      <c r="EY24" s="65">
        <v>9.9999999999999995E-7</v>
      </c>
      <c r="EZ24" s="65">
        <v>9.9999999999999995E-7</v>
      </c>
      <c r="FA24" s="65">
        <v>0</v>
      </c>
      <c r="FB24" s="65">
        <v>9.9999999999999995E-7</v>
      </c>
      <c r="FC24" s="65">
        <v>0</v>
      </c>
      <c r="FD24" s="65">
        <v>0</v>
      </c>
      <c r="FE24" s="65">
        <v>0</v>
      </c>
      <c r="FF24" s="65">
        <v>0</v>
      </c>
      <c r="FG24" s="65">
        <v>0</v>
      </c>
      <c r="FH24" s="65">
        <v>0</v>
      </c>
      <c r="FI24" s="65">
        <v>0</v>
      </c>
      <c r="FJ24" s="65">
        <v>0</v>
      </c>
      <c r="FK24" s="65">
        <v>0</v>
      </c>
      <c r="FL24" s="65">
        <v>1.9999999999999999E-6</v>
      </c>
      <c r="FM24" s="65">
        <v>1.9999999999999999E-6</v>
      </c>
      <c r="FN24" s="65">
        <v>1.9999999999999999E-6</v>
      </c>
      <c r="FO24" s="65">
        <v>1.9999999999999999E-6</v>
      </c>
      <c r="FP24" s="65">
        <v>0</v>
      </c>
      <c r="FQ24" s="65">
        <v>3.9999999999999998E-6</v>
      </c>
      <c r="FR24" s="65">
        <v>3.9999999999999998E-6</v>
      </c>
      <c r="FS24" s="65">
        <v>3.9999999999999998E-6</v>
      </c>
      <c r="FT24" s="65">
        <v>3.9999999999999998E-6</v>
      </c>
      <c r="FU24" s="65">
        <v>3.9999999999999998E-6</v>
      </c>
      <c r="FV24" s="65">
        <v>3.9999999999999998E-6</v>
      </c>
      <c r="FW24" s="65">
        <v>3.9999999999999998E-6</v>
      </c>
      <c r="FX24" s="65">
        <v>3.0000000000000001E-6</v>
      </c>
      <c r="FY24" s="65">
        <v>3.0000000000000001E-6</v>
      </c>
      <c r="FZ24" s="65">
        <v>2.5000000000000001E-5</v>
      </c>
      <c r="GA24" s="65">
        <v>2.5000000000000001E-5</v>
      </c>
      <c r="GB24" s="65">
        <v>1.4E-5</v>
      </c>
      <c r="GC24" s="65">
        <v>6.0000000000000002E-6</v>
      </c>
      <c r="GD24" s="65">
        <v>1.1E-5</v>
      </c>
      <c r="GE24" s="65">
        <v>2.0999999999999999E-5</v>
      </c>
      <c r="GF24" s="65">
        <v>1.119E-3</v>
      </c>
      <c r="GG24" s="65">
        <v>5.7000000000000003E-5</v>
      </c>
      <c r="GH24" s="65">
        <v>7.9999999999999996E-6</v>
      </c>
      <c r="GI24" s="65">
        <v>5.1999999999999997E-5</v>
      </c>
      <c r="GJ24" s="65">
        <v>3.9999999999999998E-6</v>
      </c>
      <c r="GK24" s="65">
        <v>1.9999999999999999E-6</v>
      </c>
      <c r="GL24" s="65">
        <v>6.9999999999999999E-6</v>
      </c>
      <c r="GM24" s="65">
        <v>4.0000000000000002E-4</v>
      </c>
      <c r="GN24" s="65">
        <v>9.9999999999999995E-7</v>
      </c>
      <c r="GO24" s="65">
        <v>1.9999999999999999E-6</v>
      </c>
      <c r="GP24" s="65">
        <v>9.9999999999999995E-7</v>
      </c>
      <c r="GQ24" s="65">
        <v>2.4000000000000001E-5</v>
      </c>
      <c r="GR24" s="65">
        <v>2.4000000000000001E-5</v>
      </c>
      <c r="GS24" s="65">
        <v>0</v>
      </c>
      <c r="GT24" s="65">
        <v>0</v>
      </c>
      <c r="GU24" s="65">
        <v>0</v>
      </c>
      <c r="GV24" s="65">
        <v>0</v>
      </c>
      <c r="GW24" s="65">
        <v>0</v>
      </c>
      <c r="GX24" s="65">
        <v>0</v>
      </c>
      <c r="GY24" s="65">
        <v>0</v>
      </c>
      <c r="GZ24" s="65">
        <v>0</v>
      </c>
      <c r="HA24" s="65">
        <v>0</v>
      </c>
      <c r="HB24" s="65">
        <v>0</v>
      </c>
      <c r="HC24" s="65">
        <v>0</v>
      </c>
      <c r="HD24" s="65">
        <v>0</v>
      </c>
      <c r="HE24" s="65">
        <v>0</v>
      </c>
      <c r="HF24" s="65">
        <v>0</v>
      </c>
      <c r="HG24" s="65">
        <v>0</v>
      </c>
      <c r="HH24" s="65">
        <v>0</v>
      </c>
      <c r="HI24" s="65">
        <v>0</v>
      </c>
      <c r="HJ24" s="65">
        <v>0</v>
      </c>
      <c r="HK24" s="65">
        <v>0</v>
      </c>
      <c r="HL24" s="65">
        <v>0</v>
      </c>
      <c r="HM24" s="65">
        <v>9.9999999999999995E-7</v>
      </c>
      <c r="HN24" s="65">
        <v>0</v>
      </c>
      <c r="HO24" s="65">
        <v>0</v>
      </c>
      <c r="HP24" s="65">
        <v>0</v>
      </c>
      <c r="HQ24" s="65">
        <v>0</v>
      </c>
      <c r="HR24" s="65">
        <v>0</v>
      </c>
      <c r="HS24" s="65">
        <v>0</v>
      </c>
      <c r="HT24" s="65">
        <v>0</v>
      </c>
      <c r="HU24" s="65">
        <v>0</v>
      </c>
      <c r="HV24" s="65">
        <v>0</v>
      </c>
      <c r="HW24" s="65">
        <v>0</v>
      </c>
      <c r="HX24" s="65">
        <v>0</v>
      </c>
      <c r="HY24" s="65">
        <v>0</v>
      </c>
      <c r="HZ24" s="65">
        <v>0</v>
      </c>
      <c r="IA24" s="65">
        <v>0</v>
      </c>
      <c r="IB24" s="65">
        <v>0</v>
      </c>
      <c r="IC24" s="65">
        <v>0</v>
      </c>
      <c r="ID24" s="65">
        <v>0</v>
      </c>
      <c r="IE24" s="65">
        <v>0</v>
      </c>
      <c r="IF24" s="65">
        <v>0</v>
      </c>
      <c r="IG24" s="65">
        <v>0</v>
      </c>
      <c r="IH24" s="65">
        <v>0</v>
      </c>
      <c r="II24" s="65">
        <v>0</v>
      </c>
      <c r="IJ24" s="65">
        <v>0</v>
      </c>
      <c r="IK24" s="65">
        <v>0</v>
      </c>
      <c r="IL24" s="65">
        <v>0</v>
      </c>
      <c r="IM24" s="65">
        <v>0</v>
      </c>
      <c r="IN24" s="65">
        <v>0</v>
      </c>
      <c r="IO24" s="65">
        <v>0</v>
      </c>
      <c r="IP24" s="65">
        <v>0</v>
      </c>
      <c r="IQ24" s="65">
        <v>0</v>
      </c>
      <c r="IR24" s="65">
        <v>0</v>
      </c>
      <c r="IS24" s="65">
        <v>0</v>
      </c>
      <c r="IT24" s="65">
        <v>0</v>
      </c>
      <c r="IU24" s="65">
        <v>0</v>
      </c>
      <c r="IV24" s="65">
        <v>0</v>
      </c>
      <c r="IW24" s="65">
        <v>0</v>
      </c>
      <c r="IX24" s="65">
        <v>0</v>
      </c>
      <c r="IY24" s="65">
        <v>0</v>
      </c>
      <c r="IZ24" s="65">
        <v>0</v>
      </c>
      <c r="JA24" s="65">
        <v>0</v>
      </c>
      <c r="JB24" s="65">
        <v>0</v>
      </c>
      <c r="JC24" s="65">
        <v>0</v>
      </c>
      <c r="JD24" s="65">
        <v>0</v>
      </c>
      <c r="JE24" s="65">
        <v>0</v>
      </c>
      <c r="JF24" s="65">
        <v>0</v>
      </c>
      <c r="JG24" s="65">
        <v>0</v>
      </c>
      <c r="JH24" s="65">
        <v>0</v>
      </c>
      <c r="JI24" s="65">
        <v>0</v>
      </c>
      <c r="JJ24" s="65">
        <v>0</v>
      </c>
      <c r="JK24" s="65">
        <v>0</v>
      </c>
      <c r="JL24" s="65">
        <v>9.9999999999999995E-7</v>
      </c>
      <c r="JM24" s="65">
        <v>9.9999999999999995E-7</v>
      </c>
      <c r="JN24" s="65">
        <v>9.9999999999999995E-7</v>
      </c>
      <c r="JO24" s="65">
        <v>9.9999999999999995E-7</v>
      </c>
      <c r="JP24" s="65">
        <v>9.9999999999999995E-7</v>
      </c>
      <c r="JQ24" s="65">
        <v>9.9999999999999995E-7</v>
      </c>
      <c r="JR24" s="65">
        <v>9.9999999999999995E-7</v>
      </c>
      <c r="JS24" s="65">
        <v>9.9999999999999995E-7</v>
      </c>
      <c r="JT24" s="65">
        <v>9.9999999999999995E-7</v>
      </c>
      <c r="JU24" s="65">
        <v>9.9999999999999995E-7</v>
      </c>
      <c r="JV24" s="65">
        <v>9.9999999999999995E-7</v>
      </c>
      <c r="JW24" s="65">
        <v>3.0000000000000001E-6</v>
      </c>
      <c r="JX24" s="65">
        <v>0</v>
      </c>
      <c r="JY24" s="65">
        <v>3.0000000000000001E-6</v>
      </c>
      <c r="JZ24" s="65">
        <v>6.9999999999999999E-6</v>
      </c>
      <c r="KA24" s="65">
        <v>5.7000000000000003E-5</v>
      </c>
      <c r="KB24" s="65">
        <v>1.7E-5</v>
      </c>
      <c r="KC24" s="65">
        <v>1.9999999999999999E-6</v>
      </c>
      <c r="KD24" s="65">
        <v>1.2999999999999999E-5</v>
      </c>
      <c r="KE24" s="65">
        <v>9.9999999999999995E-7</v>
      </c>
      <c r="KF24" s="65">
        <v>3.0000000000000001E-6</v>
      </c>
      <c r="KG24" s="65">
        <v>0</v>
      </c>
      <c r="KH24" s="65">
        <v>1.9999999999999999E-6</v>
      </c>
      <c r="KI24" s="65">
        <v>0</v>
      </c>
      <c r="KJ24" s="65">
        <v>0</v>
      </c>
      <c r="KK24" s="65">
        <v>0</v>
      </c>
      <c r="KL24" s="65">
        <v>9.9999999999999995E-7</v>
      </c>
      <c r="KM24" s="65">
        <v>9.9999999999999995E-7</v>
      </c>
      <c r="KN24" s="65">
        <v>0</v>
      </c>
      <c r="KO24" s="65">
        <v>0</v>
      </c>
      <c r="KP24" s="65">
        <v>0</v>
      </c>
      <c r="KQ24" s="65">
        <v>0</v>
      </c>
      <c r="KR24" s="65">
        <v>0</v>
      </c>
      <c r="KS24" s="65">
        <v>0</v>
      </c>
      <c r="KT24" s="65">
        <v>0</v>
      </c>
      <c r="KU24" s="65">
        <v>0</v>
      </c>
      <c r="KV24" s="65">
        <v>0</v>
      </c>
      <c r="KW24" s="65">
        <v>0</v>
      </c>
      <c r="KX24" s="65">
        <v>0</v>
      </c>
      <c r="KY24" s="65">
        <v>0</v>
      </c>
      <c r="KZ24" s="65">
        <v>0</v>
      </c>
      <c r="LA24" s="65">
        <v>0</v>
      </c>
      <c r="LB24" s="65">
        <v>0</v>
      </c>
      <c r="LC24" s="65">
        <v>0</v>
      </c>
      <c r="LD24" s="65">
        <v>0</v>
      </c>
      <c r="LE24" s="65">
        <v>0</v>
      </c>
      <c r="LF24" s="65">
        <v>0</v>
      </c>
      <c r="LG24" s="65">
        <v>0</v>
      </c>
      <c r="LH24" s="65">
        <v>0</v>
      </c>
      <c r="LI24" s="65">
        <v>0</v>
      </c>
      <c r="LJ24" s="65">
        <v>0</v>
      </c>
      <c r="LK24" s="65">
        <v>0</v>
      </c>
      <c r="LL24" s="65">
        <v>0</v>
      </c>
      <c r="LM24" s="65">
        <v>0</v>
      </c>
      <c r="LN24" s="65">
        <v>0</v>
      </c>
      <c r="LO24" s="65">
        <v>0</v>
      </c>
      <c r="LP24" s="65">
        <v>0</v>
      </c>
      <c r="LQ24" s="65">
        <v>0</v>
      </c>
      <c r="LR24" s="65">
        <v>0</v>
      </c>
      <c r="LS24" s="65">
        <v>0</v>
      </c>
      <c r="LT24" s="65">
        <v>0</v>
      </c>
      <c r="LU24" s="65">
        <v>0</v>
      </c>
      <c r="LV24" s="65">
        <v>0</v>
      </c>
      <c r="LW24" s="65">
        <v>0</v>
      </c>
      <c r="LX24" s="65">
        <v>0</v>
      </c>
      <c r="LY24" s="65">
        <v>0</v>
      </c>
      <c r="LZ24" s="65">
        <v>0</v>
      </c>
      <c r="MA24" s="65">
        <v>0</v>
      </c>
      <c r="MB24" s="65">
        <v>0</v>
      </c>
      <c r="MC24" s="65">
        <v>0</v>
      </c>
      <c r="MD24" s="65">
        <v>0</v>
      </c>
      <c r="ME24" s="65">
        <v>0</v>
      </c>
      <c r="MF24" s="65">
        <v>0</v>
      </c>
      <c r="MG24" s="65">
        <v>0</v>
      </c>
      <c r="MH24" s="65">
        <v>0</v>
      </c>
      <c r="MI24" s="65">
        <v>0</v>
      </c>
      <c r="MJ24" s="65">
        <v>0</v>
      </c>
      <c r="MK24" s="65">
        <v>0</v>
      </c>
      <c r="ML24" s="65">
        <v>0</v>
      </c>
      <c r="MM24" s="65">
        <v>0</v>
      </c>
      <c r="MN24" s="65">
        <v>0</v>
      </c>
      <c r="MO24" s="65">
        <v>0</v>
      </c>
      <c r="MP24" s="65">
        <v>0</v>
      </c>
      <c r="MQ24" s="65">
        <v>0</v>
      </c>
      <c r="MR24" s="65">
        <v>0</v>
      </c>
      <c r="MS24" s="65">
        <v>0</v>
      </c>
      <c r="MT24" s="65">
        <v>0</v>
      </c>
      <c r="MU24" s="65">
        <v>0</v>
      </c>
      <c r="MV24" s="65">
        <v>0</v>
      </c>
      <c r="MW24" s="65">
        <v>0</v>
      </c>
      <c r="MX24" s="65">
        <v>0</v>
      </c>
      <c r="MY24" s="65">
        <v>0</v>
      </c>
      <c r="MZ24" s="65">
        <v>0</v>
      </c>
      <c r="NA24" s="65">
        <v>0</v>
      </c>
      <c r="NB24" s="65"/>
      <c r="NC24" s="65"/>
      <c r="ND24" s="65"/>
      <c r="NE24" s="65"/>
      <c r="NF24" s="65"/>
      <c r="NG24" s="65"/>
      <c r="NH24" s="65"/>
      <c r="NI24" s="65"/>
      <c r="NJ24" s="65"/>
      <c r="NK24" s="65"/>
      <c r="NL24" s="65"/>
      <c r="NM24" s="65"/>
      <c r="NN24" s="65"/>
      <c r="NO24" s="65"/>
      <c r="NP24" s="65"/>
      <c r="NQ24" s="65"/>
      <c r="NR24" s="65"/>
      <c r="NS24" s="65"/>
      <c r="NT24" s="65"/>
      <c r="NU24" s="65"/>
      <c r="NV24" s="65"/>
      <c r="NW24" s="65"/>
      <c r="NX24" s="65"/>
      <c r="NY24" s="65"/>
      <c r="NZ24" s="65"/>
      <c r="OA24" s="65"/>
      <c r="OB24" s="65"/>
      <c r="OC24" s="65"/>
      <c r="OD24" s="65"/>
      <c r="OE24" s="65"/>
      <c r="OF24" s="65"/>
      <c r="OG24" s="65"/>
      <c r="OH24" s="65"/>
      <c r="OI24" s="65"/>
      <c r="OJ24" s="65"/>
      <c r="OK24" s="65"/>
      <c r="OL24" s="65"/>
      <c r="OM24" s="65"/>
      <c r="ON24" s="65"/>
      <c r="OO24" s="65"/>
      <c r="OP24" s="65"/>
      <c r="OQ24" s="65"/>
      <c r="OR24" s="65"/>
      <c r="OS24" s="65"/>
    </row>
    <row r="25" spans="1:409">
      <c r="A25" s="64" t="s">
        <v>98</v>
      </c>
      <c r="B25" s="64" t="s">
        <v>16</v>
      </c>
      <c r="C25" s="64">
        <v>0</v>
      </c>
      <c r="D25" s="64">
        <v>0</v>
      </c>
      <c r="E25" s="64">
        <v>0</v>
      </c>
      <c r="F25" s="64">
        <v>0</v>
      </c>
      <c r="G25" s="64">
        <v>0</v>
      </c>
      <c r="H25" s="64">
        <v>0</v>
      </c>
      <c r="I25" s="64">
        <v>0</v>
      </c>
      <c r="J25" s="64">
        <v>0</v>
      </c>
      <c r="K25" s="64">
        <v>0</v>
      </c>
      <c r="L25" s="64">
        <v>0</v>
      </c>
      <c r="M25" s="64">
        <v>0</v>
      </c>
      <c r="N25" s="64">
        <v>0</v>
      </c>
      <c r="O25" s="64">
        <v>0</v>
      </c>
      <c r="P25" s="64">
        <v>0</v>
      </c>
      <c r="Q25" s="64">
        <v>0</v>
      </c>
      <c r="R25" s="64">
        <v>0</v>
      </c>
      <c r="S25" s="64">
        <v>0</v>
      </c>
      <c r="T25" s="64">
        <v>0</v>
      </c>
      <c r="U25" s="64">
        <v>3.7750000000000001E-3</v>
      </c>
      <c r="V25" s="64">
        <v>3.392E-3</v>
      </c>
      <c r="W25" s="64">
        <v>1.2642E-2</v>
      </c>
      <c r="X25" s="64">
        <v>0.39427800000000007</v>
      </c>
      <c r="Y25" s="64">
        <v>6.69E-4</v>
      </c>
      <c r="Z25" s="64">
        <v>2.9910000000000002E-3</v>
      </c>
      <c r="AA25" s="64">
        <v>3.2750000000000001E-3</v>
      </c>
      <c r="AB25" s="64">
        <v>6.6233E-2</v>
      </c>
      <c r="AC25" s="64">
        <v>4.0800000000000003E-3</v>
      </c>
      <c r="AD25" s="64">
        <v>2.3970000000000002E-2</v>
      </c>
      <c r="AE25" s="64">
        <v>4.3169999999999997E-3</v>
      </c>
      <c r="AF25" s="64">
        <v>1.456E-3</v>
      </c>
      <c r="AG25" s="64">
        <v>1.059E-3</v>
      </c>
      <c r="AH25" s="64">
        <v>6.749345779982068E-3</v>
      </c>
      <c r="AI25" s="64">
        <v>3.641470855306533E-3</v>
      </c>
      <c r="AJ25" s="64">
        <v>9.9999999999999995E-7</v>
      </c>
      <c r="AK25" s="64">
        <v>9.9999999999999995E-7</v>
      </c>
      <c r="AL25" s="64">
        <v>9.9999999999999995E-7</v>
      </c>
      <c r="AM25" s="64">
        <v>9.9999999999999995E-7</v>
      </c>
      <c r="AN25" s="64">
        <v>0</v>
      </c>
      <c r="AO25" s="64">
        <v>0</v>
      </c>
      <c r="AP25" s="64">
        <v>0</v>
      </c>
      <c r="AQ25" s="64">
        <v>0</v>
      </c>
      <c r="AR25" s="64">
        <v>0</v>
      </c>
      <c r="AS25" s="64">
        <v>0</v>
      </c>
      <c r="AT25" s="64">
        <v>0</v>
      </c>
      <c r="AU25" s="64">
        <v>0</v>
      </c>
      <c r="AV25" s="64">
        <v>1.2E-5</v>
      </c>
      <c r="AW25" s="64">
        <v>1.2E-5</v>
      </c>
      <c r="AX25" s="64">
        <v>1.9999999999999999E-6</v>
      </c>
      <c r="AY25" s="64">
        <v>1.9999999999999999E-6</v>
      </c>
      <c r="AZ25" s="64">
        <v>5.0000000000000004E-6</v>
      </c>
      <c r="BA25" s="64">
        <v>3.0000000000000001E-6</v>
      </c>
      <c r="BB25" s="64">
        <v>1.9999999999999999E-6</v>
      </c>
      <c r="BC25" s="64">
        <v>9.9999999999999995E-7</v>
      </c>
      <c r="BD25" s="64">
        <v>7.9999999999999996E-6</v>
      </c>
      <c r="BE25" s="64">
        <v>4.3000000000000002E-5</v>
      </c>
      <c r="BF25" s="64">
        <v>0</v>
      </c>
      <c r="BG25" s="64">
        <v>1.9999999999999999E-6</v>
      </c>
      <c r="BH25" s="64">
        <v>9.9999999999999995E-7</v>
      </c>
      <c r="BI25" s="64">
        <v>9.9999999999999995E-7</v>
      </c>
      <c r="BJ25" s="64">
        <v>0</v>
      </c>
      <c r="BK25" s="64">
        <v>1.9999999999999999E-6</v>
      </c>
      <c r="BL25" s="64">
        <v>9.9999999999999995E-7</v>
      </c>
      <c r="BM25" s="64">
        <v>0</v>
      </c>
      <c r="BN25" s="64">
        <v>0</v>
      </c>
      <c r="BO25" s="64">
        <v>3.0000000000000001E-6</v>
      </c>
      <c r="BP25" s="64">
        <v>3.0000000000000001E-6</v>
      </c>
      <c r="BQ25" s="64">
        <v>0</v>
      </c>
      <c r="BR25" s="64">
        <v>0</v>
      </c>
      <c r="BS25" s="64">
        <v>0</v>
      </c>
      <c r="BT25" s="64">
        <v>0</v>
      </c>
      <c r="BU25" s="64">
        <v>0</v>
      </c>
      <c r="BV25" s="64">
        <v>0</v>
      </c>
      <c r="BW25" s="64">
        <v>0</v>
      </c>
      <c r="BX25" s="64">
        <v>0</v>
      </c>
      <c r="BY25" s="64">
        <v>0</v>
      </c>
      <c r="BZ25" s="64">
        <v>0</v>
      </c>
      <c r="CA25" s="64">
        <v>0</v>
      </c>
      <c r="CB25" s="64">
        <v>0</v>
      </c>
      <c r="CC25" s="64">
        <v>0</v>
      </c>
      <c r="CD25" s="64">
        <v>0</v>
      </c>
      <c r="CE25" s="64">
        <v>0</v>
      </c>
      <c r="CF25" s="64">
        <v>0</v>
      </c>
      <c r="CG25" s="64">
        <v>0</v>
      </c>
      <c r="CH25" s="64">
        <v>0</v>
      </c>
      <c r="CI25" s="64">
        <v>0</v>
      </c>
      <c r="CJ25" s="64">
        <v>0</v>
      </c>
      <c r="CK25" s="64">
        <v>0</v>
      </c>
      <c r="CL25" s="64">
        <v>0</v>
      </c>
      <c r="CM25" s="64">
        <v>0</v>
      </c>
      <c r="CN25" s="64">
        <v>0</v>
      </c>
      <c r="CO25" s="64">
        <v>0</v>
      </c>
      <c r="CP25" s="64">
        <v>0</v>
      </c>
      <c r="CQ25" s="64">
        <v>0</v>
      </c>
      <c r="CR25" s="64">
        <v>0</v>
      </c>
      <c r="CS25" s="64">
        <v>0</v>
      </c>
      <c r="CT25" s="64">
        <v>0</v>
      </c>
      <c r="CU25" s="64">
        <v>0</v>
      </c>
      <c r="CV25" s="64">
        <v>0</v>
      </c>
      <c r="CW25" s="64">
        <v>0</v>
      </c>
      <c r="CX25" s="64">
        <v>0</v>
      </c>
      <c r="CY25" s="64">
        <v>0</v>
      </c>
      <c r="CZ25" s="64">
        <v>0</v>
      </c>
      <c r="DA25" s="64">
        <v>0</v>
      </c>
      <c r="DB25" s="64">
        <v>0</v>
      </c>
      <c r="DC25" s="64">
        <v>0</v>
      </c>
      <c r="DD25" s="64">
        <v>0</v>
      </c>
      <c r="DE25" s="64">
        <v>0</v>
      </c>
      <c r="DF25" s="64">
        <v>0</v>
      </c>
      <c r="DG25" s="64">
        <v>0</v>
      </c>
      <c r="DH25" s="64">
        <v>0</v>
      </c>
      <c r="DI25" s="64">
        <v>0</v>
      </c>
      <c r="DJ25" s="64">
        <v>0</v>
      </c>
      <c r="DK25" s="64">
        <v>0</v>
      </c>
      <c r="DL25" s="64">
        <v>0</v>
      </c>
      <c r="DM25" s="64">
        <v>0</v>
      </c>
      <c r="DN25" s="64">
        <v>0</v>
      </c>
      <c r="DO25" s="64">
        <v>0</v>
      </c>
      <c r="DP25" s="64">
        <v>0</v>
      </c>
      <c r="DQ25" s="64">
        <v>0</v>
      </c>
      <c r="DR25" s="64">
        <v>0</v>
      </c>
      <c r="DS25" s="64">
        <v>0</v>
      </c>
      <c r="DT25" s="64">
        <v>0</v>
      </c>
      <c r="DU25" s="64">
        <v>0</v>
      </c>
      <c r="DV25" s="64">
        <v>0</v>
      </c>
      <c r="DW25" s="64">
        <v>0</v>
      </c>
      <c r="DX25" s="64">
        <v>0</v>
      </c>
      <c r="DY25" s="64">
        <v>0</v>
      </c>
      <c r="DZ25" s="64">
        <v>0</v>
      </c>
      <c r="EA25" s="64">
        <v>0</v>
      </c>
      <c r="EB25" s="64">
        <v>0</v>
      </c>
      <c r="EC25" s="64">
        <v>0</v>
      </c>
      <c r="ED25" s="64">
        <v>0</v>
      </c>
      <c r="EE25" s="64">
        <v>0</v>
      </c>
      <c r="EF25" s="64">
        <v>0</v>
      </c>
      <c r="EG25" s="64">
        <v>0</v>
      </c>
      <c r="EH25" s="64">
        <v>0</v>
      </c>
      <c r="EI25" s="64">
        <v>0</v>
      </c>
      <c r="EJ25" s="64">
        <v>0</v>
      </c>
      <c r="EK25" s="64">
        <v>0</v>
      </c>
      <c r="EL25" s="64">
        <v>0</v>
      </c>
      <c r="EM25" s="64">
        <v>0</v>
      </c>
      <c r="EN25" s="64">
        <v>0</v>
      </c>
      <c r="EO25" s="64">
        <v>0</v>
      </c>
      <c r="EP25" s="64">
        <v>0</v>
      </c>
      <c r="EQ25" s="64">
        <v>0</v>
      </c>
      <c r="ER25" s="64">
        <v>0</v>
      </c>
      <c r="ES25" s="64">
        <v>0</v>
      </c>
      <c r="ET25" s="64">
        <v>0</v>
      </c>
      <c r="EU25" s="64">
        <v>0</v>
      </c>
      <c r="EV25" s="64">
        <v>0</v>
      </c>
      <c r="EW25" s="64">
        <v>0</v>
      </c>
      <c r="EX25" s="64">
        <v>0</v>
      </c>
      <c r="EY25" s="64">
        <v>0</v>
      </c>
      <c r="EZ25" s="64">
        <v>9.9999999999999995E-7</v>
      </c>
      <c r="FA25" s="64">
        <v>0</v>
      </c>
      <c r="FB25" s="64">
        <v>0</v>
      </c>
      <c r="FC25" s="64">
        <v>0</v>
      </c>
      <c r="FD25" s="64">
        <v>0</v>
      </c>
      <c r="FE25" s="64">
        <v>0</v>
      </c>
      <c r="FF25" s="64">
        <v>0</v>
      </c>
      <c r="FG25" s="64">
        <v>0</v>
      </c>
      <c r="FH25" s="64">
        <v>0</v>
      </c>
      <c r="FI25" s="64">
        <v>0</v>
      </c>
      <c r="FJ25" s="64">
        <v>0</v>
      </c>
      <c r="FK25" s="64">
        <v>0</v>
      </c>
      <c r="FL25" s="64">
        <v>0</v>
      </c>
      <c r="FM25" s="64">
        <v>0</v>
      </c>
      <c r="FN25" s="64">
        <v>0</v>
      </c>
      <c r="FO25" s="64">
        <v>0</v>
      </c>
      <c r="FP25" s="64">
        <v>0</v>
      </c>
      <c r="FQ25" s="64">
        <v>0</v>
      </c>
      <c r="FR25" s="64">
        <v>0</v>
      </c>
      <c r="FS25" s="64">
        <v>0</v>
      </c>
      <c r="FT25" s="64">
        <v>0</v>
      </c>
      <c r="FU25" s="64">
        <v>0</v>
      </c>
      <c r="FV25" s="64">
        <v>0</v>
      </c>
      <c r="FW25" s="64">
        <v>0</v>
      </c>
      <c r="FX25" s="64">
        <v>6.0000000000000002E-6</v>
      </c>
      <c r="FY25" s="64">
        <v>6.0000000000000002E-6</v>
      </c>
      <c r="FZ25" s="64">
        <v>3.0000000000000001E-6</v>
      </c>
      <c r="GA25" s="64">
        <v>3.0000000000000001E-6</v>
      </c>
      <c r="GB25" s="64">
        <v>1.9999999999999999E-6</v>
      </c>
      <c r="GC25" s="64">
        <v>0</v>
      </c>
      <c r="GD25" s="64">
        <v>0</v>
      </c>
      <c r="GE25" s="64">
        <v>9.9999999999999995E-7</v>
      </c>
      <c r="GF25" s="64">
        <v>3.8999999999999999E-5</v>
      </c>
      <c r="GG25" s="64">
        <v>1.2999999999999999E-5</v>
      </c>
      <c r="GH25" s="64">
        <v>9.9999999999999995E-7</v>
      </c>
      <c r="GI25" s="64">
        <v>1.0000000000000001E-5</v>
      </c>
      <c r="GJ25" s="64">
        <v>0</v>
      </c>
      <c r="GK25" s="64">
        <v>0</v>
      </c>
      <c r="GL25" s="64">
        <v>9.9999999999999995E-7</v>
      </c>
      <c r="GM25" s="64">
        <v>3.0000000000000001E-6</v>
      </c>
      <c r="GN25" s="64">
        <v>0</v>
      </c>
      <c r="GO25" s="64">
        <v>0</v>
      </c>
      <c r="GP25" s="64">
        <v>0</v>
      </c>
      <c r="GQ25" s="64">
        <v>1.9999999999999999E-6</v>
      </c>
      <c r="GR25" s="64">
        <v>1.9999999999999999E-6</v>
      </c>
      <c r="GS25" s="64">
        <v>0</v>
      </c>
      <c r="GT25" s="64">
        <v>0</v>
      </c>
      <c r="GU25" s="64">
        <v>0</v>
      </c>
      <c r="GV25" s="64">
        <v>0</v>
      </c>
      <c r="GW25" s="64">
        <v>0</v>
      </c>
      <c r="GX25" s="64">
        <v>0</v>
      </c>
      <c r="GY25" s="64">
        <v>0</v>
      </c>
      <c r="GZ25" s="64">
        <v>0</v>
      </c>
      <c r="HA25" s="64">
        <v>0</v>
      </c>
      <c r="HB25" s="64">
        <v>0</v>
      </c>
      <c r="HC25" s="64">
        <v>0</v>
      </c>
      <c r="HD25" s="64">
        <v>0</v>
      </c>
      <c r="HE25" s="64">
        <v>0</v>
      </c>
      <c r="HF25" s="64">
        <v>0</v>
      </c>
      <c r="HG25" s="64">
        <v>0</v>
      </c>
      <c r="HH25" s="64">
        <v>0</v>
      </c>
      <c r="HI25" s="64">
        <v>0</v>
      </c>
      <c r="HJ25" s="64">
        <v>0</v>
      </c>
      <c r="HK25" s="64">
        <v>0</v>
      </c>
      <c r="HL25" s="64">
        <v>0</v>
      </c>
      <c r="HM25" s="64">
        <v>0</v>
      </c>
      <c r="HN25" s="64">
        <v>0</v>
      </c>
      <c r="HO25" s="64">
        <v>0</v>
      </c>
      <c r="HP25" s="64">
        <v>0</v>
      </c>
      <c r="HQ25" s="64">
        <v>0</v>
      </c>
      <c r="HR25" s="64">
        <v>0</v>
      </c>
      <c r="HS25" s="64">
        <v>0</v>
      </c>
      <c r="HT25" s="64">
        <v>0</v>
      </c>
      <c r="HU25" s="64">
        <v>0</v>
      </c>
      <c r="HV25" s="64">
        <v>0</v>
      </c>
      <c r="HW25" s="64">
        <v>0</v>
      </c>
      <c r="HX25" s="64">
        <v>0</v>
      </c>
      <c r="HY25" s="64">
        <v>0</v>
      </c>
      <c r="HZ25" s="64">
        <v>0</v>
      </c>
      <c r="IA25" s="64">
        <v>0</v>
      </c>
      <c r="IB25" s="64">
        <v>0</v>
      </c>
      <c r="IC25" s="64">
        <v>0</v>
      </c>
      <c r="ID25" s="64">
        <v>0</v>
      </c>
      <c r="IE25" s="64">
        <v>0</v>
      </c>
      <c r="IF25" s="64">
        <v>0</v>
      </c>
      <c r="IG25" s="64">
        <v>0</v>
      </c>
      <c r="IH25" s="64">
        <v>0</v>
      </c>
      <c r="II25" s="64">
        <v>0</v>
      </c>
      <c r="IJ25" s="64">
        <v>0</v>
      </c>
      <c r="IK25" s="64">
        <v>0</v>
      </c>
      <c r="IL25" s="64">
        <v>9.9999999999999995E-7</v>
      </c>
      <c r="IM25" s="64">
        <v>9.9999999999999995E-7</v>
      </c>
      <c r="IN25" s="64">
        <v>9.9999999999999995E-7</v>
      </c>
      <c r="IO25" s="64">
        <v>9.9999999999999995E-7</v>
      </c>
      <c r="IP25" s="64">
        <v>9.9999999999999995E-7</v>
      </c>
      <c r="IQ25" s="64">
        <v>0</v>
      </c>
      <c r="IR25" s="64">
        <v>0</v>
      </c>
      <c r="IS25" s="64">
        <v>9.9999999999999995E-7</v>
      </c>
      <c r="IT25" s="64">
        <v>0</v>
      </c>
      <c r="IU25" s="64">
        <v>3.0000000000000001E-6</v>
      </c>
      <c r="IV25" s="64">
        <v>0</v>
      </c>
      <c r="IW25" s="64">
        <v>0</v>
      </c>
      <c r="IX25" s="64">
        <v>0</v>
      </c>
      <c r="IY25" s="64">
        <v>9.9999999999999995E-7</v>
      </c>
      <c r="IZ25" s="64">
        <v>0</v>
      </c>
      <c r="JA25" s="64">
        <v>0</v>
      </c>
      <c r="JB25" s="64">
        <v>0</v>
      </c>
      <c r="JC25" s="64">
        <v>0</v>
      </c>
      <c r="JD25" s="64">
        <v>0</v>
      </c>
      <c r="JE25" s="64">
        <v>0</v>
      </c>
      <c r="JF25" s="64">
        <v>0</v>
      </c>
      <c r="JG25" s="64">
        <v>0</v>
      </c>
      <c r="JH25" s="64">
        <v>0</v>
      </c>
      <c r="JI25" s="64">
        <v>0</v>
      </c>
      <c r="JJ25" s="64">
        <v>0</v>
      </c>
      <c r="JK25" s="64">
        <v>0</v>
      </c>
      <c r="JL25" s="64">
        <v>9.9999999999999995E-7</v>
      </c>
      <c r="JM25" s="64">
        <v>9.9999999999999995E-7</v>
      </c>
      <c r="JN25" s="64">
        <v>9.9999999999999995E-7</v>
      </c>
      <c r="JO25" s="64">
        <v>9.9999999999999995E-7</v>
      </c>
      <c r="JP25" s="64">
        <v>9.9999999999999995E-7</v>
      </c>
      <c r="JQ25" s="64">
        <v>9.9999999999999995E-7</v>
      </c>
      <c r="JR25" s="64">
        <v>9.9999999999999995E-7</v>
      </c>
      <c r="JS25" s="64">
        <v>1.9999999999999999E-6</v>
      </c>
      <c r="JT25" s="64">
        <v>1.9999999999999999E-6</v>
      </c>
      <c r="JU25" s="64">
        <v>0</v>
      </c>
      <c r="JV25" s="64">
        <v>0</v>
      </c>
      <c r="JW25" s="64">
        <v>9.9999999999999995E-7</v>
      </c>
      <c r="JX25" s="64">
        <v>9.9999999999999995E-7</v>
      </c>
      <c r="JY25" s="64">
        <v>1.9999999999999999E-6</v>
      </c>
      <c r="JZ25" s="64">
        <v>0</v>
      </c>
      <c r="KA25" s="64">
        <v>2.1999999999999999E-5</v>
      </c>
      <c r="KB25" s="64">
        <v>1.26E-4</v>
      </c>
      <c r="KC25" s="64">
        <v>0</v>
      </c>
      <c r="KD25" s="64">
        <v>0</v>
      </c>
      <c r="KE25" s="64">
        <v>5.0000000000000004E-6</v>
      </c>
      <c r="KF25" s="64">
        <v>3.0000000000000001E-6</v>
      </c>
      <c r="KG25" s="64">
        <v>6.0000000000000002E-6</v>
      </c>
      <c r="KH25" s="64">
        <v>3.6000000000000001E-5</v>
      </c>
      <c r="KI25" s="64">
        <v>9.9999999999999995E-7</v>
      </c>
      <c r="KJ25" s="64">
        <v>0</v>
      </c>
      <c r="KK25" s="64">
        <v>0</v>
      </c>
      <c r="KL25" s="64">
        <v>9.9999999999999995E-7</v>
      </c>
      <c r="KM25" s="64">
        <v>9.9999999999999995E-7</v>
      </c>
      <c r="KN25" s="64">
        <v>0</v>
      </c>
      <c r="KO25" s="64">
        <v>0</v>
      </c>
      <c r="KP25" s="64">
        <v>0</v>
      </c>
      <c r="KQ25" s="64">
        <v>0</v>
      </c>
      <c r="KR25" s="64">
        <v>0</v>
      </c>
      <c r="KS25" s="64">
        <v>0</v>
      </c>
      <c r="KT25" s="64">
        <v>0</v>
      </c>
      <c r="KU25" s="64">
        <v>0</v>
      </c>
      <c r="KV25" s="64">
        <v>0</v>
      </c>
      <c r="KW25" s="64">
        <v>0</v>
      </c>
      <c r="KX25" s="64">
        <v>0</v>
      </c>
      <c r="KY25" s="64">
        <v>0</v>
      </c>
      <c r="KZ25" s="64">
        <v>0</v>
      </c>
      <c r="LA25" s="64">
        <v>0</v>
      </c>
      <c r="LB25" s="64">
        <v>0</v>
      </c>
      <c r="LC25" s="64">
        <v>0</v>
      </c>
      <c r="LD25" s="64">
        <v>0</v>
      </c>
      <c r="LE25" s="64">
        <v>0</v>
      </c>
      <c r="LF25" s="64">
        <v>0</v>
      </c>
      <c r="LG25" s="64">
        <v>0</v>
      </c>
      <c r="LH25" s="64">
        <v>0</v>
      </c>
      <c r="LI25" s="64">
        <v>0</v>
      </c>
      <c r="LJ25" s="64">
        <v>0</v>
      </c>
      <c r="LK25" s="64">
        <v>0</v>
      </c>
      <c r="LL25" s="64">
        <v>0</v>
      </c>
      <c r="LM25" s="64">
        <v>0</v>
      </c>
      <c r="LN25" s="64">
        <v>0</v>
      </c>
      <c r="LO25" s="64">
        <v>0</v>
      </c>
      <c r="LP25" s="64">
        <v>0</v>
      </c>
      <c r="LQ25" s="64">
        <v>0</v>
      </c>
      <c r="LR25" s="64">
        <v>0</v>
      </c>
      <c r="LS25" s="64">
        <v>0</v>
      </c>
      <c r="LT25" s="64">
        <v>0</v>
      </c>
      <c r="LU25" s="64">
        <v>0</v>
      </c>
      <c r="LV25" s="64">
        <v>0</v>
      </c>
      <c r="LW25" s="64">
        <v>0</v>
      </c>
      <c r="LX25" s="64">
        <v>0</v>
      </c>
      <c r="LY25" s="64">
        <v>0</v>
      </c>
      <c r="LZ25" s="64">
        <v>0</v>
      </c>
      <c r="MA25" s="64">
        <v>0</v>
      </c>
      <c r="MB25" s="64">
        <v>0</v>
      </c>
      <c r="MC25" s="64">
        <v>0</v>
      </c>
      <c r="MD25" s="64">
        <v>0</v>
      </c>
      <c r="ME25" s="64">
        <v>0</v>
      </c>
      <c r="MF25" s="64">
        <v>0</v>
      </c>
      <c r="MG25" s="64">
        <v>0</v>
      </c>
      <c r="MH25" s="64">
        <v>0</v>
      </c>
      <c r="MI25" s="64">
        <v>0</v>
      </c>
      <c r="MJ25" s="64">
        <v>0</v>
      </c>
      <c r="MK25" s="64">
        <v>0</v>
      </c>
      <c r="ML25" s="64">
        <v>0</v>
      </c>
      <c r="MM25" s="64">
        <v>0</v>
      </c>
      <c r="MN25" s="64">
        <v>0</v>
      </c>
      <c r="MO25" s="64">
        <v>0</v>
      </c>
      <c r="MP25" s="64">
        <v>0</v>
      </c>
      <c r="MQ25" s="64">
        <v>0</v>
      </c>
      <c r="MR25" s="64">
        <v>0</v>
      </c>
      <c r="MS25" s="64">
        <v>0</v>
      </c>
      <c r="MT25" s="64">
        <v>0</v>
      </c>
      <c r="MU25" s="64">
        <v>0</v>
      </c>
      <c r="MV25" s="64">
        <v>0</v>
      </c>
      <c r="MW25" s="64">
        <v>0</v>
      </c>
      <c r="MX25" s="64">
        <v>0</v>
      </c>
      <c r="MY25" s="64">
        <v>0</v>
      </c>
      <c r="MZ25" s="64">
        <v>0</v>
      </c>
      <c r="NA25" s="64">
        <v>0</v>
      </c>
      <c r="NB25" s="64"/>
      <c r="NC25" s="64"/>
      <c r="ND25" s="64"/>
      <c r="NE25" s="64"/>
      <c r="NF25" s="64"/>
      <c r="NG25" s="64"/>
      <c r="NH25" s="64"/>
      <c r="NI25" s="64"/>
      <c r="NJ25" s="64"/>
      <c r="NK25" s="64"/>
      <c r="NL25" s="64"/>
      <c r="NM25" s="64"/>
      <c r="NN25" s="64"/>
      <c r="NO25" s="64"/>
      <c r="NP25" s="64"/>
      <c r="NQ25" s="64"/>
      <c r="NR25" s="64"/>
      <c r="NS25" s="64"/>
      <c r="NT25" s="64"/>
      <c r="NU25" s="64"/>
      <c r="NV25" s="64"/>
      <c r="NW25" s="64"/>
      <c r="NX25" s="64"/>
      <c r="NY25" s="64"/>
      <c r="NZ25" s="64"/>
      <c r="OA25" s="64"/>
      <c r="OB25" s="64"/>
      <c r="OC25" s="64"/>
      <c r="OD25" s="64"/>
      <c r="OE25" s="64"/>
      <c r="OF25" s="64"/>
      <c r="OG25" s="64"/>
      <c r="OH25" s="64"/>
      <c r="OI25" s="64"/>
      <c r="OJ25" s="64"/>
      <c r="OK25" s="64"/>
      <c r="OL25" s="64"/>
      <c r="OM25" s="64"/>
      <c r="ON25" s="64"/>
      <c r="OO25" s="64"/>
      <c r="OP25" s="64"/>
      <c r="OQ25" s="64"/>
      <c r="OR25" s="64"/>
      <c r="OS25" s="64"/>
    </row>
    <row r="26" spans="1:409">
      <c r="A26" s="65" t="s">
        <v>99</v>
      </c>
      <c r="B26" s="65" t="s">
        <v>17</v>
      </c>
      <c r="C26" s="65">
        <v>7.397764043808857E-4</v>
      </c>
      <c r="D26" s="65">
        <v>7.859126329886312E-3</v>
      </c>
      <c r="E26" s="65">
        <v>6.2697788809004706E-4</v>
      </c>
      <c r="F26" s="65">
        <v>0</v>
      </c>
      <c r="G26" s="65">
        <v>0</v>
      </c>
      <c r="H26" s="65">
        <v>2.9563333023850729E-3</v>
      </c>
      <c r="I26" s="65">
        <v>4.3018274144470568E-3</v>
      </c>
      <c r="J26" s="65">
        <v>9.8561448816848665E-3</v>
      </c>
      <c r="K26" s="65">
        <v>6.0704190956889451E-3</v>
      </c>
      <c r="L26" s="65">
        <v>5.3461798005701036E-3</v>
      </c>
      <c r="M26" s="65">
        <v>4.2429943271790876E-3</v>
      </c>
      <c r="N26" s="65">
        <v>1.628455615101268E-2</v>
      </c>
      <c r="O26" s="65">
        <v>1.657268479327461E-2</v>
      </c>
      <c r="P26" s="65">
        <v>2.1354275270452998E-3</v>
      </c>
      <c r="Q26" s="65">
        <v>1.2932155818476039E-2</v>
      </c>
      <c r="R26" s="65">
        <v>1.167405034449385E-2</v>
      </c>
      <c r="S26" s="65">
        <v>2.6610000000000002E-2</v>
      </c>
      <c r="T26" s="65">
        <v>2.0580000000000011E-2</v>
      </c>
      <c r="U26" s="65">
        <v>8.5170000000000003E-3</v>
      </c>
      <c r="V26" s="65">
        <v>1.4955E-2</v>
      </c>
      <c r="W26" s="65">
        <v>3.0668000000000001E-2</v>
      </c>
      <c r="X26" s="65">
        <v>2.1410999999999999E-2</v>
      </c>
      <c r="Y26" s="65">
        <v>8.7554999999999994E-2</v>
      </c>
      <c r="Z26" s="65">
        <v>1.0349999999999999E-3</v>
      </c>
      <c r="AA26" s="65">
        <v>2.7743E-2</v>
      </c>
      <c r="AB26" s="65">
        <v>1.0703000000000001E-2</v>
      </c>
      <c r="AC26" s="65">
        <v>4.3207000000000002E-2</v>
      </c>
      <c r="AD26" s="65">
        <v>1.2049000000000001E-2</v>
      </c>
      <c r="AE26" s="65">
        <v>7.1219999999999999E-3</v>
      </c>
      <c r="AF26" s="65">
        <v>1.8127000000000001E-2</v>
      </c>
      <c r="AG26" s="65">
        <v>1.3180000000000001E-2</v>
      </c>
      <c r="AH26" s="65">
        <v>5.2751104522519708E-2</v>
      </c>
      <c r="AI26" s="65">
        <v>1.092780522058724E-2</v>
      </c>
      <c r="AJ26" s="65">
        <v>3.9999999999999998E-6</v>
      </c>
      <c r="AK26" s="65">
        <v>3.9999999999999998E-6</v>
      </c>
      <c r="AL26" s="65">
        <v>3.9999999999999998E-6</v>
      </c>
      <c r="AM26" s="65">
        <v>3.9999999999999998E-6</v>
      </c>
      <c r="AN26" s="65">
        <v>0</v>
      </c>
      <c r="AO26" s="65">
        <v>9.9999999999999995E-7</v>
      </c>
      <c r="AP26" s="65">
        <v>9.9999999999999995E-7</v>
      </c>
      <c r="AQ26" s="65">
        <v>9.9999999999999995E-7</v>
      </c>
      <c r="AR26" s="65">
        <v>9.9999999999999995E-7</v>
      </c>
      <c r="AS26" s="65">
        <v>9.9999999999999995E-7</v>
      </c>
      <c r="AT26" s="65">
        <v>9.9999999999999995E-7</v>
      </c>
      <c r="AU26" s="65">
        <v>9.9999999999999995E-7</v>
      </c>
      <c r="AV26" s="65">
        <v>1.9999999999999999E-6</v>
      </c>
      <c r="AW26" s="65">
        <v>1.9999999999999999E-6</v>
      </c>
      <c r="AX26" s="65">
        <v>3.9999999999999998E-6</v>
      </c>
      <c r="AY26" s="65">
        <v>3.9999999999999998E-6</v>
      </c>
      <c r="AZ26" s="65">
        <v>6.9999999999999999E-6</v>
      </c>
      <c r="BA26" s="65">
        <v>6.0000000000000002E-6</v>
      </c>
      <c r="BB26" s="65">
        <v>3.9999999999999998E-6</v>
      </c>
      <c r="BC26" s="65">
        <v>1.9999999999999999E-6</v>
      </c>
      <c r="BD26" s="65">
        <v>1.9999999999999999E-6</v>
      </c>
      <c r="BE26" s="65">
        <v>1.9999999999999999E-6</v>
      </c>
      <c r="BF26" s="65">
        <v>2.9E-5</v>
      </c>
      <c r="BG26" s="65">
        <v>0</v>
      </c>
      <c r="BH26" s="65">
        <v>9.9999999999999995E-7</v>
      </c>
      <c r="BI26" s="65">
        <v>9.9999999999999995E-7</v>
      </c>
      <c r="BJ26" s="65">
        <v>1.9999999999999999E-6</v>
      </c>
      <c r="BK26" s="65">
        <v>3.0000000000000001E-6</v>
      </c>
      <c r="BL26" s="65">
        <v>9.9999999999999995E-7</v>
      </c>
      <c r="BM26" s="65">
        <v>0</v>
      </c>
      <c r="BN26" s="65">
        <v>0</v>
      </c>
      <c r="BO26" s="65">
        <v>1.9999999999999999E-6</v>
      </c>
      <c r="BP26" s="65">
        <v>1.9999999999999999E-6</v>
      </c>
      <c r="BQ26" s="65">
        <v>0</v>
      </c>
      <c r="BR26" s="65">
        <v>0</v>
      </c>
      <c r="BS26" s="65">
        <v>0</v>
      </c>
      <c r="BT26" s="65">
        <v>0</v>
      </c>
      <c r="BU26" s="65">
        <v>0</v>
      </c>
      <c r="BV26" s="65">
        <v>0</v>
      </c>
      <c r="BW26" s="65">
        <v>0</v>
      </c>
      <c r="BX26" s="65">
        <v>0</v>
      </c>
      <c r="BY26" s="65">
        <v>0</v>
      </c>
      <c r="BZ26" s="65">
        <v>0</v>
      </c>
      <c r="CA26" s="65">
        <v>0</v>
      </c>
      <c r="CB26" s="65">
        <v>0</v>
      </c>
      <c r="CC26" s="65">
        <v>0</v>
      </c>
      <c r="CD26" s="65">
        <v>0</v>
      </c>
      <c r="CE26" s="65">
        <v>0</v>
      </c>
      <c r="CF26" s="65">
        <v>0</v>
      </c>
      <c r="CG26" s="65">
        <v>9.9999999999999995E-7</v>
      </c>
      <c r="CH26" s="65">
        <v>0</v>
      </c>
      <c r="CI26" s="65">
        <v>3.0000000000000001E-6</v>
      </c>
      <c r="CJ26" s="65">
        <v>0</v>
      </c>
      <c r="CK26" s="65">
        <v>0</v>
      </c>
      <c r="CL26" s="65">
        <v>0</v>
      </c>
      <c r="CM26" s="65">
        <v>9.9999999999999995E-7</v>
      </c>
      <c r="CN26" s="65">
        <v>0</v>
      </c>
      <c r="CO26" s="65">
        <v>0</v>
      </c>
      <c r="CP26" s="65">
        <v>0</v>
      </c>
      <c r="CQ26" s="65">
        <v>0</v>
      </c>
      <c r="CR26" s="65">
        <v>0</v>
      </c>
      <c r="CS26" s="65">
        <v>0</v>
      </c>
      <c r="CT26" s="65">
        <v>0</v>
      </c>
      <c r="CU26" s="65">
        <v>0</v>
      </c>
      <c r="CV26" s="65">
        <v>0</v>
      </c>
      <c r="CW26" s="65">
        <v>0</v>
      </c>
      <c r="CX26" s="65">
        <v>0</v>
      </c>
      <c r="CY26" s="65">
        <v>0</v>
      </c>
      <c r="CZ26" s="65">
        <v>0</v>
      </c>
      <c r="DA26" s="65">
        <v>0</v>
      </c>
      <c r="DB26" s="65">
        <v>0</v>
      </c>
      <c r="DC26" s="65">
        <v>0</v>
      </c>
      <c r="DD26" s="65">
        <v>0</v>
      </c>
      <c r="DE26" s="65">
        <v>0</v>
      </c>
      <c r="DF26" s="65">
        <v>0</v>
      </c>
      <c r="DG26" s="65">
        <v>0</v>
      </c>
      <c r="DH26" s="65">
        <v>0</v>
      </c>
      <c r="DI26" s="65">
        <v>0</v>
      </c>
      <c r="DJ26" s="65">
        <v>0</v>
      </c>
      <c r="DK26" s="65">
        <v>0</v>
      </c>
      <c r="DL26" s="65">
        <v>0</v>
      </c>
      <c r="DM26" s="65">
        <v>0</v>
      </c>
      <c r="DN26" s="65">
        <v>0</v>
      </c>
      <c r="DO26" s="65">
        <v>0</v>
      </c>
      <c r="DP26" s="65">
        <v>0</v>
      </c>
      <c r="DQ26" s="65">
        <v>0</v>
      </c>
      <c r="DR26" s="65">
        <v>0</v>
      </c>
      <c r="DS26" s="65">
        <v>0</v>
      </c>
      <c r="DT26" s="65">
        <v>0</v>
      </c>
      <c r="DU26" s="65">
        <v>0</v>
      </c>
      <c r="DV26" s="65">
        <v>0</v>
      </c>
      <c r="DW26" s="65">
        <v>0</v>
      </c>
      <c r="DX26" s="65">
        <v>0</v>
      </c>
      <c r="DY26" s="65">
        <v>9.9999999999999995E-7</v>
      </c>
      <c r="DZ26" s="65">
        <v>0</v>
      </c>
      <c r="EA26" s="65">
        <v>0</v>
      </c>
      <c r="EB26" s="65">
        <v>0</v>
      </c>
      <c r="EC26" s="65">
        <v>0</v>
      </c>
      <c r="ED26" s="65">
        <v>0</v>
      </c>
      <c r="EE26" s="65">
        <v>0</v>
      </c>
      <c r="EF26" s="65">
        <v>0</v>
      </c>
      <c r="EG26" s="65">
        <v>0</v>
      </c>
      <c r="EH26" s="65">
        <v>0</v>
      </c>
      <c r="EI26" s="65">
        <v>0</v>
      </c>
      <c r="EJ26" s="65">
        <v>0</v>
      </c>
      <c r="EK26" s="65">
        <v>0</v>
      </c>
      <c r="EL26" s="65">
        <v>0</v>
      </c>
      <c r="EM26" s="65">
        <v>0</v>
      </c>
      <c r="EN26" s="65">
        <v>0</v>
      </c>
      <c r="EO26" s="65">
        <v>0</v>
      </c>
      <c r="EP26" s="65">
        <v>0</v>
      </c>
      <c r="EQ26" s="65">
        <v>0</v>
      </c>
      <c r="ER26" s="65">
        <v>0</v>
      </c>
      <c r="ES26" s="65">
        <v>0</v>
      </c>
      <c r="ET26" s="65">
        <v>0</v>
      </c>
      <c r="EU26" s="65">
        <v>0</v>
      </c>
      <c r="EV26" s="65">
        <v>0</v>
      </c>
      <c r="EW26" s="65">
        <v>0</v>
      </c>
      <c r="EX26" s="65">
        <v>0</v>
      </c>
      <c r="EY26" s="65">
        <v>0</v>
      </c>
      <c r="EZ26" s="65">
        <v>0</v>
      </c>
      <c r="FA26" s="65">
        <v>0</v>
      </c>
      <c r="FB26" s="65">
        <v>0</v>
      </c>
      <c r="FC26" s="65">
        <v>0</v>
      </c>
      <c r="FD26" s="65">
        <v>0</v>
      </c>
      <c r="FE26" s="65">
        <v>0</v>
      </c>
      <c r="FF26" s="65">
        <v>0</v>
      </c>
      <c r="FG26" s="65">
        <v>0</v>
      </c>
      <c r="FH26" s="65">
        <v>0</v>
      </c>
      <c r="FI26" s="65">
        <v>0</v>
      </c>
      <c r="FJ26" s="65">
        <v>0</v>
      </c>
      <c r="FK26" s="65">
        <v>0</v>
      </c>
      <c r="FL26" s="65">
        <v>9.9999999999999995E-7</v>
      </c>
      <c r="FM26" s="65">
        <v>9.9999999999999995E-7</v>
      </c>
      <c r="FN26" s="65">
        <v>9.9999999999999995E-7</v>
      </c>
      <c r="FO26" s="65">
        <v>9.9999999999999995E-7</v>
      </c>
      <c r="FP26" s="65">
        <v>0</v>
      </c>
      <c r="FQ26" s="65">
        <v>1.9999999999999999E-6</v>
      </c>
      <c r="FR26" s="65">
        <v>1.9999999999999999E-6</v>
      </c>
      <c r="FS26" s="65">
        <v>1.9999999999999999E-6</v>
      </c>
      <c r="FT26" s="65">
        <v>1.9999999999999999E-6</v>
      </c>
      <c r="FU26" s="65">
        <v>1.9999999999999999E-6</v>
      </c>
      <c r="FV26" s="65">
        <v>1.9999999999999999E-6</v>
      </c>
      <c r="FW26" s="65">
        <v>1.9999999999999999E-6</v>
      </c>
      <c r="FX26" s="65">
        <v>3.0000000000000001E-6</v>
      </c>
      <c r="FY26" s="65">
        <v>3.0000000000000001E-6</v>
      </c>
      <c r="FZ26" s="65">
        <v>3.0000000000000001E-6</v>
      </c>
      <c r="GA26" s="65">
        <v>3.0000000000000001E-6</v>
      </c>
      <c r="GB26" s="65">
        <v>6.9999999999999999E-6</v>
      </c>
      <c r="GC26" s="65">
        <v>7.9999999999999996E-6</v>
      </c>
      <c r="GD26" s="65">
        <v>6.9999999999999999E-6</v>
      </c>
      <c r="GE26" s="65">
        <v>1.9999999999999999E-6</v>
      </c>
      <c r="GF26" s="65">
        <v>3.0000000000000001E-6</v>
      </c>
      <c r="GG26" s="65">
        <v>3.0000000000000001E-6</v>
      </c>
      <c r="GH26" s="65">
        <v>3.4999999999999997E-5</v>
      </c>
      <c r="GI26" s="65">
        <v>1.9999999999999999E-6</v>
      </c>
      <c r="GJ26" s="65">
        <v>3.0000000000000001E-6</v>
      </c>
      <c r="GK26" s="65">
        <v>3.0000000000000001E-6</v>
      </c>
      <c r="GL26" s="65">
        <v>3.0000000000000001E-6</v>
      </c>
      <c r="GM26" s="65">
        <v>5.0000000000000004E-6</v>
      </c>
      <c r="GN26" s="65">
        <v>9.9999999999999995E-7</v>
      </c>
      <c r="GO26" s="65">
        <v>0</v>
      </c>
      <c r="GP26" s="65">
        <v>0</v>
      </c>
      <c r="GQ26" s="65">
        <v>1.9999999999999999E-6</v>
      </c>
      <c r="GR26" s="65">
        <v>1.9999999999999999E-6</v>
      </c>
      <c r="GS26" s="65">
        <v>0</v>
      </c>
      <c r="GT26" s="65">
        <v>0</v>
      </c>
      <c r="GU26" s="65">
        <v>0</v>
      </c>
      <c r="GV26" s="65">
        <v>0</v>
      </c>
      <c r="GW26" s="65">
        <v>0</v>
      </c>
      <c r="GX26" s="65">
        <v>0</v>
      </c>
      <c r="GY26" s="65">
        <v>0</v>
      </c>
      <c r="GZ26" s="65">
        <v>0</v>
      </c>
      <c r="HA26" s="65">
        <v>0</v>
      </c>
      <c r="HB26" s="65">
        <v>0</v>
      </c>
      <c r="HC26" s="65">
        <v>0</v>
      </c>
      <c r="HD26" s="65">
        <v>0</v>
      </c>
      <c r="HE26" s="65">
        <v>0</v>
      </c>
      <c r="HF26" s="65">
        <v>0</v>
      </c>
      <c r="HG26" s="65">
        <v>0</v>
      </c>
      <c r="HH26" s="65">
        <v>0</v>
      </c>
      <c r="HI26" s="65">
        <v>0</v>
      </c>
      <c r="HJ26" s="65">
        <v>0</v>
      </c>
      <c r="HK26" s="65">
        <v>0</v>
      </c>
      <c r="HL26" s="65">
        <v>0</v>
      </c>
      <c r="HM26" s="65">
        <v>0</v>
      </c>
      <c r="HN26" s="65">
        <v>9.9999999999999995E-7</v>
      </c>
      <c r="HO26" s="65">
        <v>0</v>
      </c>
      <c r="HP26" s="65">
        <v>0</v>
      </c>
      <c r="HQ26" s="65">
        <v>0</v>
      </c>
      <c r="HR26" s="65">
        <v>0</v>
      </c>
      <c r="HS26" s="65">
        <v>0</v>
      </c>
      <c r="HT26" s="65">
        <v>9.9999999999999995E-7</v>
      </c>
      <c r="HU26" s="65">
        <v>0</v>
      </c>
      <c r="HV26" s="65">
        <v>0</v>
      </c>
      <c r="HW26" s="65">
        <v>0</v>
      </c>
      <c r="HX26" s="65">
        <v>0</v>
      </c>
      <c r="HY26" s="65">
        <v>0</v>
      </c>
      <c r="HZ26" s="65">
        <v>0</v>
      </c>
      <c r="IA26" s="65">
        <v>0</v>
      </c>
      <c r="IB26" s="65">
        <v>0</v>
      </c>
      <c r="IC26" s="65">
        <v>0</v>
      </c>
      <c r="ID26" s="65">
        <v>0</v>
      </c>
      <c r="IE26" s="65">
        <v>0</v>
      </c>
      <c r="IF26" s="65">
        <v>0</v>
      </c>
      <c r="IG26" s="65">
        <v>0</v>
      </c>
      <c r="IH26" s="65">
        <v>0</v>
      </c>
      <c r="II26" s="65">
        <v>0</v>
      </c>
      <c r="IJ26" s="65">
        <v>0</v>
      </c>
      <c r="IK26" s="65">
        <v>0</v>
      </c>
      <c r="IL26" s="65">
        <v>0</v>
      </c>
      <c r="IM26" s="65">
        <v>0</v>
      </c>
      <c r="IN26" s="65">
        <v>0</v>
      </c>
      <c r="IO26" s="65">
        <v>0</v>
      </c>
      <c r="IP26" s="65">
        <v>9.9999999999999995E-7</v>
      </c>
      <c r="IQ26" s="65">
        <v>0</v>
      </c>
      <c r="IR26" s="65">
        <v>0</v>
      </c>
      <c r="IS26" s="65">
        <v>0</v>
      </c>
      <c r="IT26" s="65">
        <v>0</v>
      </c>
      <c r="IU26" s="65">
        <v>0</v>
      </c>
      <c r="IV26" s="65">
        <v>0</v>
      </c>
      <c r="IW26" s="65">
        <v>0</v>
      </c>
      <c r="IX26" s="65">
        <v>0</v>
      </c>
      <c r="IY26" s="65">
        <v>0</v>
      </c>
      <c r="IZ26" s="65">
        <v>0</v>
      </c>
      <c r="JA26" s="65">
        <v>9.9999999999999995E-7</v>
      </c>
      <c r="JB26" s="65">
        <v>9.9999999999999995E-7</v>
      </c>
      <c r="JC26" s="65">
        <v>0</v>
      </c>
      <c r="JD26" s="65">
        <v>0</v>
      </c>
      <c r="JE26" s="65">
        <v>0</v>
      </c>
      <c r="JF26" s="65">
        <v>0</v>
      </c>
      <c r="JG26" s="65">
        <v>6.9999999999999999E-6</v>
      </c>
      <c r="JH26" s="65">
        <v>6.9999999999999999E-6</v>
      </c>
      <c r="JI26" s="65">
        <v>6.9999999999999999E-6</v>
      </c>
      <c r="JJ26" s="65">
        <v>6.9999999999999999E-6</v>
      </c>
      <c r="JK26" s="65">
        <v>0</v>
      </c>
      <c r="JL26" s="65">
        <v>2.0999999999999999E-5</v>
      </c>
      <c r="JM26" s="65">
        <v>2.0999999999999999E-5</v>
      </c>
      <c r="JN26" s="65">
        <v>2.0999999999999999E-5</v>
      </c>
      <c r="JO26" s="65">
        <v>2.0999999999999999E-5</v>
      </c>
      <c r="JP26" s="65">
        <v>2.0999999999999999E-5</v>
      </c>
      <c r="JQ26" s="65">
        <v>2.0999999999999999E-5</v>
      </c>
      <c r="JR26" s="65">
        <v>2.0999999999999999E-5</v>
      </c>
      <c r="JS26" s="65">
        <v>1.2999999999999999E-5</v>
      </c>
      <c r="JT26" s="65">
        <v>1.2999999999999999E-5</v>
      </c>
      <c r="JU26" s="65">
        <v>5.0000000000000004E-6</v>
      </c>
      <c r="JV26" s="65">
        <v>5.0000000000000004E-6</v>
      </c>
      <c r="JW26" s="65">
        <v>6.3E-5</v>
      </c>
      <c r="JX26" s="65">
        <v>0</v>
      </c>
      <c r="JY26" s="65">
        <v>1.4E-5</v>
      </c>
      <c r="JZ26" s="65">
        <v>9.9999999999999995E-7</v>
      </c>
      <c r="KA26" s="65">
        <v>9.0000000000000002E-6</v>
      </c>
      <c r="KB26" s="65">
        <v>2.0999999999999999E-5</v>
      </c>
      <c r="KC26" s="65">
        <v>5.04E-4</v>
      </c>
      <c r="KD26" s="65">
        <v>0</v>
      </c>
      <c r="KE26" s="65">
        <v>1.9999999999999999E-6</v>
      </c>
      <c r="KF26" s="65">
        <v>1.9999999999999999E-6</v>
      </c>
      <c r="KG26" s="65">
        <v>1.1E-5</v>
      </c>
      <c r="KH26" s="65">
        <v>5.0000000000000004E-6</v>
      </c>
      <c r="KI26" s="65">
        <v>3.0000000000000001E-6</v>
      </c>
      <c r="KJ26" s="65">
        <v>0</v>
      </c>
      <c r="KK26" s="65">
        <v>0</v>
      </c>
      <c r="KL26" s="65">
        <v>1.9999999999999999E-6</v>
      </c>
      <c r="KM26" s="65">
        <v>1.9999999999999999E-6</v>
      </c>
      <c r="KN26" s="65">
        <v>0</v>
      </c>
      <c r="KO26" s="65">
        <v>0</v>
      </c>
      <c r="KP26" s="65">
        <v>0</v>
      </c>
      <c r="KQ26" s="65">
        <v>0</v>
      </c>
      <c r="KR26" s="65">
        <v>0</v>
      </c>
      <c r="KS26" s="65">
        <v>0</v>
      </c>
      <c r="KT26" s="65">
        <v>0</v>
      </c>
      <c r="KU26" s="65">
        <v>0</v>
      </c>
      <c r="KV26" s="65">
        <v>0</v>
      </c>
      <c r="KW26" s="65">
        <v>0</v>
      </c>
      <c r="KX26" s="65">
        <v>0</v>
      </c>
      <c r="KY26" s="65">
        <v>0</v>
      </c>
      <c r="KZ26" s="65">
        <v>0</v>
      </c>
      <c r="LA26" s="65">
        <v>0</v>
      </c>
      <c r="LB26" s="65">
        <v>0</v>
      </c>
      <c r="LC26" s="65">
        <v>0</v>
      </c>
      <c r="LD26" s="65">
        <v>0</v>
      </c>
      <c r="LE26" s="65">
        <v>0</v>
      </c>
      <c r="LF26" s="65">
        <v>0</v>
      </c>
      <c r="LG26" s="65">
        <v>0</v>
      </c>
      <c r="LH26" s="65">
        <v>0</v>
      </c>
      <c r="LI26" s="65">
        <v>0</v>
      </c>
      <c r="LJ26" s="65">
        <v>9.9999999999999995E-7</v>
      </c>
      <c r="LK26" s="65">
        <v>0</v>
      </c>
      <c r="LL26" s="65">
        <v>0</v>
      </c>
      <c r="LM26" s="65">
        <v>0</v>
      </c>
      <c r="LN26" s="65">
        <v>0</v>
      </c>
      <c r="LO26" s="65">
        <v>0</v>
      </c>
      <c r="LP26" s="65">
        <v>0</v>
      </c>
      <c r="LQ26" s="65">
        <v>0</v>
      </c>
      <c r="LR26" s="65">
        <v>0</v>
      </c>
      <c r="LS26" s="65">
        <v>0</v>
      </c>
      <c r="LT26" s="65">
        <v>0</v>
      </c>
      <c r="LU26" s="65">
        <v>0</v>
      </c>
      <c r="LV26" s="65">
        <v>0</v>
      </c>
      <c r="LW26" s="65">
        <v>0</v>
      </c>
      <c r="LX26" s="65">
        <v>0</v>
      </c>
      <c r="LY26" s="65">
        <v>0</v>
      </c>
      <c r="LZ26" s="65">
        <v>0</v>
      </c>
      <c r="MA26" s="65">
        <v>0</v>
      </c>
      <c r="MB26" s="65">
        <v>0</v>
      </c>
      <c r="MC26" s="65">
        <v>0</v>
      </c>
      <c r="MD26" s="65">
        <v>0</v>
      </c>
      <c r="ME26" s="65">
        <v>0</v>
      </c>
      <c r="MF26" s="65">
        <v>0</v>
      </c>
      <c r="MG26" s="65">
        <v>0</v>
      </c>
      <c r="MH26" s="65">
        <v>0</v>
      </c>
      <c r="MI26" s="65">
        <v>0</v>
      </c>
      <c r="MJ26" s="65">
        <v>0</v>
      </c>
      <c r="MK26" s="65">
        <v>9.9999999999999995E-7</v>
      </c>
      <c r="ML26" s="65">
        <v>0</v>
      </c>
      <c r="MM26" s="65">
        <v>5.0000000000000004E-6</v>
      </c>
      <c r="MN26" s="65">
        <v>0</v>
      </c>
      <c r="MO26" s="65">
        <v>0</v>
      </c>
      <c r="MP26" s="65">
        <v>0</v>
      </c>
      <c r="MQ26" s="65">
        <v>9.9999999999999995E-7</v>
      </c>
      <c r="MR26" s="65">
        <v>0</v>
      </c>
      <c r="MS26" s="65">
        <v>0</v>
      </c>
      <c r="MT26" s="65">
        <v>0</v>
      </c>
      <c r="MU26" s="65">
        <v>0</v>
      </c>
      <c r="MV26" s="65">
        <v>0</v>
      </c>
      <c r="MW26" s="65">
        <v>0</v>
      </c>
      <c r="MX26" s="65">
        <v>0</v>
      </c>
      <c r="MY26" s="65">
        <v>0</v>
      </c>
      <c r="MZ26" s="65">
        <v>0</v>
      </c>
      <c r="NA26" s="65">
        <v>0</v>
      </c>
      <c r="NB26" s="65"/>
      <c r="NC26" s="65"/>
      <c r="ND26" s="65"/>
      <c r="NE26" s="65"/>
      <c r="NF26" s="65"/>
      <c r="NG26" s="65"/>
      <c r="NH26" s="65"/>
      <c r="NI26" s="65"/>
      <c r="NJ26" s="65"/>
      <c r="NK26" s="65"/>
      <c r="NL26" s="65"/>
      <c r="NM26" s="65"/>
      <c r="NN26" s="65"/>
      <c r="NO26" s="65"/>
      <c r="NP26" s="65"/>
      <c r="NQ26" s="65"/>
      <c r="NR26" s="65"/>
      <c r="NS26" s="65"/>
      <c r="NT26" s="65"/>
      <c r="NU26" s="65"/>
      <c r="NV26" s="65"/>
      <c r="NW26" s="65"/>
      <c r="NX26" s="65"/>
      <c r="NY26" s="65"/>
      <c r="NZ26" s="65"/>
      <c r="OA26" s="65"/>
      <c r="OB26" s="65"/>
      <c r="OC26" s="65"/>
      <c r="OD26" s="65"/>
      <c r="OE26" s="65"/>
      <c r="OF26" s="65"/>
      <c r="OG26" s="65"/>
      <c r="OH26" s="65"/>
      <c r="OI26" s="65"/>
      <c r="OJ26" s="65"/>
      <c r="OK26" s="65"/>
      <c r="OL26" s="65"/>
      <c r="OM26" s="65"/>
      <c r="ON26" s="65"/>
      <c r="OO26" s="65"/>
      <c r="OP26" s="65"/>
      <c r="OQ26" s="65"/>
      <c r="OR26" s="65"/>
      <c r="OS26" s="65"/>
    </row>
    <row r="27" spans="1:409">
      <c r="A27" s="64" t="s">
        <v>100</v>
      </c>
      <c r="B27" s="64" t="s">
        <v>18</v>
      </c>
      <c r="C27" s="64">
        <v>9.9999999999999995E-7</v>
      </c>
      <c r="D27" s="64">
        <v>9.9999999999999995E-7</v>
      </c>
      <c r="E27" s="64">
        <v>9.9999999999999995E-7</v>
      </c>
      <c r="F27" s="64">
        <v>9.9999999999999995E-7</v>
      </c>
      <c r="G27" s="64">
        <v>0</v>
      </c>
      <c r="H27" s="64">
        <v>0</v>
      </c>
      <c r="I27" s="64">
        <v>0</v>
      </c>
      <c r="J27" s="64">
        <v>0</v>
      </c>
      <c r="K27" s="64">
        <v>0</v>
      </c>
      <c r="L27" s="64">
        <v>0</v>
      </c>
      <c r="M27" s="64">
        <v>0</v>
      </c>
      <c r="N27" s="64">
        <v>0</v>
      </c>
      <c r="O27" s="64">
        <v>0</v>
      </c>
      <c r="P27" s="64">
        <v>0</v>
      </c>
      <c r="Q27" s="64">
        <v>1.2799999999999999E-4</v>
      </c>
      <c r="R27" s="64">
        <v>1.2799999999999999E-4</v>
      </c>
      <c r="S27" s="64">
        <v>0</v>
      </c>
      <c r="T27" s="64">
        <v>0</v>
      </c>
      <c r="U27" s="64">
        <v>0</v>
      </c>
      <c r="V27" s="64">
        <v>1.8977000000000001E-2</v>
      </c>
      <c r="W27" s="64">
        <v>2.1663000000000002E-2</v>
      </c>
      <c r="X27" s="64">
        <v>7.26E-3</v>
      </c>
      <c r="Y27" s="64">
        <v>0</v>
      </c>
      <c r="Z27" s="64">
        <v>3.0117999999999999E-2</v>
      </c>
      <c r="AA27" s="64">
        <v>6.87E-4</v>
      </c>
      <c r="AB27" s="64">
        <v>2.5000000000000001E-4</v>
      </c>
      <c r="AC27" s="64">
        <v>3.0000000000000001E-6</v>
      </c>
      <c r="AD27" s="64">
        <v>0.14771400000000001</v>
      </c>
      <c r="AE27" s="64">
        <v>1.6069999999999999E-3</v>
      </c>
      <c r="AF27" s="64">
        <v>2.9840000000000001E-3</v>
      </c>
      <c r="AG27" s="64">
        <v>2.1689999999999999E-3</v>
      </c>
      <c r="AH27" s="64">
        <v>0</v>
      </c>
      <c r="AI27" s="64">
        <v>2.1113443258606742E-3</v>
      </c>
      <c r="AJ27" s="64">
        <v>0</v>
      </c>
      <c r="AK27" s="64">
        <v>0</v>
      </c>
      <c r="AL27" s="64">
        <v>0</v>
      </c>
      <c r="AM27" s="64">
        <v>0</v>
      </c>
      <c r="AN27" s="64">
        <v>0</v>
      </c>
      <c r="AO27" s="64">
        <v>0</v>
      </c>
      <c r="AP27" s="64">
        <v>0</v>
      </c>
      <c r="AQ27" s="64">
        <v>0</v>
      </c>
      <c r="AR27" s="64">
        <v>0</v>
      </c>
      <c r="AS27" s="64">
        <v>0</v>
      </c>
      <c r="AT27" s="64">
        <v>0</v>
      </c>
      <c r="AU27" s="64">
        <v>0</v>
      </c>
      <c r="AV27" s="64">
        <v>0</v>
      </c>
      <c r="AW27" s="64">
        <v>0</v>
      </c>
      <c r="AX27" s="64">
        <v>0</v>
      </c>
      <c r="AY27" s="64">
        <v>0</v>
      </c>
      <c r="AZ27" s="64">
        <v>0</v>
      </c>
      <c r="BA27" s="64">
        <v>0</v>
      </c>
      <c r="BB27" s="64">
        <v>0</v>
      </c>
      <c r="BC27" s="64">
        <v>0</v>
      </c>
      <c r="BD27" s="64">
        <v>0</v>
      </c>
      <c r="BE27" s="64">
        <v>0</v>
      </c>
      <c r="BF27" s="64">
        <v>0</v>
      </c>
      <c r="BG27" s="64">
        <v>0</v>
      </c>
      <c r="BH27" s="64">
        <v>0</v>
      </c>
      <c r="BI27" s="64">
        <v>0</v>
      </c>
      <c r="BJ27" s="64">
        <v>0</v>
      </c>
      <c r="BK27" s="64">
        <v>0</v>
      </c>
      <c r="BL27" s="64">
        <v>0</v>
      </c>
      <c r="BM27" s="64">
        <v>0</v>
      </c>
      <c r="BN27" s="64">
        <v>0</v>
      </c>
      <c r="BO27" s="64">
        <v>0</v>
      </c>
      <c r="BP27" s="64">
        <v>0</v>
      </c>
      <c r="BQ27" s="64">
        <v>0</v>
      </c>
      <c r="BR27" s="64">
        <v>0</v>
      </c>
      <c r="BS27" s="64">
        <v>0</v>
      </c>
      <c r="BT27" s="64">
        <v>0</v>
      </c>
      <c r="BU27" s="64">
        <v>0</v>
      </c>
      <c r="BV27" s="64">
        <v>0</v>
      </c>
      <c r="BW27" s="64">
        <v>0</v>
      </c>
      <c r="BX27" s="64">
        <v>0</v>
      </c>
      <c r="BY27" s="64">
        <v>0</v>
      </c>
      <c r="BZ27" s="64">
        <v>0</v>
      </c>
      <c r="CA27" s="64">
        <v>0</v>
      </c>
      <c r="CB27" s="64">
        <v>0</v>
      </c>
      <c r="CC27" s="64">
        <v>0</v>
      </c>
      <c r="CD27" s="64">
        <v>0</v>
      </c>
      <c r="CE27" s="64">
        <v>0</v>
      </c>
      <c r="CF27" s="64">
        <v>0</v>
      </c>
      <c r="CG27" s="64">
        <v>0</v>
      </c>
      <c r="CH27" s="64">
        <v>0</v>
      </c>
      <c r="CI27" s="64">
        <v>0</v>
      </c>
      <c r="CJ27" s="64">
        <v>0</v>
      </c>
      <c r="CK27" s="64">
        <v>0</v>
      </c>
      <c r="CL27" s="64">
        <v>9.9999999999999995E-7</v>
      </c>
      <c r="CM27" s="64">
        <v>0</v>
      </c>
      <c r="CN27" s="64">
        <v>0</v>
      </c>
      <c r="CO27" s="64">
        <v>0</v>
      </c>
      <c r="CP27" s="64">
        <v>0</v>
      </c>
      <c r="CQ27" s="64">
        <v>0</v>
      </c>
      <c r="CR27" s="64">
        <v>0</v>
      </c>
      <c r="CS27" s="64">
        <v>0</v>
      </c>
      <c r="CT27" s="64">
        <v>0</v>
      </c>
      <c r="CU27" s="64">
        <v>0</v>
      </c>
      <c r="CV27" s="64">
        <v>0</v>
      </c>
      <c r="CW27" s="64">
        <v>0</v>
      </c>
      <c r="CX27" s="64">
        <v>0</v>
      </c>
      <c r="CY27" s="64">
        <v>0</v>
      </c>
      <c r="CZ27" s="64">
        <v>0</v>
      </c>
      <c r="DA27" s="64">
        <v>0</v>
      </c>
      <c r="DB27" s="64">
        <v>0</v>
      </c>
      <c r="DC27" s="64">
        <v>0</v>
      </c>
      <c r="DD27" s="64">
        <v>0</v>
      </c>
      <c r="DE27" s="64">
        <v>0</v>
      </c>
      <c r="DF27" s="64">
        <v>0</v>
      </c>
      <c r="DG27" s="64">
        <v>0</v>
      </c>
      <c r="DH27" s="64">
        <v>0</v>
      </c>
      <c r="DI27" s="64">
        <v>0</v>
      </c>
      <c r="DJ27" s="64">
        <v>0</v>
      </c>
      <c r="DK27" s="64">
        <v>0</v>
      </c>
      <c r="DL27" s="64">
        <v>0</v>
      </c>
      <c r="DM27" s="64">
        <v>0</v>
      </c>
      <c r="DN27" s="64">
        <v>0</v>
      </c>
      <c r="DO27" s="64">
        <v>0</v>
      </c>
      <c r="DP27" s="64">
        <v>0</v>
      </c>
      <c r="DQ27" s="64">
        <v>0</v>
      </c>
      <c r="DR27" s="64">
        <v>0</v>
      </c>
      <c r="DS27" s="64">
        <v>0</v>
      </c>
      <c r="DT27" s="64">
        <v>0</v>
      </c>
      <c r="DU27" s="64">
        <v>0</v>
      </c>
      <c r="DV27" s="64">
        <v>0</v>
      </c>
      <c r="DW27" s="64">
        <v>0</v>
      </c>
      <c r="DX27" s="64">
        <v>0</v>
      </c>
      <c r="DY27" s="64">
        <v>0</v>
      </c>
      <c r="DZ27" s="64">
        <v>0</v>
      </c>
      <c r="EA27" s="64">
        <v>0</v>
      </c>
      <c r="EB27" s="64">
        <v>0</v>
      </c>
      <c r="EC27" s="64">
        <v>0</v>
      </c>
      <c r="ED27" s="64">
        <v>0</v>
      </c>
      <c r="EE27" s="64">
        <v>0</v>
      </c>
      <c r="EF27" s="64">
        <v>0</v>
      </c>
      <c r="EG27" s="64">
        <v>0</v>
      </c>
      <c r="EH27" s="64">
        <v>0</v>
      </c>
      <c r="EI27" s="64">
        <v>0</v>
      </c>
      <c r="EJ27" s="64">
        <v>0</v>
      </c>
      <c r="EK27" s="64">
        <v>0</v>
      </c>
      <c r="EL27" s="64">
        <v>0</v>
      </c>
      <c r="EM27" s="64">
        <v>0</v>
      </c>
      <c r="EN27" s="64">
        <v>0</v>
      </c>
      <c r="EO27" s="64">
        <v>0</v>
      </c>
      <c r="EP27" s="64">
        <v>0</v>
      </c>
      <c r="EQ27" s="64">
        <v>0</v>
      </c>
      <c r="ER27" s="64">
        <v>0</v>
      </c>
      <c r="ES27" s="64">
        <v>0</v>
      </c>
      <c r="ET27" s="64">
        <v>0</v>
      </c>
      <c r="EU27" s="64">
        <v>0</v>
      </c>
      <c r="EV27" s="64">
        <v>0</v>
      </c>
      <c r="EW27" s="64">
        <v>0</v>
      </c>
      <c r="EX27" s="64">
        <v>0</v>
      </c>
      <c r="EY27" s="64">
        <v>0</v>
      </c>
      <c r="EZ27" s="64">
        <v>0</v>
      </c>
      <c r="FA27" s="64">
        <v>0</v>
      </c>
      <c r="FB27" s="64">
        <v>0</v>
      </c>
      <c r="FC27" s="64">
        <v>0</v>
      </c>
      <c r="FD27" s="64">
        <v>0</v>
      </c>
      <c r="FE27" s="64">
        <v>0</v>
      </c>
      <c r="FF27" s="64">
        <v>0</v>
      </c>
      <c r="FG27" s="64">
        <v>0</v>
      </c>
      <c r="FH27" s="64">
        <v>0</v>
      </c>
      <c r="FI27" s="64">
        <v>0</v>
      </c>
      <c r="FJ27" s="64">
        <v>0</v>
      </c>
      <c r="FK27" s="64">
        <v>0</v>
      </c>
      <c r="FL27" s="64">
        <v>0</v>
      </c>
      <c r="FM27" s="64">
        <v>0</v>
      </c>
      <c r="FN27" s="64">
        <v>0</v>
      </c>
      <c r="FO27" s="64">
        <v>0</v>
      </c>
      <c r="FP27" s="64">
        <v>0</v>
      </c>
      <c r="FQ27" s="64">
        <v>0</v>
      </c>
      <c r="FR27" s="64">
        <v>0</v>
      </c>
      <c r="FS27" s="64">
        <v>0</v>
      </c>
      <c r="FT27" s="64">
        <v>0</v>
      </c>
      <c r="FU27" s="64">
        <v>0</v>
      </c>
      <c r="FV27" s="64">
        <v>0</v>
      </c>
      <c r="FW27" s="64">
        <v>0</v>
      </c>
      <c r="FX27" s="64">
        <v>0</v>
      </c>
      <c r="FY27" s="64">
        <v>0</v>
      </c>
      <c r="FZ27" s="64">
        <v>0</v>
      </c>
      <c r="GA27" s="64">
        <v>0</v>
      </c>
      <c r="GB27" s="64">
        <v>0</v>
      </c>
      <c r="GC27" s="64">
        <v>0</v>
      </c>
      <c r="GD27" s="64">
        <v>0</v>
      </c>
      <c r="GE27" s="64">
        <v>0</v>
      </c>
      <c r="GF27" s="64">
        <v>9.9999999999999995E-7</v>
      </c>
      <c r="GG27" s="64">
        <v>0</v>
      </c>
      <c r="GH27" s="64">
        <v>0</v>
      </c>
      <c r="GI27" s="64">
        <v>0</v>
      </c>
      <c r="GJ27" s="64">
        <v>0</v>
      </c>
      <c r="GK27" s="64">
        <v>0</v>
      </c>
      <c r="GL27" s="64">
        <v>0</v>
      </c>
      <c r="GM27" s="64">
        <v>0</v>
      </c>
      <c r="GN27" s="64">
        <v>0</v>
      </c>
      <c r="GO27" s="64">
        <v>0</v>
      </c>
      <c r="GP27" s="64">
        <v>0</v>
      </c>
      <c r="GQ27" s="64">
        <v>0</v>
      </c>
      <c r="GR27" s="64">
        <v>0</v>
      </c>
      <c r="GS27" s="64">
        <v>0</v>
      </c>
      <c r="GT27" s="64">
        <v>0</v>
      </c>
      <c r="GU27" s="64">
        <v>0</v>
      </c>
      <c r="GV27" s="64">
        <v>0</v>
      </c>
      <c r="GW27" s="64">
        <v>0</v>
      </c>
      <c r="GX27" s="64">
        <v>0</v>
      </c>
      <c r="GY27" s="64">
        <v>0</v>
      </c>
      <c r="GZ27" s="64">
        <v>0</v>
      </c>
      <c r="HA27" s="64">
        <v>0</v>
      </c>
      <c r="HB27" s="64">
        <v>0</v>
      </c>
      <c r="HC27" s="64">
        <v>0</v>
      </c>
      <c r="HD27" s="64">
        <v>0</v>
      </c>
      <c r="HE27" s="64">
        <v>0</v>
      </c>
      <c r="HF27" s="64">
        <v>0</v>
      </c>
      <c r="HG27" s="64">
        <v>0</v>
      </c>
      <c r="HH27" s="64">
        <v>0</v>
      </c>
      <c r="HI27" s="64">
        <v>0</v>
      </c>
      <c r="HJ27" s="64">
        <v>0</v>
      </c>
      <c r="HK27" s="64">
        <v>0</v>
      </c>
      <c r="HL27" s="64">
        <v>0</v>
      </c>
      <c r="HM27" s="64">
        <v>0</v>
      </c>
      <c r="HN27" s="64">
        <v>9.9999999999999995E-7</v>
      </c>
      <c r="HO27" s="64">
        <v>0</v>
      </c>
      <c r="HP27" s="64">
        <v>0</v>
      </c>
      <c r="HQ27" s="64">
        <v>0</v>
      </c>
      <c r="HR27" s="64">
        <v>0</v>
      </c>
      <c r="HS27" s="64">
        <v>0</v>
      </c>
      <c r="HT27" s="64">
        <v>0</v>
      </c>
      <c r="HU27" s="64">
        <v>0</v>
      </c>
      <c r="HV27" s="64">
        <v>0</v>
      </c>
      <c r="HW27" s="64">
        <v>0</v>
      </c>
      <c r="HX27" s="64">
        <v>0</v>
      </c>
      <c r="HY27" s="64">
        <v>0</v>
      </c>
      <c r="HZ27" s="64">
        <v>0</v>
      </c>
      <c r="IA27" s="64">
        <v>0</v>
      </c>
      <c r="IB27" s="64">
        <v>0</v>
      </c>
      <c r="IC27" s="64">
        <v>0</v>
      </c>
      <c r="ID27" s="64">
        <v>0</v>
      </c>
      <c r="IE27" s="64">
        <v>0</v>
      </c>
      <c r="IF27" s="64">
        <v>0</v>
      </c>
      <c r="IG27" s="64">
        <v>0</v>
      </c>
      <c r="IH27" s="64">
        <v>0</v>
      </c>
      <c r="II27" s="64">
        <v>0</v>
      </c>
      <c r="IJ27" s="64">
        <v>0</v>
      </c>
      <c r="IK27" s="64">
        <v>0</v>
      </c>
      <c r="IL27" s="64">
        <v>0</v>
      </c>
      <c r="IM27" s="64">
        <v>0</v>
      </c>
      <c r="IN27" s="64">
        <v>0</v>
      </c>
      <c r="IO27" s="64">
        <v>0</v>
      </c>
      <c r="IP27" s="64">
        <v>0</v>
      </c>
      <c r="IQ27" s="64">
        <v>0</v>
      </c>
      <c r="IR27" s="64">
        <v>0</v>
      </c>
      <c r="IS27" s="64">
        <v>0</v>
      </c>
      <c r="IT27" s="64">
        <v>0</v>
      </c>
      <c r="IU27" s="64">
        <v>0</v>
      </c>
      <c r="IV27" s="64">
        <v>0</v>
      </c>
      <c r="IW27" s="64">
        <v>0</v>
      </c>
      <c r="IX27" s="64">
        <v>0</v>
      </c>
      <c r="IY27" s="64">
        <v>0</v>
      </c>
      <c r="IZ27" s="64">
        <v>0</v>
      </c>
      <c r="JA27" s="64">
        <v>0</v>
      </c>
      <c r="JB27" s="64">
        <v>0</v>
      </c>
      <c r="JC27" s="64">
        <v>0</v>
      </c>
      <c r="JD27" s="64">
        <v>0</v>
      </c>
      <c r="JE27" s="64">
        <v>0</v>
      </c>
      <c r="JF27" s="64">
        <v>0</v>
      </c>
      <c r="JG27" s="64">
        <v>0</v>
      </c>
      <c r="JH27" s="64">
        <v>0</v>
      </c>
      <c r="JI27" s="64">
        <v>0</v>
      </c>
      <c r="JJ27" s="64">
        <v>0</v>
      </c>
      <c r="JK27" s="64">
        <v>0</v>
      </c>
      <c r="JL27" s="64">
        <v>0</v>
      </c>
      <c r="JM27" s="64">
        <v>0</v>
      </c>
      <c r="JN27" s="64">
        <v>0</v>
      </c>
      <c r="JO27" s="64">
        <v>0</v>
      </c>
      <c r="JP27" s="64">
        <v>0</v>
      </c>
      <c r="JQ27" s="64">
        <v>0</v>
      </c>
      <c r="JR27" s="64">
        <v>0</v>
      </c>
      <c r="JS27" s="64">
        <v>0</v>
      </c>
      <c r="JT27" s="64">
        <v>0</v>
      </c>
      <c r="JU27" s="64">
        <v>0</v>
      </c>
      <c r="JV27" s="64">
        <v>0</v>
      </c>
      <c r="JW27" s="64">
        <v>0</v>
      </c>
      <c r="JX27" s="64">
        <v>0</v>
      </c>
      <c r="JY27" s="64">
        <v>0</v>
      </c>
      <c r="JZ27" s="64">
        <v>0</v>
      </c>
      <c r="KA27" s="64">
        <v>0</v>
      </c>
      <c r="KB27" s="64">
        <v>0</v>
      </c>
      <c r="KC27" s="64">
        <v>0</v>
      </c>
      <c r="KD27" s="64">
        <v>0</v>
      </c>
      <c r="KE27" s="64">
        <v>0</v>
      </c>
      <c r="KF27" s="64">
        <v>0</v>
      </c>
      <c r="KG27" s="64">
        <v>0</v>
      </c>
      <c r="KH27" s="64">
        <v>0</v>
      </c>
      <c r="KI27" s="64">
        <v>0</v>
      </c>
      <c r="KJ27" s="64">
        <v>0</v>
      </c>
      <c r="KK27" s="64">
        <v>0</v>
      </c>
      <c r="KL27" s="64">
        <v>0</v>
      </c>
      <c r="KM27" s="64">
        <v>0</v>
      </c>
      <c r="KN27" s="64">
        <v>0</v>
      </c>
      <c r="KO27" s="64">
        <v>0</v>
      </c>
      <c r="KP27" s="64">
        <v>0</v>
      </c>
      <c r="KQ27" s="64">
        <v>0</v>
      </c>
      <c r="KR27" s="64">
        <v>0</v>
      </c>
      <c r="KS27" s="64">
        <v>0</v>
      </c>
      <c r="KT27" s="64">
        <v>0</v>
      </c>
      <c r="KU27" s="64">
        <v>0</v>
      </c>
      <c r="KV27" s="64">
        <v>0</v>
      </c>
      <c r="KW27" s="64">
        <v>0</v>
      </c>
      <c r="KX27" s="64">
        <v>0</v>
      </c>
      <c r="KY27" s="64">
        <v>0</v>
      </c>
      <c r="KZ27" s="64">
        <v>0</v>
      </c>
      <c r="LA27" s="64">
        <v>0</v>
      </c>
      <c r="LB27" s="64">
        <v>0</v>
      </c>
      <c r="LC27" s="64">
        <v>0</v>
      </c>
      <c r="LD27" s="64">
        <v>9.9999999999999995E-7</v>
      </c>
      <c r="LE27" s="64">
        <v>0</v>
      </c>
      <c r="LF27" s="64">
        <v>0</v>
      </c>
      <c r="LG27" s="64">
        <v>0</v>
      </c>
      <c r="LH27" s="64">
        <v>9.9999999999999995E-7</v>
      </c>
      <c r="LI27" s="64">
        <v>9.9999999999999995E-7</v>
      </c>
      <c r="LJ27" s="64">
        <v>0</v>
      </c>
      <c r="LK27" s="64">
        <v>0</v>
      </c>
      <c r="LL27" s="64">
        <v>0</v>
      </c>
      <c r="LM27" s="64">
        <v>0</v>
      </c>
      <c r="LN27" s="64">
        <v>0</v>
      </c>
      <c r="LO27" s="64">
        <v>9.9999999999999995E-7</v>
      </c>
      <c r="LP27" s="64">
        <v>0</v>
      </c>
      <c r="LQ27" s="64">
        <v>0</v>
      </c>
      <c r="LR27" s="64">
        <v>0</v>
      </c>
      <c r="LS27" s="64">
        <v>0</v>
      </c>
      <c r="LT27" s="64">
        <v>0</v>
      </c>
      <c r="LU27" s="64">
        <v>0</v>
      </c>
      <c r="LV27" s="64">
        <v>0</v>
      </c>
      <c r="LW27" s="64">
        <v>0</v>
      </c>
      <c r="LX27" s="64">
        <v>0</v>
      </c>
      <c r="LY27" s="64">
        <v>0</v>
      </c>
      <c r="LZ27" s="64">
        <v>0</v>
      </c>
      <c r="MA27" s="64">
        <v>0</v>
      </c>
      <c r="MB27" s="64">
        <v>0</v>
      </c>
      <c r="MC27" s="64">
        <v>0</v>
      </c>
      <c r="MD27" s="64">
        <v>0</v>
      </c>
      <c r="ME27" s="64">
        <v>0</v>
      </c>
      <c r="MF27" s="64">
        <v>0</v>
      </c>
      <c r="MG27" s="64">
        <v>0</v>
      </c>
      <c r="MH27" s="64">
        <v>0</v>
      </c>
      <c r="MI27" s="64">
        <v>0</v>
      </c>
      <c r="MJ27" s="64">
        <v>0</v>
      </c>
      <c r="MK27" s="64">
        <v>0</v>
      </c>
      <c r="ML27" s="64">
        <v>0</v>
      </c>
      <c r="MM27" s="64">
        <v>0</v>
      </c>
      <c r="MN27" s="64">
        <v>0</v>
      </c>
      <c r="MO27" s="64">
        <v>0</v>
      </c>
      <c r="MP27" s="64">
        <v>9.9999999999999995E-7</v>
      </c>
      <c r="MQ27" s="64">
        <v>0</v>
      </c>
      <c r="MR27" s="64">
        <v>0</v>
      </c>
      <c r="MS27" s="64">
        <v>0</v>
      </c>
      <c r="MT27" s="64">
        <v>0</v>
      </c>
      <c r="MU27" s="64">
        <v>0</v>
      </c>
      <c r="MV27" s="64">
        <v>0</v>
      </c>
      <c r="MW27" s="64">
        <v>0</v>
      </c>
      <c r="MX27" s="64">
        <v>0</v>
      </c>
      <c r="MY27" s="64">
        <v>0</v>
      </c>
      <c r="MZ27" s="64">
        <v>0</v>
      </c>
      <c r="NA27" s="64">
        <v>0</v>
      </c>
      <c r="NB27" s="64"/>
      <c r="NC27" s="64"/>
      <c r="ND27" s="64"/>
      <c r="NE27" s="64"/>
      <c r="NF27" s="64"/>
      <c r="NG27" s="64"/>
      <c r="NH27" s="64"/>
      <c r="NI27" s="64"/>
      <c r="NJ27" s="64"/>
      <c r="NK27" s="64"/>
      <c r="NL27" s="64"/>
      <c r="NM27" s="64"/>
      <c r="NN27" s="64"/>
      <c r="NO27" s="64"/>
      <c r="NP27" s="64"/>
      <c r="NQ27" s="64"/>
      <c r="NR27" s="64"/>
      <c r="NS27" s="64"/>
      <c r="NT27" s="64"/>
      <c r="NU27" s="64"/>
      <c r="NV27" s="64"/>
      <c r="NW27" s="64"/>
      <c r="NX27" s="64"/>
      <c r="NY27" s="64"/>
      <c r="NZ27" s="64"/>
      <c r="OA27" s="64"/>
      <c r="OB27" s="64"/>
      <c r="OC27" s="64"/>
      <c r="OD27" s="64"/>
      <c r="OE27" s="64"/>
      <c r="OF27" s="64"/>
      <c r="OG27" s="64"/>
      <c r="OH27" s="64"/>
      <c r="OI27" s="64"/>
      <c r="OJ27" s="64"/>
      <c r="OK27" s="64"/>
      <c r="OL27" s="64"/>
      <c r="OM27" s="64"/>
      <c r="ON27" s="64"/>
      <c r="OO27" s="64"/>
      <c r="OP27" s="64"/>
      <c r="OQ27" s="64"/>
      <c r="OR27" s="64"/>
      <c r="OS27" s="64"/>
    </row>
    <row r="28" spans="1:409">
      <c r="A28" s="65" t="s">
        <v>101</v>
      </c>
      <c r="B28" s="65" t="s">
        <v>19</v>
      </c>
      <c r="C28" s="65">
        <v>0</v>
      </c>
      <c r="D28" s="65">
        <v>0</v>
      </c>
      <c r="E28" s="65">
        <v>0</v>
      </c>
      <c r="F28" s="65">
        <v>0</v>
      </c>
      <c r="G28" s="65">
        <v>0</v>
      </c>
      <c r="H28" s="65">
        <v>0</v>
      </c>
      <c r="I28" s="65">
        <v>0</v>
      </c>
      <c r="J28" s="65">
        <v>0</v>
      </c>
      <c r="K28" s="65">
        <v>0</v>
      </c>
      <c r="L28" s="65">
        <v>0</v>
      </c>
      <c r="M28" s="65">
        <v>0</v>
      </c>
      <c r="N28" s="65">
        <v>0</v>
      </c>
      <c r="O28" s="65">
        <v>0</v>
      </c>
      <c r="P28" s="65">
        <v>0</v>
      </c>
      <c r="Q28" s="65">
        <v>0</v>
      </c>
      <c r="R28" s="65">
        <v>0</v>
      </c>
      <c r="S28" s="65">
        <v>0</v>
      </c>
      <c r="T28" s="65">
        <v>0</v>
      </c>
      <c r="U28" s="65">
        <v>0</v>
      </c>
      <c r="V28" s="65">
        <v>5.5499999999999994E-4</v>
      </c>
      <c r="W28" s="65">
        <v>8.7262000000000006E-2</v>
      </c>
      <c r="X28" s="65">
        <v>4.7800000000000002E-4</v>
      </c>
      <c r="Y28" s="65">
        <v>4.6620000000000003E-3</v>
      </c>
      <c r="Z28" s="65">
        <v>1.761E-3</v>
      </c>
      <c r="AA28" s="65">
        <v>0.31762099999999999</v>
      </c>
      <c r="AB28" s="65">
        <v>0.66163799999999995</v>
      </c>
      <c r="AC28" s="65">
        <v>4.4174999999999999E-2</v>
      </c>
      <c r="AD28" s="65">
        <v>0.240844</v>
      </c>
      <c r="AE28" s="65">
        <v>6.0280000000000004E-3</v>
      </c>
      <c r="AF28" s="65">
        <v>1.9335000000000001E-2</v>
      </c>
      <c r="AG28" s="65">
        <v>1.4057999999999999E-2</v>
      </c>
      <c r="AH28" s="65">
        <v>6.8331882387531323E-2</v>
      </c>
      <c r="AI28" s="65">
        <v>6.3688805081589472E-2</v>
      </c>
      <c r="AJ28" s="65">
        <v>9.9999999999999995E-7</v>
      </c>
      <c r="AK28" s="65">
        <v>9.9999999999999995E-7</v>
      </c>
      <c r="AL28" s="65">
        <v>9.9999999999999995E-7</v>
      </c>
      <c r="AM28" s="65">
        <v>9.9999999999999995E-7</v>
      </c>
      <c r="AN28" s="65">
        <v>0</v>
      </c>
      <c r="AO28" s="65">
        <v>0</v>
      </c>
      <c r="AP28" s="65">
        <v>0</v>
      </c>
      <c r="AQ28" s="65">
        <v>0</v>
      </c>
      <c r="AR28" s="65">
        <v>0</v>
      </c>
      <c r="AS28" s="65">
        <v>0</v>
      </c>
      <c r="AT28" s="65">
        <v>0</v>
      </c>
      <c r="AU28" s="65">
        <v>0</v>
      </c>
      <c r="AV28" s="65">
        <v>9.9999999999999995E-7</v>
      </c>
      <c r="AW28" s="65">
        <v>9.9999999999999995E-7</v>
      </c>
      <c r="AX28" s="65">
        <v>9.9999999999999995E-7</v>
      </c>
      <c r="AY28" s="65">
        <v>9.9999999999999995E-7</v>
      </c>
      <c r="AZ28" s="65">
        <v>1.9999999999999999E-6</v>
      </c>
      <c r="BA28" s="65">
        <v>9.9999999999999995E-7</v>
      </c>
      <c r="BB28" s="65">
        <v>0</v>
      </c>
      <c r="BC28" s="65">
        <v>9.9999999999999995E-7</v>
      </c>
      <c r="BD28" s="65">
        <v>1.9999999999999999E-6</v>
      </c>
      <c r="BE28" s="65">
        <v>1.9999999999999999E-6</v>
      </c>
      <c r="BF28" s="65">
        <v>0</v>
      </c>
      <c r="BG28" s="65">
        <v>0</v>
      </c>
      <c r="BH28" s="65">
        <v>9.9999999999999995E-7</v>
      </c>
      <c r="BI28" s="65">
        <v>9.9999999999999995E-7</v>
      </c>
      <c r="BJ28" s="65">
        <v>9.9999999999999995E-7</v>
      </c>
      <c r="BK28" s="65">
        <v>1.9999999999999999E-6</v>
      </c>
      <c r="BL28" s="65">
        <v>0</v>
      </c>
      <c r="BM28" s="65">
        <v>0</v>
      </c>
      <c r="BN28" s="65">
        <v>0</v>
      </c>
      <c r="BO28" s="65">
        <v>0</v>
      </c>
      <c r="BP28" s="65">
        <v>0</v>
      </c>
      <c r="BQ28" s="65">
        <v>1.9999999999999999E-6</v>
      </c>
      <c r="BR28" s="65">
        <v>1.9999999999999999E-6</v>
      </c>
      <c r="BS28" s="65">
        <v>1.9999999999999999E-6</v>
      </c>
      <c r="BT28" s="65">
        <v>1.9999999999999999E-6</v>
      </c>
      <c r="BU28" s="65">
        <v>0</v>
      </c>
      <c r="BV28" s="65">
        <v>9.9999999999999995E-7</v>
      </c>
      <c r="BW28" s="65">
        <v>9.9999999999999995E-7</v>
      </c>
      <c r="BX28" s="65">
        <v>9.9999999999999995E-7</v>
      </c>
      <c r="BY28" s="65">
        <v>9.9999999999999995E-7</v>
      </c>
      <c r="BZ28" s="65">
        <v>9.9999999999999995E-7</v>
      </c>
      <c r="CA28" s="65">
        <v>9.9999999999999995E-7</v>
      </c>
      <c r="CB28" s="65">
        <v>9.9999999999999995E-7</v>
      </c>
      <c r="CC28" s="65">
        <v>3.0000000000000001E-6</v>
      </c>
      <c r="CD28" s="65">
        <v>3.0000000000000001E-6</v>
      </c>
      <c r="CE28" s="65">
        <v>3.0000000000000001E-6</v>
      </c>
      <c r="CF28" s="65">
        <v>3.0000000000000001E-6</v>
      </c>
      <c r="CG28" s="65">
        <v>5.0000000000000004E-6</v>
      </c>
      <c r="CH28" s="65">
        <v>3.0000000000000001E-6</v>
      </c>
      <c r="CI28" s="65">
        <v>1.9999999999999999E-6</v>
      </c>
      <c r="CJ28" s="65">
        <v>9.9999999999999995E-7</v>
      </c>
      <c r="CK28" s="65">
        <v>3.0000000000000001E-6</v>
      </c>
      <c r="CL28" s="65">
        <v>3.9999999999999998E-6</v>
      </c>
      <c r="CM28" s="65">
        <v>9.9999999999999995E-7</v>
      </c>
      <c r="CN28" s="65">
        <v>9.9999999999999995E-7</v>
      </c>
      <c r="CO28" s="65">
        <v>3.0000000000000001E-6</v>
      </c>
      <c r="CP28" s="65">
        <v>3.0000000000000001E-6</v>
      </c>
      <c r="CQ28" s="65">
        <v>9.9999999999999995E-7</v>
      </c>
      <c r="CR28" s="65">
        <v>3.9999999999999998E-6</v>
      </c>
      <c r="CS28" s="65">
        <v>9.9999999999999995E-7</v>
      </c>
      <c r="CT28" s="65">
        <v>0</v>
      </c>
      <c r="CU28" s="65">
        <v>0</v>
      </c>
      <c r="CV28" s="65">
        <v>9.9999999999999995E-7</v>
      </c>
      <c r="CW28" s="65">
        <v>9.9999999999999995E-7</v>
      </c>
      <c r="CX28" s="65">
        <v>0</v>
      </c>
      <c r="CY28" s="65">
        <v>0</v>
      </c>
      <c r="CZ28" s="65">
        <v>0</v>
      </c>
      <c r="DA28" s="65">
        <v>0</v>
      </c>
      <c r="DB28" s="65">
        <v>0</v>
      </c>
      <c r="DC28" s="65">
        <v>0</v>
      </c>
      <c r="DD28" s="65">
        <v>0</v>
      </c>
      <c r="DE28" s="65">
        <v>0</v>
      </c>
      <c r="DF28" s="65">
        <v>0</v>
      </c>
      <c r="DG28" s="65">
        <v>0</v>
      </c>
      <c r="DH28" s="65">
        <v>0</v>
      </c>
      <c r="DI28" s="65">
        <v>0</v>
      </c>
      <c r="DJ28" s="65">
        <v>0</v>
      </c>
      <c r="DK28" s="65">
        <v>0</v>
      </c>
      <c r="DL28" s="65">
        <v>0</v>
      </c>
      <c r="DM28" s="65">
        <v>0</v>
      </c>
      <c r="DN28" s="65">
        <v>0</v>
      </c>
      <c r="DO28" s="65">
        <v>0</v>
      </c>
      <c r="DP28" s="65">
        <v>0</v>
      </c>
      <c r="DQ28" s="65">
        <v>0</v>
      </c>
      <c r="DR28" s="65">
        <v>9.9999999999999995E-7</v>
      </c>
      <c r="DS28" s="65">
        <v>0</v>
      </c>
      <c r="DT28" s="65">
        <v>0</v>
      </c>
      <c r="DU28" s="65">
        <v>0</v>
      </c>
      <c r="DV28" s="65">
        <v>0</v>
      </c>
      <c r="DW28" s="65">
        <v>0</v>
      </c>
      <c r="DX28" s="65">
        <v>0</v>
      </c>
      <c r="DY28" s="65">
        <v>0</v>
      </c>
      <c r="DZ28" s="65">
        <v>0</v>
      </c>
      <c r="EA28" s="65">
        <v>0</v>
      </c>
      <c r="EB28" s="65">
        <v>0</v>
      </c>
      <c r="EC28" s="65">
        <v>0</v>
      </c>
      <c r="ED28" s="65">
        <v>0</v>
      </c>
      <c r="EE28" s="65">
        <v>0</v>
      </c>
      <c r="EF28" s="65">
        <v>0</v>
      </c>
      <c r="EG28" s="65">
        <v>0</v>
      </c>
      <c r="EH28" s="65">
        <v>0</v>
      </c>
      <c r="EI28" s="65">
        <v>0</v>
      </c>
      <c r="EJ28" s="65">
        <v>0</v>
      </c>
      <c r="EK28" s="65">
        <v>0</v>
      </c>
      <c r="EL28" s="65">
        <v>0</v>
      </c>
      <c r="EM28" s="65">
        <v>0</v>
      </c>
      <c r="EN28" s="65">
        <v>0</v>
      </c>
      <c r="EO28" s="65">
        <v>0</v>
      </c>
      <c r="EP28" s="65">
        <v>0</v>
      </c>
      <c r="EQ28" s="65">
        <v>0</v>
      </c>
      <c r="ER28" s="65">
        <v>0</v>
      </c>
      <c r="ES28" s="65">
        <v>0</v>
      </c>
      <c r="ET28" s="65">
        <v>0</v>
      </c>
      <c r="EU28" s="65">
        <v>0</v>
      </c>
      <c r="EV28" s="65">
        <v>0</v>
      </c>
      <c r="EW28" s="65">
        <v>0</v>
      </c>
      <c r="EX28" s="65">
        <v>0</v>
      </c>
      <c r="EY28" s="65">
        <v>0</v>
      </c>
      <c r="EZ28" s="65">
        <v>0</v>
      </c>
      <c r="FA28" s="65">
        <v>0</v>
      </c>
      <c r="FB28" s="65">
        <v>0</v>
      </c>
      <c r="FC28" s="65">
        <v>0</v>
      </c>
      <c r="FD28" s="65">
        <v>0</v>
      </c>
      <c r="FE28" s="65">
        <v>0</v>
      </c>
      <c r="FF28" s="65">
        <v>0</v>
      </c>
      <c r="FG28" s="65">
        <v>0</v>
      </c>
      <c r="FH28" s="65">
        <v>0</v>
      </c>
      <c r="FI28" s="65">
        <v>0</v>
      </c>
      <c r="FJ28" s="65">
        <v>0</v>
      </c>
      <c r="FK28" s="65">
        <v>0</v>
      </c>
      <c r="FL28" s="65">
        <v>1.9999999999999999E-6</v>
      </c>
      <c r="FM28" s="65">
        <v>1.9999999999999999E-6</v>
      </c>
      <c r="FN28" s="65">
        <v>1.9999999999999999E-6</v>
      </c>
      <c r="FO28" s="65">
        <v>1.9999999999999999E-6</v>
      </c>
      <c r="FP28" s="65">
        <v>0</v>
      </c>
      <c r="FQ28" s="65">
        <v>1.9999999999999999E-6</v>
      </c>
      <c r="FR28" s="65">
        <v>1.9999999999999999E-6</v>
      </c>
      <c r="FS28" s="65">
        <v>1.9999999999999999E-6</v>
      </c>
      <c r="FT28" s="65">
        <v>1.9999999999999999E-6</v>
      </c>
      <c r="FU28" s="65">
        <v>1.9999999999999999E-6</v>
      </c>
      <c r="FV28" s="65">
        <v>1.9999999999999999E-6</v>
      </c>
      <c r="FW28" s="65">
        <v>1.9999999999999999E-6</v>
      </c>
      <c r="FX28" s="65">
        <v>3.0000000000000001E-6</v>
      </c>
      <c r="FY28" s="65">
        <v>3.0000000000000001E-6</v>
      </c>
      <c r="FZ28" s="65">
        <v>3.9999999999999998E-6</v>
      </c>
      <c r="GA28" s="65">
        <v>3.9999999999999998E-6</v>
      </c>
      <c r="GB28" s="65">
        <v>6.9999999999999999E-6</v>
      </c>
      <c r="GC28" s="65">
        <v>1.9999999999999999E-6</v>
      </c>
      <c r="GD28" s="65">
        <v>1.9999999999999999E-6</v>
      </c>
      <c r="GE28" s="65">
        <v>3.0000000000000001E-6</v>
      </c>
      <c r="GF28" s="65">
        <v>9.0000000000000002E-6</v>
      </c>
      <c r="GG28" s="65">
        <v>1.0000000000000001E-5</v>
      </c>
      <c r="GH28" s="65">
        <v>9.9999999999999995E-7</v>
      </c>
      <c r="GI28" s="65">
        <v>1.9999999999999999E-6</v>
      </c>
      <c r="GJ28" s="65">
        <v>9.9999999999999995E-7</v>
      </c>
      <c r="GK28" s="65">
        <v>9.9999999999999995E-7</v>
      </c>
      <c r="GL28" s="65">
        <v>1.9999999999999999E-6</v>
      </c>
      <c r="GM28" s="65">
        <v>9.0000000000000002E-6</v>
      </c>
      <c r="GN28" s="65">
        <v>9.9999999999999995E-7</v>
      </c>
      <c r="GO28" s="65">
        <v>0</v>
      </c>
      <c r="GP28" s="65">
        <v>0</v>
      </c>
      <c r="GQ28" s="65">
        <v>9.9999999999999995E-7</v>
      </c>
      <c r="GR28" s="65">
        <v>9.9999999999999995E-7</v>
      </c>
      <c r="GS28" s="65">
        <v>0</v>
      </c>
      <c r="GT28" s="65">
        <v>0</v>
      </c>
      <c r="GU28" s="65">
        <v>0</v>
      </c>
      <c r="GV28" s="65">
        <v>0</v>
      </c>
      <c r="GW28" s="65">
        <v>0</v>
      </c>
      <c r="GX28" s="65">
        <v>0</v>
      </c>
      <c r="GY28" s="65">
        <v>0</v>
      </c>
      <c r="GZ28" s="65">
        <v>0</v>
      </c>
      <c r="HA28" s="65">
        <v>0</v>
      </c>
      <c r="HB28" s="65">
        <v>0</v>
      </c>
      <c r="HC28" s="65">
        <v>0</v>
      </c>
      <c r="HD28" s="65">
        <v>0</v>
      </c>
      <c r="HE28" s="65">
        <v>9.9999999999999995E-7</v>
      </c>
      <c r="HF28" s="65">
        <v>9.9999999999999995E-7</v>
      </c>
      <c r="HG28" s="65">
        <v>0</v>
      </c>
      <c r="HH28" s="65">
        <v>0</v>
      </c>
      <c r="HI28" s="65">
        <v>9.9999999999999995E-7</v>
      </c>
      <c r="HJ28" s="65">
        <v>0</v>
      </c>
      <c r="HK28" s="65">
        <v>0</v>
      </c>
      <c r="HL28" s="65">
        <v>0</v>
      </c>
      <c r="HM28" s="65">
        <v>3.0000000000000001E-6</v>
      </c>
      <c r="HN28" s="65">
        <v>1.9999999999999999E-6</v>
      </c>
      <c r="HO28" s="65">
        <v>0</v>
      </c>
      <c r="HP28" s="65">
        <v>0</v>
      </c>
      <c r="HQ28" s="65">
        <v>9.9999999999999995E-7</v>
      </c>
      <c r="HR28" s="65">
        <v>0</v>
      </c>
      <c r="HS28" s="65">
        <v>0</v>
      </c>
      <c r="HT28" s="65">
        <v>9.9999999999999995E-7</v>
      </c>
      <c r="HU28" s="65">
        <v>0</v>
      </c>
      <c r="HV28" s="65">
        <v>0</v>
      </c>
      <c r="HW28" s="65">
        <v>0</v>
      </c>
      <c r="HX28" s="65">
        <v>0</v>
      </c>
      <c r="HY28" s="65">
        <v>0</v>
      </c>
      <c r="HZ28" s="65">
        <v>1.2999999999999999E-5</v>
      </c>
      <c r="IA28" s="65">
        <v>1.2999999999999999E-5</v>
      </c>
      <c r="IB28" s="65">
        <v>1.2999999999999999E-5</v>
      </c>
      <c r="IC28" s="65">
        <v>1.2999999999999999E-5</v>
      </c>
      <c r="ID28" s="65">
        <v>0</v>
      </c>
      <c r="IE28" s="65">
        <v>1.1E-5</v>
      </c>
      <c r="IF28" s="65">
        <v>1.1E-5</v>
      </c>
      <c r="IG28" s="65">
        <v>1.1E-5</v>
      </c>
      <c r="IH28" s="65">
        <v>1.1E-5</v>
      </c>
      <c r="II28" s="65">
        <v>1.1E-5</v>
      </c>
      <c r="IJ28" s="65">
        <v>1.1E-5</v>
      </c>
      <c r="IK28" s="65">
        <v>1.1E-5</v>
      </c>
      <c r="IL28" s="65">
        <v>1.9000000000000001E-5</v>
      </c>
      <c r="IM28" s="65">
        <v>1.9000000000000001E-5</v>
      </c>
      <c r="IN28" s="65">
        <v>2.6999999999999999E-5</v>
      </c>
      <c r="IO28" s="65">
        <v>2.6999999999999999E-5</v>
      </c>
      <c r="IP28" s="65">
        <v>3.8999999999999999E-5</v>
      </c>
      <c r="IQ28" s="65">
        <v>1.2E-5</v>
      </c>
      <c r="IR28" s="65">
        <v>3.0000000000000001E-6</v>
      </c>
      <c r="IS28" s="65">
        <v>1.9000000000000001E-5</v>
      </c>
      <c r="IT28" s="65">
        <v>1.2E-5</v>
      </c>
      <c r="IU28" s="65">
        <v>3.8000000000000002E-5</v>
      </c>
      <c r="IV28" s="65">
        <v>3.9999999999999998E-6</v>
      </c>
      <c r="IW28" s="65">
        <v>2.3E-5</v>
      </c>
      <c r="IX28" s="65">
        <v>1.0000000000000001E-5</v>
      </c>
      <c r="IY28" s="65">
        <v>2.0000000000000002E-5</v>
      </c>
      <c r="IZ28" s="65">
        <v>3.0000000000000001E-6</v>
      </c>
      <c r="JA28" s="65">
        <v>1.8E-5</v>
      </c>
      <c r="JB28" s="65">
        <v>5.0000000000000004E-6</v>
      </c>
      <c r="JC28" s="65">
        <v>0</v>
      </c>
      <c r="JD28" s="65">
        <v>0</v>
      </c>
      <c r="JE28" s="65">
        <v>7.9999999999999996E-6</v>
      </c>
      <c r="JF28" s="65">
        <v>7.9999999999999996E-6</v>
      </c>
      <c r="JG28" s="65">
        <v>0</v>
      </c>
      <c r="JH28" s="65">
        <v>0</v>
      </c>
      <c r="JI28" s="65">
        <v>0</v>
      </c>
      <c r="JJ28" s="65">
        <v>0</v>
      </c>
      <c r="JK28" s="65">
        <v>0</v>
      </c>
      <c r="JL28" s="65">
        <v>3.0000000000000001E-6</v>
      </c>
      <c r="JM28" s="65">
        <v>3.0000000000000001E-6</v>
      </c>
      <c r="JN28" s="65">
        <v>3.0000000000000001E-6</v>
      </c>
      <c r="JO28" s="65">
        <v>3.0000000000000001E-6</v>
      </c>
      <c r="JP28" s="65">
        <v>3.0000000000000001E-6</v>
      </c>
      <c r="JQ28" s="65">
        <v>3.0000000000000001E-6</v>
      </c>
      <c r="JR28" s="65">
        <v>3.0000000000000001E-6</v>
      </c>
      <c r="JS28" s="65">
        <v>0</v>
      </c>
      <c r="JT28" s="65">
        <v>0</v>
      </c>
      <c r="JU28" s="65">
        <v>3.9999999999999998E-6</v>
      </c>
      <c r="JV28" s="65">
        <v>3.9999999999999998E-6</v>
      </c>
      <c r="JW28" s="65">
        <v>7.6000000000000004E-5</v>
      </c>
      <c r="JX28" s="65">
        <v>1.9999999999999999E-6</v>
      </c>
      <c r="JY28" s="65">
        <v>6.0999999999999999E-5</v>
      </c>
      <c r="JZ28" s="65">
        <v>2.7E-4</v>
      </c>
      <c r="KA28" s="65">
        <v>1.2400000000000001E-4</v>
      </c>
      <c r="KB28" s="65">
        <v>1.2999999999999999E-5</v>
      </c>
      <c r="KC28" s="65">
        <v>1.9999999999999999E-6</v>
      </c>
      <c r="KD28" s="65">
        <v>6.0000000000000002E-6</v>
      </c>
      <c r="KE28" s="65">
        <v>1.5E-5</v>
      </c>
      <c r="KF28" s="65">
        <v>1.1E-5</v>
      </c>
      <c r="KG28" s="65">
        <v>0</v>
      </c>
      <c r="KH28" s="65">
        <v>1.3300000000000001E-4</v>
      </c>
      <c r="KI28" s="65">
        <v>0</v>
      </c>
      <c r="KJ28" s="65">
        <v>0</v>
      </c>
      <c r="KK28" s="65">
        <v>0</v>
      </c>
      <c r="KL28" s="65">
        <v>3.0000000000000001E-6</v>
      </c>
      <c r="KM28" s="65">
        <v>3.0000000000000001E-6</v>
      </c>
      <c r="KN28" s="65">
        <v>0</v>
      </c>
      <c r="KO28" s="65">
        <v>0</v>
      </c>
      <c r="KP28" s="65">
        <v>0</v>
      </c>
      <c r="KQ28" s="65">
        <v>0</v>
      </c>
      <c r="KR28" s="65">
        <v>0</v>
      </c>
      <c r="KS28" s="65">
        <v>0</v>
      </c>
      <c r="KT28" s="65">
        <v>0</v>
      </c>
      <c r="KU28" s="65">
        <v>0</v>
      </c>
      <c r="KV28" s="65">
        <v>0</v>
      </c>
      <c r="KW28" s="65">
        <v>0</v>
      </c>
      <c r="KX28" s="65">
        <v>0</v>
      </c>
      <c r="KY28" s="65">
        <v>0</v>
      </c>
      <c r="KZ28" s="65">
        <v>9.9999999999999995E-7</v>
      </c>
      <c r="LA28" s="65">
        <v>9.9999999999999995E-7</v>
      </c>
      <c r="LB28" s="65">
        <v>9.9999999999999995E-7</v>
      </c>
      <c r="LC28" s="65">
        <v>9.9999999999999995E-7</v>
      </c>
      <c r="LD28" s="65">
        <v>1.9999999999999999E-6</v>
      </c>
      <c r="LE28" s="65">
        <v>0</v>
      </c>
      <c r="LF28" s="65">
        <v>0</v>
      </c>
      <c r="LG28" s="65">
        <v>0</v>
      </c>
      <c r="LH28" s="65">
        <v>9.9999999999999995E-7</v>
      </c>
      <c r="LI28" s="65">
        <v>9.9999999999999995E-7</v>
      </c>
      <c r="LJ28" s="65">
        <v>0</v>
      </c>
      <c r="LK28" s="65">
        <v>0</v>
      </c>
      <c r="LL28" s="65">
        <v>9.9999999999999995E-7</v>
      </c>
      <c r="LM28" s="65">
        <v>9.9999999999999995E-7</v>
      </c>
      <c r="LN28" s="65">
        <v>9.9999999999999995E-7</v>
      </c>
      <c r="LO28" s="65">
        <v>9.9999999999999995E-7</v>
      </c>
      <c r="LP28" s="65">
        <v>0</v>
      </c>
      <c r="LQ28" s="65">
        <v>0</v>
      </c>
      <c r="LR28" s="65">
        <v>0</v>
      </c>
      <c r="LS28" s="65">
        <v>0</v>
      </c>
      <c r="LT28" s="65">
        <v>0</v>
      </c>
      <c r="LU28" s="65">
        <v>9.9999999999999995E-7</v>
      </c>
      <c r="LV28" s="65">
        <v>9.9999999999999995E-7</v>
      </c>
      <c r="LW28" s="65">
        <v>9.9999999999999995E-7</v>
      </c>
      <c r="LX28" s="65">
        <v>9.9999999999999995E-7</v>
      </c>
      <c r="LY28" s="65">
        <v>0</v>
      </c>
      <c r="LZ28" s="65">
        <v>9.9999999999999995E-7</v>
      </c>
      <c r="MA28" s="65">
        <v>9.9999999999999995E-7</v>
      </c>
      <c r="MB28" s="65">
        <v>9.9999999999999995E-7</v>
      </c>
      <c r="MC28" s="65">
        <v>9.9999999999999995E-7</v>
      </c>
      <c r="MD28" s="65">
        <v>9.9999999999999995E-7</v>
      </c>
      <c r="ME28" s="65">
        <v>9.9999999999999995E-7</v>
      </c>
      <c r="MF28" s="65">
        <v>9.9999999999999995E-7</v>
      </c>
      <c r="MG28" s="65">
        <v>1.9999999999999999E-6</v>
      </c>
      <c r="MH28" s="65">
        <v>1.9999999999999999E-6</v>
      </c>
      <c r="MI28" s="65">
        <v>1.9999999999999999E-6</v>
      </c>
      <c r="MJ28" s="65">
        <v>1.9999999999999999E-6</v>
      </c>
      <c r="MK28" s="65">
        <v>5.0000000000000004E-6</v>
      </c>
      <c r="ML28" s="65">
        <v>1.9999999999999999E-6</v>
      </c>
      <c r="MM28" s="65">
        <v>9.9999999999999995E-7</v>
      </c>
      <c r="MN28" s="65">
        <v>1.9999999999999999E-6</v>
      </c>
      <c r="MO28" s="65">
        <v>3.9999999999999998E-6</v>
      </c>
      <c r="MP28" s="65">
        <v>5.0000000000000004E-6</v>
      </c>
      <c r="MQ28" s="65">
        <v>9.9999999999999995E-7</v>
      </c>
      <c r="MR28" s="65">
        <v>9.9999999999999995E-7</v>
      </c>
      <c r="MS28" s="65">
        <v>1.9999999999999999E-6</v>
      </c>
      <c r="MT28" s="65">
        <v>9.9999999999999995E-7</v>
      </c>
      <c r="MU28" s="65">
        <v>9.9999999999999995E-7</v>
      </c>
      <c r="MV28" s="65">
        <v>3.9999999999999998E-6</v>
      </c>
      <c r="MW28" s="65">
        <v>9.9999999999999995E-7</v>
      </c>
      <c r="MX28" s="65">
        <v>0</v>
      </c>
      <c r="MY28" s="65">
        <v>0</v>
      </c>
      <c r="MZ28" s="65">
        <v>9.9999999999999995E-7</v>
      </c>
      <c r="NA28" s="65">
        <v>9.9999999999999995E-7</v>
      </c>
      <c r="NB28" s="65"/>
      <c r="NC28" s="65"/>
      <c r="ND28" s="65"/>
      <c r="NE28" s="65"/>
      <c r="NF28" s="65"/>
      <c r="NG28" s="65"/>
      <c r="NH28" s="65"/>
      <c r="NI28" s="65"/>
      <c r="NJ28" s="65"/>
      <c r="NK28" s="65"/>
      <c r="NL28" s="65"/>
      <c r="NM28" s="65"/>
      <c r="NN28" s="65"/>
      <c r="NO28" s="65"/>
      <c r="NP28" s="65"/>
      <c r="NQ28" s="65"/>
      <c r="NR28" s="65"/>
      <c r="NS28" s="65"/>
      <c r="NT28" s="65"/>
      <c r="NU28" s="65"/>
      <c r="NV28" s="65"/>
      <c r="NW28" s="65"/>
      <c r="NX28" s="65"/>
      <c r="NY28" s="65"/>
      <c r="NZ28" s="65"/>
      <c r="OA28" s="65"/>
      <c r="OB28" s="65"/>
      <c r="OC28" s="65"/>
      <c r="OD28" s="65"/>
      <c r="OE28" s="65"/>
      <c r="OF28" s="65"/>
      <c r="OG28" s="65"/>
      <c r="OH28" s="65"/>
      <c r="OI28" s="65"/>
      <c r="OJ28" s="65"/>
      <c r="OK28" s="65"/>
      <c r="OL28" s="65"/>
      <c r="OM28" s="65"/>
      <c r="ON28" s="65"/>
      <c r="OO28" s="65"/>
      <c r="OP28" s="65"/>
      <c r="OQ28" s="65"/>
      <c r="OR28" s="65"/>
      <c r="OS28" s="65"/>
    </row>
    <row r="29" spans="1:409">
      <c r="A29" s="64" t="s">
        <v>102</v>
      </c>
      <c r="B29" s="64" t="s">
        <v>20</v>
      </c>
      <c r="C29" s="64">
        <v>0</v>
      </c>
      <c r="D29" s="64">
        <v>0</v>
      </c>
      <c r="E29" s="64">
        <v>0</v>
      </c>
      <c r="F29" s="64">
        <v>0</v>
      </c>
      <c r="G29" s="64">
        <v>0</v>
      </c>
      <c r="H29" s="64">
        <v>0</v>
      </c>
      <c r="I29" s="64">
        <v>0</v>
      </c>
      <c r="J29" s="64">
        <v>0</v>
      </c>
      <c r="K29" s="64">
        <v>0</v>
      </c>
      <c r="L29" s="64">
        <v>0</v>
      </c>
      <c r="M29" s="64">
        <v>0</v>
      </c>
      <c r="N29" s="64">
        <v>0</v>
      </c>
      <c r="O29" s="64">
        <v>0</v>
      </c>
      <c r="P29" s="64">
        <v>0</v>
      </c>
      <c r="Q29" s="64">
        <v>0</v>
      </c>
      <c r="R29" s="64">
        <v>0</v>
      </c>
      <c r="S29" s="64">
        <v>0</v>
      </c>
      <c r="T29" s="64">
        <v>0</v>
      </c>
      <c r="U29" s="64">
        <v>2.3779999999999999E-3</v>
      </c>
      <c r="V29" s="64">
        <v>2.679999999999999E-4</v>
      </c>
      <c r="W29" s="64">
        <v>3.8635999999999997E-2</v>
      </c>
      <c r="X29" s="64">
        <v>1.1653E-2</v>
      </c>
      <c r="Y29" s="64">
        <v>3.1300000000000002E-4</v>
      </c>
      <c r="Z29" s="64">
        <v>3.6319999999999998E-3</v>
      </c>
      <c r="AA29" s="64">
        <v>3.2636999999999999E-2</v>
      </c>
      <c r="AB29" s="64">
        <v>0.105671</v>
      </c>
      <c r="AC29" s="64">
        <v>3.738E-3</v>
      </c>
      <c r="AD29" s="64">
        <v>4.8899999999999996E-4</v>
      </c>
      <c r="AE29" s="64">
        <v>3.0109999999999998E-3</v>
      </c>
      <c r="AF29" s="64">
        <v>4.104E-3</v>
      </c>
      <c r="AG29" s="64">
        <v>2.9840000000000001E-3</v>
      </c>
      <c r="AH29" s="64">
        <v>9.5372578444083492E-3</v>
      </c>
      <c r="AI29" s="64">
        <v>2.711546028993787E-3</v>
      </c>
      <c r="AJ29" s="64">
        <v>9.9999999999999995E-7</v>
      </c>
      <c r="AK29" s="64">
        <v>9.9999999999999995E-7</v>
      </c>
      <c r="AL29" s="64">
        <v>9.9999999999999995E-7</v>
      </c>
      <c r="AM29" s="64">
        <v>9.9999999999999995E-7</v>
      </c>
      <c r="AN29" s="64">
        <v>0</v>
      </c>
      <c r="AO29" s="64">
        <v>9.9999999999999995E-7</v>
      </c>
      <c r="AP29" s="64">
        <v>9.9999999999999995E-7</v>
      </c>
      <c r="AQ29" s="64">
        <v>9.9999999999999995E-7</v>
      </c>
      <c r="AR29" s="64">
        <v>9.9999999999999995E-7</v>
      </c>
      <c r="AS29" s="64">
        <v>9.9999999999999995E-7</v>
      </c>
      <c r="AT29" s="64">
        <v>9.9999999999999995E-7</v>
      </c>
      <c r="AU29" s="64">
        <v>9.9999999999999995E-7</v>
      </c>
      <c r="AV29" s="64">
        <v>9.9999999999999995E-7</v>
      </c>
      <c r="AW29" s="64">
        <v>9.9999999999999995E-7</v>
      </c>
      <c r="AX29" s="64">
        <v>3.0000000000000001E-6</v>
      </c>
      <c r="AY29" s="64">
        <v>3.0000000000000001E-6</v>
      </c>
      <c r="AZ29" s="64">
        <v>3.9999999999999998E-6</v>
      </c>
      <c r="BA29" s="64">
        <v>1.9999999999999999E-6</v>
      </c>
      <c r="BB29" s="64">
        <v>3.0000000000000001E-6</v>
      </c>
      <c r="BC29" s="64">
        <v>9.9999999999999995E-7</v>
      </c>
      <c r="BD29" s="64">
        <v>3.9999999999999998E-6</v>
      </c>
      <c r="BE29" s="64">
        <v>1.9999999999999999E-6</v>
      </c>
      <c r="BF29" s="64">
        <v>0</v>
      </c>
      <c r="BG29" s="64">
        <v>9.9999999999999995E-7</v>
      </c>
      <c r="BH29" s="64">
        <v>0</v>
      </c>
      <c r="BI29" s="64">
        <v>5.0000000000000004E-6</v>
      </c>
      <c r="BJ29" s="64">
        <v>0</v>
      </c>
      <c r="BK29" s="64">
        <v>9.9999999999999995E-7</v>
      </c>
      <c r="BL29" s="64">
        <v>0</v>
      </c>
      <c r="BM29" s="64">
        <v>0</v>
      </c>
      <c r="BN29" s="64">
        <v>0</v>
      </c>
      <c r="BO29" s="64">
        <v>9.9999999999999995E-7</v>
      </c>
      <c r="BP29" s="64">
        <v>9.9999999999999995E-7</v>
      </c>
      <c r="BQ29" s="64">
        <v>1.9999999999999999E-6</v>
      </c>
      <c r="BR29" s="64">
        <v>1.9999999999999999E-6</v>
      </c>
      <c r="BS29" s="64">
        <v>1.9999999999999999E-6</v>
      </c>
      <c r="BT29" s="64">
        <v>1.9999999999999999E-6</v>
      </c>
      <c r="BU29" s="64">
        <v>0</v>
      </c>
      <c r="BV29" s="64">
        <v>3.0000000000000001E-6</v>
      </c>
      <c r="BW29" s="64">
        <v>3.0000000000000001E-6</v>
      </c>
      <c r="BX29" s="64">
        <v>3.0000000000000001E-6</v>
      </c>
      <c r="BY29" s="64">
        <v>3.0000000000000001E-6</v>
      </c>
      <c r="BZ29" s="64">
        <v>3.0000000000000001E-6</v>
      </c>
      <c r="CA29" s="64">
        <v>3.0000000000000001E-6</v>
      </c>
      <c r="CB29" s="64">
        <v>3.0000000000000001E-6</v>
      </c>
      <c r="CC29" s="64">
        <v>3.9999999999999998E-6</v>
      </c>
      <c r="CD29" s="64">
        <v>3.9999999999999998E-6</v>
      </c>
      <c r="CE29" s="64">
        <v>3.0000000000000001E-6</v>
      </c>
      <c r="CF29" s="64">
        <v>3.0000000000000001E-6</v>
      </c>
      <c r="CG29" s="64">
        <v>6.0000000000000002E-6</v>
      </c>
      <c r="CH29" s="64">
        <v>3.9999999999999998E-6</v>
      </c>
      <c r="CI29" s="64">
        <v>5.0000000000000004E-6</v>
      </c>
      <c r="CJ29" s="64">
        <v>1.9999999999999999E-6</v>
      </c>
      <c r="CK29" s="64">
        <v>3.9999999999999998E-6</v>
      </c>
      <c r="CL29" s="64">
        <v>3.9999999999999998E-6</v>
      </c>
      <c r="CM29" s="64">
        <v>3.0000000000000001E-6</v>
      </c>
      <c r="CN29" s="64">
        <v>9.9999999999999995E-7</v>
      </c>
      <c r="CO29" s="64">
        <v>1.9999999999999999E-6</v>
      </c>
      <c r="CP29" s="64">
        <v>1.8E-5</v>
      </c>
      <c r="CQ29" s="64">
        <v>9.9999999999999995E-7</v>
      </c>
      <c r="CR29" s="64">
        <v>3.9999999999999998E-6</v>
      </c>
      <c r="CS29" s="64">
        <v>9.9999999999999995E-7</v>
      </c>
      <c r="CT29" s="64">
        <v>0</v>
      </c>
      <c r="CU29" s="64">
        <v>0</v>
      </c>
      <c r="CV29" s="64">
        <v>9.9999999999999995E-7</v>
      </c>
      <c r="CW29" s="64">
        <v>9.9999999999999995E-7</v>
      </c>
      <c r="CX29" s="64">
        <v>0</v>
      </c>
      <c r="CY29" s="64">
        <v>0</v>
      </c>
      <c r="CZ29" s="64">
        <v>0</v>
      </c>
      <c r="DA29" s="64">
        <v>0</v>
      </c>
      <c r="DB29" s="64">
        <v>0</v>
      </c>
      <c r="DC29" s="64">
        <v>0</v>
      </c>
      <c r="DD29" s="64">
        <v>0</v>
      </c>
      <c r="DE29" s="64">
        <v>0</v>
      </c>
      <c r="DF29" s="64">
        <v>0</v>
      </c>
      <c r="DG29" s="64">
        <v>0</v>
      </c>
      <c r="DH29" s="64">
        <v>0</v>
      </c>
      <c r="DI29" s="64">
        <v>0</v>
      </c>
      <c r="DJ29" s="64">
        <v>0</v>
      </c>
      <c r="DK29" s="64">
        <v>0</v>
      </c>
      <c r="DL29" s="64">
        <v>0</v>
      </c>
      <c r="DM29" s="64">
        <v>0</v>
      </c>
      <c r="DN29" s="64">
        <v>0</v>
      </c>
      <c r="DO29" s="64">
        <v>0</v>
      </c>
      <c r="DP29" s="64">
        <v>0</v>
      </c>
      <c r="DQ29" s="64">
        <v>0</v>
      </c>
      <c r="DR29" s="64">
        <v>0</v>
      </c>
      <c r="DS29" s="64">
        <v>0</v>
      </c>
      <c r="DT29" s="64">
        <v>0</v>
      </c>
      <c r="DU29" s="64">
        <v>0</v>
      </c>
      <c r="DV29" s="64">
        <v>0</v>
      </c>
      <c r="DW29" s="64">
        <v>0</v>
      </c>
      <c r="DX29" s="64">
        <v>0</v>
      </c>
      <c r="DY29" s="64">
        <v>0</v>
      </c>
      <c r="DZ29" s="64">
        <v>0</v>
      </c>
      <c r="EA29" s="64">
        <v>0</v>
      </c>
      <c r="EB29" s="64">
        <v>0</v>
      </c>
      <c r="EC29" s="64">
        <v>0</v>
      </c>
      <c r="ED29" s="64">
        <v>0</v>
      </c>
      <c r="EE29" s="64">
        <v>0</v>
      </c>
      <c r="EF29" s="64">
        <v>0</v>
      </c>
      <c r="EG29" s="64">
        <v>0</v>
      </c>
      <c r="EH29" s="64">
        <v>0</v>
      </c>
      <c r="EI29" s="64">
        <v>0</v>
      </c>
      <c r="EJ29" s="64">
        <v>0</v>
      </c>
      <c r="EK29" s="64">
        <v>0</v>
      </c>
      <c r="EL29" s="64">
        <v>0</v>
      </c>
      <c r="EM29" s="64">
        <v>0</v>
      </c>
      <c r="EN29" s="64">
        <v>0</v>
      </c>
      <c r="EO29" s="64">
        <v>0</v>
      </c>
      <c r="EP29" s="64">
        <v>0</v>
      </c>
      <c r="EQ29" s="64">
        <v>9.9999999999999995E-7</v>
      </c>
      <c r="ER29" s="64">
        <v>9.9999999999999995E-7</v>
      </c>
      <c r="ES29" s="64">
        <v>0</v>
      </c>
      <c r="ET29" s="64">
        <v>0</v>
      </c>
      <c r="EU29" s="64">
        <v>9.9999999999999995E-7</v>
      </c>
      <c r="EV29" s="64">
        <v>0</v>
      </c>
      <c r="EW29" s="64">
        <v>0</v>
      </c>
      <c r="EX29" s="64">
        <v>0</v>
      </c>
      <c r="EY29" s="64">
        <v>0</v>
      </c>
      <c r="EZ29" s="64">
        <v>9.9999999999999995E-7</v>
      </c>
      <c r="FA29" s="64">
        <v>0</v>
      </c>
      <c r="FB29" s="64">
        <v>0</v>
      </c>
      <c r="FC29" s="64">
        <v>0</v>
      </c>
      <c r="FD29" s="64">
        <v>0</v>
      </c>
      <c r="FE29" s="64">
        <v>0</v>
      </c>
      <c r="FF29" s="64">
        <v>0</v>
      </c>
      <c r="FG29" s="64">
        <v>0</v>
      </c>
      <c r="FH29" s="64">
        <v>0</v>
      </c>
      <c r="FI29" s="64">
        <v>0</v>
      </c>
      <c r="FJ29" s="64">
        <v>0</v>
      </c>
      <c r="FK29" s="64">
        <v>0</v>
      </c>
      <c r="FL29" s="64">
        <v>5.0000000000000004E-6</v>
      </c>
      <c r="FM29" s="64">
        <v>5.0000000000000004E-6</v>
      </c>
      <c r="FN29" s="64">
        <v>5.0000000000000004E-6</v>
      </c>
      <c r="FO29" s="64">
        <v>5.0000000000000004E-6</v>
      </c>
      <c r="FP29" s="64">
        <v>0</v>
      </c>
      <c r="FQ29" s="64">
        <v>3.9999999999999998E-6</v>
      </c>
      <c r="FR29" s="64">
        <v>3.9999999999999998E-6</v>
      </c>
      <c r="FS29" s="64">
        <v>3.9999999999999998E-6</v>
      </c>
      <c r="FT29" s="64">
        <v>3.9999999999999998E-6</v>
      </c>
      <c r="FU29" s="64">
        <v>3.9999999999999998E-6</v>
      </c>
      <c r="FV29" s="64">
        <v>3.9999999999999998E-6</v>
      </c>
      <c r="FW29" s="64">
        <v>3.9999999999999998E-6</v>
      </c>
      <c r="FX29" s="64">
        <v>3.0000000000000001E-6</v>
      </c>
      <c r="FY29" s="64">
        <v>3.0000000000000001E-6</v>
      </c>
      <c r="FZ29" s="64">
        <v>3.9999999999999998E-6</v>
      </c>
      <c r="GA29" s="64">
        <v>3.9999999999999998E-6</v>
      </c>
      <c r="GB29" s="64">
        <v>9.0000000000000002E-6</v>
      </c>
      <c r="GC29" s="64">
        <v>3.9999999999999998E-6</v>
      </c>
      <c r="GD29" s="64">
        <v>3.9999999999999998E-6</v>
      </c>
      <c r="GE29" s="64">
        <v>3.0000000000000001E-6</v>
      </c>
      <c r="GF29" s="64">
        <v>6.9999999999999999E-6</v>
      </c>
      <c r="GG29" s="64">
        <v>3.0000000000000001E-6</v>
      </c>
      <c r="GH29" s="64">
        <v>3.9999999999999998E-6</v>
      </c>
      <c r="GI29" s="64">
        <v>9.9999999999999995E-7</v>
      </c>
      <c r="GJ29" s="64">
        <v>3.0000000000000001E-6</v>
      </c>
      <c r="GK29" s="64">
        <v>3.0000000000000001E-5</v>
      </c>
      <c r="GL29" s="64">
        <v>1.9999999999999999E-6</v>
      </c>
      <c r="GM29" s="64">
        <v>2.3E-5</v>
      </c>
      <c r="GN29" s="64">
        <v>0</v>
      </c>
      <c r="GO29" s="64">
        <v>0</v>
      </c>
      <c r="GP29" s="64">
        <v>0</v>
      </c>
      <c r="GQ29" s="64">
        <v>1.9999999999999999E-6</v>
      </c>
      <c r="GR29" s="64">
        <v>1.9999999999999999E-6</v>
      </c>
      <c r="GS29" s="64">
        <v>0</v>
      </c>
      <c r="GT29" s="64">
        <v>0</v>
      </c>
      <c r="GU29" s="64">
        <v>0</v>
      </c>
      <c r="GV29" s="64">
        <v>0</v>
      </c>
      <c r="GW29" s="64">
        <v>0</v>
      </c>
      <c r="GX29" s="64">
        <v>9.9999999999999995E-7</v>
      </c>
      <c r="GY29" s="64">
        <v>9.9999999999999995E-7</v>
      </c>
      <c r="GZ29" s="64">
        <v>9.9999999999999995E-7</v>
      </c>
      <c r="HA29" s="64">
        <v>9.9999999999999995E-7</v>
      </c>
      <c r="HB29" s="64">
        <v>9.9999999999999995E-7</v>
      </c>
      <c r="HC29" s="64">
        <v>9.9999999999999995E-7</v>
      </c>
      <c r="HD29" s="64">
        <v>9.9999999999999995E-7</v>
      </c>
      <c r="HE29" s="64">
        <v>1.9999999999999999E-6</v>
      </c>
      <c r="HF29" s="64">
        <v>1.9999999999999999E-6</v>
      </c>
      <c r="HG29" s="64">
        <v>9.9999999999999995E-7</v>
      </c>
      <c r="HH29" s="64">
        <v>9.9999999999999995E-7</v>
      </c>
      <c r="HI29" s="64">
        <v>1.9999999999999999E-6</v>
      </c>
      <c r="HJ29" s="64">
        <v>9.9999999999999995E-7</v>
      </c>
      <c r="HK29" s="64">
        <v>1.9999999999999999E-6</v>
      </c>
      <c r="HL29" s="64">
        <v>9.9999999999999995E-7</v>
      </c>
      <c r="HM29" s="64">
        <v>9.9999999999999995E-7</v>
      </c>
      <c r="HN29" s="64">
        <v>3.0000000000000001E-6</v>
      </c>
      <c r="HO29" s="64">
        <v>9.9999999999999995E-7</v>
      </c>
      <c r="HP29" s="64">
        <v>9.9999999999999995E-7</v>
      </c>
      <c r="HQ29" s="64">
        <v>9.9999999999999995E-7</v>
      </c>
      <c r="HR29" s="64">
        <v>6.0000000000000002E-6</v>
      </c>
      <c r="HS29" s="64">
        <v>0</v>
      </c>
      <c r="HT29" s="64">
        <v>9.9999999999999995E-7</v>
      </c>
      <c r="HU29" s="64">
        <v>0</v>
      </c>
      <c r="HV29" s="64">
        <v>0</v>
      </c>
      <c r="HW29" s="64">
        <v>0</v>
      </c>
      <c r="HX29" s="64">
        <v>0</v>
      </c>
      <c r="HY29" s="64">
        <v>0</v>
      </c>
      <c r="HZ29" s="64">
        <v>1.9999999999999999E-6</v>
      </c>
      <c r="IA29" s="64">
        <v>1.9999999999999999E-6</v>
      </c>
      <c r="IB29" s="64">
        <v>1.9999999999999999E-6</v>
      </c>
      <c r="IC29" s="64">
        <v>1.9999999999999999E-6</v>
      </c>
      <c r="ID29" s="64">
        <v>0</v>
      </c>
      <c r="IE29" s="64">
        <v>1.9999999999999999E-6</v>
      </c>
      <c r="IF29" s="64">
        <v>1.9999999999999999E-6</v>
      </c>
      <c r="IG29" s="64">
        <v>1.9999999999999999E-6</v>
      </c>
      <c r="IH29" s="64">
        <v>1.9999999999999999E-6</v>
      </c>
      <c r="II29" s="64">
        <v>1.9999999999999999E-6</v>
      </c>
      <c r="IJ29" s="64">
        <v>1.9999999999999999E-6</v>
      </c>
      <c r="IK29" s="64">
        <v>1.9999999999999999E-6</v>
      </c>
      <c r="IL29" s="64">
        <v>3.0000000000000001E-6</v>
      </c>
      <c r="IM29" s="64">
        <v>3.0000000000000001E-6</v>
      </c>
      <c r="IN29" s="64">
        <v>1.9999999999999999E-6</v>
      </c>
      <c r="IO29" s="64">
        <v>1.9999999999999999E-6</v>
      </c>
      <c r="IP29" s="64">
        <v>3.9999999999999998E-6</v>
      </c>
      <c r="IQ29" s="64">
        <v>6.9999999999999999E-6</v>
      </c>
      <c r="IR29" s="64">
        <v>9.9999999999999995E-7</v>
      </c>
      <c r="IS29" s="64">
        <v>9.9999999999999995E-7</v>
      </c>
      <c r="IT29" s="64">
        <v>7.9999999999999996E-6</v>
      </c>
      <c r="IU29" s="64">
        <v>6.0000000000000002E-6</v>
      </c>
      <c r="IV29" s="64">
        <v>1.9999999999999999E-6</v>
      </c>
      <c r="IW29" s="64">
        <v>1.9999999999999999E-6</v>
      </c>
      <c r="IX29" s="64">
        <v>1.5999999999999999E-5</v>
      </c>
      <c r="IY29" s="64">
        <v>3.0000000000000001E-5</v>
      </c>
      <c r="IZ29" s="64">
        <v>9.9999999999999995E-7</v>
      </c>
      <c r="JA29" s="64">
        <v>1.0000000000000001E-5</v>
      </c>
      <c r="JB29" s="64">
        <v>1.9999999999999999E-6</v>
      </c>
      <c r="JC29" s="64">
        <v>0</v>
      </c>
      <c r="JD29" s="64">
        <v>0</v>
      </c>
      <c r="JE29" s="64">
        <v>3.0000000000000001E-6</v>
      </c>
      <c r="JF29" s="64">
        <v>3.0000000000000001E-6</v>
      </c>
      <c r="JG29" s="64">
        <v>1.25E-4</v>
      </c>
      <c r="JH29" s="64">
        <v>1.25E-4</v>
      </c>
      <c r="JI29" s="64">
        <v>1.25E-4</v>
      </c>
      <c r="JJ29" s="64">
        <v>1.25E-4</v>
      </c>
      <c r="JK29" s="64">
        <v>0</v>
      </c>
      <c r="JL29" s="64">
        <v>1.5699999999999999E-4</v>
      </c>
      <c r="JM29" s="64">
        <v>1.5699999999999999E-4</v>
      </c>
      <c r="JN29" s="64">
        <v>1.5699999999999999E-4</v>
      </c>
      <c r="JO29" s="64">
        <v>1.5699999999999999E-4</v>
      </c>
      <c r="JP29" s="64">
        <v>1.5699999999999999E-4</v>
      </c>
      <c r="JQ29" s="64">
        <v>1.5699999999999999E-4</v>
      </c>
      <c r="JR29" s="64">
        <v>1.5699999999999999E-4</v>
      </c>
      <c r="JS29" s="64">
        <v>4.3999999999999999E-5</v>
      </c>
      <c r="JT29" s="64">
        <v>4.3999999999999999E-5</v>
      </c>
      <c r="JU29" s="64">
        <v>1.4300000000000001E-4</v>
      </c>
      <c r="JV29" s="64">
        <v>1.4300000000000001E-4</v>
      </c>
      <c r="JW29" s="64">
        <v>9.2999999999999997E-5</v>
      </c>
      <c r="JX29" s="64">
        <v>4.5000000000000003E-5</v>
      </c>
      <c r="JY29" s="64">
        <v>1.08E-4</v>
      </c>
      <c r="JZ29" s="64">
        <v>5.3000000000000001E-5</v>
      </c>
      <c r="KA29" s="64">
        <v>4.8000000000000001E-5</v>
      </c>
      <c r="KB29" s="64">
        <v>5.0000000000000004E-6</v>
      </c>
      <c r="KC29" s="64">
        <v>3.1999999999999999E-5</v>
      </c>
      <c r="KD29" s="64">
        <v>3.1999999999999999E-5</v>
      </c>
      <c r="KE29" s="64">
        <v>1.139E-3</v>
      </c>
      <c r="KF29" s="64">
        <v>2.1000000000000001E-4</v>
      </c>
      <c r="KG29" s="64">
        <v>2.9E-5</v>
      </c>
      <c r="KH29" s="64">
        <v>2.6999999999999999E-5</v>
      </c>
      <c r="KI29" s="64">
        <v>3.3000000000000003E-5</v>
      </c>
      <c r="KJ29" s="64">
        <v>3.0000000000000001E-6</v>
      </c>
      <c r="KK29" s="64">
        <v>1.9999999999999999E-6</v>
      </c>
      <c r="KL29" s="64">
        <v>3.4E-5</v>
      </c>
      <c r="KM29" s="64">
        <v>3.4E-5</v>
      </c>
      <c r="KN29" s="64">
        <v>0</v>
      </c>
      <c r="KO29" s="64">
        <v>0</v>
      </c>
      <c r="KP29" s="64">
        <v>0</v>
      </c>
      <c r="KQ29" s="64">
        <v>0</v>
      </c>
      <c r="KR29" s="64">
        <v>0</v>
      </c>
      <c r="KS29" s="64">
        <v>9.9999999999999995E-7</v>
      </c>
      <c r="KT29" s="64">
        <v>9.9999999999999995E-7</v>
      </c>
      <c r="KU29" s="64">
        <v>9.9999999999999995E-7</v>
      </c>
      <c r="KV29" s="64">
        <v>9.9999999999999995E-7</v>
      </c>
      <c r="KW29" s="64">
        <v>9.9999999999999995E-7</v>
      </c>
      <c r="KX29" s="64">
        <v>9.9999999999999995E-7</v>
      </c>
      <c r="KY29" s="64">
        <v>9.9999999999999995E-7</v>
      </c>
      <c r="KZ29" s="64">
        <v>9.9999999999999995E-7</v>
      </c>
      <c r="LA29" s="64">
        <v>9.9999999999999995E-7</v>
      </c>
      <c r="LB29" s="64">
        <v>9.9999999999999995E-7</v>
      </c>
      <c r="LC29" s="64">
        <v>9.9999999999999995E-7</v>
      </c>
      <c r="LD29" s="64">
        <v>1.9999999999999999E-6</v>
      </c>
      <c r="LE29" s="64">
        <v>1.9999999999999999E-6</v>
      </c>
      <c r="LF29" s="64">
        <v>1.9999999999999999E-6</v>
      </c>
      <c r="LG29" s="64">
        <v>9.9999999999999995E-7</v>
      </c>
      <c r="LH29" s="64">
        <v>1.9999999999999999E-6</v>
      </c>
      <c r="LI29" s="64">
        <v>1.9999999999999999E-6</v>
      </c>
      <c r="LJ29" s="64">
        <v>9.9999999999999995E-7</v>
      </c>
      <c r="LK29" s="64">
        <v>0</v>
      </c>
      <c r="LL29" s="64">
        <v>9.9999999999999995E-7</v>
      </c>
      <c r="LM29" s="64">
        <v>5.0000000000000004E-6</v>
      </c>
      <c r="LN29" s="64">
        <v>0</v>
      </c>
      <c r="LO29" s="64">
        <v>9.9999999999999995E-7</v>
      </c>
      <c r="LP29" s="64">
        <v>0</v>
      </c>
      <c r="LQ29" s="64">
        <v>0</v>
      </c>
      <c r="LR29" s="64">
        <v>0</v>
      </c>
      <c r="LS29" s="64">
        <v>9.9999999999999995E-7</v>
      </c>
      <c r="LT29" s="64">
        <v>9.9999999999999995E-7</v>
      </c>
      <c r="LU29" s="64">
        <v>1.9999999999999999E-6</v>
      </c>
      <c r="LV29" s="64">
        <v>1.9999999999999999E-6</v>
      </c>
      <c r="LW29" s="64">
        <v>1.9999999999999999E-6</v>
      </c>
      <c r="LX29" s="64">
        <v>1.9999999999999999E-6</v>
      </c>
      <c r="LY29" s="64">
        <v>0</v>
      </c>
      <c r="LZ29" s="64">
        <v>3.0000000000000001E-6</v>
      </c>
      <c r="MA29" s="64">
        <v>3.0000000000000001E-6</v>
      </c>
      <c r="MB29" s="64">
        <v>3.0000000000000001E-6</v>
      </c>
      <c r="MC29" s="64">
        <v>3.0000000000000001E-6</v>
      </c>
      <c r="MD29" s="64">
        <v>3.0000000000000001E-6</v>
      </c>
      <c r="ME29" s="64">
        <v>3.0000000000000001E-6</v>
      </c>
      <c r="MF29" s="64">
        <v>3.0000000000000001E-6</v>
      </c>
      <c r="MG29" s="64">
        <v>3.0000000000000001E-6</v>
      </c>
      <c r="MH29" s="64">
        <v>3.0000000000000001E-6</v>
      </c>
      <c r="MI29" s="64">
        <v>3.0000000000000001E-6</v>
      </c>
      <c r="MJ29" s="64">
        <v>3.0000000000000001E-6</v>
      </c>
      <c r="MK29" s="64">
        <v>6.0000000000000002E-6</v>
      </c>
      <c r="ML29" s="64">
        <v>1.9999999999999999E-6</v>
      </c>
      <c r="MM29" s="64">
        <v>3.0000000000000001E-6</v>
      </c>
      <c r="MN29" s="64">
        <v>3.0000000000000001E-6</v>
      </c>
      <c r="MO29" s="64">
        <v>6.0000000000000002E-6</v>
      </c>
      <c r="MP29" s="64">
        <v>5.0000000000000004E-6</v>
      </c>
      <c r="MQ29" s="64">
        <v>1.9999999999999999E-6</v>
      </c>
      <c r="MR29" s="64">
        <v>9.9999999999999995E-7</v>
      </c>
      <c r="MS29" s="64">
        <v>1.9999999999999999E-6</v>
      </c>
      <c r="MT29" s="64">
        <v>1.2999999999999999E-5</v>
      </c>
      <c r="MU29" s="64">
        <v>9.9999999999999995E-7</v>
      </c>
      <c r="MV29" s="64">
        <v>5.0000000000000004E-6</v>
      </c>
      <c r="MW29" s="64">
        <v>9.9999999999999995E-7</v>
      </c>
      <c r="MX29" s="64">
        <v>0</v>
      </c>
      <c r="MY29" s="64">
        <v>0</v>
      </c>
      <c r="MZ29" s="64">
        <v>1.9999999999999999E-6</v>
      </c>
      <c r="NA29" s="64">
        <v>1.9999999999999999E-6</v>
      </c>
      <c r="NB29" s="64"/>
      <c r="NC29" s="64"/>
      <c r="ND29" s="64"/>
      <c r="NE29" s="64"/>
      <c r="NF29" s="64"/>
      <c r="NG29" s="64"/>
      <c r="NH29" s="64"/>
      <c r="NI29" s="64"/>
      <c r="NJ29" s="64"/>
      <c r="NK29" s="64"/>
      <c r="NL29" s="64"/>
      <c r="NM29" s="64"/>
      <c r="NN29" s="64"/>
      <c r="NO29" s="64"/>
      <c r="NP29" s="64"/>
      <c r="NQ29" s="64"/>
      <c r="NR29" s="64"/>
      <c r="NS29" s="64"/>
      <c r="NT29" s="64"/>
      <c r="NU29" s="64"/>
      <c r="NV29" s="64"/>
      <c r="NW29" s="64"/>
      <c r="NX29" s="64"/>
      <c r="NY29" s="64"/>
      <c r="NZ29" s="64"/>
      <c r="OA29" s="64"/>
      <c r="OB29" s="64"/>
      <c r="OC29" s="64"/>
      <c r="OD29" s="64"/>
      <c r="OE29" s="64"/>
      <c r="OF29" s="64"/>
      <c r="OG29" s="64"/>
      <c r="OH29" s="64"/>
      <c r="OI29" s="64"/>
      <c r="OJ29" s="64"/>
      <c r="OK29" s="64"/>
      <c r="OL29" s="64"/>
      <c r="OM29" s="64"/>
      <c r="ON29" s="64"/>
      <c r="OO29" s="64"/>
      <c r="OP29" s="64"/>
      <c r="OQ29" s="64"/>
      <c r="OR29" s="64"/>
      <c r="OS29" s="64"/>
    </row>
    <row r="30" spans="1:409">
      <c r="A30" s="65" t="s">
        <v>103</v>
      </c>
      <c r="B30" s="65" t="s">
        <v>21</v>
      </c>
      <c r="C30" s="65">
        <v>2.7192455228102259E-6</v>
      </c>
      <c r="D30" s="65">
        <v>3.7846391769478362E-6</v>
      </c>
      <c r="E30" s="65">
        <v>2.3912645034132021E-6</v>
      </c>
      <c r="F30" s="65">
        <v>2.3257996809671731E-6</v>
      </c>
      <c r="G30" s="65">
        <v>0</v>
      </c>
      <c r="H30" s="65">
        <v>0</v>
      </c>
      <c r="I30" s="65">
        <v>0</v>
      </c>
      <c r="J30" s="65">
        <v>0</v>
      </c>
      <c r="K30" s="65">
        <v>0</v>
      </c>
      <c r="L30" s="65">
        <v>0</v>
      </c>
      <c r="M30" s="65">
        <v>0</v>
      </c>
      <c r="N30" s="65">
        <v>0</v>
      </c>
      <c r="O30" s="65">
        <v>2.2692736160054559E-5</v>
      </c>
      <c r="P30" s="65">
        <v>3.6696323529411759E-5</v>
      </c>
      <c r="Q30" s="65">
        <v>2.5870103780250843E-4</v>
      </c>
      <c r="R30" s="65">
        <v>6.0293171203132313E-4</v>
      </c>
      <c r="S30" s="65">
        <v>2.5850000000000001E-3</v>
      </c>
      <c r="T30" s="65">
        <v>5.1500000000000016E-4</v>
      </c>
      <c r="U30" s="65">
        <v>2.7300000000000002E-4</v>
      </c>
      <c r="V30" s="65">
        <v>5.9679999999999976E-3</v>
      </c>
      <c r="W30" s="65">
        <v>3.215E-3</v>
      </c>
      <c r="X30" s="65">
        <v>1.1050000000000001E-3</v>
      </c>
      <c r="Y30" s="65">
        <v>1.926E-3</v>
      </c>
      <c r="Z30" s="65">
        <v>2.0999999999999999E-5</v>
      </c>
      <c r="AA30" s="65">
        <v>3.4999999999999997E-5</v>
      </c>
      <c r="AB30" s="65">
        <v>8.3999999999999995E-5</v>
      </c>
      <c r="AC30" s="65">
        <v>6.2399999999999999E-4</v>
      </c>
      <c r="AD30" s="65">
        <v>6.7000000000000002E-5</v>
      </c>
      <c r="AE30" s="65">
        <v>5.4799999999999998E-4</v>
      </c>
      <c r="AF30" s="65">
        <v>2.7E-4</v>
      </c>
      <c r="AG30" s="65">
        <v>1.9599999999999999E-4</v>
      </c>
      <c r="AH30" s="65">
        <v>2.02329787675895E-3</v>
      </c>
      <c r="AI30" s="65">
        <v>3.6445783625955038E-3</v>
      </c>
      <c r="AJ30" s="65">
        <v>0</v>
      </c>
      <c r="AK30" s="65">
        <v>0</v>
      </c>
      <c r="AL30" s="65">
        <v>0</v>
      </c>
      <c r="AM30" s="65">
        <v>0</v>
      </c>
      <c r="AN30" s="65">
        <v>0</v>
      </c>
      <c r="AO30" s="65">
        <v>0</v>
      </c>
      <c r="AP30" s="65">
        <v>0</v>
      </c>
      <c r="AQ30" s="65">
        <v>0</v>
      </c>
      <c r="AR30" s="65">
        <v>0</v>
      </c>
      <c r="AS30" s="65">
        <v>0</v>
      </c>
      <c r="AT30" s="65">
        <v>0</v>
      </c>
      <c r="AU30" s="65">
        <v>0</v>
      </c>
      <c r="AV30" s="65">
        <v>0</v>
      </c>
      <c r="AW30" s="65">
        <v>0</v>
      </c>
      <c r="AX30" s="65">
        <v>0</v>
      </c>
      <c r="AY30" s="65">
        <v>0</v>
      </c>
      <c r="AZ30" s="65">
        <v>0</v>
      </c>
      <c r="BA30" s="65">
        <v>0</v>
      </c>
      <c r="BB30" s="65">
        <v>0</v>
      </c>
      <c r="BC30" s="65">
        <v>0</v>
      </c>
      <c r="BD30" s="65">
        <v>9.9999999999999995E-7</v>
      </c>
      <c r="BE30" s="65">
        <v>9.9999999999999995E-7</v>
      </c>
      <c r="BF30" s="65">
        <v>0</v>
      </c>
      <c r="BG30" s="65">
        <v>0</v>
      </c>
      <c r="BH30" s="65">
        <v>0</v>
      </c>
      <c r="BI30" s="65">
        <v>0</v>
      </c>
      <c r="BJ30" s="65">
        <v>9.9999999999999995E-7</v>
      </c>
      <c r="BK30" s="65">
        <v>3.0000000000000001E-6</v>
      </c>
      <c r="BL30" s="65">
        <v>9.9999999999999995E-7</v>
      </c>
      <c r="BM30" s="65">
        <v>0</v>
      </c>
      <c r="BN30" s="65">
        <v>0</v>
      </c>
      <c r="BO30" s="65">
        <v>9.9999999999999995E-7</v>
      </c>
      <c r="BP30" s="65">
        <v>9.9999999999999995E-7</v>
      </c>
      <c r="BQ30" s="65">
        <v>0</v>
      </c>
      <c r="BR30" s="65">
        <v>0</v>
      </c>
      <c r="BS30" s="65">
        <v>0</v>
      </c>
      <c r="BT30" s="65">
        <v>0</v>
      </c>
      <c r="BU30" s="65">
        <v>0</v>
      </c>
      <c r="BV30" s="65">
        <v>0</v>
      </c>
      <c r="BW30" s="65">
        <v>0</v>
      </c>
      <c r="BX30" s="65">
        <v>0</v>
      </c>
      <c r="BY30" s="65">
        <v>0</v>
      </c>
      <c r="BZ30" s="65">
        <v>0</v>
      </c>
      <c r="CA30" s="65">
        <v>0</v>
      </c>
      <c r="CB30" s="65">
        <v>0</v>
      </c>
      <c r="CC30" s="65">
        <v>9.9999999999999995E-7</v>
      </c>
      <c r="CD30" s="65">
        <v>9.9999999999999995E-7</v>
      </c>
      <c r="CE30" s="65">
        <v>9.9999999999999995E-7</v>
      </c>
      <c r="CF30" s="65">
        <v>9.9999999999999995E-7</v>
      </c>
      <c r="CG30" s="65">
        <v>9.9999999999999995E-7</v>
      </c>
      <c r="CH30" s="65">
        <v>9.9999999999999995E-7</v>
      </c>
      <c r="CI30" s="65">
        <v>0</v>
      </c>
      <c r="CJ30" s="65">
        <v>0</v>
      </c>
      <c r="CK30" s="65">
        <v>9.9999999999999995E-7</v>
      </c>
      <c r="CL30" s="65">
        <v>9.9999999999999995E-7</v>
      </c>
      <c r="CM30" s="65">
        <v>0</v>
      </c>
      <c r="CN30" s="65">
        <v>0</v>
      </c>
      <c r="CO30" s="65">
        <v>0</v>
      </c>
      <c r="CP30" s="65">
        <v>9.9999999999999995E-7</v>
      </c>
      <c r="CQ30" s="65">
        <v>6.0000000000000002E-6</v>
      </c>
      <c r="CR30" s="65">
        <v>9.0000000000000002E-6</v>
      </c>
      <c r="CS30" s="65">
        <v>0</v>
      </c>
      <c r="CT30" s="65">
        <v>0</v>
      </c>
      <c r="CU30" s="65">
        <v>0</v>
      </c>
      <c r="CV30" s="65">
        <v>3.0000000000000001E-6</v>
      </c>
      <c r="CW30" s="65">
        <v>3.0000000000000001E-6</v>
      </c>
      <c r="CX30" s="65">
        <v>0</v>
      </c>
      <c r="CY30" s="65">
        <v>0</v>
      </c>
      <c r="CZ30" s="65">
        <v>0</v>
      </c>
      <c r="DA30" s="65">
        <v>0</v>
      </c>
      <c r="DB30" s="65">
        <v>0</v>
      </c>
      <c r="DC30" s="65">
        <v>0</v>
      </c>
      <c r="DD30" s="65">
        <v>0</v>
      </c>
      <c r="DE30" s="65">
        <v>0</v>
      </c>
      <c r="DF30" s="65">
        <v>0</v>
      </c>
      <c r="DG30" s="65">
        <v>0</v>
      </c>
      <c r="DH30" s="65">
        <v>0</v>
      </c>
      <c r="DI30" s="65">
        <v>0</v>
      </c>
      <c r="DJ30" s="65">
        <v>0</v>
      </c>
      <c r="DK30" s="65">
        <v>0</v>
      </c>
      <c r="DL30" s="65">
        <v>0</v>
      </c>
      <c r="DM30" s="65">
        <v>0</v>
      </c>
      <c r="DN30" s="65">
        <v>0</v>
      </c>
      <c r="DO30" s="65">
        <v>0</v>
      </c>
      <c r="DP30" s="65">
        <v>0</v>
      </c>
      <c r="DQ30" s="65">
        <v>0</v>
      </c>
      <c r="DR30" s="65">
        <v>0</v>
      </c>
      <c r="DS30" s="65">
        <v>0</v>
      </c>
      <c r="DT30" s="65">
        <v>0</v>
      </c>
      <c r="DU30" s="65">
        <v>0</v>
      </c>
      <c r="DV30" s="65">
        <v>0</v>
      </c>
      <c r="DW30" s="65">
        <v>0</v>
      </c>
      <c r="DX30" s="65">
        <v>0</v>
      </c>
      <c r="DY30" s="65">
        <v>0</v>
      </c>
      <c r="DZ30" s="65">
        <v>0</v>
      </c>
      <c r="EA30" s="65">
        <v>0</v>
      </c>
      <c r="EB30" s="65">
        <v>0</v>
      </c>
      <c r="EC30" s="65">
        <v>0</v>
      </c>
      <c r="ED30" s="65">
        <v>0</v>
      </c>
      <c r="EE30" s="65">
        <v>0</v>
      </c>
      <c r="EF30" s="65">
        <v>0</v>
      </c>
      <c r="EG30" s="65">
        <v>0</v>
      </c>
      <c r="EH30" s="65">
        <v>0</v>
      </c>
      <c r="EI30" s="65">
        <v>0</v>
      </c>
      <c r="EJ30" s="65">
        <v>0</v>
      </c>
      <c r="EK30" s="65">
        <v>0</v>
      </c>
      <c r="EL30" s="65">
        <v>0</v>
      </c>
      <c r="EM30" s="65">
        <v>0</v>
      </c>
      <c r="EN30" s="65">
        <v>0</v>
      </c>
      <c r="EO30" s="65">
        <v>0</v>
      </c>
      <c r="EP30" s="65">
        <v>0</v>
      </c>
      <c r="EQ30" s="65">
        <v>0</v>
      </c>
      <c r="ER30" s="65">
        <v>0</v>
      </c>
      <c r="ES30" s="65">
        <v>0</v>
      </c>
      <c r="ET30" s="65">
        <v>0</v>
      </c>
      <c r="EU30" s="65">
        <v>0</v>
      </c>
      <c r="EV30" s="65">
        <v>0</v>
      </c>
      <c r="EW30" s="65">
        <v>0</v>
      </c>
      <c r="EX30" s="65">
        <v>0</v>
      </c>
      <c r="EY30" s="65">
        <v>0</v>
      </c>
      <c r="EZ30" s="65">
        <v>0</v>
      </c>
      <c r="FA30" s="65">
        <v>0</v>
      </c>
      <c r="FB30" s="65">
        <v>0</v>
      </c>
      <c r="FC30" s="65">
        <v>0</v>
      </c>
      <c r="FD30" s="65">
        <v>0</v>
      </c>
      <c r="FE30" s="65">
        <v>0</v>
      </c>
      <c r="FF30" s="65">
        <v>0</v>
      </c>
      <c r="FG30" s="65">
        <v>0</v>
      </c>
      <c r="FH30" s="65">
        <v>0</v>
      </c>
      <c r="FI30" s="65">
        <v>0</v>
      </c>
      <c r="FJ30" s="65">
        <v>0</v>
      </c>
      <c r="FK30" s="65">
        <v>0</v>
      </c>
      <c r="FL30" s="65">
        <v>1.9999999999999999E-6</v>
      </c>
      <c r="FM30" s="65">
        <v>1.9999999999999999E-6</v>
      </c>
      <c r="FN30" s="65">
        <v>1.9999999999999999E-6</v>
      </c>
      <c r="FO30" s="65">
        <v>1.9999999999999999E-6</v>
      </c>
      <c r="FP30" s="65">
        <v>0</v>
      </c>
      <c r="FQ30" s="65">
        <v>1.9999999999999999E-6</v>
      </c>
      <c r="FR30" s="65">
        <v>1.9999999999999999E-6</v>
      </c>
      <c r="FS30" s="65">
        <v>1.9999999999999999E-6</v>
      </c>
      <c r="FT30" s="65">
        <v>1.9999999999999999E-6</v>
      </c>
      <c r="FU30" s="65">
        <v>1.9999999999999999E-6</v>
      </c>
      <c r="FV30" s="65">
        <v>1.9999999999999999E-6</v>
      </c>
      <c r="FW30" s="65">
        <v>1.9999999999999999E-6</v>
      </c>
      <c r="FX30" s="65">
        <v>5.0000000000000004E-6</v>
      </c>
      <c r="FY30" s="65">
        <v>5.0000000000000004E-6</v>
      </c>
      <c r="FZ30" s="65">
        <v>1.2999999999999999E-5</v>
      </c>
      <c r="GA30" s="65">
        <v>1.2999999999999999E-5</v>
      </c>
      <c r="GB30" s="65">
        <v>1.4E-5</v>
      </c>
      <c r="GC30" s="65">
        <v>6.9999999999999999E-6</v>
      </c>
      <c r="GD30" s="65">
        <v>3.9999999999999998E-6</v>
      </c>
      <c r="GE30" s="65">
        <v>7.9999999999999996E-6</v>
      </c>
      <c r="GF30" s="65">
        <v>1.8E-5</v>
      </c>
      <c r="GG30" s="65">
        <v>4.6E-5</v>
      </c>
      <c r="GH30" s="65">
        <v>3.9999999999999998E-6</v>
      </c>
      <c r="GI30" s="65">
        <v>9.9999999999999995E-7</v>
      </c>
      <c r="GJ30" s="65">
        <v>9.9999999999999995E-7</v>
      </c>
      <c r="GK30" s="65">
        <v>3.0000000000000001E-6</v>
      </c>
      <c r="GL30" s="65">
        <v>1.2E-5</v>
      </c>
      <c r="GM30" s="65">
        <v>3.4E-5</v>
      </c>
      <c r="GN30" s="65">
        <v>3.0000000000000001E-6</v>
      </c>
      <c r="GO30" s="65">
        <v>9.9999999999999995E-7</v>
      </c>
      <c r="GP30" s="65">
        <v>9.9999999999999995E-7</v>
      </c>
      <c r="GQ30" s="65">
        <v>6.0000000000000002E-6</v>
      </c>
      <c r="GR30" s="65">
        <v>6.0000000000000002E-6</v>
      </c>
      <c r="GS30" s="65">
        <v>0</v>
      </c>
      <c r="GT30" s="65">
        <v>0</v>
      </c>
      <c r="GU30" s="65">
        <v>0</v>
      </c>
      <c r="GV30" s="65">
        <v>0</v>
      </c>
      <c r="GW30" s="65">
        <v>0</v>
      </c>
      <c r="GX30" s="65">
        <v>0</v>
      </c>
      <c r="GY30" s="65">
        <v>0</v>
      </c>
      <c r="GZ30" s="65">
        <v>0</v>
      </c>
      <c r="HA30" s="65">
        <v>0</v>
      </c>
      <c r="HB30" s="65">
        <v>0</v>
      </c>
      <c r="HC30" s="65">
        <v>0</v>
      </c>
      <c r="HD30" s="65">
        <v>0</v>
      </c>
      <c r="HE30" s="65">
        <v>0</v>
      </c>
      <c r="HF30" s="65">
        <v>0</v>
      </c>
      <c r="HG30" s="65">
        <v>0</v>
      </c>
      <c r="HH30" s="65">
        <v>0</v>
      </c>
      <c r="HI30" s="65">
        <v>0</v>
      </c>
      <c r="HJ30" s="65">
        <v>0</v>
      </c>
      <c r="HK30" s="65">
        <v>0</v>
      </c>
      <c r="HL30" s="65">
        <v>0</v>
      </c>
      <c r="HM30" s="65">
        <v>0</v>
      </c>
      <c r="HN30" s="65">
        <v>0</v>
      </c>
      <c r="HO30" s="65">
        <v>0</v>
      </c>
      <c r="HP30" s="65">
        <v>0</v>
      </c>
      <c r="HQ30" s="65">
        <v>0</v>
      </c>
      <c r="HR30" s="65">
        <v>0</v>
      </c>
      <c r="HS30" s="65">
        <v>9.9999999999999995E-7</v>
      </c>
      <c r="HT30" s="65">
        <v>9.9999999999999995E-7</v>
      </c>
      <c r="HU30" s="65">
        <v>0</v>
      </c>
      <c r="HV30" s="65">
        <v>0</v>
      </c>
      <c r="HW30" s="65">
        <v>0</v>
      </c>
      <c r="HX30" s="65">
        <v>0</v>
      </c>
      <c r="HY30" s="65">
        <v>0</v>
      </c>
      <c r="HZ30" s="65">
        <v>0</v>
      </c>
      <c r="IA30" s="65">
        <v>0</v>
      </c>
      <c r="IB30" s="65">
        <v>0</v>
      </c>
      <c r="IC30" s="65">
        <v>0</v>
      </c>
      <c r="ID30" s="65">
        <v>0</v>
      </c>
      <c r="IE30" s="65">
        <v>0</v>
      </c>
      <c r="IF30" s="65">
        <v>0</v>
      </c>
      <c r="IG30" s="65">
        <v>0</v>
      </c>
      <c r="IH30" s="65">
        <v>0</v>
      </c>
      <c r="II30" s="65">
        <v>0</v>
      </c>
      <c r="IJ30" s="65">
        <v>0</v>
      </c>
      <c r="IK30" s="65">
        <v>0</v>
      </c>
      <c r="IL30" s="65">
        <v>0</v>
      </c>
      <c r="IM30" s="65">
        <v>0</v>
      </c>
      <c r="IN30" s="65">
        <v>0</v>
      </c>
      <c r="IO30" s="65">
        <v>0</v>
      </c>
      <c r="IP30" s="65">
        <v>0</v>
      </c>
      <c r="IQ30" s="65">
        <v>0</v>
      </c>
      <c r="IR30" s="65">
        <v>0</v>
      </c>
      <c r="IS30" s="65">
        <v>0</v>
      </c>
      <c r="IT30" s="65">
        <v>0</v>
      </c>
      <c r="IU30" s="65">
        <v>0</v>
      </c>
      <c r="IV30" s="65">
        <v>0</v>
      </c>
      <c r="IW30" s="65">
        <v>0</v>
      </c>
      <c r="IX30" s="65">
        <v>0</v>
      </c>
      <c r="IY30" s="65">
        <v>9.9999999999999995E-7</v>
      </c>
      <c r="IZ30" s="65">
        <v>1.9999999999999999E-6</v>
      </c>
      <c r="JA30" s="65">
        <v>1.9999999999999999E-6</v>
      </c>
      <c r="JB30" s="65">
        <v>0</v>
      </c>
      <c r="JC30" s="65">
        <v>0</v>
      </c>
      <c r="JD30" s="65">
        <v>0</v>
      </c>
      <c r="JE30" s="65">
        <v>9.9999999999999995E-7</v>
      </c>
      <c r="JF30" s="65">
        <v>9.9999999999999995E-7</v>
      </c>
      <c r="JG30" s="65">
        <v>0</v>
      </c>
      <c r="JH30" s="65">
        <v>0</v>
      </c>
      <c r="JI30" s="65">
        <v>0</v>
      </c>
      <c r="JJ30" s="65">
        <v>0</v>
      </c>
      <c r="JK30" s="65">
        <v>0</v>
      </c>
      <c r="JL30" s="65">
        <v>9.9999999999999995E-7</v>
      </c>
      <c r="JM30" s="65">
        <v>9.9999999999999995E-7</v>
      </c>
      <c r="JN30" s="65">
        <v>9.9999999999999995E-7</v>
      </c>
      <c r="JO30" s="65">
        <v>9.9999999999999995E-7</v>
      </c>
      <c r="JP30" s="65">
        <v>9.9999999999999995E-7</v>
      </c>
      <c r="JQ30" s="65">
        <v>9.9999999999999995E-7</v>
      </c>
      <c r="JR30" s="65">
        <v>9.9999999999999995E-7</v>
      </c>
      <c r="JS30" s="65">
        <v>0</v>
      </c>
      <c r="JT30" s="65">
        <v>0</v>
      </c>
      <c r="JU30" s="65">
        <v>9.9999999999999995E-7</v>
      </c>
      <c r="JV30" s="65">
        <v>9.9999999999999995E-7</v>
      </c>
      <c r="JW30" s="65">
        <v>3.9999999999999998E-6</v>
      </c>
      <c r="JX30" s="65">
        <v>9.9999999999999995E-7</v>
      </c>
      <c r="JY30" s="65">
        <v>0</v>
      </c>
      <c r="JZ30" s="65">
        <v>9.9999999999999995E-7</v>
      </c>
      <c r="KA30" s="65">
        <v>9.9999999999999995E-7</v>
      </c>
      <c r="KB30" s="65">
        <v>0</v>
      </c>
      <c r="KC30" s="65">
        <v>9.9999999999999995E-7</v>
      </c>
      <c r="KD30" s="65">
        <v>0</v>
      </c>
      <c r="KE30" s="65">
        <v>0</v>
      </c>
      <c r="KF30" s="65">
        <v>1.2E-5</v>
      </c>
      <c r="KG30" s="65">
        <v>0</v>
      </c>
      <c r="KH30" s="65">
        <v>1.9999999999999999E-6</v>
      </c>
      <c r="KI30" s="65">
        <v>3.0000000000000001E-6</v>
      </c>
      <c r="KJ30" s="65">
        <v>0</v>
      </c>
      <c r="KK30" s="65">
        <v>0</v>
      </c>
      <c r="KL30" s="65">
        <v>3.0000000000000001E-6</v>
      </c>
      <c r="KM30" s="65">
        <v>3.0000000000000001E-6</v>
      </c>
      <c r="KN30" s="65">
        <v>0</v>
      </c>
      <c r="KO30" s="65">
        <v>0</v>
      </c>
      <c r="KP30" s="65">
        <v>0</v>
      </c>
      <c r="KQ30" s="65">
        <v>0</v>
      </c>
      <c r="KR30" s="65">
        <v>0</v>
      </c>
      <c r="KS30" s="65">
        <v>0</v>
      </c>
      <c r="KT30" s="65">
        <v>0</v>
      </c>
      <c r="KU30" s="65">
        <v>0</v>
      </c>
      <c r="KV30" s="65">
        <v>0</v>
      </c>
      <c r="KW30" s="65">
        <v>0</v>
      </c>
      <c r="KX30" s="65">
        <v>0</v>
      </c>
      <c r="KY30" s="65">
        <v>0</v>
      </c>
      <c r="KZ30" s="65">
        <v>0</v>
      </c>
      <c r="LA30" s="65">
        <v>0</v>
      </c>
      <c r="LB30" s="65">
        <v>0</v>
      </c>
      <c r="LC30" s="65">
        <v>0</v>
      </c>
      <c r="LD30" s="65">
        <v>0</v>
      </c>
      <c r="LE30" s="65">
        <v>0</v>
      </c>
      <c r="LF30" s="65">
        <v>0</v>
      </c>
      <c r="LG30" s="65">
        <v>0</v>
      </c>
      <c r="LH30" s="65">
        <v>0</v>
      </c>
      <c r="LI30" s="65">
        <v>0</v>
      </c>
      <c r="LJ30" s="65">
        <v>0</v>
      </c>
      <c r="LK30" s="65">
        <v>0</v>
      </c>
      <c r="LL30" s="65">
        <v>0</v>
      </c>
      <c r="LM30" s="65">
        <v>0</v>
      </c>
      <c r="LN30" s="65">
        <v>1.7E-5</v>
      </c>
      <c r="LO30" s="65">
        <v>9.9999999999999995E-7</v>
      </c>
      <c r="LP30" s="65">
        <v>0</v>
      </c>
      <c r="LQ30" s="65">
        <v>0</v>
      </c>
      <c r="LR30" s="65">
        <v>0</v>
      </c>
      <c r="LS30" s="65">
        <v>1.9999999999999999E-6</v>
      </c>
      <c r="LT30" s="65">
        <v>1.9999999999999999E-6</v>
      </c>
      <c r="LU30" s="65">
        <v>0</v>
      </c>
      <c r="LV30" s="65">
        <v>0</v>
      </c>
      <c r="LW30" s="65">
        <v>0</v>
      </c>
      <c r="LX30" s="65">
        <v>0</v>
      </c>
      <c r="LY30" s="65">
        <v>0</v>
      </c>
      <c r="LZ30" s="65">
        <v>0</v>
      </c>
      <c r="MA30" s="65">
        <v>0</v>
      </c>
      <c r="MB30" s="65">
        <v>0</v>
      </c>
      <c r="MC30" s="65">
        <v>0</v>
      </c>
      <c r="MD30" s="65">
        <v>0</v>
      </c>
      <c r="ME30" s="65">
        <v>0</v>
      </c>
      <c r="MF30" s="65">
        <v>0</v>
      </c>
      <c r="MG30" s="65">
        <v>9.9999999999999995E-7</v>
      </c>
      <c r="MH30" s="65">
        <v>9.9999999999999995E-7</v>
      </c>
      <c r="MI30" s="65">
        <v>9.9999999999999995E-7</v>
      </c>
      <c r="MJ30" s="65">
        <v>9.9999999999999995E-7</v>
      </c>
      <c r="MK30" s="65">
        <v>1.9999999999999999E-6</v>
      </c>
      <c r="ML30" s="65">
        <v>9.9999999999999995E-7</v>
      </c>
      <c r="MM30" s="65">
        <v>0</v>
      </c>
      <c r="MN30" s="65">
        <v>9.9999999999999995E-7</v>
      </c>
      <c r="MO30" s="65">
        <v>1.9999999999999999E-6</v>
      </c>
      <c r="MP30" s="65">
        <v>3.0000000000000001E-6</v>
      </c>
      <c r="MQ30" s="65">
        <v>9.9999999999999995E-7</v>
      </c>
      <c r="MR30" s="65">
        <v>0</v>
      </c>
      <c r="MS30" s="65">
        <v>9.9999999999999995E-7</v>
      </c>
      <c r="MT30" s="65">
        <v>9.9999999999999995E-7</v>
      </c>
      <c r="MU30" s="65">
        <v>2.5999999999999998E-5</v>
      </c>
      <c r="MV30" s="65">
        <v>2.5000000000000001E-5</v>
      </c>
      <c r="MW30" s="65">
        <v>1.9999999999999999E-6</v>
      </c>
      <c r="MX30" s="65">
        <v>9.9999999999999995E-7</v>
      </c>
      <c r="MY30" s="65">
        <v>9.9999999999999995E-7</v>
      </c>
      <c r="MZ30" s="65">
        <v>3.0000000000000001E-6</v>
      </c>
      <c r="NA30" s="65">
        <v>3.0000000000000001E-6</v>
      </c>
      <c r="NB30" s="65"/>
      <c r="NC30" s="65"/>
      <c r="ND30" s="65"/>
      <c r="NE30" s="65"/>
      <c r="NF30" s="65"/>
      <c r="NG30" s="65"/>
      <c r="NH30" s="65"/>
      <c r="NI30" s="65"/>
      <c r="NJ30" s="65"/>
      <c r="NK30" s="65"/>
      <c r="NL30" s="65"/>
      <c r="NM30" s="65"/>
      <c r="NN30" s="65"/>
      <c r="NO30" s="65"/>
      <c r="NP30" s="65"/>
      <c r="NQ30" s="65"/>
      <c r="NR30" s="65"/>
      <c r="NS30" s="65"/>
      <c r="NT30" s="65"/>
      <c r="NU30" s="65"/>
      <c r="NV30" s="65"/>
      <c r="NW30" s="65"/>
      <c r="NX30" s="65"/>
      <c r="NY30" s="65"/>
      <c r="NZ30" s="65"/>
      <c r="OA30" s="65"/>
      <c r="OB30" s="65"/>
      <c r="OC30" s="65"/>
      <c r="OD30" s="65"/>
      <c r="OE30" s="65"/>
      <c r="OF30" s="65"/>
      <c r="OG30" s="65"/>
      <c r="OH30" s="65"/>
      <c r="OI30" s="65"/>
      <c r="OJ30" s="65"/>
      <c r="OK30" s="65"/>
      <c r="OL30" s="65"/>
      <c r="OM30" s="65"/>
      <c r="ON30" s="65"/>
      <c r="OO30" s="65"/>
      <c r="OP30" s="65"/>
      <c r="OQ30" s="65"/>
      <c r="OR30" s="65"/>
      <c r="OS30" s="65"/>
    </row>
    <row r="31" spans="1:409">
      <c r="A31" s="64" t="s">
        <v>104</v>
      </c>
      <c r="B31" s="64" t="s">
        <v>22</v>
      </c>
      <c r="C31" s="64">
        <v>7.5049780154582615E-7</v>
      </c>
      <c r="D31" s="64">
        <v>7.9385114443296073E-7</v>
      </c>
      <c r="E31" s="64">
        <v>7.6630630766561293E-6</v>
      </c>
      <c r="F31" s="64">
        <v>0</v>
      </c>
      <c r="G31" s="64">
        <v>0</v>
      </c>
      <c r="H31" s="64">
        <v>5.0897612389761247E-5</v>
      </c>
      <c r="I31" s="64">
        <v>4.8293145869947282E-6</v>
      </c>
      <c r="J31" s="64">
        <v>1.4805387931034479E-4</v>
      </c>
      <c r="K31" s="64">
        <v>7.5737273511647979E-5</v>
      </c>
      <c r="L31" s="64">
        <v>2.262747035573123E-5</v>
      </c>
      <c r="M31" s="64">
        <v>4.1517123287671239E-5</v>
      </c>
      <c r="N31" s="64">
        <v>2.7811941964285718E-5</v>
      </c>
      <c r="O31" s="64">
        <v>3.2852645077867452E-4</v>
      </c>
      <c r="P31" s="64">
        <v>1.018852251838235E-4</v>
      </c>
      <c r="Q31" s="64">
        <v>6.0601821072409307E-4</v>
      </c>
      <c r="R31" s="64">
        <v>7.0911881357172476E-4</v>
      </c>
      <c r="S31" s="64">
        <v>0</v>
      </c>
      <c r="T31" s="64">
        <v>0</v>
      </c>
      <c r="U31" s="64">
        <v>1.8588E-2</v>
      </c>
      <c r="V31" s="64">
        <v>9.2689999999999977E-3</v>
      </c>
      <c r="W31" s="64">
        <v>2.794E-2</v>
      </c>
      <c r="X31" s="64">
        <v>1.7195999999999999E-2</v>
      </c>
      <c r="Y31" s="64">
        <v>8.8739999999999999E-3</v>
      </c>
      <c r="Z31" s="64">
        <v>1.1069999999999999E-3</v>
      </c>
      <c r="AA31" s="64">
        <v>6.0392000000000008E-2</v>
      </c>
      <c r="AB31" s="64">
        <v>8.8269999999999998E-3</v>
      </c>
      <c r="AC31" s="64">
        <v>2.0042000000000001E-2</v>
      </c>
      <c r="AD31" s="64">
        <v>4.3034999999999997E-2</v>
      </c>
      <c r="AE31" s="64">
        <v>2.0077000000000001E-2</v>
      </c>
      <c r="AF31" s="64">
        <v>8.9350000000000002E-3</v>
      </c>
      <c r="AG31" s="64">
        <v>6.496E-3</v>
      </c>
      <c r="AH31" s="64">
        <v>4.0659341085438012E-2</v>
      </c>
      <c r="AI31" s="64">
        <v>1.106798212418897E-2</v>
      </c>
      <c r="AJ31" s="64">
        <v>0</v>
      </c>
      <c r="AK31" s="64">
        <v>0</v>
      </c>
      <c r="AL31" s="64">
        <v>0</v>
      </c>
      <c r="AM31" s="64">
        <v>0</v>
      </c>
      <c r="AN31" s="64">
        <v>0</v>
      </c>
      <c r="AO31" s="64">
        <v>0</v>
      </c>
      <c r="AP31" s="64">
        <v>0</v>
      </c>
      <c r="AQ31" s="64">
        <v>0</v>
      </c>
      <c r="AR31" s="64">
        <v>0</v>
      </c>
      <c r="AS31" s="64">
        <v>0</v>
      </c>
      <c r="AT31" s="64">
        <v>0</v>
      </c>
      <c r="AU31" s="64">
        <v>0</v>
      </c>
      <c r="AV31" s="64">
        <v>0</v>
      </c>
      <c r="AW31" s="64">
        <v>0</v>
      </c>
      <c r="AX31" s="64">
        <v>9.9999999999999995E-7</v>
      </c>
      <c r="AY31" s="64">
        <v>9.9999999999999995E-7</v>
      </c>
      <c r="AZ31" s="64">
        <v>9.9999999999999995E-7</v>
      </c>
      <c r="BA31" s="64">
        <v>0</v>
      </c>
      <c r="BB31" s="64">
        <v>0</v>
      </c>
      <c r="BC31" s="64">
        <v>0</v>
      </c>
      <c r="BD31" s="64">
        <v>9.9999999999999995E-7</v>
      </c>
      <c r="BE31" s="64">
        <v>9.9999999999999995E-7</v>
      </c>
      <c r="BF31" s="64">
        <v>0</v>
      </c>
      <c r="BG31" s="64">
        <v>0</v>
      </c>
      <c r="BH31" s="64">
        <v>9.9999999999999995E-7</v>
      </c>
      <c r="BI31" s="64">
        <v>9.9999999999999995E-7</v>
      </c>
      <c r="BJ31" s="64">
        <v>9.9999999999999995E-7</v>
      </c>
      <c r="BK31" s="64">
        <v>1.4E-5</v>
      </c>
      <c r="BL31" s="64">
        <v>1.9999999999999999E-6</v>
      </c>
      <c r="BM31" s="64">
        <v>0</v>
      </c>
      <c r="BN31" s="64">
        <v>0</v>
      </c>
      <c r="BO31" s="64">
        <v>9.9999999999999995E-7</v>
      </c>
      <c r="BP31" s="64">
        <v>9.9999999999999995E-7</v>
      </c>
      <c r="BQ31" s="64">
        <v>9.9999999999999995E-7</v>
      </c>
      <c r="BR31" s="64">
        <v>9.9999999999999995E-7</v>
      </c>
      <c r="BS31" s="64">
        <v>9.9999999999999995E-7</v>
      </c>
      <c r="BT31" s="64">
        <v>9.9999999999999995E-7</v>
      </c>
      <c r="BU31" s="64">
        <v>0</v>
      </c>
      <c r="BV31" s="64">
        <v>9.9999999999999995E-7</v>
      </c>
      <c r="BW31" s="64">
        <v>9.9999999999999995E-7</v>
      </c>
      <c r="BX31" s="64">
        <v>9.9999999999999995E-7</v>
      </c>
      <c r="BY31" s="64">
        <v>9.9999999999999995E-7</v>
      </c>
      <c r="BZ31" s="64">
        <v>9.9999999999999995E-7</v>
      </c>
      <c r="CA31" s="64">
        <v>9.9999999999999995E-7</v>
      </c>
      <c r="CB31" s="64">
        <v>9.9999999999999995E-7</v>
      </c>
      <c r="CC31" s="64">
        <v>9.9999999999999995E-7</v>
      </c>
      <c r="CD31" s="64">
        <v>9.9999999999999995E-7</v>
      </c>
      <c r="CE31" s="64">
        <v>1.9999999999999999E-6</v>
      </c>
      <c r="CF31" s="64">
        <v>1.9999999999999999E-6</v>
      </c>
      <c r="CG31" s="64">
        <v>3.0000000000000001E-6</v>
      </c>
      <c r="CH31" s="64">
        <v>9.9999999999999995E-7</v>
      </c>
      <c r="CI31" s="64">
        <v>9.9999999999999995E-7</v>
      </c>
      <c r="CJ31" s="64">
        <v>9.9999999999999995E-7</v>
      </c>
      <c r="CK31" s="64">
        <v>1.9999999999999999E-6</v>
      </c>
      <c r="CL31" s="64">
        <v>1.9999999999999999E-6</v>
      </c>
      <c r="CM31" s="64">
        <v>1.9999999999999999E-6</v>
      </c>
      <c r="CN31" s="64">
        <v>9.9999999999999995E-7</v>
      </c>
      <c r="CO31" s="64">
        <v>3.0000000000000001E-6</v>
      </c>
      <c r="CP31" s="64">
        <v>1.9999999999999999E-6</v>
      </c>
      <c r="CQ31" s="64">
        <v>3.9999999999999998E-6</v>
      </c>
      <c r="CR31" s="64">
        <v>4.8000000000000001E-5</v>
      </c>
      <c r="CS31" s="64">
        <v>3.9999999999999998E-6</v>
      </c>
      <c r="CT31" s="64">
        <v>0</v>
      </c>
      <c r="CU31" s="64">
        <v>0</v>
      </c>
      <c r="CV31" s="64">
        <v>3.0000000000000001E-6</v>
      </c>
      <c r="CW31" s="64">
        <v>3.0000000000000001E-6</v>
      </c>
      <c r="CX31" s="64">
        <v>0</v>
      </c>
      <c r="CY31" s="64">
        <v>0</v>
      </c>
      <c r="CZ31" s="64">
        <v>0</v>
      </c>
      <c r="DA31" s="64">
        <v>0</v>
      </c>
      <c r="DB31" s="64">
        <v>0</v>
      </c>
      <c r="DC31" s="64">
        <v>0</v>
      </c>
      <c r="DD31" s="64">
        <v>0</v>
      </c>
      <c r="DE31" s="64">
        <v>0</v>
      </c>
      <c r="DF31" s="64">
        <v>0</v>
      </c>
      <c r="DG31" s="64">
        <v>0</v>
      </c>
      <c r="DH31" s="64">
        <v>0</v>
      </c>
      <c r="DI31" s="64">
        <v>0</v>
      </c>
      <c r="DJ31" s="64">
        <v>0</v>
      </c>
      <c r="DK31" s="64">
        <v>0</v>
      </c>
      <c r="DL31" s="64">
        <v>0</v>
      </c>
      <c r="DM31" s="64">
        <v>0</v>
      </c>
      <c r="DN31" s="64">
        <v>0</v>
      </c>
      <c r="DO31" s="64">
        <v>0</v>
      </c>
      <c r="DP31" s="64">
        <v>0</v>
      </c>
      <c r="DQ31" s="64">
        <v>0</v>
      </c>
      <c r="DR31" s="64">
        <v>0</v>
      </c>
      <c r="DS31" s="64">
        <v>0</v>
      </c>
      <c r="DT31" s="64">
        <v>0</v>
      </c>
      <c r="DU31" s="64">
        <v>0</v>
      </c>
      <c r="DV31" s="64">
        <v>0</v>
      </c>
      <c r="DW31" s="64">
        <v>0</v>
      </c>
      <c r="DX31" s="64">
        <v>0</v>
      </c>
      <c r="DY31" s="64">
        <v>3.9999999999999998E-6</v>
      </c>
      <c r="DZ31" s="64">
        <v>0</v>
      </c>
      <c r="EA31" s="64">
        <v>0</v>
      </c>
      <c r="EB31" s="64">
        <v>0</v>
      </c>
      <c r="EC31" s="64">
        <v>0</v>
      </c>
      <c r="ED31" s="64">
        <v>0</v>
      </c>
      <c r="EE31" s="64">
        <v>0</v>
      </c>
      <c r="EF31" s="64">
        <v>0</v>
      </c>
      <c r="EG31" s="64">
        <v>0</v>
      </c>
      <c r="EH31" s="64">
        <v>0</v>
      </c>
      <c r="EI31" s="64">
        <v>0</v>
      </c>
      <c r="EJ31" s="64">
        <v>0</v>
      </c>
      <c r="EK31" s="64">
        <v>0</v>
      </c>
      <c r="EL31" s="64">
        <v>0</v>
      </c>
      <c r="EM31" s="64">
        <v>0</v>
      </c>
      <c r="EN31" s="64">
        <v>0</v>
      </c>
      <c r="EO31" s="64">
        <v>0</v>
      </c>
      <c r="EP31" s="64">
        <v>0</v>
      </c>
      <c r="EQ31" s="64">
        <v>0</v>
      </c>
      <c r="ER31" s="64">
        <v>0</v>
      </c>
      <c r="ES31" s="64">
        <v>0</v>
      </c>
      <c r="ET31" s="64">
        <v>0</v>
      </c>
      <c r="EU31" s="64">
        <v>0</v>
      </c>
      <c r="EV31" s="64">
        <v>0</v>
      </c>
      <c r="EW31" s="64">
        <v>0</v>
      </c>
      <c r="EX31" s="64">
        <v>0</v>
      </c>
      <c r="EY31" s="64">
        <v>0</v>
      </c>
      <c r="EZ31" s="64">
        <v>0</v>
      </c>
      <c r="FA31" s="64">
        <v>0</v>
      </c>
      <c r="FB31" s="64">
        <v>0</v>
      </c>
      <c r="FC31" s="64">
        <v>0</v>
      </c>
      <c r="FD31" s="64">
        <v>0</v>
      </c>
      <c r="FE31" s="64">
        <v>0</v>
      </c>
      <c r="FF31" s="64">
        <v>9.9999999999999995E-7</v>
      </c>
      <c r="FG31" s="64">
        <v>0</v>
      </c>
      <c r="FH31" s="64">
        <v>0</v>
      </c>
      <c r="FI31" s="64">
        <v>0</v>
      </c>
      <c r="FJ31" s="64">
        <v>0</v>
      </c>
      <c r="FK31" s="64">
        <v>0</v>
      </c>
      <c r="FL31" s="64">
        <v>9.9999999999999995E-7</v>
      </c>
      <c r="FM31" s="64">
        <v>9.9999999999999995E-7</v>
      </c>
      <c r="FN31" s="64">
        <v>9.9999999999999995E-7</v>
      </c>
      <c r="FO31" s="64">
        <v>9.9999999999999995E-7</v>
      </c>
      <c r="FP31" s="64">
        <v>0</v>
      </c>
      <c r="FQ31" s="64">
        <v>9.9999999999999995E-7</v>
      </c>
      <c r="FR31" s="64">
        <v>9.9999999999999995E-7</v>
      </c>
      <c r="FS31" s="64">
        <v>9.9999999999999995E-7</v>
      </c>
      <c r="FT31" s="64">
        <v>9.9999999999999995E-7</v>
      </c>
      <c r="FU31" s="64">
        <v>9.9999999999999995E-7</v>
      </c>
      <c r="FV31" s="64">
        <v>9.9999999999999995E-7</v>
      </c>
      <c r="FW31" s="64">
        <v>9.9999999999999995E-7</v>
      </c>
      <c r="FX31" s="64">
        <v>9.9999999999999995E-7</v>
      </c>
      <c r="FY31" s="64">
        <v>9.9999999999999995E-7</v>
      </c>
      <c r="FZ31" s="64">
        <v>1.9999999999999999E-6</v>
      </c>
      <c r="GA31" s="64">
        <v>1.9999999999999999E-6</v>
      </c>
      <c r="GB31" s="64">
        <v>3.9999999999999998E-6</v>
      </c>
      <c r="GC31" s="64">
        <v>9.9999999999999995E-7</v>
      </c>
      <c r="GD31" s="64">
        <v>9.9999999999999995E-7</v>
      </c>
      <c r="GE31" s="64">
        <v>9.9999999999999995E-7</v>
      </c>
      <c r="GF31" s="64">
        <v>1.9999999999999999E-6</v>
      </c>
      <c r="GG31" s="64">
        <v>1.9999999999999999E-6</v>
      </c>
      <c r="GH31" s="64">
        <v>9.9999999999999995E-7</v>
      </c>
      <c r="GI31" s="64">
        <v>0</v>
      </c>
      <c r="GJ31" s="64">
        <v>3.9999999999999998E-6</v>
      </c>
      <c r="GK31" s="64">
        <v>3.0000000000000001E-6</v>
      </c>
      <c r="GL31" s="64">
        <v>7.9999999999999996E-6</v>
      </c>
      <c r="GM31" s="64">
        <v>3.8999999999999999E-5</v>
      </c>
      <c r="GN31" s="64">
        <v>7.9999999999999996E-6</v>
      </c>
      <c r="GO31" s="64">
        <v>0</v>
      </c>
      <c r="GP31" s="64">
        <v>0</v>
      </c>
      <c r="GQ31" s="64">
        <v>3.0000000000000001E-6</v>
      </c>
      <c r="GR31" s="64">
        <v>3.0000000000000001E-6</v>
      </c>
      <c r="GS31" s="64">
        <v>0</v>
      </c>
      <c r="GT31" s="64">
        <v>0</v>
      </c>
      <c r="GU31" s="64">
        <v>0</v>
      </c>
      <c r="GV31" s="64">
        <v>0</v>
      </c>
      <c r="GW31" s="64">
        <v>0</v>
      </c>
      <c r="GX31" s="64">
        <v>0</v>
      </c>
      <c r="GY31" s="64">
        <v>0</v>
      </c>
      <c r="GZ31" s="64">
        <v>0</v>
      </c>
      <c r="HA31" s="64">
        <v>0</v>
      </c>
      <c r="HB31" s="64">
        <v>0</v>
      </c>
      <c r="HC31" s="64">
        <v>0</v>
      </c>
      <c r="HD31" s="64">
        <v>0</v>
      </c>
      <c r="HE31" s="64">
        <v>0</v>
      </c>
      <c r="HF31" s="64">
        <v>0</v>
      </c>
      <c r="HG31" s="64">
        <v>9.9999999999999995E-7</v>
      </c>
      <c r="HH31" s="64">
        <v>9.9999999999999995E-7</v>
      </c>
      <c r="HI31" s="64">
        <v>9.9999999999999995E-7</v>
      </c>
      <c r="HJ31" s="64">
        <v>0</v>
      </c>
      <c r="HK31" s="64">
        <v>0</v>
      </c>
      <c r="HL31" s="64">
        <v>0</v>
      </c>
      <c r="HM31" s="64">
        <v>0</v>
      </c>
      <c r="HN31" s="64">
        <v>9.9999999999999995E-7</v>
      </c>
      <c r="HO31" s="64">
        <v>0</v>
      </c>
      <c r="HP31" s="64">
        <v>0</v>
      </c>
      <c r="HQ31" s="64">
        <v>9.9999999999999995E-7</v>
      </c>
      <c r="HR31" s="64">
        <v>9.9999999999999995E-7</v>
      </c>
      <c r="HS31" s="64">
        <v>9.9999999999999995E-7</v>
      </c>
      <c r="HT31" s="64">
        <v>2.0000000000000002E-5</v>
      </c>
      <c r="HU31" s="64">
        <v>1.9999999999999999E-6</v>
      </c>
      <c r="HV31" s="64">
        <v>0</v>
      </c>
      <c r="HW31" s="64">
        <v>0</v>
      </c>
      <c r="HX31" s="64">
        <v>9.9999999999999995E-7</v>
      </c>
      <c r="HY31" s="64">
        <v>9.9999999999999995E-7</v>
      </c>
      <c r="HZ31" s="64">
        <v>0</v>
      </c>
      <c r="IA31" s="64">
        <v>0</v>
      </c>
      <c r="IB31" s="64">
        <v>0</v>
      </c>
      <c r="IC31" s="64">
        <v>0</v>
      </c>
      <c r="ID31" s="64">
        <v>0</v>
      </c>
      <c r="IE31" s="64">
        <v>9.9999999999999995E-7</v>
      </c>
      <c r="IF31" s="64">
        <v>9.9999999999999995E-7</v>
      </c>
      <c r="IG31" s="64">
        <v>9.9999999999999995E-7</v>
      </c>
      <c r="IH31" s="64">
        <v>9.9999999999999995E-7</v>
      </c>
      <c r="II31" s="64">
        <v>9.9999999999999995E-7</v>
      </c>
      <c r="IJ31" s="64">
        <v>9.9999999999999995E-7</v>
      </c>
      <c r="IK31" s="64">
        <v>9.9999999999999995E-7</v>
      </c>
      <c r="IL31" s="64">
        <v>9.9999999999999995E-7</v>
      </c>
      <c r="IM31" s="64">
        <v>9.9999999999999995E-7</v>
      </c>
      <c r="IN31" s="64">
        <v>9.9999999999999995E-7</v>
      </c>
      <c r="IO31" s="64">
        <v>9.9999999999999995E-7</v>
      </c>
      <c r="IP31" s="64">
        <v>1.9999999999999999E-6</v>
      </c>
      <c r="IQ31" s="64">
        <v>9.9999999999999995E-7</v>
      </c>
      <c r="IR31" s="64">
        <v>0</v>
      </c>
      <c r="IS31" s="64">
        <v>9.9999999999999995E-7</v>
      </c>
      <c r="IT31" s="64">
        <v>1.9999999999999999E-6</v>
      </c>
      <c r="IU31" s="64">
        <v>9.9999999999999995E-7</v>
      </c>
      <c r="IV31" s="64">
        <v>9.9999999999999995E-7</v>
      </c>
      <c r="IW31" s="64">
        <v>0</v>
      </c>
      <c r="IX31" s="64">
        <v>1.9999999999999999E-6</v>
      </c>
      <c r="IY31" s="64">
        <v>1.9999999999999999E-6</v>
      </c>
      <c r="IZ31" s="64">
        <v>1.9999999999999999E-6</v>
      </c>
      <c r="JA31" s="64">
        <v>1.4999999999999999E-4</v>
      </c>
      <c r="JB31" s="64">
        <v>5.0000000000000004E-6</v>
      </c>
      <c r="JC31" s="64">
        <v>0</v>
      </c>
      <c r="JD31" s="64">
        <v>0</v>
      </c>
      <c r="JE31" s="64">
        <v>3.0000000000000001E-6</v>
      </c>
      <c r="JF31" s="64">
        <v>3.0000000000000001E-6</v>
      </c>
      <c r="JG31" s="64">
        <v>2.5999999999999998E-5</v>
      </c>
      <c r="JH31" s="64">
        <v>2.5999999999999998E-5</v>
      </c>
      <c r="JI31" s="64">
        <v>2.5999999999999998E-5</v>
      </c>
      <c r="JJ31" s="64">
        <v>2.5999999999999998E-5</v>
      </c>
      <c r="JK31" s="64">
        <v>0</v>
      </c>
      <c r="JL31" s="64">
        <v>8.3999999999999995E-5</v>
      </c>
      <c r="JM31" s="64">
        <v>8.3999999999999995E-5</v>
      </c>
      <c r="JN31" s="64">
        <v>8.3999999999999995E-5</v>
      </c>
      <c r="JO31" s="64">
        <v>8.3999999999999995E-5</v>
      </c>
      <c r="JP31" s="64">
        <v>8.3999999999999995E-5</v>
      </c>
      <c r="JQ31" s="64">
        <v>8.3999999999999995E-5</v>
      </c>
      <c r="JR31" s="64">
        <v>8.3999999999999995E-5</v>
      </c>
      <c r="JS31" s="64">
        <v>5.3000000000000001E-5</v>
      </c>
      <c r="JT31" s="64">
        <v>5.3000000000000001E-5</v>
      </c>
      <c r="JU31" s="64">
        <v>9.7999999999999997E-5</v>
      </c>
      <c r="JV31" s="64">
        <v>9.7999999999999997E-5</v>
      </c>
      <c r="JW31" s="64">
        <v>1.8000000000000001E-4</v>
      </c>
      <c r="JX31" s="64">
        <v>9.2E-5</v>
      </c>
      <c r="JY31" s="64">
        <v>1.5E-5</v>
      </c>
      <c r="JZ31" s="64">
        <v>3.0000000000000001E-5</v>
      </c>
      <c r="KA31" s="64">
        <v>6.3000000000000003E-4</v>
      </c>
      <c r="KB31" s="64">
        <v>1.9599999999999999E-4</v>
      </c>
      <c r="KC31" s="64">
        <v>4.3000000000000002E-5</v>
      </c>
      <c r="KD31" s="64">
        <v>3.8999999999999999E-5</v>
      </c>
      <c r="KE31" s="64">
        <v>1.4799999999999999E-4</v>
      </c>
      <c r="KF31" s="64">
        <v>6.6000000000000005E-5</v>
      </c>
      <c r="KG31" s="64">
        <v>7.4999999999999993E-5</v>
      </c>
      <c r="KH31" s="64">
        <v>1.634E-3</v>
      </c>
      <c r="KI31" s="64">
        <v>2.7300000000000002E-4</v>
      </c>
      <c r="KJ31" s="64">
        <v>2.2599999999999999E-4</v>
      </c>
      <c r="KK31" s="64">
        <v>1.64E-4</v>
      </c>
      <c r="KL31" s="64">
        <v>1E-4</v>
      </c>
      <c r="KM31" s="64">
        <v>1E-4</v>
      </c>
      <c r="KN31" s="64">
        <v>0</v>
      </c>
      <c r="KO31" s="64">
        <v>0</v>
      </c>
      <c r="KP31" s="64">
        <v>0</v>
      </c>
      <c r="KQ31" s="64">
        <v>0</v>
      </c>
      <c r="KR31" s="64">
        <v>0</v>
      </c>
      <c r="KS31" s="64">
        <v>0</v>
      </c>
      <c r="KT31" s="64">
        <v>0</v>
      </c>
      <c r="KU31" s="64">
        <v>0</v>
      </c>
      <c r="KV31" s="64">
        <v>0</v>
      </c>
      <c r="KW31" s="64">
        <v>0</v>
      </c>
      <c r="KX31" s="64">
        <v>0</v>
      </c>
      <c r="KY31" s="64">
        <v>0</v>
      </c>
      <c r="KZ31" s="64">
        <v>9.9999999999999995E-7</v>
      </c>
      <c r="LA31" s="64">
        <v>9.9999999999999995E-7</v>
      </c>
      <c r="LB31" s="64">
        <v>9.9999999999999995E-7</v>
      </c>
      <c r="LC31" s="64">
        <v>9.9999999999999995E-7</v>
      </c>
      <c r="LD31" s="64">
        <v>9.9999999999999995E-7</v>
      </c>
      <c r="LE31" s="64">
        <v>0</v>
      </c>
      <c r="LF31" s="64">
        <v>0</v>
      </c>
      <c r="LG31" s="64">
        <v>0</v>
      </c>
      <c r="LH31" s="64">
        <v>9.9999999999999995E-7</v>
      </c>
      <c r="LI31" s="64">
        <v>9.9999999999999995E-7</v>
      </c>
      <c r="LJ31" s="64">
        <v>0</v>
      </c>
      <c r="LK31" s="64">
        <v>0</v>
      </c>
      <c r="LL31" s="64">
        <v>9.9999999999999995E-7</v>
      </c>
      <c r="LM31" s="64">
        <v>0</v>
      </c>
      <c r="LN31" s="64">
        <v>0</v>
      </c>
      <c r="LO31" s="64">
        <v>1.7E-5</v>
      </c>
      <c r="LP31" s="64">
        <v>1.9999999999999999E-6</v>
      </c>
      <c r="LQ31" s="64">
        <v>0</v>
      </c>
      <c r="LR31" s="64">
        <v>0</v>
      </c>
      <c r="LS31" s="64">
        <v>0</v>
      </c>
      <c r="LT31" s="64">
        <v>0</v>
      </c>
      <c r="LU31" s="64">
        <v>9.9999999999999995E-7</v>
      </c>
      <c r="LV31" s="64">
        <v>9.9999999999999995E-7</v>
      </c>
      <c r="LW31" s="64">
        <v>9.9999999999999995E-7</v>
      </c>
      <c r="LX31" s="64">
        <v>9.9999999999999995E-7</v>
      </c>
      <c r="LY31" s="64">
        <v>0</v>
      </c>
      <c r="LZ31" s="64">
        <v>9.9999999999999995E-7</v>
      </c>
      <c r="MA31" s="64">
        <v>9.9999999999999995E-7</v>
      </c>
      <c r="MB31" s="64">
        <v>9.9999999999999995E-7</v>
      </c>
      <c r="MC31" s="64">
        <v>9.9999999999999995E-7</v>
      </c>
      <c r="MD31" s="64">
        <v>9.9999999999999995E-7</v>
      </c>
      <c r="ME31" s="64">
        <v>9.9999999999999995E-7</v>
      </c>
      <c r="MF31" s="64">
        <v>9.9999999999999995E-7</v>
      </c>
      <c r="MG31" s="64">
        <v>9.9999999999999995E-7</v>
      </c>
      <c r="MH31" s="64">
        <v>9.9999999999999995E-7</v>
      </c>
      <c r="MI31" s="64">
        <v>1.9999999999999999E-6</v>
      </c>
      <c r="MJ31" s="64">
        <v>1.9999999999999999E-6</v>
      </c>
      <c r="MK31" s="64">
        <v>1.9999999999999999E-6</v>
      </c>
      <c r="ML31" s="64">
        <v>9.9999999999999995E-7</v>
      </c>
      <c r="MM31" s="64">
        <v>9.9999999999999995E-7</v>
      </c>
      <c r="MN31" s="64">
        <v>9.9999999999999995E-7</v>
      </c>
      <c r="MO31" s="64">
        <v>1.9999999999999999E-6</v>
      </c>
      <c r="MP31" s="64">
        <v>3.0000000000000001E-6</v>
      </c>
      <c r="MQ31" s="64">
        <v>9.9999999999999995E-7</v>
      </c>
      <c r="MR31" s="64">
        <v>9.9999999999999995E-7</v>
      </c>
      <c r="MS31" s="64">
        <v>1.9999999999999999E-6</v>
      </c>
      <c r="MT31" s="64">
        <v>1.9999999999999999E-6</v>
      </c>
      <c r="MU31" s="64">
        <v>1.9999999999999999E-6</v>
      </c>
      <c r="MV31" s="64">
        <v>3.8000000000000002E-5</v>
      </c>
      <c r="MW31" s="64">
        <v>3.0000000000000001E-6</v>
      </c>
      <c r="MX31" s="64">
        <v>0</v>
      </c>
      <c r="MY31" s="64">
        <v>0</v>
      </c>
      <c r="MZ31" s="64">
        <v>3.0000000000000001E-6</v>
      </c>
      <c r="NA31" s="64">
        <v>3.0000000000000001E-6</v>
      </c>
      <c r="NB31" s="64"/>
      <c r="NC31" s="64"/>
      <c r="ND31" s="64"/>
      <c r="NE31" s="64"/>
      <c r="NF31" s="64"/>
      <c r="NG31" s="64"/>
      <c r="NH31" s="64"/>
      <c r="NI31" s="64"/>
      <c r="NJ31" s="64"/>
      <c r="NK31" s="64"/>
      <c r="NL31" s="64"/>
      <c r="NM31" s="64"/>
      <c r="NN31" s="64"/>
      <c r="NO31" s="64"/>
      <c r="NP31" s="64"/>
      <c r="NQ31" s="64"/>
      <c r="NR31" s="64"/>
      <c r="NS31" s="64"/>
      <c r="NT31" s="64"/>
      <c r="NU31" s="64"/>
      <c r="NV31" s="64"/>
      <c r="NW31" s="64"/>
      <c r="NX31" s="64"/>
      <c r="NY31" s="64"/>
      <c r="NZ31" s="64"/>
      <c r="OA31" s="64"/>
      <c r="OB31" s="64"/>
      <c r="OC31" s="64"/>
      <c r="OD31" s="64"/>
      <c r="OE31" s="64"/>
      <c r="OF31" s="64"/>
      <c r="OG31" s="64"/>
      <c r="OH31" s="64"/>
      <c r="OI31" s="64"/>
      <c r="OJ31" s="64"/>
      <c r="OK31" s="64"/>
      <c r="OL31" s="64"/>
      <c r="OM31" s="64"/>
      <c r="ON31" s="64"/>
      <c r="OO31" s="64"/>
      <c r="OP31" s="64"/>
      <c r="OQ31" s="64"/>
      <c r="OR31" s="64"/>
      <c r="OS31" s="64"/>
    </row>
    <row r="32" spans="1:409">
      <c r="A32" s="65" t="s">
        <v>105</v>
      </c>
      <c r="B32" s="65" t="s">
        <v>23</v>
      </c>
      <c r="C32" s="65">
        <v>5.1033168960264837E-2</v>
      </c>
      <c r="D32" s="65">
        <v>8.525984075236015E-2</v>
      </c>
      <c r="E32" s="65">
        <v>2.0826063441482302E-3</v>
      </c>
      <c r="F32" s="65">
        <v>8.1023661981121896E-3</v>
      </c>
      <c r="G32" s="65">
        <v>0</v>
      </c>
      <c r="H32" s="65">
        <v>9.4843378262357784E-3</v>
      </c>
      <c r="I32" s="65">
        <v>8.1122000411975349E-3</v>
      </c>
      <c r="J32" s="65">
        <v>2.6609702579439018E-3</v>
      </c>
      <c r="K32" s="65">
        <v>1.3644117491717929E-2</v>
      </c>
      <c r="L32" s="65">
        <v>7.6525265188806646E-2</v>
      </c>
      <c r="M32" s="65">
        <v>1.7235346507001859E-2</v>
      </c>
      <c r="N32" s="65">
        <v>8.5298975495435077E-3</v>
      </c>
      <c r="O32" s="65">
        <v>1.4112924403419181E-2</v>
      </c>
      <c r="P32" s="65">
        <v>2.4859621699676971E-2</v>
      </c>
      <c r="Q32" s="65">
        <v>1.38424659632895E-2</v>
      </c>
      <c r="R32" s="65">
        <v>1.7910647982372699E-2</v>
      </c>
      <c r="S32" s="65">
        <v>7.1396000000000001E-2</v>
      </c>
      <c r="T32" s="65">
        <v>3.157000000000001E-3</v>
      </c>
      <c r="U32" s="65">
        <v>9.8158999999999996E-2</v>
      </c>
      <c r="V32" s="65">
        <v>1.3159000000000001E-2</v>
      </c>
      <c r="W32" s="65">
        <v>0.110615</v>
      </c>
      <c r="X32" s="65">
        <v>0.125583</v>
      </c>
      <c r="Y32" s="65">
        <v>1.343E-3</v>
      </c>
      <c r="Z32" s="65">
        <v>1.2226000000000001E-2</v>
      </c>
      <c r="AA32" s="65">
        <v>7.1710999999999997E-2</v>
      </c>
      <c r="AB32" s="65">
        <v>2.0469999999999999E-2</v>
      </c>
      <c r="AC32" s="65">
        <v>1.7108999999999999E-2</v>
      </c>
      <c r="AD32" s="65">
        <v>1.2097E-2</v>
      </c>
      <c r="AE32" s="65">
        <v>6.4976999999999993E-2</v>
      </c>
      <c r="AF32" s="65">
        <v>5.1489999999999999E-3</v>
      </c>
      <c r="AG32" s="65">
        <v>3.7439999999999999E-3</v>
      </c>
      <c r="AH32" s="65">
        <v>2.3363064350889001E-2</v>
      </c>
      <c r="AI32" s="65">
        <v>1.461475649323174E-2</v>
      </c>
      <c r="AJ32" s="65">
        <v>9.9999999999999995E-7</v>
      </c>
      <c r="AK32" s="65">
        <v>9.9999999999999995E-7</v>
      </c>
      <c r="AL32" s="65">
        <v>9.9999999999999995E-7</v>
      </c>
      <c r="AM32" s="65">
        <v>9.9999999999999995E-7</v>
      </c>
      <c r="AN32" s="65">
        <v>0</v>
      </c>
      <c r="AO32" s="65">
        <v>0</v>
      </c>
      <c r="AP32" s="65">
        <v>0</v>
      </c>
      <c r="AQ32" s="65">
        <v>0</v>
      </c>
      <c r="AR32" s="65">
        <v>0</v>
      </c>
      <c r="AS32" s="65">
        <v>0</v>
      </c>
      <c r="AT32" s="65">
        <v>0</v>
      </c>
      <c r="AU32" s="65">
        <v>0</v>
      </c>
      <c r="AV32" s="65">
        <v>0</v>
      </c>
      <c r="AW32" s="65">
        <v>0</v>
      </c>
      <c r="AX32" s="65">
        <v>0</v>
      </c>
      <c r="AY32" s="65">
        <v>0</v>
      </c>
      <c r="AZ32" s="65">
        <v>9.9999999999999995E-7</v>
      </c>
      <c r="BA32" s="65">
        <v>0</v>
      </c>
      <c r="BB32" s="65">
        <v>0</v>
      </c>
      <c r="BC32" s="65">
        <v>0</v>
      </c>
      <c r="BD32" s="65">
        <v>9.9999999999999995E-7</v>
      </c>
      <c r="BE32" s="65">
        <v>9.9999999999999995E-7</v>
      </c>
      <c r="BF32" s="65">
        <v>0</v>
      </c>
      <c r="BG32" s="65">
        <v>0</v>
      </c>
      <c r="BH32" s="65">
        <v>0</v>
      </c>
      <c r="BI32" s="65">
        <v>9.9999999999999995E-7</v>
      </c>
      <c r="BJ32" s="65">
        <v>0</v>
      </c>
      <c r="BK32" s="65">
        <v>9.9999999999999995E-7</v>
      </c>
      <c r="BL32" s="65">
        <v>3.0000000000000001E-6</v>
      </c>
      <c r="BM32" s="65">
        <v>0</v>
      </c>
      <c r="BN32" s="65">
        <v>0</v>
      </c>
      <c r="BO32" s="65">
        <v>0</v>
      </c>
      <c r="BP32" s="65">
        <v>0</v>
      </c>
      <c r="BQ32" s="65">
        <v>1.9999999999999999E-6</v>
      </c>
      <c r="BR32" s="65">
        <v>1.9999999999999999E-6</v>
      </c>
      <c r="BS32" s="65">
        <v>1.9999999999999999E-6</v>
      </c>
      <c r="BT32" s="65">
        <v>1.9999999999999999E-6</v>
      </c>
      <c r="BU32" s="65">
        <v>0</v>
      </c>
      <c r="BV32" s="65">
        <v>9.9999999999999995E-7</v>
      </c>
      <c r="BW32" s="65">
        <v>9.9999999999999995E-7</v>
      </c>
      <c r="BX32" s="65">
        <v>9.9999999999999995E-7</v>
      </c>
      <c r="BY32" s="65">
        <v>9.9999999999999995E-7</v>
      </c>
      <c r="BZ32" s="65">
        <v>9.9999999999999995E-7</v>
      </c>
      <c r="CA32" s="65">
        <v>9.9999999999999995E-7</v>
      </c>
      <c r="CB32" s="65">
        <v>9.9999999999999995E-7</v>
      </c>
      <c r="CC32" s="65">
        <v>1.9999999999999999E-6</v>
      </c>
      <c r="CD32" s="65">
        <v>1.9999999999999999E-6</v>
      </c>
      <c r="CE32" s="65">
        <v>9.9999999999999995E-7</v>
      </c>
      <c r="CF32" s="65">
        <v>9.9999999999999995E-7</v>
      </c>
      <c r="CG32" s="65">
        <v>1.9999999999999999E-6</v>
      </c>
      <c r="CH32" s="65">
        <v>9.9999999999999995E-7</v>
      </c>
      <c r="CI32" s="65">
        <v>9.9999999999999995E-7</v>
      </c>
      <c r="CJ32" s="65">
        <v>9.9999999999999995E-7</v>
      </c>
      <c r="CK32" s="65">
        <v>1.9999999999999999E-6</v>
      </c>
      <c r="CL32" s="65">
        <v>1.9999999999999999E-6</v>
      </c>
      <c r="CM32" s="65">
        <v>1.9999999999999999E-6</v>
      </c>
      <c r="CN32" s="65">
        <v>9.9999999999999995E-7</v>
      </c>
      <c r="CO32" s="65">
        <v>9.9999999999999995E-7</v>
      </c>
      <c r="CP32" s="65">
        <v>1.9999999999999999E-6</v>
      </c>
      <c r="CQ32" s="65">
        <v>9.9999999999999995E-7</v>
      </c>
      <c r="CR32" s="65">
        <v>1.9999999999999999E-6</v>
      </c>
      <c r="CS32" s="65">
        <v>1.1E-5</v>
      </c>
      <c r="CT32" s="65">
        <v>9.9999999999999995E-7</v>
      </c>
      <c r="CU32" s="65">
        <v>9.9999999999999995E-7</v>
      </c>
      <c r="CV32" s="65">
        <v>9.9999999999999995E-7</v>
      </c>
      <c r="CW32" s="65">
        <v>9.9999999999999995E-7</v>
      </c>
      <c r="CX32" s="65">
        <v>0</v>
      </c>
      <c r="CY32" s="65">
        <v>0</v>
      </c>
      <c r="CZ32" s="65">
        <v>0</v>
      </c>
      <c r="DA32" s="65">
        <v>0</v>
      </c>
      <c r="DB32" s="65">
        <v>0</v>
      </c>
      <c r="DC32" s="65">
        <v>0</v>
      </c>
      <c r="DD32" s="65">
        <v>0</v>
      </c>
      <c r="DE32" s="65">
        <v>0</v>
      </c>
      <c r="DF32" s="65">
        <v>0</v>
      </c>
      <c r="DG32" s="65">
        <v>0</v>
      </c>
      <c r="DH32" s="65">
        <v>0</v>
      </c>
      <c r="DI32" s="65">
        <v>0</v>
      </c>
      <c r="DJ32" s="65">
        <v>0</v>
      </c>
      <c r="DK32" s="65">
        <v>0</v>
      </c>
      <c r="DL32" s="65">
        <v>0</v>
      </c>
      <c r="DM32" s="65">
        <v>0</v>
      </c>
      <c r="DN32" s="65">
        <v>0</v>
      </c>
      <c r="DO32" s="65">
        <v>0</v>
      </c>
      <c r="DP32" s="65">
        <v>0</v>
      </c>
      <c r="DQ32" s="65">
        <v>0</v>
      </c>
      <c r="DR32" s="65">
        <v>0</v>
      </c>
      <c r="DS32" s="65">
        <v>0</v>
      </c>
      <c r="DT32" s="65">
        <v>0</v>
      </c>
      <c r="DU32" s="65">
        <v>0</v>
      </c>
      <c r="DV32" s="65">
        <v>0</v>
      </c>
      <c r="DW32" s="65">
        <v>0</v>
      </c>
      <c r="DX32" s="65">
        <v>0</v>
      </c>
      <c r="DY32" s="65">
        <v>0</v>
      </c>
      <c r="DZ32" s="65">
        <v>0</v>
      </c>
      <c r="EA32" s="65">
        <v>0</v>
      </c>
      <c r="EB32" s="65">
        <v>0</v>
      </c>
      <c r="EC32" s="65">
        <v>0</v>
      </c>
      <c r="ED32" s="65">
        <v>0</v>
      </c>
      <c r="EE32" s="65">
        <v>0</v>
      </c>
      <c r="EF32" s="65">
        <v>0</v>
      </c>
      <c r="EG32" s="65">
        <v>0</v>
      </c>
      <c r="EH32" s="65">
        <v>0</v>
      </c>
      <c r="EI32" s="65">
        <v>0</v>
      </c>
      <c r="EJ32" s="65">
        <v>0</v>
      </c>
      <c r="EK32" s="65">
        <v>0</v>
      </c>
      <c r="EL32" s="65">
        <v>0</v>
      </c>
      <c r="EM32" s="65">
        <v>0</v>
      </c>
      <c r="EN32" s="65">
        <v>0</v>
      </c>
      <c r="EO32" s="65">
        <v>0</v>
      </c>
      <c r="EP32" s="65">
        <v>0</v>
      </c>
      <c r="EQ32" s="65">
        <v>0</v>
      </c>
      <c r="ER32" s="65">
        <v>0</v>
      </c>
      <c r="ES32" s="65">
        <v>0</v>
      </c>
      <c r="ET32" s="65">
        <v>0</v>
      </c>
      <c r="EU32" s="65">
        <v>0</v>
      </c>
      <c r="EV32" s="65">
        <v>0</v>
      </c>
      <c r="EW32" s="65">
        <v>0</v>
      </c>
      <c r="EX32" s="65">
        <v>0</v>
      </c>
      <c r="EY32" s="65">
        <v>0</v>
      </c>
      <c r="EZ32" s="65">
        <v>0</v>
      </c>
      <c r="FA32" s="65">
        <v>0</v>
      </c>
      <c r="FB32" s="65">
        <v>0</v>
      </c>
      <c r="FC32" s="65">
        <v>0</v>
      </c>
      <c r="FD32" s="65">
        <v>0</v>
      </c>
      <c r="FE32" s="65">
        <v>0</v>
      </c>
      <c r="FF32" s="65">
        <v>0</v>
      </c>
      <c r="FG32" s="65">
        <v>0</v>
      </c>
      <c r="FH32" s="65">
        <v>0</v>
      </c>
      <c r="FI32" s="65">
        <v>0</v>
      </c>
      <c r="FJ32" s="65">
        <v>0</v>
      </c>
      <c r="FK32" s="65">
        <v>0</v>
      </c>
      <c r="FL32" s="65">
        <v>9.9999999999999995E-7</v>
      </c>
      <c r="FM32" s="65">
        <v>9.9999999999999995E-7</v>
      </c>
      <c r="FN32" s="65">
        <v>9.9999999999999995E-7</v>
      </c>
      <c r="FO32" s="65">
        <v>9.9999999999999995E-7</v>
      </c>
      <c r="FP32" s="65">
        <v>0</v>
      </c>
      <c r="FQ32" s="65">
        <v>0</v>
      </c>
      <c r="FR32" s="65">
        <v>0</v>
      </c>
      <c r="FS32" s="65">
        <v>0</v>
      </c>
      <c r="FT32" s="65">
        <v>0</v>
      </c>
      <c r="FU32" s="65">
        <v>0</v>
      </c>
      <c r="FV32" s="65">
        <v>0</v>
      </c>
      <c r="FW32" s="65">
        <v>0</v>
      </c>
      <c r="FX32" s="65">
        <v>9.9999999999999995E-7</v>
      </c>
      <c r="FY32" s="65">
        <v>9.9999999999999995E-7</v>
      </c>
      <c r="FZ32" s="65">
        <v>9.9999999999999995E-7</v>
      </c>
      <c r="GA32" s="65">
        <v>9.9999999999999995E-7</v>
      </c>
      <c r="GB32" s="65">
        <v>9.9999999999999995E-7</v>
      </c>
      <c r="GC32" s="65">
        <v>9.9999999999999995E-7</v>
      </c>
      <c r="GD32" s="65">
        <v>9.9999999999999995E-7</v>
      </c>
      <c r="GE32" s="65">
        <v>9.9999999999999995E-7</v>
      </c>
      <c r="GF32" s="65">
        <v>9.9999999999999995E-7</v>
      </c>
      <c r="GG32" s="65">
        <v>9.9999999999999995E-7</v>
      </c>
      <c r="GH32" s="65">
        <v>9.9999999999999995E-7</v>
      </c>
      <c r="GI32" s="65">
        <v>1.9999999999999999E-6</v>
      </c>
      <c r="GJ32" s="65">
        <v>9.9999999999999995E-7</v>
      </c>
      <c r="GK32" s="65">
        <v>1.9999999999999999E-6</v>
      </c>
      <c r="GL32" s="65">
        <v>9.9999999999999995E-7</v>
      </c>
      <c r="GM32" s="65">
        <v>1.9999999999999999E-6</v>
      </c>
      <c r="GN32" s="65">
        <v>1.9000000000000001E-5</v>
      </c>
      <c r="GO32" s="65">
        <v>0</v>
      </c>
      <c r="GP32" s="65">
        <v>0</v>
      </c>
      <c r="GQ32" s="65">
        <v>1.9999999999999999E-6</v>
      </c>
      <c r="GR32" s="65">
        <v>1.9999999999999999E-6</v>
      </c>
      <c r="GS32" s="65">
        <v>0</v>
      </c>
      <c r="GT32" s="65">
        <v>0</v>
      </c>
      <c r="GU32" s="65">
        <v>0</v>
      </c>
      <c r="GV32" s="65">
        <v>0</v>
      </c>
      <c r="GW32" s="65">
        <v>0</v>
      </c>
      <c r="GX32" s="65">
        <v>0</v>
      </c>
      <c r="GY32" s="65">
        <v>0</v>
      </c>
      <c r="GZ32" s="65">
        <v>0</v>
      </c>
      <c r="HA32" s="65">
        <v>0</v>
      </c>
      <c r="HB32" s="65">
        <v>0</v>
      </c>
      <c r="HC32" s="65">
        <v>0</v>
      </c>
      <c r="HD32" s="65">
        <v>0</v>
      </c>
      <c r="HE32" s="65">
        <v>0</v>
      </c>
      <c r="HF32" s="65">
        <v>0</v>
      </c>
      <c r="HG32" s="65">
        <v>0</v>
      </c>
      <c r="HH32" s="65">
        <v>0</v>
      </c>
      <c r="HI32" s="65">
        <v>0</v>
      </c>
      <c r="HJ32" s="65">
        <v>0</v>
      </c>
      <c r="HK32" s="65">
        <v>0</v>
      </c>
      <c r="HL32" s="65">
        <v>0</v>
      </c>
      <c r="HM32" s="65">
        <v>0</v>
      </c>
      <c r="HN32" s="65">
        <v>9.9999999999999995E-7</v>
      </c>
      <c r="HO32" s="65">
        <v>0</v>
      </c>
      <c r="HP32" s="65">
        <v>0</v>
      </c>
      <c r="HQ32" s="65">
        <v>0</v>
      </c>
      <c r="HR32" s="65">
        <v>0</v>
      </c>
      <c r="HS32" s="65">
        <v>0</v>
      </c>
      <c r="HT32" s="65">
        <v>9.9999999999999995E-7</v>
      </c>
      <c r="HU32" s="65">
        <v>5.0000000000000004E-6</v>
      </c>
      <c r="HV32" s="65">
        <v>9.9999999999999995E-7</v>
      </c>
      <c r="HW32" s="65">
        <v>0</v>
      </c>
      <c r="HX32" s="65">
        <v>0</v>
      </c>
      <c r="HY32" s="65">
        <v>0</v>
      </c>
      <c r="HZ32" s="65">
        <v>1.9999999999999999E-6</v>
      </c>
      <c r="IA32" s="65">
        <v>1.9999999999999999E-6</v>
      </c>
      <c r="IB32" s="65">
        <v>1.9999999999999999E-6</v>
      </c>
      <c r="IC32" s="65">
        <v>1.9999999999999999E-6</v>
      </c>
      <c r="ID32" s="65">
        <v>0</v>
      </c>
      <c r="IE32" s="65">
        <v>9.9999999999999995E-7</v>
      </c>
      <c r="IF32" s="65">
        <v>9.9999999999999995E-7</v>
      </c>
      <c r="IG32" s="65">
        <v>9.9999999999999995E-7</v>
      </c>
      <c r="IH32" s="65">
        <v>9.9999999999999995E-7</v>
      </c>
      <c r="II32" s="65">
        <v>9.9999999999999995E-7</v>
      </c>
      <c r="IJ32" s="65">
        <v>9.9999999999999995E-7</v>
      </c>
      <c r="IK32" s="65">
        <v>9.9999999999999995E-7</v>
      </c>
      <c r="IL32" s="65">
        <v>9.9999999999999995E-7</v>
      </c>
      <c r="IM32" s="65">
        <v>9.9999999999999995E-7</v>
      </c>
      <c r="IN32" s="65">
        <v>1.9999999999999999E-6</v>
      </c>
      <c r="IO32" s="65">
        <v>1.9999999999999999E-6</v>
      </c>
      <c r="IP32" s="65">
        <v>1.9999999999999999E-6</v>
      </c>
      <c r="IQ32" s="65">
        <v>1.9999999999999999E-6</v>
      </c>
      <c r="IR32" s="65">
        <v>3.0000000000000001E-6</v>
      </c>
      <c r="IS32" s="65">
        <v>9.9999999999999995E-7</v>
      </c>
      <c r="IT32" s="65">
        <v>9.9999999999999995E-7</v>
      </c>
      <c r="IU32" s="65">
        <v>1.9999999999999999E-6</v>
      </c>
      <c r="IV32" s="65">
        <v>1.4E-5</v>
      </c>
      <c r="IW32" s="65">
        <v>1.9999999999999999E-6</v>
      </c>
      <c r="IX32" s="65">
        <v>3.9999999999999998E-6</v>
      </c>
      <c r="IY32" s="65">
        <v>5.0000000000000004E-6</v>
      </c>
      <c r="IZ32" s="65">
        <v>1.9999999999999999E-6</v>
      </c>
      <c r="JA32" s="65">
        <v>6.0000000000000002E-6</v>
      </c>
      <c r="JB32" s="65">
        <v>5.0000000000000002E-5</v>
      </c>
      <c r="JC32" s="65">
        <v>1.9999999999999999E-6</v>
      </c>
      <c r="JD32" s="65">
        <v>1.9999999999999999E-6</v>
      </c>
      <c r="JE32" s="65">
        <v>3.9999999999999998E-6</v>
      </c>
      <c r="JF32" s="65">
        <v>3.9999999999999998E-6</v>
      </c>
      <c r="JG32" s="65">
        <v>6.0999999999999999E-5</v>
      </c>
      <c r="JH32" s="65">
        <v>6.0999999999999999E-5</v>
      </c>
      <c r="JI32" s="65">
        <v>6.0999999999999999E-5</v>
      </c>
      <c r="JJ32" s="65">
        <v>6.0999999999999999E-5</v>
      </c>
      <c r="JK32" s="65">
        <v>0</v>
      </c>
      <c r="JL32" s="65">
        <v>6.4999999999999994E-5</v>
      </c>
      <c r="JM32" s="65">
        <v>6.4999999999999994E-5</v>
      </c>
      <c r="JN32" s="65">
        <v>6.4999999999999994E-5</v>
      </c>
      <c r="JO32" s="65">
        <v>6.4999999999999994E-5</v>
      </c>
      <c r="JP32" s="65">
        <v>6.4999999999999994E-5</v>
      </c>
      <c r="JQ32" s="65">
        <v>6.4999999999999994E-5</v>
      </c>
      <c r="JR32" s="65">
        <v>6.4999999999999994E-5</v>
      </c>
      <c r="JS32" s="65">
        <v>1.1400000000000001E-4</v>
      </c>
      <c r="JT32" s="65">
        <v>1.1400000000000001E-4</v>
      </c>
      <c r="JU32" s="65">
        <v>2.9E-5</v>
      </c>
      <c r="JV32" s="65">
        <v>2.9E-5</v>
      </c>
      <c r="JW32" s="65">
        <v>1.4300000000000001E-4</v>
      </c>
      <c r="JX32" s="65">
        <v>2.0000000000000002E-5</v>
      </c>
      <c r="JY32" s="65">
        <v>5.0000000000000002E-5</v>
      </c>
      <c r="JZ32" s="65">
        <v>4.3999999999999999E-5</v>
      </c>
      <c r="KA32" s="65">
        <v>1.2799999999999999E-4</v>
      </c>
      <c r="KB32" s="65">
        <v>5.5000000000000002E-5</v>
      </c>
      <c r="KC32" s="65">
        <v>4.1E-5</v>
      </c>
      <c r="KD32" s="65">
        <v>5.3999999999999998E-5</v>
      </c>
      <c r="KE32" s="65">
        <v>9.1000000000000003E-5</v>
      </c>
      <c r="KF32" s="65">
        <v>6.0999999999999999E-5</v>
      </c>
      <c r="KG32" s="65">
        <v>4.1E-5</v>
      </c>
      <c r="KH32" s="65">
        <v>5.8999999999999998E-5</v>
      </c>
      <c r="KI32" s="65">
        <v>6.8300000000000001E-4</v>
      </c>
      <c r="KJ32" s="65">
        <v>9.0000000000000002E-6</v>
      </c>
      <c r="KK32" s="65">
        <v>6.9999999999999999E-6</v>
      </c>
      <c r="KL32" s="65">
        <v>7.3999999999999996E-5</v>
      </c>
      <c r="KM32" s="65">
        <v>7.3999999999999996E-5</v>
      </c>
      <c r="KN32" s="65">
        <v>0</v>
      </c>
      <c r="KO32" s="65">
        <v>0</v>
      </c>
      <c r="KP32" s="65">
        <v>0</v>
      </c>
      <c r="KQ32" s="65">
        <v>0</v>
      </c>
      <c r="KR32" s="65">
        <v>0</v>
      </c>
      <c r="KS32" s="65">
        <v>0</v>
      </c>
      <c r="KT32" s="65">
        <v>0</v>
      </c>
      <c r="KU32" s="65">
        <v>0</v>
      </c>
      <c r="KV32" s="65">
        <v>0</v>
      </c>
      <c r="KW32" s="65">
        <v>0</v>
      </c>
      <c r="KX32" s="65">
        <v>0</v>
      </c>
      <c r="KY32" s="65">
        <v>0</v>
      </c>
      <c r="KZ32" s="65">
        <v>0</v>
      </c>
      <c r="LA32" s="65">
        <v>0</v>
      </c>
      <c r="LB32" s="65">
        <v>0</v>
      </c>
      <c r="LC32" s="65">
        <v>0</v>
      </c>
      <c r="LD32" s="65">
        <v>0</v>
      </c>
      <c r="LE32" s="65">
        <v>0</v>
      </c>
      <c r="LF32" s="65">
        <v>0</v>
      </c>
      <c r="LG32" s="65">
        <v>0</v>
      </c>
      <c r="LH32" s="65">
        <v>0</v>
      </c>
      <c r="LI32" s="65">
        <v>0</v>
      </c>
      <c r="LJ32" s="65">
        <v>0</v>
      </c>
      <c r="LK32" s="65">
        <v>0</v>
      </c>
      <c r="LL32" s="65">
        <v>0</v>
      </c>
      <c r="LM32" s="65">
        <v>0</v>
      </c>
      <c r="LN32" s="65">
        <v>0</v>
      </c>
      <c r="LO32" s="65">
        <v>0</v>
      </c>
      <c r="LP32" s="65">
        <v>3.0000000000000001E-6</v>
      </c>
      <c r="LQ32" s="65">
        <v>0</v>
      </c>
      <c r="LR32" s="65">
        <v>0</v>
      </c>
      <c r="LS32" s="65">
        <v>0</v>
      </c>
      <c r="LT32" s="65">
        <v>0</v>
      </c>
      <c r="LU32" s="65">
        <v>9.9999999999999995E-7</v>
      </c>
      <c r="LV32" s="65">
        <v>9.9999999999999995E-7</v>
      </c>
      <c r="LW32" s="65">
        <v>9.9999999999999995E-7</v>
      </c>
      <c r="LX32" s="65">
        <v>9.9999999999999995E-7</v>
      </c>
      <c r="LY32" s="65">
        <v>0</v>
      </c>
      <c r="LZ32" s="65">
        <v>9.9999999999999995E-7</v>
      </c>
      <c r="MA32" s="65">
        <v>9.9999999999999995E-7</v>
      </c>
      <c r="MB32" s="65">
        <v>9.9999999999999995E-7</v>
      </c>
      <c r="MC32" s="65">
        <v>9.9999999999999995E-7</v>
      </c>
      <c r="MD32" s="65">
        <v>9.9999999999999995E-7</v>
      </c>
      <c r="ME32" s="65">
        <v>9.9999999999999995E-7</v>
      </c>
      <c r="MF32" s="65">
        <v>9.9999999999999995E-7</v>
      </c>
      <c r="MG32" s="65">
        <v>9.9999999999999995E-7</v>
      </c>
      <c r="MH32" s="65">
        <v>9.9999999999999995E-7</v>
      </c>
      <c r="MI32" s="65">
        <v>9.9999999999999995E-7</v>
      </c>
      <c r="MJ32" s="65">
        <v>9.9999999999999995E-7</v>
      </c>
      <c r="MK32" s="65">
        <v>1.9999999999999999E-6</v>
      </c>
      <c r="ML32" s="65">
        <v>9.9999999999999995E-7</v>
      </c>
      <c r="MM32" s="65">
        <v>9.9999999999999995E-7</v>
      </c>
      <c r="MN32" s="65">
        <v>9.9999999999999995E-7</v>
      </c>
      <c r="MO32" s="65">
        <v>9.9999999999999995E-7</v>
      </c>
      <c r="MP32" s="65">
        <v>1.9999999999999999E-6</v>
      </c>
      <c r="MQ32" s="65">
        <v>1.9999999999999999E-6</v>
      </c>
      <c r="MR32" s="65">
        <v>9.9999999999999995E-7</v>
      </c>
      <c r="MS32" s="65">
        <v>9.9999999999999995E-7</v>
      </c>
      <c r="MT32" s="65">
        <v>9.9999999999999995E-7</v>
      </c>
      <c r="MU32" s="65">
        <v>9.9999999999999995E-7</v>
      </c>
      <c r="MV32" s="65">
        <v>1.9999999999999999E-6</v>
      </c>
      <c r="MW32" s="65">
        <v>7.9999999999999996E-6</v>
      </c>
      <c r="MX32" s="65">
        <v>0</v>
      </c>
      <c r="MY32" s="65">
        <v>0</v>
      </c>
      <c r="MZ32" s="65">
        <v>9.9999999999999995E-7</v>
      </c>
      <c r="NA32" s="65">
        <v>9.9999999999999995E-7</v>
      </c>
      <c r="NB32" s="65"/>
      <c r="NC32" s="65"/>
      <c r="ND32" s="65"/>
      <c r="NE32" s="65"/>
      <c r="NF32" s="65"/>
      <c r="NG32" s="65"/>
      <c r="NH32" s="65"/>
      <c r="NI32" s="65"/>
      <c r="NJ32" s="65"/>
      <c r="NK32" s="65"/>
      <c r="NL32" s="65"/>
      <c r="NM32" s="65"/>
      <c r="NN32" s="65"/>
      <c r="NO32" s="65"/>
      <c r="NP32" s="65"/>
      <c r="NQ32" s="65"/>
      <c r="NR32" s="65"/>
      <c r="NS32" s="65"/>
      <c r="NT32" s="65"/>
      <c r="NU32" s="65"/>
      <c r="NV32" s="65"/>
      <c r="NW32" s="65"/>
      <c r="NX32" s="65"/>
      <c r="NY32" s="65"/>
      <c r="NZ32" s="65"/>
      <c r="OA32" s="65"/>
      <c r="OB32" s="65"/>
      <c r="OC32" s="65"/>
      <c r="OD32" s="65"/>
      <c r="OE32" s="65"/>
      <c r="OF32" s="65"/>
      <c r="OG32" s="65"/>
      <c r="OH32" s="65"/>
      <c r="OI32" s="65"/>
      <c r="OJ32" s="65"/>
      <c r="OK32" s="65"/>
      <c r="OL32" s="65"/>
      <c r="OM32" s="65"/>
      <c r="ON32" s="65"/>
      <c r="OO32" s="65"/>
      <c r="OP32" s="65"/>
      <c r="OQ32" s="65"/>
      <c r="OR32" s="65"/>
      <c r="OS32" s="65"/>
    </row>
    <row r="33" spans="1:409">
      <c r="A33" s="64" t="s">
        <v>106</v>
      </c>
      <c r="B33" s="64" t="s">
        <v>24</v>
      </c>
      <c r="C33" s="64">
        <v>7.9400775776388727E-3</v>
      </c>
      <c r="D33" s="64">
        <v>5.055442937945966E-3</v>
      </c>
      <c r="E33" s="64">
        <v>3.1978564865704361E-4</v>
      </c>
      <c r="F33" s="64">
        <v>0</v>
      </c>
      <c r="G33" s="64">
        <v>0</v>
      </c>
      <c r="H33" s="64">
        <v>1.5577519745943859E-4</v>
      </c>
      <c r="I33" s="64">
        <v>1.9707209514977398E-5</v>
      </c>
      <c r="J33" s="64">
        <v>2.9835574217811149E-5</v>
      </c>
      <c r="K33" s="64">
        <v>1.4109472155981269E-4</v>
      </c>
      <c r="L33" s="64">
        <v>3.3241310911132831E-4</v>
      </c>
      <c r="M33" s="64">
        <v>2.2589448456934209E-4</v>
      </c>
      <c r="N33" s="64">
        <v>2.0244784722006881E-4</v>
      </c>
      <c r="O33" s="64">
        <v>8.9097450217712518E-4</v>
      </c>
      <c r="P33" s="64">
        <v>8.6991150895140631E-4</v>
      </c>
      <c r="Q33" s="64">
        <v>3.425133521581282E-4</v>
      </c>
      <c r="R33" s="64">
        <v>5.6672006215234528E-4</v>
      </c>
      <c r="S33" s="64">
        <v>7.76E-4</v>
      </c>
      <c r="T33" s="64">
        <v>2.8200000000000008E-4</v>
      </c>
      <c r="U33" s="64">
        <v>4.9899999999999999E-4</v>
      </c>
      <c r="V33" s="64">
        <v>9.9999999999999974E-7</v>
      </c>
      <c r="W33" s="64">
        <v>1.456E-3</v>
      </c>
      <c r="X33" s="64">
        <v>2.1870000000000001E-3</v>
      </c>
      <c r="Y33" s="64">
        <v>6.3E-5</v>
      </c>
      <c r="Z33" s="64">
        <v>4.0700000000000003E-4</v>
      </c>
      <c r="AA33" s="64">
        <v>4.1720000000000004E-3</v>
      </c>
      <c r="AB33" s="64">
        <v>1.7979999999999999E-3</v>
      </c>
      <c r="AC33" s="64">
        <v>2.2889999999999998E-3</v>
      </c>
      <c r="AD33" s="64">
        <v>1.923E-3</v>
      </c>
      <c r="AE33" s="64">
        <v>1.3979999999999999E-3</v>
      </c>
      <c r="AF33" s="64">
        <v>3.3399999999999988E-4</v>
      </c>
      <c r="AG33" s="64">
        <v>2.43E-4</v>
      </c>
      <c r="AH33" s="64">
        <v>2.3653695274949288E-3</v>
      </c>
      <c r="AI33" s="64">
        <v>7.1436635343199062E-4</v>
      </c>
      <c r="AJ33" s="64">
        <v>0</v>
      </c>
      <c r="AK33" s="64">
        <v>0</v>
      </c>
      <c r="AL33" s="64">
        <v>0</v>
      </c>
      <c r="AM33" s="64">
        <v>0</v>
      </c>
      <c r="AN33" s="64">
        <v>0</v>
      </c>
      <c r="AO33" s="64">
        <v>0</v>
      </c>
      <c r="AP33" s="64">
        <v>0</v>
      </c>
      <c r="AQ33" s="64">
        <v>0</v>
      </c>
      <c r="AR33" s="64">
        <v>0</v>
      </c>
      <c r="AS33" s="64">
        <v>0</v>
      </c>
      <c r="AT33" s="64">
        <v>0</v>
      </c>
      <c r="AU33" s="64">
        <v>0</v>
      </c>
      <c r="AV33" s="64">
        <v>0</v>
      </c>
      <c r="AW33" s="64">
        <v>0</v>
      </c>
      <c r="AX33" s="64">
        <v>0</v>
      </c>
      <c r="AY33" s="64">
        <v>0</v>
      </c>
      <c r="AZ33" s="64">
        <v>0</v>
      </c>
      <c r="BA33" s="64">
        <v>0</v>
      </c>
      <c r="BB33" s="64">
        <v>0</v>
      </c>
      <c r="BC33" s="64">
        <v>0</v>
      </c>
      <c r="BD33" s="64">
        <v>0</v>
      </c>
      <c r="BE33" s="64">
        <v>0</v>
      </c>
      <c r="BF33" s="64">
        <v>0</v>
      </c>
      <c r="BG33" s="64">
        <v>0</v>
      </c>
      <c r="BH33" s="64">
        <v>0</v>
      </c>
      <c r="BI33" s="64">
        <v>0</v>
      </c>
      <c r="BJ33" s="64">
        <v>0</v>
      </c>
      <c r="BK33" s="64">
        <v>0</v>
      </c>
      <c r="BL33" s="64">
        <v>0</v>
      </c>
      <c r="BM33" s="64">
        <v>0</v>
      </c>
      <c r="BN33" s="64">
        <v>0</v>
      </c>
      <c r="BO33" s="64">
        <v>0</v>
      </c>
      <c r="BP33" s="64">
        <v>0</v>
      </c>
      <c r="BQ33" s="64">
        <v>0</v>
      </c>
      <c r="BR33" s="64">
        <v>0</v>
      </c>
      <c r="BS33" s="64">
        <v>0</v>
      </c>
      <c r="BT33" s="64">
        <v>0</v>
      </c>
      <c r="BU33" s="64">
        <v>0</v>
      </c>
      <c r="BV33" s="64">
        <v>0</v>
      </c>
      <c r="BW33" s="64">
        <v>0</v>
      </c>
      <c r="BX33" s="64">
        <v>0</v>
      </c>
      <c r="BY33" s="64">
        <v>0</v>
      </c>
      <c r="BZ33" s="64">
        <v>0</v>
      </c>
      <c r="CA33" s="64">
        <v>0</v>
      </c>
      <c r="CB33" s="64">
        <v>0</v>
      </c>
      <c r="CC33" s="64">
        <v>0</v>
      </c>
      <c r="CD33" s="64">
        <v>0</v>
      </c>
      <c r="CE33" s="64">
        <v>0</v>
      </c>
      <c r="CF33" s="64">
        <v>0</v>
      </c>
      <c r="CG33" s="64">
        <v>0</v>
      </c>
      <c r="CH33" s="64">
        <v>0</v>
      </c>
      <c r="CI33" s="64">
        <v>0</v>
      </c>
      <c r="CJ33" s="64">
        <v>0</v>
      </c>
      <c r="CK33" s="64">
        <v>0</v>
      </c>
      <c r="CL33" s="64">
        <v>0</v>
      </c>
      <c r="CM33" s="64">
        <v>0</v>
      </c>
      <c r="CN33" s="64">
        <v>0</v>
      </c>
      <c r="CO33" s="64">
        <v>0</v>
      </c>
      <c r="CP33" s="64">
        <v>0</v>
      </c>
      <c r="CQ33" s="64">
        <v>0</v>
      </c>
      <c r="CR33" s="64">
        <v>0</v>
      </c>
      <c r="CS33" s="64">
        <v>0</v>
      </c>
      <c r="CT33" s="64">
        <v>0</v>
      </c>
      <c r="CU33" s="64">
        <v>0</v>
      </c>
      <c r="CV33" s="64">
        <v>0</v>
      </c>
      <c r="CW33" s="64">
        <v>0</v>
      </c>
      <c r="CX33" s="64">
        <v>0</v>
      </c>
      <c r="CY33" s="64">
        <v>0</v>
      </c>
      <c r="CZ33" s="64">
        <v>0</v>
      </c>
      <c r="DA33" s="64">
        <v>0</v>
      </c>
      <c r="DB33" s="64">
        <v>0</v>
      </c>
      <c r="DC33" s="64">
        <v>0</v>
      </c>
      <c r="DD33" s="64">
        <v>0</v>
      </c>
      <c r="DE33" s="64">
        <v>0</v>
      </c>
      <c r="DF33" s="64">
        <v>0</v>
      </c>
      <c r="DG33" s="64">
        <v>0</v>
      </c>
      <c r="DH33" s="64">
        <v>0</v>
      </c>
      <c r="DI33" s="64">
        <v>0</v>
      </c>
      <c r="DJ33" s="64">
        <v>0</v>
      </c>
      <c r="DK33" s="64">
        <v>0</v>
      </c>
      <c r="DL33" s="64">
        <v>0</v>
      </c>
      <c r="DM33" s="64">
        <v>0</v>
      </c>
      <c r="DN33" s="64">
        <v>0</v>
      </c>
      <c r="DO33" s="64">
        <v>0</v>
      </c>
      <c r="DP33" s="64">
        <v>0</v>
      </c>
      <c r="DQ33" s="64">
        <v>0</v>
      </c>
      <c r="DR33" s="64">
        <v>0</v>
      </c>
      <c r="DS33" s="64">
        <v>0</v>
      </c>
      <c r="DT33" s="64">
        <v>0</v>
      </c>
      <c r="DU33" s="64">
        <v>0</v>
      </c>
      <c r="DV33" s="64">
        <v>0</v>
      </c>
      <c r="DW33" s="64">
        <v>0</v>
      </c>
      <c r="DX33" s="64">
        <v>0</v>
      </c>
      <c r="DY33" s="64">
        <v>0</v>
      </c>
      <c r="DZ33" s="64">
        <v>0</v>
      </c>
      <c r="EA33" s="64">
        <v>0</v>
      </c>
      <c r="EB33" s="64">
        <v>0</v>
      </c>
      <c r="EC33" s="64">
        <v>0</v>
      </c>
      <c r="ED33" s="64">
        <v>0</v>
      </c>
      <c r="EE33" s="64">
        <v>0</v>
      </c>
      <c r="EF33" s="64">
        <v>0</v>
      </c>
      <c r="EG33" s="64">
        <v>0</v>
      </c>
      <c r="EH33" s="64">
        <v>0</v>
      </c>
      <c r="EI33" s="64">
        <v>0</v>
      </c>
      <c r="EJ33" s="64">
        <v>0</v>
      </c>
      <c r="EK33" s="64">
        <v>0</v>
      </c>
      <c r="EL33" s="64">
        <v>0</v>
      </c>
      <c r="EM33" s="64">
        <v>0</v>
      </c>
      <c r="EN33" s="64">
        <v>0</v>
      </c>
      <c r="EO33" s="64">
        <v>0</v>
      </c>
      <c r="EP33" s="64">
        <v>0</v>
      </c>
      <c r="EQ33" s="64">
        <v>0</v>
      </c>
      <c r="ER33" s="64">
        <v>0</v>
      </c>
      <c r="ES33" s="64">
        <v>0</v>
      </c>
      <c r="ET33" s="64">
        <v>0</v>
      </c>
      <c r="EU33" s="64">
        <v>0</v>
      </c>
      <c r="EV33" s="64">
        <v>0</v>
      </c>
      <c r="EW33" s="64">
        <v>0</v>
      </c>
      <c r="EX33" s="64">
        <v>0</v>
      </c>
      <c r="EY33" s="64">
        <v>0</v>
      </c>
      <c r="EZ33" s="64">
        <v>0</v>
      </c>
      <c r="FA33" s="64">
        <v>0</v>
      </c>
      <c r="FB33" s="64">
        <v>0</v>
      </c>
      <c r="FC33" s="64">
        <v>0</v>
      </c>
      <c r="FD33" s="64">
        <v>0</v>
      </c>
      <c r="FE33" s="64">
        <v>0</v>
      </c>
      <c r="FF33" s="64">
        <v>0</v>
      </c>
      <c r="FG33" s="64">
        <v>0</v>
      </c>
      <c r="FH33" s="64">
        <v>0</v>
      </c>
      <c r="FI33" s="64">
        <v>0</v>
      </c>
      <c r="FJ33" s="64">
        <v>0</v>
      </c>
      <c r="FK33" s="64">
        <v>0</v>
      </c>
      <c r="FL33" s="64">
        <v>0</v>
      </c>
      <c r="FM33" s="64">
        <v>0</v>
      </c>
      <c r="FN33" s="64">
        <v>0</v>
      </c>
      <c r="FO33" s="64">
        <v>0</v>
      </c>
      <c r="FP33" s="64">
        <v>0</v>
      </c>
      <c r="FQ33" s="64">
        <v>0</v>
      </c>
      <c r="FR33" s="64">
        <v>0</v>
      </c>
      <c r="FS33" s="64">
        <v>0</v>
      </c>
      <c r="FT33" s="64">
        <v>0</v>
      </c>
      <c r="FU33" s="64">
        <v>0</v>
      </c>
      <c r="FV33" s="64">
        <v>0</v>
      </c>
      <c r="FW33" s="64">
        <v>0</v>
      </c>
      <c r="FX33" s="64">
        <v>0</v>
      </c>
      <c r="FY33" s="64">
        <v>0</v>
      </c>
      <c r="FZ33" s="64">
        <v>0</v>
      </c>
      <c r="GA33" s="64">
        <v>0</v>
      </c>
      <c r="GB33" s="64">
        <v>0</v>
      </c>
      <c r="GC33" s="64">
        <v>0</v>
      </c>
      <c r="GD33" s="64">
        <v>0</v>
      </c>
      <c r="GE33" s="64">
        <v>0</v>
      </c>
      <c r="GF33" s="64">
        <v>0</v>
      </c>
      <c r="GG33" s="64">
        <v>0</v>
      </c>
      <c r="GH33" s="64">
        <v>0</v>
      </c>
      <c r="GI33" s="64">
        <v>0</v>
      </c>
      <c r="GJ33" s="64">
        <v>0</v>
      </c>
      <c r="GK33" s="64">
        <v>0</v>
      </c>
      <c r="GL33" s="64">
        <v>0</v>
      </c>
      <c r="GM33" s="64">
        <v>0</v>
      </c>
      <c r="GN33" s="64">
        <v>0</v>
      </c>
      <c r="GO33" s="64">
        <v>0</v>
      </c>
      <c r="GP33" s="64">
        <v>0</v>
      </c>
      <c r="GQ33" s="64">
        <v>0</v>
      </c>
      <c r="GR33" s="64">
        <v>0</v>
      </c>
      <c r="GS33" s="64">
        <v>0</v>
      </c>
      <c r="GT33" s="64">
        <v>0</v>
      </c>
      <c r="GU33" s="64">
        <v>0</v>
      </c>
      <c r="GV33" s="64">
        <v>0</v>
      </c>
      <c r="GW33" s="64">
        <v>0</v>
      </c>
      <c r="GX33" s="64">
        <v>0</v>
      </c>
      <c r="GY33" s="64">
        <v>0</v>
      </c>
      <c r="GZ33" s="64">
        <v>0</v>
      </c>
      <c r="HA33" s="64">
        <v>0</v>
      </c>
      <c r="HB33" s="64">
        <v>0</v>
      </c>
      <c r="HC33" s="64">
        <v>0</v>
      </c>
      <c r="HD33" s="64">
        <v>0</v>
      </c>
      <c r="HE33" s="64">
        <v>0</v>
      </c>
      <c r="HF33" s="64">
        <v>0</v>
      </c>
      <c r="HG33" s="64">
        <v>0</v>
      </c>
      <c r="HH33" s="64">
        <v>0</v>
      </c>
      <c r="HI33" s="64">
        <v>0</v>
      </c>
      <c r="HJ33" s="64">
        <v>0</v>
      </c>
      <c r="HK33" s="64">
        <v>0</v>
      </c>
      <c r="HL33" s="64">
        <v>0</v>
      </c>
      <c r="HM33" s="64">
        <v>0</v>
      </c>
      <c r="HN33" s="64">
        <v>0</v>
      </c>
      <c r="HO33" s="64">
        <v>0</v>
      </c>
      <c r="HP33" s="64">
        <v>0</v>
      </c>
      <c r="HQ33" s="64">
        <v>0</v>
      </c>
      <c r="HR33" s="64">
        <v>0</v>
      </c>
      <c r="HS33" s="64">
        <v>0</v>
      </c>
      <c r="HT33" s="64">
        <v>0</v>
      </c>
      <c r="HU33" s="64">
        <v>0</v>
      </c>
      <c r="HV33" s="64">
        <v>0</v>
      </c>
      <c r="HW33" s="64">
        <v>0</v>
      </c>
      <c r="HX33" s="64">
        <v>0</v>
      </c>
      <c r="HY33" s="64">
        <v>0</v>
      </c>
      <c r="HZ33" s="64">
        <v>0</v>
      </c>
      <c r="IA33" s="64">
        <v>0</v>
      </c>
      <c r="IB33" s="64">
        <v>0</v>
      </c>
      <c r="IC33" s="64">
        <v>0</v>
      </c>
      <c r="ID33" s="64">
        <v>0</v>
      </c>
      <c r="IE33" s="64">
        <v>0</v>
      </c>
      <c r="IF33" s="64">
        <v>0</v>
      </c>
      <c r="IG33" s="64">
        <v>0</v>
      </c>
      <c r="IH33" s="64">
        <v>0</v>
      </c>
      <c r="II33" s="64">
        <v>0</v>
      </c>
      <c r="IJ33" s="64">
        <v>0</v>
      </c>
      <c r="IK33" s="64">
        <v>0</v>
      </c>
      <c r="IL33" s="64">
        <v>0</v>
      </c>
      <c r="IM33" s="64">
        <v>0</v>
      </c>
      <c r="IN33" s="64">
        <v>0</v>
      </c>
      <c r="IO33" s="64">
        <v>0</v>
      </c>
      <c r="IP33" s="64">
        <v>0</v>
      </c>
      <c r="IQ33" s="64">
        <v>0</v>
      </c>
      <c r="IR33" s="64">
        <v>0</v>
      </c>
      <c r="IS33" s="64">
        <v>0</v>
      </c>
      <c r="IT33" s="64">
        <v>0</v>
      </c>
      <c r="IU33" s="64">
        <v>0</v>
      </c>
      <c r="IV33" s="64">
        <v>0</v>
      </c>
      <c r="IW33" s="64">
        <v>0</v>
      </c>
      <c r="IX33" s="64">
        <v>0</v>
      </c>
      <c r="IY33" s="64">
        <v>0</v>
      </c>
      <c r="IZ33" s="64">
        <v>0</v>
      </c>
      <c r="JA33" s="64">
        <v>0</v>
      </c>
      <c r="JB33" s="64">
        <v>0</v>
      </c>
      <c r="JC33" s="64">
        <v>0</v>
      </c>
      <c r="JD33" s="64">
        <v>0</v>
      </c>
      <c r="JE33" s="64">
        <v>0</v>
      </c>
      <c r="JF33" s="64">
        <v>0</v>
      </c>
      <c r="JG33" s="64">
        <v>0</v>
      </c>
      <c r="JH33" s="64">
        <v>0</v>
      </c>
      <c r="JI33" s="64">
        <v>0</v>
      </c>
      <c r="JJ33" s="64">
        <v>0</v>
      </c>
      <c r="JK33" s="64">
        <v>0</v>
      </c>
      <c r="JL33" s="64">
        <v>0</v>
      </c>
      <c r="JM33" s="64">
        <v>0</v>
      </c>
      <c r="JN33" s="64">
        <v>0</v>
      </c>
      <c r="JO33" s="64">
        <v>0</v>
      </c>
      <c r="JP33" s="64">
        <v>0</v>
      </c>
      <c r="JQ33" s="64">
        <v>0</v>
      </c>
      <c r="JR33" s="64">
        <v>0</v>
      </c>
      <c r="JS33" s="64">
        <v>0</v>
      </c>
      <c r="JT33" s="64">
        <v>0</v>
      </c>
      <c r="JU33" s="64">
        <v>0</v>
      </c>
      <c r="JV33" s="64">
        <v>0</v>
      </c>
      <c r="JW33" s="64">
        <v>0</v>
      </c>
      <c r="JX33" s="64">
        <v>0</v>
      </c>
      <c r="JY33" s="64">
        <v>0</v>
      </c>
      <c r="JZ33" s="64">
        <v>0</v>
      </c>
      <c r="KA33" s="64">
        <v>0</v>
      </c>
      <c r="KB33" s="64">
        <v>0</v>
      </c>
      <c r="KC33" s="64">
        <v>0</v>
      </c>
      <c r="KD33" s="64">
        <v>0</v>
      </c>
      <c r="KE33" s="64">
        <v>0</v>
      </c>
      <c r="KF33" s="64">
        <v>0</v>
      </c>
      <c r="KG33" s="64">
        <v>0</v>
      </c>
      <c r="KH33" s="64">
        <v>0</v>
      </c>
      <c r="KI33" s="64">
        <v>0</v>
      </c>
      <c r="KJ33" s="64">
        <v>1E-4</v>
      </c>
      <c r="KK33" s="64">
        <v>7.2999999999999999E-5</v>
      </c>
      <c r="KL33" s="64">
        <v>0</v>
      </c>
      <c r="KM33" s="64">
        <v>0</v>
      </c>
      <c r="KN33" s="64">
        <v>0</v>
      </c>
      <c r="KO33" s="64">
        <v>0</v>
      </c>
      <c r="KP33" s="64">
        <v>0</v>
      </c>
      <c r="KQ33" s="64">
        <v>0</v>
      </c>
      <c r="KR33" s="64">
        <v>0</v>
      </c>
      <c r="KS33" s="64">
        <v>0</v>
      </c>
      <c r="KT33" s="64">
        <v>0</v>
      </c>
      <c r="KU33" s="64">
        <v>0</v>
      </c>
      <c r="KV33" s="64">
        <v>0</v>
      </c>
      <c r="KW33" s="64">
        <v>0</v>
      </c>
      <c r="KX33" s="64">
        <v>0</v>
      </c>
      <c r="KY33" s="64">
        <v>0</v>
      </c>
      <c r="KZ33" s="64">
        <v>0</v>
      </c>
      <c r="LA33" s="64">
        <v>0</v>
      </c>
      <c r="LB33" s="64">
        <v>0</v>
      </c>
      <c r="LC33" s="64">
        <v>0</v>
      </c>
      <c r="LD33" s="64">
        <v>0</v>
      </c>
      <c r="LE33" s="64">
        <v>0</v>
      </c>
      <c r="LF33" s="64">
        <v>0</v>
      </c>
      <c r="LG33" s="64">
        <v>0</v>
      </c>
      <c r="LH33" s="64">
        <v>0</v>
      </c>
      <c r="LI33" s="64">
        <v>0</v>
      </c>
      <c r="LJ33" s="64">
        <v>0</v>
      </c>
      <c r="LK33" s="64">
        <v>0</v>
      </c>
      <c r="LL33" s="64">
        <v>0</v>
      </c>
      <c r="LM33" s="64">
        <v>0</v>
      </c>
      <c r="LN33" s="64">
        <v>0</v>
      </c>
      <c r="LO33" s="64">
        <v>0</v>
      </c>
      <c r="LP33" s="64">
        <v>0</v>
      </c>
      <c r="LQ33" s="64">
        <v>0</v>
      </c>
      <c r="LR33" s="64">
        <v>0</v>
      </c>
      <c r="LS33" s="64">
        <v>0</v>
      </c>
      <c r="LT33" s="64">
        <v>0</v>
      </c>
      <c r="LU33" s="64">
        <v>0</v>
      </c>
      <c r="LV33" s="64">
        <v>0</v>
      </c>
      <c r="LW33" s="64">
        <v>0</v>
      </c>
      <c r="LX33" s="64">
        <v>0</v>
      </c>
      <c r="LY33" s="64">
        <v>0</v>
      </c>
      <c r="LZ33" s="64">
        <v>0</v>
      </c>
      <c r="MA33" s="64">
        <v>0</v>
      </c>
      <c r="MB33" s="64">
        <v>0</v>
      </c>
      <c r="MC33" s="64">
        <v>0</v>
      </c>
      <c r="MD33" s="64">
        <v>0</v>
      </c>
      <c r="ME33" s="64">
        <v>0</v>
      </c>
      <c r="MF33" s="64">
        <v>0</v>
      </c>
      <c r="MG33" s="64">
        <v>0</v>
      </c>
      <c r="MH33" s="64">
        <v>0</v>
      </c>
      <c r="MI33" s="64">
        <v>0</v>
      </c>
      <c r="MJ33" s="64">
        <v>0</v>
      </c>
      <c r="MK33" s="64">
        <v>0</v>
      </c>
      <c r="ML33" s="64">
        <v>0</v>
      </c>
      <c r="MM33" s="64">
        <v>0</v>
      </c>
      <c r="MN33" s="64">
        <v>0</v>
      </c>
      <c r="MO33" s="64">
        <v>0</v>
      </c>
      <c r="MP33" s="64">
        <v>0</v>
      </c>
      <c r="MQ33" s="64">
        <v>0</v>
      </c>
      <c r="MR33" s="64">
        <v>0</v>
      </c>
      <c r="MS33" s="64">
        <v>0</v>
      </c>
      <c r="MT33" s="64">
        <v>0</v>
      </c>
      <c r="MU33" s="64">
        <v>0</v>
      </c>
      <c r="MV33" s="64">
        <v>0</v>
      </c>
      <c r="MW33" s="64">
        <v>0</v>
      </c>
      <c r="MX33" s="64">
        <v>0</v>
      </c>
      <c r="MY33" s="64">
        <v>0</v>
      </c>
      <c r="MZ33" s="64">
        <v>0</v>
      </c>
      <c r="NA33" s="64">
        <v>0</v>
      </c>
      <c r="NB33" s="64"/>
      <c r="NC33" s="64"/>
      <c r="ND33" s="64"/>
      <c r="NE33" s="64"/>
      <c r="NF33" s="64"/>
      <c r="NG33" s="64"/>
      <c r="NH33" s="64"/>
      <c r="NI33" s="64"/>
      <c r="NJ33" s="64"/>
      <c r="NK33" s="64"/>
      <c r="NL33" s="64"/>
      <c r="NM33" s="64"/>
      <c r="NN33" s="64"/>
      <c r="NO33" s="64"/>
      <c r="NP33" s="64"/>
      <c r="NQ33" s="64"/>
      <c r="NR33" s="64"/>
      <c r="NS33" s="64"/>
      <c r="NT33" s="64"/>
      <c r="NU33" s="64"/>
      <c r="NV33" s="64"/>
      <c r="NW33" s="64"/>
      <c r="NX33" s="64"/>
      <c r="NY33" s="64"/>
      <c r="NZ33" s="64"/>
      <c r="OA33" s="64"/>
      <c r="OB33" s="64"/>
      <c r="OC33" s="64"/>
      <c r="OD33" s="64"/>
      <c r="OE33" s="64"/>
      <c r="OF33" s="64"/>
      <c r="OG33" s="64"/>
      <c r="OH33" s="64"/>
      <c r="OI33" s="64"/>
      <c r="OJ33" s="64"/>
      <c r="OK33" s="64"/>
      <c r="OL33" s="64"/>
      <c r="OM33" s="64"/>
      <c r="ON33" s="64"/>
      <c r="OO33" s="64"/>
      <c r="OP33" s="64"/>
      <c r="OQ33" s="64"/>
      <c r="OR33" s="64"/>
      <c r="OS33" s="64"/>
    </row>
    <row r="34" spans="1:409">
      <c r="A34" s="65" t="s">
        <v>107</v>
      </c>
      <c r="B34" s="65" t="s">
        <v>25</v>
      </c>
      <c r="C34" s="65">
        <v>4.8136197861555763E-2</v>
      </c>
      <c r="D34" s="65">
        <v>6.7463774302352966E-2</v>
      </c>
      <c r="E34" s="65">
        <v>4.3015931634020753E-2</v>
      </c>
      <c r="F34" s="65">
        <v>2.008238367838109E-2</v>
      </c>
      <c r="G34" s="65">
        <v>0</v>
      </c>
      <c r="H34" s="65">
        <v>7.6436117627406563E-4</v>
      </c>
      <c r="I34" s="65">
        <v>9.2478087182122138E-4</v>
      </c>
      <c r="J34" s="65">
        <v>1.4252155607569459E-3</v>
      </c>
      <c r="K34" s="65">
        <v>4.6820967779868862E-4</v>
      </c>
      <c r="L34" s="65">
        <v>9.5481821097128446E-4</v>
      </c>
      <c r="M34" s="65">
        <v>1.75998924866786E-3</v>
      </c>
      <c r="N34" s="65">
        <v>2.2513324610710138E-3</v>
      </c>
      <c r="O34" s="65">
        <v>6.4505972815407826E-3</v>
      </c>
      <c r="P34" s="65">
        <v>8.3449859243697466E-3</v>
      </c>
      <c r="Q34" s="65">
        <v>1.0589982905733579E-3</v>
      </c>
      <c r="R34" s="65">
        <v>5.3076056481793756E-3</v>
      </c>
      <c r="S34" s="65">
        <v>6.0350000000000004E-3</v>
      </c>
      <c r="T34" s="65">
        <v>2.1979999999999999E-3</v>
      </c>
      <c r="U34" s="65">
        <v>3.885E-3</v>
      </c>
      <c r="V34" s="65">
        <v>5.9999999999999976E-6</v>
      </c>
      <c r="W34" s="65">
        <v>1.133E-2</v>
      </c>
      <c r="X34" s="65">
        <v>1.7014999999999999E-2</v>
      </c>
      <c r="Y34" s="65">
        <v>4.9399999999999997E-4</v>
      </c>
      <c r="Z34" s="65">
        <v>3.166E-3</v>
      </c>
      <c r="AA34" s="65">
        <v>3.2464E-2</v>
      </c>
      <c r="AB34" s="65">
        <v>1.3990000000000001E-2</v>
      </c>
      <c r="AC34" s="65">
        <v>1.7812999999999999E-2</v>
      </c>
      <c r="AD34" s="65">
        <v>1.4962E-2</v>
      </c>
      <c r="AE34" s="65">
        <v>1.0876E-2</v>
      </c>
      <c r="AF34" s="65">
        <v>2.5959999999999998E-3</v>
      </c>
      <c r="AG34" s="65">
        <v>1.8879999999999999E-3</v>
      </c>
      <c r="AH34" s="65">
        <v>7.5180340335439027E-3</v>
      </c>
      <c r="AI34" s="65">
        <v>1.299401325597154E-2</v>
      </c>
      <c r="AJ34" s="65">
        <v>0</v>
      </c>
      <c r="AK34" s="65">
        <v>0</v>
      </c>
      <c r="AL34" s="65">
        <v>0</v>
      </c>
      <c r="AM34" s="65">
        <v>0</v>
      </c>
      <c r="AN34" s="65">
        <v>0</v>
      </c>
      <c r="AO34" s="65">
        <v>0</v>
      </c>
      <c r="AP34" s="65">
        <v>0</v>
      </c>
      <c r="AQ34" s="65">
        <v>0</v>
      </c>
      <c r="AR34" s="65">
        <v>0</v>
      </c>
      <c r="AS34" s="65">
        <v>0</v>
      </c>
      <c r="AT34" s="65">
        <v>0</v>
      </c>
      <c r="AU34" s="65">
        <v>0</v>
      </c>
      <c r="AV34" s="65">
        <v>0</v>
      </c>
      <c r="AW34" s="65">
        <v>0</v>
      </c>
      <c r="AX34" s="65">
        <v>0</v>
      </c>
      <c r="AY34" s="65">
        <v>0</v>
      </c>
      <c r="AZ34" s="65">
        <v>0</v>
      </c>
      <c r="BA34" s="65">
        <v>0</v>
      </c>
      <c r="BB34" s="65">
        <v>0</v>
      </c>
      <c r="BC34" s="65">
        <v>0</v>
      </c>
      <c r="BD34" s="65">
        <v>0</v>
      </c>
      <c r="BE34" s="65">
        <v>0</v>
      </c>
      <c r="BF34" s="65">
        <v>0</v>
      </c>
      <c r="BG34" s="65">
        <v>0</v>
      </c>
      <c r="BH34" s="65">
        <v>9.9999999999999995E-7</v>
      </c>
      <c r="BI34" s="65">
        <v>0</v>
      </c>
      <c r="BJ34" s="65">
        <v>9.9999999999999995E-7</v>
      </c>
      <c r="BK34" s="65">
        <v>9.9999999999999995E-7</v>
      </c>
      <c r="BL34" s="65">
        <v>0</v>
      </c>
      <c r="BM34" s="65">
        <v>0</v>
      </c>
      <c r="BN34" s="65">
        <v>0</v>
      </c>
      <c r="BO34" s="65">
        <v>0</v>
      </c>
      <c r="BP34" s="65">
        <v>0</v>
      </c>
      <c r="BQ34" s="65">
        <v>0</v>
      </c>
      <c r="BR34" s="65">
        <v>0</v>
      </c>
      <c r="BS34" s="65">
        <v>0</v>
      </c>
      <c r="BT34" s="65">
        <v>0</v>
      </c>
      <c r="BU34" s="65">
        <v>0</v>
      </c>
      <c r="BV34" s="65">
        <v>0</v>
      </c>
      <c r="BW34" s="65">
        <v>0</v>
      </c>
      <c r="BX34" s="65">
        <v>0</v>
      </c>
      <c r="BY34" s="65">
        <v>0</v>
      </c>
      <c r="BZ34" s="65">
        <v>0</v>
      </c>
      <c r="CA34" s="65">
        <v>0</v>
      </c>
      <c r="CB34" s="65">
        <v>0</v>
      </c>
      <c r="CC34" s="65">
        <v>0</v>
      </c>
      <c r="CD34" s="65">
        <v>0</v>
      </c>
      <c r="CE34" s="65">
        <v>9.9999999999999995E-7</v>
      </c>
      <c r="CF34" s="65">
        <v>9.9999999999999995E-7</v>
      </c>
      <c r="CG34" s="65">
        <v>9.9999999999999995E-7</v>
      </c>
      <c r="CH34" s="65">
        <v>9.9999999999999995E-7</v>
      </c>
      <c r="CI34" s="65">
        <v>0</v>
      </c>
      <c r="CJ34" s="65">
        <v>0</v>
      </c>
      <c r="CK34" s="65">
        <v>9.9999999999999995E-7</v>
      </c>
      <c r="CL34" s="65">
        <v>9.9999999999999995E-7</v>
      </c>
      <c r="CM34" s="65">
        <v>0</v>
      </c>
      <c r="CN34" s="65">
        <v>0</v>
      </c>
      <c r="CO34" s="65">
        <v>0</v>
      </c>
      <c r="CP34" s="65">
        <v>9.9999999999999995E-7</v>
      </c>
      <c r="CQ34" s="65">
        <v>9.9999999999999995E-7</v>
      </c>
      <c r="CR34" s="65">
        <v>9.9999999999999995E-7</v>
      </c>
      <c r="CS34" s="65">
        <v>9.9999999999999995E-7</v>
      </c>
      <c r="CT34" s="65">
        <v>0</v>
      </c>
      <c r="CU34" s="65">
        <v>0</v>
      </c>
      <c r="CV34" s="65">
        <v>0</v>
      </c>
      <c r="CW34" s="65">
        <v>0</v>
      </c>
      <c r="CX34" s="65">
        <v>0</v>
      </c>
      <c r="CY34" s="65">
        <v>0</v>
      </c>
      <c r="CZ34" s="65">
        <v>0</v>
      </c>
      <c r="DA34" s="65">
        <v>0</v>
      </c>
      <c r="DB34" s="65">
        <v>0</v>
      </c>
      <c r="DC34" s="65">
        <v>0</v>
      </c>
      <c r="DD34" s="65">
        <v>0</v>
      </c>
      <c r="DE34" s="65">
        <v>0</v>
      </c>
      <c r="DF34" s="65">
        <v>0</v>
      </c>
      <c r="DG34" s="65">
        <v>0</v>
      </c>
      <c r="DH34" s="65">
        <v>0</v>
      </c>
      <c r="DI34" s="65">
        <v>0</v>
      </c>
      <c r="DJ34" s="65">
        <v>0</v>
      </c>
      <c r="DK34" s="65">
        <v>0</v>
      </c>
      <c r="DL34" s="65">
        <v>0</v>
      </c>
      <c r="DM34" s="65">
        <v>0</v>
      </c>
      <c r="DN34" s="65">
        <v>0</v>
      </c>
      <c r="DO34" s="65">
        <v>0</v>
      </c>
      <c r="DP34" s="65">
        <v>0</v>
      </c>
      <c r="DQ34" s="65">
        <v>0</v>
      </c>
      <c r="DR34" s="65">
        <v>0</v>
      </c>
      <c r="DS34" s="65">
        <v>0</v>
      </c>
      <c r="DT34" s="65">
        <v>0</v>
      </c>
      <c r="DU34" s="65">
        <v>0</v>
      </c>
      <c r="DV34" s="65">
        <v>0</v>
      </c>
      <c r="DW34" s="65">
        <v>0</v>
      </c>
      <c r="DX34" s="65">
        <v>0</v>
      </c>
      <c r="DY34" s="65">
        <v>0</v>
      </c>
      <c r="DZ34" s="65">
        <v>0</v>
      </c>
      <c r="EA34" s="65">
        <v>0</v>
      </c>
      <c r="EB34" s="65">
        <v>0</v>
      </c>
      <c r="EC34" s="65">
        <v>0</v>
      </c>
      <c r="ED34" s="65">
        <v>0</v>
      </c>
      <c r="EE34" s="65">
        <v>0</v>
      </c>
      <c r="EF34" s="65">
        <v>0</v>
      </c>
      <c r="EG34" s="65">
        <v>0</v>
      </c>
      <c r="EH34" s="65">
        <v>0</v>
      </c>
      <c r="EI34" s="65">
        <v>0</v>
      </c>
      <c r="EJ34" s="65">
        <v>0</v>
      </c>
      <c r="EK34" s="65">
        <v>0</v>
      </c>
      <c r="EL34" s="65">
        <v>0</v>
      </c>
      <c r="EM34" s="65">
        <v>0</v>
      </c>
      <c r="EN34" s="65">
        <v>0</v>
      </c>
      <c r="EO34" s="65">
        <v>0</v>
      </c>
      <c r="EP34" s="65">
        <v>0</v>
      </c>
      <c r="EQ34" s="65">
        <v>0</v>
      </c>
      <c r="ER34" s="65">
        <v>0</v>
      </c>
      <c r="ES34" s="65">
        <v>0</v>
      </c>
      <c r="ET34" s="65">
        <v>0</v>
      </c>
      <c r="EU34" s="65">
        <v>0</v>
      </c>
      <c r="EV34" s="65">
        <v>0</v>
      </c>
      <c r="EW34" s="65">
        <v>0</v>
      </c>
      <c r="EX34" s="65">
        <v>0</v>
      </c>
      <c r="EY34" s="65">
        <v>0</v>
      </c>
      <c r="EZ34" s="65">
        <v>0</v>
      </c>
      <c r="FA34" s="65">
        <v>0</v>
      </c>
      <c r="FB34" s="65">
        <v>0</v>
      </c>
      <c r="FC34" s="65">
        <v>0</v>
      </c>
      <c r="FD34" s="65">
        <v>0</v>
      </c>
      <c r="FE34" s="65">
        <v>0</v>
      </c>
      <c r="FF34" s="65">
        <v>0</v>
      </c>
      <c r="FG34" s="65">
        <v>0</v>
      </c>
      <c r="FH34" s="65">
        <v>0</v>
      </c>
      <c r="FI34" s="65">
        <v>0</v>
      </c>
      <c r="FJ34" s="65">
        <v>0</v>
      </c>
      <c r="FK34" s="65">
        <v>0</v>
      </c>
      <c r="FL34" s="65">
        <v>0</v>
      </c>
      <c r="FM34" s="65">
        <v>0</v>
      </c>
      <c r="FN34" s="65">
        <v>0</v>
      </c>
      <c r="FO34" s="65">
        <v>0</v>
      </c>
      <c r="FP34" s="65">
        <v>0</v>
      </c>
      <c r="FQ34" s="65">
        <v>0</v>
      </c>
      <c r="FR34" s="65">
        <v>0</v>
      </c>
      <c r="FS34" s="65">
        <v>0</v>
      </c>
      <c r="FT34" s="65">
        <v>0</v>
      </c>
      <c r="FU34" s="65">
        <v>0</v>
      </c>
      <c r="FV34" s="65">
        <v>0</v>
      </c>
      <c r="FW34" s="65">
        <v>0</v>
      </c>
      <c r="FX34" s="65">
        <v>0</v>
      </c>
      <c r="FY34" s="65">
        <v>0</v>
      </c>
      <c r="FZ34" s="65">
        <v>0</v>
      </c>
      <c r="GA34" s="65">
        <v>0</v>
      </c>
      <c r="GB34" s="65">
        <v>9.9999999999999995E-7</v>
      </c>
      <c r="GC34" s="65">
        <v>0</v>
      </c>
      <c r="GD34" s="65">
        <v>0</v>
      </c>
      <c r="GE34" s="65">
        <v>0</v>
      </c>
      <c r="GF34" s="65">
        <v>0</v>
      </c>
      <c r="GG34" s="65">
        <v>9.9999999999999995E-7</v>
      </c>
      <c r="GH34" s="65">
        <v>0</v>
      </c>
      <c r="GI34" s="65">
        <v>0</v>
      </c>
      <c r="GJ34" s="65">
        <v>1.9999999999999999E-6</v>
      </c>
      <c r="GK34" s="65">
        <v>9.9999999999999995E-7</v>
      </c>
      <c r="GL34" s="65">
        <v>9.9999999999999995E-7</v>
      </c>
      <c r="GM34" s="65">
        <v>1.9999999999999999E-6</v>
      </c>
      <c r="GN34" s="65">
        <v>9.9999999999999995E-7</v>
      </c>
      <c r="GO34" s="65">
        <v>0</v>
      </c>
      <c r="GP34" s="65">
        <v>0</v>
      </c>
      <c r="GQ34" s="65">
        <v>9.9999999999999995E-7</v>
      </c>
      <c r="GR34" s="65">
        <v>9.9999999999999995E-7</v>
      </c>
      <c r="GS34" s="65">
        <v>0</v>
      </c>
      <c r="GT34" s="65">
        <v>0</v>
      </c>
      <c r="GU34" s="65">
        <v>0</v>
      </c>
      <c r="GV34" s="65">
        <v>0</v>
      </c>
      <c r="GW34" s="65">
        <v>0</v>
      </c>
      <c r="GX34" s="65">
        <v>0</v>
      </c>
      <c r="GY34" s="65">
        <v>0</v>
      </c>
      <c r="GZ34" s="65">
        <v>0</v>
      </c>
      <c r="HA34" s="65">
        <v>0</v>
      </c>
      <c r="HB34" s="65">
        <v>0</v>
      </c>
      <c r="HC34" s="65">
        <v>0</v>
      </c>
      <c r="HD34" s="65">
        <v>0</v>
      </c>
      <c r="HE34" s="65">
        <v>0</v>
      </c>
      <c r="HF34" s="65">
        <v>0</v>
      </c>
      <c r="HG34" s="65">
        <v>0</v>
      </c>
      <c r="HH34" s="65">
        <v>0</v>
      </c>
      <c r="HI34" s="65">
        <v>0</v>
      </c>
      <c r="HJ34" s="65">
        <v>0</v>
      </c>
      <c r="HK34" s="65">
        <v>0</v>
      </c>
      <c r="HL34" s="65">
        <v>0</v>
      </c>
      <c r="HM34" s="65">
        <v>0</v>
      </c>
      <c r="HN34" s="65">
        <v>0</v>
      </c>
      <c r="HO34" s="65">
        <v>0</v>
      </c>
      <c r="HP34" s="65">
        <v>0</v>
      </c>
      <c r="HQ34" s="65">
        <v>9.9999999999999995E-7</v>
      </c>
      <c r="HR34" s="65">
        <v>0</v>
      </c>
      <c r="HS34" s="65">
        <v>0</v>
      </c>
      <c r="HT34" s="65">
        <v>9.9999999999999995E-7</v>
      </c>
      <c r="HU34" s="65">
        <v>0</v>
      </c>
      <c r="HV34" s="65">
        <v>0</v>
      </c>
      <c r="HW34" s="65">
        <v>0</v>
      </c>
      <c r="HX34" s="65">
        <v>0</v>
      </c>
      <c r="HY34" s="65">
        <v>0</v>
      </c>
      <c r="HZ34" s="65">
        <v>0</v>
      </c>
      <c r="IA34" s="65">
        <v>0</v>
      </c>
      <c r="IB34" s="65">
        <v>0</v>
      </c>
      <c r="IC34" s="65">
        <v>0</v>
      </c>
      <c r="ID34" s="65">
        <v>0</v>
      </c>
      <c r="IE34" s="65">
        <v>0</v>
      </c>
      <c r="IF34" s="65">
        <v>0</v>
      </c>
      <c r="IG34" s="65">
        <v>0</v>
      </c>
      <c r="IH34" s="65">
        <v>0</v>
      </c>
      <c r="II34" s="65">
        <v>0</v>
      </c>
      <c r="IJ34" s="65">
        <v>0</v>
      </c>
      <c r="IK34" s="65">
        <v>0</v>
      </c>
      <c r="IL34" s="65">
        <v>0</v>
      </c>
      <c r="IM34" s="65">
        <v>0</v>
      </c>
      <c r="IN34" s="65">
        <v>0</v>
      </c>
      <c r="IO34" s="65">
        <v>0</v>
      </c>
      <c r="IP34" s="65">
        <v>0</v>
      </c>
      <c r="IQ34" s="65">
        <v>0</v>
      </c>
      <c r="IR34" s="65">
        <v>0</v>
      </c>
      <c r="IS34" s="65">
        <v>0</v>
      </c>
      <c r="IT34" s="65">
        <v>9.9999999999999995E-7</v>
      </c>
      <c r="IU34" s="65">
        <v>0</v>
      </c>
      <c r="IV34" s="65">
        <v>0</v>
      </c>
      <c r="IW34" s="65">
        <v>0</v>
      </c>
      <c r="IX34" s="65">
        <v>0</v>
      </c>
      <c r="IY34" s="65">
        <v>0</v>
      </c>
      <c r="IZ34" s="65">
        <v>0</v>
      </c>
      <c r="JA34" s="65">
        <v>0</v>
      </c>
      <c r="JB34" s="65">
        <v>0</v>
      </c>
      <c r="JC34" s="65">
        <v>0</v>
      </c>
      <c r="JD34" s="65">
        <v>0</v>
      </c>
      <c r="JE34" s="65">
        <v>0</v>
      </c>
      <c r="JF34" s="65">
        <v>0</v>
      </c>
      <c r="JG34" s="65">
        <v>0</v>
      </c>
      <c r="JH34" s="65">
        <v>0</v>
      </c>
      <c r="JI34" s="65">
        <v>0</v>
      </c>
      <c r="JJ34" s="65">
        <v>0</v>
      </c>
      <c r="JK34" s="65">
        <v>0</v>
      </c>
      <c r="JL34" s="65">
        <v>0</v>
      </c>
      <c r="JM34" s="65">
        <v>0</v>
      </c>
      <c r="JN34" s="65">
        <v>0</v>
      </c>
      <c r="JO34" s="65">
        <v>0</v>
      </c>
      <c r="JP34" s="65">
        <v>0</v>
      </c>
      <c r="JQ34" s="65">
        <v>0</v>
      </c>
      <c r="JR34" s="65">
        <v>0</v>
      </c>
      <c r="JS34" s="65">
        <v>0</v>
      </c>
      <c r="JT34" s="65">
        <v>0</v>
      </c>
      <c r="JU34" s="65">
        <v>0</v>
      </c>
      <c r="JV34" s="65">
        <v>0</v>
      </c>
      <c r="JW34" s="65">
        <v>0</v>
      </c>
      <c r="JX34" s="65">
        <v>0</v>
      </c>
      <c r="JY34" s="65">
        <v>0</v>
      </c>
      <c r="JZ34" s="65">
        <v>0</v>
      </c>
      <c r="KA34" s="65">
        <v>0</v>
      </c>
      <c r="KB34" s="65">
        <v>0</v>
      </c>
      <c r="KC34" s="65">
        <v>0</v>
      </c>
      <c r="KD34" s="65">
        <v>0</v>
      </c>
      <c r="KE34" s="65">
        <v>0</v>
      </c>
      <c r="KF34" s="65">
        <v>0</v>
      </c>
      <c r="KG34" s="65">
        <v>0</v>
      </c>
      <c r="KH34" s="65">
        <v>0</v>
      </c>
      <c r="KI34" s="65">
        <v>0</v>
      </c>
      <c r="KJ34" s="65">
        <v>7.8200000000000003E-4</v>
      </c>
      <c r="KK34" s="65">
        <v>5.6899999999999995E-4</v>
      </c>
      <c r="KL34" s="65">
        <v>0</v>
      </c>
      <c r="KM34" s="65">
        <v>0</v>
      </c>
      <c r="KN34" s="65">
        <v>0</v>
      </c>
      <c r="KO34" s="65">
        <v>0</v>
      </c>
      <c r="KP34" s="65">
        <v>0</v>
      </c>
      <c r="KQ34" s="65">
        <v>0</v>
      </c>
      <c r="KR34" s="65">
        <v>0</v>
      </c>
      <c r="KS34" s="65">
        <v>0</v>
      </c>
      <c r="KT34" s="65">
        <v>0</v>
      </c>
      <c r="KU34" s="65">
        <v>0</v>
      </c>
      <c r="KV34" s="65">
        <v>0</v>
      </c>
      <c r="KW34" s="65">
        <v>0</v>
      </c>
      <c r="KX34" s="65">
        <v>0</v>
      </c>
      <c r="KY34" s="65">
        <v>0</v>
      </c>
      <c r="KZ34" s="65">
        <v>0</v>
      </c>
      <c r="LA34" s="65">
        <v>0</v>
      </c>
      <c r="LB34" s="65">
        <v>0</v>
      </c>
      <c r="LC34" s="65">
        <v>0</v>
      </c>
      <c r="LD34" s="65">
        <v>0</v>
      </c>
      <c r="LE34" s="65">
        <v>0</v>
      </c>
      <c r="LF34" s="65">
        <v>0</v>
      </c>
      <c r="LG34" s="65">
        <v>0</v>
      </c>
      <c r="LH34" s="65">
        <v>0</v>
      </c>
      <c r="LI34" s="65">
        <v>0</v>
      </c>
      <c r="LJ34" s="65">
        <v>0</v>
      </c>
      <c r="LK34" s="65">
        <v>0</v>
      </c>
      <c r="LL34" s="65">
        <v>0</v>
      </c>
      <c r="LM34" s="65">
        <v>0</v>
      </c>
      <c r="LN34" s="65">
        <v>0</v>
      </c>
      <c r="LO34" s="65">
        <v>0</v>
      </c>
      <c r="LP34" s="65">
        <v>9.9999999999999995E-7</v>
      </c>
      <c r="LQ34" s="65">
        <v>0</v>
      </c>
      <c r="LR34" s="65">
        <v>0</v>
      </c>
      <c r="LS34" s="65">
        <v>0</v>
      </c>
      <c r="LT34" s="65">
        <v>0</v>
      </c>
      <c r="LU34" s="65">
        <v>0</v>
      </c>
      <c r="LV34" s="65">
        <v>0</v>
      </c>
      <c r="LW34" s="65">
        <v>0</v>
      </c>
      <c r="LX34" s="65">
        <v>0</v>
      </c>
      <c r="LY34" s="65">
        <v>0</v>
      </c>
      <c r="LZ34" s="65">
        <v>0</v>
      </c>
      <c r="MA34" s="65">
        <v>0</v>
      </c>
      <c r="MB34" s="65">
        <v>0</v>
      </c>
      <c r="MC34" s="65">
        <v>0</v>
      </c>
      <c r="MD34" s="65">
        <v>0</v>
      </c>
      <c r="ME34" s="65">
        <v>0</v>
      </c>
      <c r="MF34" s="65">
        <v>0</v>
      </c>
      <c r="MG34" s="65">
        <v>0</v>
      </c>
      <c r="MH34" s="65">
        <v>0</v>
      </c>
      <c r="MI34" s="65">
        <v>9.9999999999999995E-7</v>
      </c>
      <c r="MJ34" s="65">
        <v>9.9999999999999995E-7</v>
      </c>
      <c r="MK34" s="65">
        <v>9.9999999999999995E-7</v>
      </c>
      <c r="ML34" s="65">
        <v>0</v>
      </c>
      <c r="MM34" s="65">
        <v>0</v>
      </c>
      <c r="MN34" s="65">
        <v>0</v>
      </c>
      <c r="MO34" s="65">
        <v>9.9999999999999995E-7</v>
      </c>
      <c r="MP34" s="65">
        <v>9.9999999999999995E-7</v>
      </c>
      <c r="MQ34" s="65">
        <v>1.9999999999999999E-6</v>
      </c>
      <c r="MR34" s="65">
        <v>0</v>
      </c>
      <c r="MS34" s="65">
        <v>9.9999999999999995E-7</v>
      </c>
      <c r="MT34" s="65">
        <v>0</v>
      </c>
      <c r="MU34" s="65">
        <v>9.9999999999999995E-7</v>
      </c>
      <c r="MV34" s="65">
        <v>1.9999999999999999E-6</v>
      </c>
      <c r="MW34" s="65">
        <v>0</v>
      </c>
      <c r="MX34" s="65">
        <v>0</v>
      </c>
      <c r="MY34" s="65">
        <v>0</v>
      </c>
      <c r="MZ34" s="65">
        <v>9.9999999999999995E-7</v>
      </c>
      <c r="NA34" s="65">
        <v>9.9999999999999995E-7</v>
      </c>
      <c r="NB34" s="65"/>
      <c r="NC34" s="65"/>
      <c r="ND34" s="65"/>
      <c r="NE34" s="65"/>
      <c r="NF34" s="65"/>
      <c r="NG34" s="65"/>
      <c r="NH34" s="65"/>
      <c r="NI34" s="65"/>
      <c r="NJ34" s="65"/>
      <c r="NK34" s="65"/>
      <c r="NL34" s="65"/>
      <c r="NM34" s="65"/>
      <c r="NN34" s="65"/>
      <c r="NO34" s="65"/>
      <c r="NP34" s="65"/>
      <c r="NQ34" s="65"/>
      <c r="NR34" s="65"/>
      <c r="NS34" s="65"/>
      <c r="NT34" s="65"/>
      <c r="NU34" s="65"/>
      <c r="NV34" s="65"/>
      <c r="NW34" s="65"/>
      <c r="NX34" s="65"/>
      <c r="NY34" s="65"/>
      <c r="NZ34" s="65"/>
      <c r="OA34" s="65"/>
      <c r="OB34" s="65"/>
      <c r="OC34" s="65"/>
      <c r="OD34" s="65"/>
      <c r="OE34" s="65"/>
      <c r="OF34" s="65"/>
      <c r="OG34" s="65"/>
      <c r="OH34" s="65"/>
      <c r="OI34" s="65"/>
      <c r="OJ34" s="65"/>
      <c r="OK34" s="65"/>
      <c r="OL34" s="65"/>
      <c r="OM34" s="65"/>
      <c r="ON34" s="65"/>
      <c r="OO34" s="65"/>
      <c r="OP34" s="65"/>
      <c r="OQ34" s="65"/>
      <c r="OR34" s="65"/>
      <c r="OS34" s="65"/>
    </row>
    <row r="35" spans="1:409">
      <c r="A35" s="64" t="s">
        <v>612</v>
      </c>
      <c r="B35" s="64" t="s">
        <v>597</v>
      </c>
      <c r="C35" s="64">
        <v>4.4532339204703313E-6</v>
      </c>
      <c r="D35" s="64">
        <v>2.9782389340164669E-6</v>
      </c>
      <c r="E35" s="64">
        <v>5.6004560809786332E-7</v>
      </c>
      <c r="F35" s="64">
        <v>0</v>
      </c>
      <c r="G35" s="64">
        <v>0</v>
      </c>
      <c r="H35" s="64">
        <v>6.5472791545437064E-4</v>
      </c>
      <c r="I35" s="64">
        <v>4.7550557765239117E-5</v>
      </c>
      <c r="J35" s="64">
        <v>1.799719785575049E-4</v>
      </c>
      <c r="K35" s="64">
        <v>1.134801742276312E-4</v>
      </c>
      <c r="L35" s="64">
        <v>8.9118140212190595E-5</v>
      </c>
      <c r="M35" s="64">
        <v>4.2117477223569522E-4</v>
      </c>
      <c r="N35" s="64">
        <v>3.9966256288699701E-4</v>
      </c>
      <c r="O35" s="64">
        <v>2.6583958546474171E-3</v>
      </c>
      <c r="P35" s="64">
        <v>6.8782083333333323E-4</v>
      </c>
      <c r="Q35" s="64">
        <v>2.6400269513210688E-4</v>
      </c>
      <c r="R35" s="64">
        <v>2.9703549814523791E-4</v>
      </c>
      <c r="S35" s="64">
        <v>0</v>
      </c>
      <c r="T35" s="64">
        <v>0</v>
      </c>
      <c r="U35" s="64">
        <v>2.0939902750117478E-2</v>
      </c>
      <c r="V35" s="64">
        <v>2.1651E-2</v>
      </c>
      <c r="W35" s="64">
        <v>8.358199999999999E-2</v>
      </c>
      <c r="X35" s="64">
        <v>4.1293000000000003E-2</v>
      </c>
      <c r="Y35" s="64">
        <v>2.4974923469387761E-2</v>
      </c>
      <c r="Z35" s="64">
        <v>1.0867E-2</v>
      </c>
      <c r="AA35" s="64">
        <v>3.3292158940397353E-2</v>
      </c>
      <c r="AB35" s="64">
        <v>3.838235416666666E-2</v>
      </c>
      <c r="AC35" s="64">
        <v>4.8665140540540539E-2</v>
      </c>
      <c r="AD35" s="64">
        <v>0.14801231601731599</v>
      </c>
      <c r="AE35" s="64">
        <v>6.5029688022284121E-2</v>
      </c>
      <c r="AF35" s="64">
        <v>9.7079999999999996E-3</v>
      </c>
      <c r="AG35" s="64">
        <v>7.0344895833333327E-3</v>
      </c>
      <c r="AH35" s="64">
        <v>0.14082045200382029</v>
      </c>
      <c r="AI35" s="64">
        <v>7.8071729855671734E-2</v>
      </c>
      <c r="AJ35" s="64">
        <v>8.111839602586768E-6</v>
      </c>
      <c r="AK35" s="64">
        <v>8.111839602586768E-6</v>
      </c>
      <c r="AL35" s="64">
        <v>8.111839602586768E-6</v>
      </c>
      <c r="AM35" s="64">
        <v>8.111839602586768E-6</v>
      </c>
      <c r="AN35" s="64">
        <v>0</v>
      </c>
      <c r="AO35" s="64">
        <v>7.7062476224574293E-6</v>
      </c>
      <c r="AP35" s="64">
        <v>7.7062476224574293E-6</v>
      </c>
      <c r="AQ35" s="64">
        <v>7.7062476224574293E-6</v>
      </c>
      <c r="AR35" s="64">
        <v>7.7062476224574293E-6</v>
      </c>
      <c r="AS35" s="64">
        <v>7.7062476224574293E-6</v>
      </c>
      <c r="AT35" s="64">
        <v>7.7062476224574293E-6</v>
      </c>
      <c r="AU35" s="64">
        <v>7.7062476224574293E-6</v>
      </c>
      <c r="AV35" s="64">
        <v>1.135657544362147E-5</v>
      </c>
      <c r="AW35" s="64">
        <v>1.135657544362147E-5</v>
      </c>
      <c r="AX35" s="64">
        <v>8.111839602586768E-6</v>
      </c>
      <c r="AY35" s="64">
        <v>8.111839602586768E-6</v>
      </c>
      <c r="AZ35" s="64">
        <v>2.4741110787889641E-5</v>
      </c>
      <c r="BA35" s="64">
        <v>9.3286155429747822E-6</v>
      </c>
      <c r="BB35" s="64">
        <v>4.8671037615520596E-6</v>
      </c>
      <c r="BC35" s="64">
        <v>6.4894716820694134E-6</v>
      </c>
      <c r="BD35" s="64">
        <v>2.2713150887242951E-5</v>
      </c>
      <c r="BE35" s="64">
        <v>1.1762167423750811E-5</v>
      </c>
      <c r="BF35" s="64">
        <v>6.0838797019400764E-6</v>
      </c>
      <c r="BG35" s="64">
        <v>8.9230235628454436E-6</v>
      </c>
      <c r="BH35" s="64">
        <v>7.3006556423280907E-6</v>
      </c>
      <c r="BI35" s="64">
        <v>6.4894716820694134E-6</v>
      </c>
      <c r="BJ35" s="64">
        <v>3.6503278211640449E-6</v>
      </c>
      <c r="BK35" s="64">
        <v>2.392992682763096E-5</v>
      </c>
      <c r="BL35" s="64">
        <v>8.9230235628454436E-6</v>
      </c>
      <c r="BM35" s="64">
        <v>4.0559198012933828E-7</v>
      </c>
      <c r="BN35" s="64">
        <v>4.0559198012933828E-7</v>
      </c>
      <c r="BO35" s="64">
        <v>9.7342075231041209E-6</v>
      </c>
      <c r="BP35" s="64">
        <v>9.7342075231041209E-6</v>
      </c>
      <c r="BQ35" s="64">
        <v>3.2447358410347071E-6</v>
      </c>
      <c r="BR35" s="64">
        <v>3.2447358410347071E-6</v>
      </c>
      <c r="BS35" s="64">
        <v>3.2447358410347071E-6</v>
      </c>
      <c r="BT35" s="64">
        <v>3.2447358410347071E-6</v>
      </c>
      <c r="BU35" s="64">
        <v>0</v>
      </c>
      <c r="BV35" s="64">
        <v>1.297894336413883E-5</v>
      </c>
      <c r="BW35" s="64">
        <v>1.297894336413883E-5</v>
      </c>
      <c r="BX35" s="64">
        <v>1.297894336413883E-5</v>
      </c>
      <c r="BY35" s="64">
        <v>1.297894336413883E-5</v>
      </c>
      <c r="BZ35" s="64">
        <v>1.297894336413883E-5</v>
      </c>
      <c r="CA35" s="64">
        <v>1.297894336413883E-5</v>
      </c>
      <c r="CB35" s="64">
        <v>1.297894336413883E-5</v>
      </c>
      <c r="CC35" s="64">
        <v>7.3006556423280907E-6</v>
      </c>
      <c r="CD35" s="64">
        <v>7.3006556423280907E-6</v>
      </c>
      <c r="CE35" s="64">
        <v>6.895063662198752E-6</v>
      </c>
      <c r="CF35" s="64">
        <v>6.895063662198752E-6</v>
      </c>
      <c r="CG35" s="64">
        <v>6.4083532860435453E-5</v>
      </c>
      <c r="CH35" s="64">
        <v>1.013979950323346E-5</v>
      </c>
      <c r="CI35" s="64">
        <v>7.7062476224574293E-6</v>
      </c>
      <c r="CJ35" s="64">
        <v>6.4894716820694134E-6</v>
      </c>
      <c r="CK35" s="64">
        <v>3.5286502271252442E-5</v>
      </c>
      <c r="CL35" s="64">
        <v>2.311874286737229E-5</v>
      </c>
      <c r="CM35" s="64">
        <v>7.3006556423280907E-6</v>
      </c>
      <c r="CN35" s="64">
        <v>8.9230235628454436E-6</v>
      </c>
      <c r="CO35" s="64">
        <v>1.257335138400949E-5</v>
      </c>
      <c r="CP35" s="64">
        <v>9.7342075231041209E-6</v>
      </c>
      <c r="CQ35" s="64">
        <v>1.297894336413883E-5</v>
      </c>
      <c r="CR35" s="64">
        <v>7.4223332363668919E-5</v>
      </c>
      <c r="CS35" s="64">
        <v>1.90628230660789E-5</v>
      </c>
      <c r="CT35" s="64">
        <v>2.027959900646692E-6</v>
      </c>
      <c r="CU35" s="64">
        <v>1.6223679205173529E-6</v>
      </c>
      <c r="CV35" s="64">
        <v>2.1496374946854932E-5</v>
      </c>
      <c r="CW35" s="64">
        <v>2.1496374946854932E-5</v>
      </c>
      <c r="CX35" s="64">
        <v>2.027959900646692E-6</v>
      </c>
      <c r="CY35" s="64">
        <v>2.027959900646692E-6</v>
      </c>
      <c r="CZ35" s="64">
        <v>2.027959900646692E-6</v>
      </c>
      <c r="DA35" s="64">
        <v>2.027959900646692E-6</v>
      </c>
      <c r="DB35" s="64">
        <v>0</v>
      </c>
      <c r="DC35" s="64">
        <v>5.6782877218107369E-6</v>
      </c>
      <c r="DD35" s="64">
        <v>5.6782877218107369E-6</v>
      </c>
      <c r="DE35" s="64">
        <v>5.6782877218107369E-6</v>
      </c>
      <c r="DF35" s="64">
        <v>5.6782877218107369E-6</v>
      </c>
      <c r="DG35" s="64">
        <v>5.6782877218107369E-6</v>
      </c>
      <c r="DH35" s="64">
        <v>5.6782877218107369E-6</v>
      </c>
      <c r="DI35" s="64">
        <v>5.6782877218107369E-6</v>
      </c>
      <c r="DJ35" s="64">
        <v>6.895063662198752E-6</v>
      </c>
      <c r="DK35" s="64">
        <v>6.895063662198752E-6</v>
      </c>
      <c r="DL35" s="64">
        <v>7.3006556423280907E-6</v>
      </c>
      <c r="DM35" s="64">
        <v>7.3006556423280907E-6</v>
      </c>
      <c r="DN35" s="64">
        <v>2.0279599006466919E-5</v>
      </c>
      <c r="DO35" s="64">
        <v>8.9230235628454436E-6</v>
      </c>
      <c r="DP35" s="64">
        <v>4.055919801293384E-6</v>
      </c>
      <c r="DQ35" s="64">
        <v>8.111839602586768E-6</v>
      </c>
      <c r="DR35" s="64">
        <v>2.0279599006466919E-5</v>
      </c>
      <c r="DS35" s="64">
        <v>1.4195719304526839E-5</v>
      </c>
      <c r="DT35" s="64">
        <v>6.895063662198752E-6</v>
      </c>
      <c r="DU35" s="64">
        <v>2.311874286737229E-5</v>
      </c>
      <c r="DV35" s="64">
        <v>2.311874286737229E-5</v>
      </c>
      <c r="DW35" s="64">
        <v>7.7062476224574293E-6</v>
      </c>
      <c r="DX35" s="64">
        <v>7.3006556423280907E-6</v>
      </c>
      <c r="DY35" s="64">
        <v>3.4880910291123097E-5</v>
      </c>
      <c r="DZ35" s="64">
        <v>4.055919801293384E-6</v>
      </c>
      <c r="EA35" s="64">
        <v>2.4335518807760298E-6</v>
      </c>
      <c r="EB35" s="64">
        <v>1.6223679205173529E-6</v>
      </c>
      <c r="EC35" s="64">
        <v>1.987400702633758E-5</v>
      </c>
      <c r="ED35" s="64">
        <v>1.987400702633758E-5</v>
      </c>
      <c r="EE35" s="64">
        <v>8.1118396025867667E-7</v>
      </c>
      <c r="EF35" s="64">
        <v>8.1118396025867667E-7</v>
      </c>
      <c r="EG35" s="64">
        <v>8.1118396025867667E-7</v>
      </c>
      <c r="EH35" s="64">
        <v>8.1118396025867667E-7</v>
      </c>
      <c r="EI35" s="64">
        <v>0</v>
      </c>
      <c r="EJ35" s="64">
        <v>3.6503278211640449E-6</v>
      </c>
      <c r="EK35" s="64">
        <v>3.6503278211640449E-6</v>
      </c>
      <c r="EL35" s="64">
        <v>3.6503278211640449E-6</v>
      </c>
      <c r="EM35" s="64">
        <v>3.6503278211640449E-6</v>
      </c>
      <c r="EN35" s="64">
        <v>3.6503278211640449E-6</v>
      </c>
      <c r="EO35" s="64">
        <v>3.6503278211640449E-6</v>
      </c>
      <c r="EP35" s="64">
        <v>3.6503278211640449E-6</v>
      </c>
      <c r="EQ35" s="64">
        <v>4.8671037615520596E-6</v>
      </c>
      <c r="ER35" s="64">
        <v>4.8671037615520596E-6</v>
      </c>
      <c r="ES35" s="64">
        <v>4.8671037615520596E-6</v>
      </c>
      <c r="ET35" s="64">
        <v>4.8671037615520596E-6</v>
      </c>
      <c r="EU35" s="64">
        <v>1.4195719304526839E-5</v>
      </c>
      <c r="EV35" s="64">
        <v>4.055919801293384E-6</v>
      </c>
      <c r="EW35" s="64">
        <v>5.6782877218107369E-6</v>
      </c>
      <c r="EX35" s="64">
        <v>5.2726957416813982E-6</v>
      </c>
      <c r="EY35" s="64">
        <v>1.095098346349214E-5</v>
      </c>
      <c r="EZ35" s="64">
        <v>1.297894336413883E-5</v>
      </c>
      <c r="FA35" s="64">
        <v>4.055919801293384E-6</v>
      </c>
      <c r="FB35" s="64">
        <v>8.5174315827161049E-6</v>
      </c>
      <c r="FC35" s="64">
        <v>1.338453534426817E-5</v>
      </c>
      <c r="FD35" s="64">
        <v>3.2447358410347071E-6</v>
      </c>
      <c r="FE35" s="64">
        <v>8.111839602586768E-6</v>
      </c>
      <c r="FF35" s="64">
        <v>2.7580254648795011E-5</v>
      </c>
      <c r="FG35" s="64">
        <v>1.5412495244914859E-5</v>
      </c>
      <c r="FH35" s="64">
        <v>3.2447358410347071E-6</v>
      </c>
      <c r="FI35" s="64">
        <v>2.4335518807760298E-6</v>
      </c>
      <c r="FJ35" s="64">
        <v>1.581808722504419E-5</v>
      </c>
      <c r="FK35" s="64">
        <v>1.581808722504419E-5</v>
      </c>
      <c r="FL35" s="64">
        <v>8.1118396025867667E-7</v>
      </c>
      <c r="FM35" s="64">
        <v>8.1118396025867667E-7</v>
      </c>
      <c r="FN35" s="64">
        <v>8.1118396025867667E-7</v>
      </c>
      <c r="FO35" s="64">
        <v>8.1118396025867667E-7</v>
      </c>
      <c r="FP35" s="64">
        <v>0</v>
      </c>
      <c r="FQ35" s="64">
        <v>4.0559198012933828E-7</v>
      </c>
      <c r="FR35" s="64">
        <v>4.0559198012933828E-7</v>
      </c>
      <c r="FS35" s="64">
        <v>4.0559198012933828E-7</v>
      </c>
      <c r="FT35" s="64">
        <v>4.0559198012933828E-7</v>
      </c>
      <c r="FU35" s="64">
        <v>4.0559198012933828E-7</v>
      </c>
      <c r="FV35" s="64">
        <v>4.0559198012933828E-7</v>
      </c>
      <c r="FW35" s="64">
        <v>4.0559198012933828E-7</v>
      </c>
      <c r="FX35" s="64">
        <v>1.6223679205173529E-6</v>
      </c>
      <c r="FY35" s="64">
        <v>1.6223679205173529E-6</v>
      </c>
      <c r="FZ35" s="64">
        <v>4.055919801293384E-6</v>
      </c>
      <c r="GA35" s="64">
        <v>4.055919801293384E-6</v>
      </c>
      <c r="GB35" s="64">
        <v>4.4615117814227218E-6</v>
      </c>
      <c r="GC35" s="64">
        <v>2.4335518807760298E-6</v>
      </c>
      <c r="GD35" s="64">
        <v>1.6223679205173529E-6</v>
      </c>
      <c r="GE35" s="64">
        <v>2.4335518807760298E-6</v>
      </c>
      <c r="GF35" s="64">
        <v>5.6782877218107369E-6</v>
      </c>
      <c r="GG35" s="64">
        <v>1.5412495244914859E-5</v>
      </c>
      <c r="GH35" s="64">
        <v>2.027959900646692E-6</v>
      </c>
      <c r="GI35" s="64">
        <v>1.2167759403880149E-6</v>
      </c>
      <c r="GJ35" s="64">
        <v>1.2167759403880149E-6</v>
      </c>
      <c r="GK35" s="64">
        <v>2.4335518807760298E-6</v>
      </c>
      <c r="GL35" s="64">
        <v>2.839143860905368E-6</v>
      </c>
      <c r="GM35" s="64">
        <v>1.3790127324397501E-5</v>
      </c>
      <c r="GN35" s="64">
        <v>1.6223679205173529E-6</v>
      </c>
      <c r="GO35" s="64">
        <v>4.0559198012933828E-7</v>
      </c>
      <c r="GP35" s="64">
        <v>4.0559198012933828E-7</v>
      </c>
      <c r="GQ35" s="64">
        <v>1.6223679205173529E-6</v>
      </c>
      <c r="GR35" s="64">
        <v>1.6223679205173529E-6</v>
      </c>
      <c r="GS35" s="64">
        <v>2.4335518807760298E-6</v>
      </c>
      <c r="GT35" s="64">
        <v>2.4335518807760298E-6</v>
      </c>
      <c r="GU35" s="64">
        <v>2.4335518807760298E-6</v>
      </c>
      <c r="GV35" s="64">
        <v>2.4335518807760298E-6</v>
      </c>
      <c r="GW35" s="64">
        <v>0</v>
      </c>
      <c r="GX35" s="64">
        <v>6.4894716820694134E-6</v>
      </c>
      <c r="GY35" s="64">
        <v>6.4894716820694134E-6</v>
      </c>
      <c r="GZ35" s="64">
        <v>6.4894716820694134E-6</v>
      </c>
      <c r="HA35" s="64">
        <v>6.4894716820694134E-6</v>
      </c>
      <c r="HB35" s="64">
        <v>6.4894716820694134E-6</v>
      </c>
      <c r="HC35" s="64">
        <v>6.4894716820694134E-6</v>
      </c>
      <c r="HD35" s="64">
        <v>6.4894716820694134E-6</v>
      </c>
      <c r="HE35" s="64">
        <v>7.7062476224574293E-6</v>
      </c>
      <c r="HF35" s="64">
        <v>7.7062476224574293E-6</v>
      </c>
      <c r="HG35" s="64">
        <v>6.895063662198752E-6</v>
      </c>
      <c r="HH35" s="64">
        <v>6.895063662198752E-6</v>
      </c>
      <c r="HI35" s="64">
        <v>1.8657231085949561E-5</v>
      </c>
      <c r="HJ35" s="64">
        <v>7.3006556423280907E-6</v>
      </c>
      <c r="HK35" s="64">
        <v>6.0838797019400764E-6</v>
      </c>
      <c r="HL35" s="64">
        <v>7.3006556423280907E-6</v>
      </c>
      <c r="HM35" s="64">
        <v>2.0685190986596251E-5</v>
      </c>
      <c r="HN35" s="64">
        <v>2.5146702768018979E-5</v>
      </c>
      <c r="HO35" s="64">
        <v>8.111839602586768E-6</v>
      </c>
      <c r="HP35" s="64">
        <v>2.6363478708406989E-5</v>
      </c>
      <c r="HQ35" s="64">
        <v>2.3524334847501621E-5</v>
      </c>
      <c r="HR35" s="64">
        <v>1.095098346349214E-5</v>
      </c>
      <c r="HS35" s="64">
        <v>1.5412495244914859E-5</v>
      </c>
      <c r="HT35" s="64">
        <v>5.8405245138624732E-5</v>
      </c>
      <c r="HU35" s="64">
        <v>2.5552294748148311E-5</v>
      </c>
      <c r="HV35" s="64">
        <v>3.2447358410347071E-6</v>
      </c>
      <c r="HW35" s="64">
        <v>2.4335518807760298E-6</v>
      </c>
      <c r="HX35" s="64">
        <v>1.8251639105820229E-5</v>
      </c>
      <c r="HY35" s="64">
        <v>1.8251639105820229E-5</v>
      </c>
      <c r="HZ35" s="64">
        <v>4.0559198012933828E-7</v>
      </c>
      <c r="IA35" s="64">
        <v>4.0559198012933828E-7</v>
      </c>
      <c r="IB35" s="64">
        <v>4.0559198012933828E-7</v>
      </c>
      <c r="IC35" s="64">
        <v>4.0559198012933828E-7</v>
      </c>
      <c r="ID35" s="64">
        <v>0</v>
      </c>
      <c r="IE35" s="64">
        <v>2.027959900646692E-6</v>
      </c>
      <c r="IF35" s="64">
        <v>2.027959900646692E-6</v>
      </c>
      <c r="IG35" s="64">
        <v>2.027959900646692E-6</v>
      </c>
      <c r="IH35" s="64">
        <v>2.027959900646692E-6</v>
      </c>
      <c r="II35" s="64">
        <v>2.027959900646692E-6</v>
      </c>
      <c r="IJ35" s="64">
        <v>2.027959900646692E-6</v>
      </c>
      <c r="IK35" s="64">
        <v>2.027959900646692E-6</v>
      </c>
      <c r="IL35" s="64">
        <v>1.6223679205173529E-6</v>
      </c>
      <c r="IM35" s="64">
        <v>1.6223679205173529E-6</v>
      </c>
      <c r="IN35" s="64">
        <v>4.055919801293384E-6</v>
      </c>
      <c r="IO35" s="64">
        <v>4.055919801293384E-6</v>
      </c>
      <c r="IP35" s="64">
        <v>7.7062476224574293E-6</v>
      </c>
      <c r="IQ35" s="64">
        <v>1.581808722504419E-5</v>
      </c>
      <c r="IR35" s="64">
        <v>8.1118396025867667E-7</v>
      </c>
      <c r="IS35" s="64">
        <v>4.055919801293384E-6</v>
      </c>
      <c r="IT35" s="64">
        <v>1.2167759403880149E-6</v>
      </c>
      <c r="IU35" s="64">
        <v>3.2447358410347071E-6</v>
      </c>
      <c r="IV35" s="64">
        <v>5.6782877218107369E-6</v>
      </c>
      <c r="IW35" s="64">
        <v>1.05453914833628E-5</v>
      </c>
      <c r="IX35" s="64">
        <v>8.111839602586768E-6</v>
      </c>
      <c r="IY35" s="64">
        <v>2.2713150887242951E-5</v>
      </c>
      <c r="IZ35" s="64">
        <v>3.6503278211640449E-6</v>
      </c>
      <c r="JA35" s="64">
        <v>4.6237485734744572E-5</v>
      </c>
      <c r="JB35" s="64">
        <v>1.5412495244914859E-5</v>
      </c>
      <c r="JC35" s="64">
        <v>1.2167759403880149E-6</v>
      </c>
      <c r="JD35" s="64">
        <v>8.1118396025867667E-7</v>
      </c>
      <c r="JE35" s="64">
        <v>7.7062476224574293E-6</v>
      </c>
      <c r="JF35" s="64">
        <v>7.7062476224574293E-6</v>
      </c>
      <c r="JG35" s="64">
        <v>6.9761820582246194E-5</v>
      </c>
      <c r="JH35" s="64">
        <v>6.9761820582246194E-5</v>
      </c>
      <c r="JI35" s="64">
        <v>6.9761820582246194E-5</v>
      </c>
      <c r="JJ35" s="64">
        <v>6.9761820582246194E-5</v>
      </c>
      <c r="JK35" s="64">
        <v>0</v>
      </c>
      <c r="JL35" s="64">
        <v>1.192440421580255E-4</v>
      </c>
      <c r="JM35" s="64">
        <v>1.192440421580255E-4</v>
      </c>
      <c r="JN35" s="64">
        <v>1.192440421580255E-4</v>
      </c>
      <c r="JO35" s="64">
        <v>1.192440421580255E-4</v>
      </c>
      <c r="JP35" s="64">
        <v>1.192440421580255E-4</v>
      </c>
      <c r="JQ35" s="64">
        <v>1.192440421580255E-4</v>
      </c>
      <c r="JR35" s="64">
        <v>1.192440421580255E-4</v>
      </c>
      <c r="JS35" s="64">
        <v>9.3286155429747822E-5</v>
      </c>
      <c r="JT35" s="64">
        <v>9.3286155429747822E-5</v>
      </c>
      <c r="JU35" s="64">
        <v>4.6643077714873911E-5</v>
      </c>
      <c r="JV35" s="64">
        <v>4.6643077714873911E-5</v>
      </c>
      <c r="JW35" s="64">
        <v>1.046427308733693E-4</v>
      </c>
      <c r="JX35" s="64">
        <v>3.8125646132157799E-5</v>
      </c>
      <c r="JY35" s="64">
        <v>3.8531238112287138E-5</v>
      </c>
      <c r="JZ35" s="64">
        <v>5.3943733357202E-5</v>
      </c>
      <c r="KA35" s="64">
        <v>5.9622021079012728E-5</v>
      </c>
      <c r="KB35" s="64">
        <v>7.8279252164962306E-5</v>
      </c>
      <c r="KC35" s="64">
        <v>5.2726957416813977E-5</v>
      </c>
      <c r="KD35" s="64">
        <v>9.3691747409877161E-5</v>
      </c>
      <c r="KE35" s="64">
        <v>2.388936762961803E-4</v>
      </c>
      <c r="KF35" s="64">
        <v>2.6525715500458732E-4</v>
      </c>
      <c r="KG35" s="64">
        <v>4.1370381973192509E-5</v>
      </c>
      <c r="KH35" s="64">
        <v>1.0512944124952449E-3</v>
      </c>
      <c r="KI35" s="64">
        <v>3.9423540468571679E-4</v>
      </c>
      <c r="KJ35" s="64">
        <v>6.4124092058448392E-4</v>
      </c>
      <c r="KK35" s="64">
        <v>4.6602518516860979E-4</v>
      </c>
      <c r="KL35" s="64">
        <v>1.6629271185302871E-4</v>
      </c>
      <c r="KM35" s="64">
        <v>1.6629271185302871E-4</v>
      </c>
      <c r="KN35" s="64">
        <v>1.6223679205173529E-6</v>
      </c>
      <c r="KO35" s="64">
        <v>1.6223679205173529E-6</v>
      </c>
      <c r="KP35" s="64">
        <v>1.6223679205173529E-6</v>
      </c>
      <c r="KQ35" s="64">
        <v>1.6223679205173529E-6</v>
      </c>
      <c r="KR35" s="64">
        <v>0</v>
      </c>
      <c r="KS35" s="64">
        <v>1.7846047125690891E-5</v>
      </c>
      <c r="KT35" s="64">
        <v>1.7846047125690891E-5</v>
      </c>
      <c r="KU35" s="64">
        <v>1.7846047125690891E-5</v>
      </c>
      <c r="KV35" s="64">
        <v>1.7846047125690891E-5</v>
      </c>
      <c r="KW35" s="64">
        <v>1.7846047125690891E-5</v>
      </c>
      <c r="KX35" s="64">
        <v>1.7846047125690891E-5</v>
      </c>
      <c r="KY35" s="64">
        <v>1.7846047125690891E-5</v>
      </c>
      <c r="KZ35" s="64">
        <v>8.9230235628454436E-6</v>
      </c>
      <c r="LA35" s="64">
        <v>8.9230235628454436E-6</v>
      </c>
      <c r="LB35" s="64">
        <v>1.013979950323346E-5</v>
      </c>
      <c r="LC35" s="64">
        <v>1.013979950323346E-5</v>
      </c>
      <c r="LD35" s="64">
        <v>4.8671037615520598E-5</v>
      </c>
      <c r="LE35" s="64">
        <v>9.3286155429747822E-6</v>
      </c>
      <c r="LF35" s="64">
        <v>7.7062476224574293E-6</v>
      </c>
      <c r="LG35" s="64">
        <v>5.6782877218107369E-6</v>
      </c>
      <c r="LH35" s="64">
        <v>4.6237485734744572E-5</v>
      </c>
      <c r="LI35" s="64">
        <v>2.4741110787889641E-5</v>
      </c>
      <c r="LJ35" s="64">
        <v>2.8797030589183021E-5</v>
      </c>
      <c r="LK35" s="64">
        <v>2.839143860905368E-6</v>
      </c>
      <c r="LL35" s="64">
        <v>3.1636174450088388E-5</v>
      </c>
      <c r="LM35" s="64">
        <v>7.3006556423280907E-6</v>
      </c>
      <c r="LN35" s="64">
        <v>1.3790127324397501E-5</v>
      </c>
      <c r="LO35" s="64">
        <v>2.5795649936225922E-4</v>
      </c>
      <c r="LP35" s="64">
        <v>3.2852950390476397E-5</v>
      </c>
      <c r="LQ35" s="64">
        <v>8.1118396025867667E-7</v>
      </c>
      <c r="LR35" s="64">
        <v>8.1118396025867667E-7</v>
      </c>
      <c r="LS35" s="64">
        <v>4.2992749893709863E-5</v>
      </c>
      <c r="LT35" s="64">
        <v>4.2992749893709863E-5</v>
      </c>
      <c r="LU35" s="64">
        <v>7.3006556423280907E-6</v>
      </c>
      <c r="LV35" s="64">
        <v>7.3006556423280907E-6</v>
      </c>
      <c r="LW35" s="64">
        <v>7.3006556423280907E-6</v>
      </c>
      <c r="LX35" s="64">
        <v>7.3006556423280907E-6</v>
      </c>
      <c r="LY35" s="64">
        <v>0</v>
      </c>
      <c r="LZ35" s="64">
        <v>1.581808722504419E-5</v>
      </c>
      <c r="MA35" s="64">
        <v>1.581808722504419E-5</v>
      </c>
      <c r="MB35" s="64">
        <v>1.581808722504419E-5</v>
      </c>
      <c r="MC35" s="64">
        <v>1.581808722504419E-5</v>
      </c>
      <c r="MD35" s="64">
        <v>1.581808722504419E-5</v>
      </c>
      <c r="ME35" s="64">
        <v>1.581808722504419E-5</v>
      </c>
      <c r="MF35" s="64">
        <v>1.581808722504419E-5</v>
      </c>
      <c r="MG35" s="64">
        <v>4.8671037615520596E-6</v>
      </c>
      <c r="MH35" s="64">
        <v>4.8671037615520596E-6</v>
      </c>
      <c r="MI35" s="64">
        <v>9.7342075231041209E-6</v>
      </c>
      <c r="MJ35" s="64">
        <v>9.7342075231041209E-6</v>
      </c>
      <c r="MK35" s="64">
        <v>6.4083532860435453E-5</v>
      </c>
      <c r="ML35" s="64">
        <v>9.7342075231041209E-6</v>
      </c>
      <c r="MM35" s="64">
        <v>6.0838797019400764E-6</v>
      </c>
      <c r="MN35" s="64">
        <v>9.7342075231041209E-6</v>
      </c>
      <c r="MO35" s="64">
        <v>3.001380652957104E-5</v>
      </c>
      <c r="MP35" s="64">
        <v>3.001380652957104E-5</v>
      </c>
      <c r="MQ35" s="64">
        <v>1.460131128465618E-5</v>
      </c>
      <c r="MR35" s="64">
        <v>2.109078296672559E-5</v>
      </c>
      <c r="MS35" s="64">
        <v>2.3524334847501621E-5</v>
      </c>
      <c r="MT35" s="64">
        <v>1.3790127324397501E-5</v>
      </c>
      <c r="MU35" s="64">
        <v>1.7846047125690891E-5</v>
      </c>
      <c r="MV35" s="64">
        <v>5.4349325337331339E-5</v>
      </c>
      <c r="MW35" s="64">
        <v>3.0419398509700368E-5</v>
      </c>
      <c r="MX35" s="64">
        <v>4.055919801293384E-6</v>
      </c>
      <c r="MY35" s="64">
        <v>2.839143860905368E-6</v>
      </c>
      <c r="MZ35" s="64">
        <v>2.7174662668665669E-5</v>
      </c>
      <c r="NA35" s="64">
        <v>2.7174662668665669E-5</v>
      </c>
      <c r="NB35" s="64"/>
      <c r="NC35" s="64"/>
      <c r="ND35" s="64"/>
      <c r="NE35" s="64"/>
      <c r="NF35" s="64"/>
      <c r="NG35" s="64"/>
      <c r="NH35" s="64"/>
      <c r="NI35" s="64"/>
      <c r="NJ35" s="64"/>
      <c r="NK35" s="64"/>
      <c r="NL35" s="64"/>
      <c r="NM35" s="64"/>
      <c r="NN35" s="64"/>
      <c r="NO35" s="64"/>
      <c r="NP35" s="64"/>
      <c r="NQ35" s="64"/>
      <c r="NR35" s="64"/>
      <c r="NS35" s="64"/>
      <c r="NT35" s="64"/>
      <c r="NU35" s="64"/>
      <c r="NV35" s="64"/>
      <c r="NW35" s="64"/>
      <c r="NX35" s="64"/>
      <c r="NY35" s="64"/>
      <c r="NZ35" s="64"/>
      <c r="OA35" s="64"/>
      <c r="OB35" s="64"/>
      <c r="OC35" s="64"/>
      <c r="OD35" s="64"/>
      <c r="OE35" s="64"/>
      <c r="OF35" s="64"/>
      <c r="OG35" s="64"/>
      <c r="OH35" s="64"/>
      <c r="OI35" s="64"/>
      <c r="OJ35" s="64"/>
      <c r="OK35" s="64"/>
      <c r="OL35" s="64"/>
      <c r="OM35" s="64"/>
      <c r="ON35" s="64"/>
      <c r="OO35" s="64"/>
      <c r="OP35" s="64"/>
      <c r="OQ35" s="64"/>
      <c r="OR35" s="64"/>
      <c r="OS35" s="64"/>
    </row>
    <row r="36" spans="1:409">
      <c r="A36" s="64" t="s">
        <v>613</v>
      </c>
      <c r="B36" s="64" t="s">
        <v>598</v>
      </c>
      <c r="C36" s="64">
        <v>5.7461082844778457E-8</v>
      </c>
      <c r="D36" s="64">
        <v>2.127313524297476E-7</v>
      </c>
      <c r="E36" s="64">
        <v>5.6004560809786332E-7</v>
      </c>
      <c r="F36" s="64">
        <v>0</v>
      </c>
      <c r="G36" s="64">
        <v>0</v>
      </c>
      <c r="H36" s="64">
        <v>8.0830606846218601E-6</v>
      </c>
      <c r="I36" s="64">
        <v>0</v>
      </c>
      <c r="J36" s="64">
        <v>3.5994395711500989E-5</v>
      </c>
      <c r="K36" s="64">
        <v>1.6211453461090181E-5</v>
      </c>
      <c r="L36" s="64">
        <v>0</v>
      </c>
      <c r="M36" s="64">
        <v>1.7342490621469799E-4</v>
      </c>
      <c r="N36" s="64">
        <v>2.960463428792571E-5</v>
      </c>
      <c r="O36" s="64">
        <v>0</v>
      </c>
      <c r="P36" s="64">
        <v>0</v>
      </c>
      <c r="Q36" s="64">
        <v>5.940060640472405E-4</v>
      </c>
      <c r="R36" s="64">
        <v>0</v>
      </c>
      <c r="S36" s="64">
        <v>0</v>
      </c>
      <c r="T36" s="64">
        <v>0</v>
      </c>
      <c r="U36" s="64">
        <v>3.0688097249882518E-2</v>
      </c>
      <c r="V36" s="64">
        <v>0</v>
      </c>
      <c r="W36" s="64">
        <v>0</v>
      </c>
      <c r="X36" s="64">
        <v>0</v>
      </c>
      <c r="Y36" s="64">
        <v>1.280765306122449E-4</v>
      </c>
      <c r="Z36" s="64">
        <v>0</v>
      </c>
      <c r="AA36" s="64">
        <v>6.7484105960264891E-4</v>
      </c>
      <c r="AB36" s="64">
        <v>8.1664583333333329E-4</v>
      </c>
      <c r="AC36" s="64">
        <v>5.3185945945945939E-4</v>
      </c>
      <c r="AD36" s="64">
        <v>1.292683982683983E-3</v>
      </c>
      <c r="AE36" s="64">
        <v>3.6431197771587742E-4</v>
      </c>
      <c r="AF36" s="64">
        <v>0</v>
      </c>
      <c r="AG36" s="64">
        <v>2.4510416666666662E-5</v>
      </c>
      <c r="AH36" s="64">
        <v>3.3851070193226029E-4</v>
      </c>
      <c r="AI36" s="64">
        <v>4.6196289855427071E-4</v>
      </c>
      <c r="AJ36" s="64">
        <v>1.188816039741324E-5</v>
      </c>
      <c r="AK36" s="64">
        <v>1.188816039741324E-5</v>
      </c>
      <c r="AL36" s="64">
        <v>1.188816039741324E-5</v>
      </c>
      <c r="AM36" s="64">
        <v>1.188816039741324E-5</v>
      </c>
      <c r="AN36" s="64">
        <v>0</v>
      </c>
      <c r="AO36" s="64">
        <v>1.129375237754257E-5</v>
      </c>
      <c r="AP36" s="64">
        <v>1.129375237754257E-5</v>
      </c>
      <c r="AQ36" s="64">
        <v>1.129375237754257E-5</v>
      </c>
      <c r="AR36" s="64">
        <v>1.129375237754257E-5</v>
      </c>
      <c r="AS36" s="64">
        <v>1.129375237754257E-5</v>
      </c>
      <c r="AT36" s="64">
        <v>1.129375237754257E-5</v>
      </c>
      <c r="AU36" s="64">
        <v>1.129375237754257E-5</v>
      </c>
      <c r="AV36" s="64">
        <v>1.6643424556378531E-5</v>
      </c>
      <c r="AW36" s="64">
        <v>1.6643424556378531E-5</v>
      </c>
      <c r="AX36" s="64">
        <v>1.188816039741324E-5</v>
      </c>
      <c r="AY36" s="64">
        <v>1.188816039741324E-5</v>
      </c>
      <c r="AZ36" s="64">
        <v>3.6258889212110361E-5</v>
      </c>
      <c r="BA36" s="64">
        <v>1.3671384457025219E-5</v>
      </c>
      <c r="BB36" s="64">
        <v>7.1328962384479407E-6</v>
      </c>
      <c r="BC36" s="64">
        <v>9.5105283179305876E-6</v>
      </c>
      <c r="BD36" s="64">
        <v>3.3286849112757048E-5</v>
      </c>
      <c r="BE36" s="64">
        <v>1.7237832576249189E-5</v>
      </c>
      <c r="BF36" s="64">
        <v>8.9161202980599257E-6</v>
      </c>
      <c r="BG36" s="64">
        <v>1.3076976437154559E-5</v>
      </c>
      <c r="BH36" s="64">
        <v>1.069934435767191E-5</v>
      </c>
      <c r="BI36" s="64">
        <v>9.5105283179305876E-6</v>
      </c>
      <c r="BJ36" s="64">
        <v>5.3496721788359557E-6</v>
      </c>
      <c r="BK36" s="64">
        <v>3.5070073172369037E-5</v>
      </c>
      <c r="BL36" s="64">
        <v>1.3076976437154559E-5</v>
      </c>
      <c r="BM36" s="64">
        <v>5.9440801987066173E-7</v>
      </c>
      <c r="BN36" s="64">
        <v>5.9440801987066173E-7</v>
      </c>
      <c r="BO36" s="64">
        <v>1.426579247689588E-5</v>
      </c>
      <c r="BP36" s="64">
        <v>1.426579247689588E-5</v>
      </c>
      <c r="BQ36" s="64">
        <v>4.7552641589652938E-6</v>
      </c>
      <c r="BR36" s="64">
        <v>4.7552641589652938E-6</v>
      </c>
      <c r="BS36" s="64">
        <v>4.7552641589652938E-6</v>
      </c>
      <c r="BT36" s="64">
        <v>4.7552641589652938E-6</v>
      </c>
      <c r="BU36" s="64">
        <v>0</v>
      </c>
      <c r="BV36" s="64">
        <v>1.9021056635861179E-5</v>
      </c>
      <c r="BW36" s="64">
        <v>1.9021056635861179E-5</v>
      </c>
      <c r="BX36" s="64">
        <v>1.9021056635861179E-5</v>
      </c>
      <c r="BY36" s="64">
        <v>1.9021056635861179E-5</v>
      </c>
      <c r="BZ36" s="64">
        <v>1.9021056635861179E-5</v>
      </c>
      <c r="CA36" s="64">
        <v>1.9021056635861179E-5</v>
      </c>
      <c r="CB36" s="64">
        <v>1.9021056635861179E-5</v>
      </c>
      <c r="CC36" s="64">
        <v>1.069934435767191E-5</v>
      </c>
      <c r="CD36" s="64">
        <v>1.069934435767191E-5</v>
      </c>
      <c r="CE36" s="64">
        <v>1.010493633780125E-5</v>
      </c>
      <c r="CF36" s="64">
        <v>1.010493633780125E-5</v>
      </c>
      <c r="CG36" s="64">
        <v>9.3916467139564552E-5</v>
      </c>
      <c r="CH36" s="64">
        <v>1.486020049676654E-5</v>
      </c>
      <c r="CI36" s="64">
        <v>1.129375237754257E-5</v>
      </c>
      <c r="CJ36" s="64">
        <v>9.5105283179305876E-6</v>
      </c>
      <c r="CK36" s="64">
        <v>5.1713497728747572E-5</v>
      </c>
      <c r="CL36" s="64">
        <v>3.388125713262772E-5</v>
      </c>
      <c r="CM36" s="64">
        <v>1.069934435767191E-5</v>
      </c>
      <c r="CN36" s="64">
        <v>1.3076976437154559E-5</v>
      </c>
      <c r="CO36" s="64">
        <v>1.842664861599051E-5</v>
      </c>
      <c r="CP36" s="64">
        <v>1.426579247689588E-5</v>
      </c>
      <c r="CQ36" s="64">
        <v>1.9021056635861179E-5</v>
      </c>
      <c r="CR36" s="64">
        <v>1.087766676363311E-4</v>
      </c>
      <c r="CS36" s="64">
        <v>2.7937176933921101E-5</v>
      </c>
      <c r="CT36" s="64">
        <v>2.9720400993533088E-6</v>
      </c>
      <c r="CU36" s="64">
        <v>2.3776320794826469E-6</v>
      </c>
      <c r="CV36" s="64">
        <v>3.1503625053145073E-5</v>
      </c>
      <c r="CW36" s="64">
        <v>3.1503625053145073E-5</v>
      </c>
      <c r="CX36" s="64">
        <v>2.9720400993533088E-6</v>
      </c>
      <c r="CY36" s="64">
        <v>2.9720400993533088E-6</v>
      </c>
      <c r="CZ36" s="64">
        <v>2.9720400993533088E-6</v>
      </c>
      <c r="DA36" s="64">
        <v>2.9720400993533088E-6</v>
      </c>
      <c r="DB36" s="64">
        <v>0</v>
      </c>
      <c r="DC36" s="64">
        <v>8.3217122781892637E-6</v>
      </c>
      <c r="DD36" s="64">
        <v>8.3217122781892637E-6</v>
      </c>
      <c r="DE36" s="64">
        <v>8.3217122781892637E-6</v>
      </c>
      <c r="DF36" s="64">
        <v>8.3217122781892637E-6</v>
      </c>
      <c r="DG36" s="64">
        <v>8.3217122781892637E-6</v>
      </c>
      <c r="DH36" s="64">
        <v>8.3217122781892637E-6</v>
      </c>
      <c r="DI36" s="64">
        <v>8.3217122781892637E-6</v>
      </c>
      <c r="DJ36" s="64">
        <v>1.010493633780125E-5</v>
      </c>
      <c r="DK36" s="64">
        <v>1.010493633780125E-5</v>
      </c>
      <c r="DL36" s="64">
        <v>1.069934435767191E-5</v>
      </c>
      <c r="DM36" s="64">
        <v>1.069934435767191E-5</v>
      </c>
      <c r="DN36" s="64">
        <v>2.972040099353309E-5</v>
      </c>
      <c r="DO36" s="64">
        <v>1.3076976437154559E-5</v>
      </c>
      <c r="DP36" s="64">
        <v>5.9440801987066177E-6</v>
      </c>
      <c r="DQ36" s="64">
        <v>1.188816039741324E-5</v>
      </c>
      <c r="DR36" s="64">
        <v>2.972040099353309E-5</v>
      </c>
      <c r="DS36" s="64">
        <v>2.0804280695473161E-5</v>
      </c>
      <c r="DT36" s="64">
        <v>1.010493633780125E-5</v>
      </c>
      <c r="DU36" s="64">
        <v>3.388125713262772E-5</v>
      </c>
      <c r="DV36" s="64">
        <v>3.388125713262772E-5</v>
      </c>
      <c r="DW36" s="64">
        <v>1.129375237754257E-5</v>
      </c>
      <c r="DX36" s="64">
        <v>1.069934435767191E-5</v>
      </c>
      <c r="DY36" s="64">
        <v>5.1119089708876913E-5</v>
      </c>
      <c r="DZ36" s="64">
        <v>5.9440801987066177E-6</v>
      </c>
      <c r="EA36" s="64">
        <v>3.5664481192239699E-6</v>
      </c>
      <c r="EB36" s="64">
        <v>2.3776320794826469E-6</v>
      </c>
      <c r="EC36" s="64">
        <v>2.9125992973662421E-5</v>
      </c>
      <c r="ED36" s="64">
        <v>2.9125992973662421E-5</v>
      </c>
      <c r="EE36" s="64">
        <v>1.188816039741323E-6</v>
      </c>
      <c r="EF36" s="64">
        <v>1.188816039741323E-6</v>
      </c>
      <c r="EG36" s="64">
        <v>1.188816039741323E-6</v>
      </c>
      <c r="EH36" s="64">
        <v>1.188816039741323E-6</v>
      </c>
      <c r="EI36" s="64">
        <v>0</v>
      </c>
      <c r="EJ36" s="64">
        <v>5.3496721788359557E-6</v>
      </c>
      <c r="EK36" s="64">
        <v>5.3496721788359557E-6</v>
      </c>
      <c r="EL36" s="64">
        <v>5.3496721788359557E-6</v>
      </c>
      <c r="EM36" s="64">
        <v>5.3496721788359557E-6</v>
      </c>
      <c r="EN36" s="64">
        <v>5.3496721788359557E-6</v>
      </c>
      <c r="EO36" s="64">
        <v>5.3496721788359557E-6</v>
      </c>
      <c r="EP36" s="64">
        <v>5.3496721788359557E-6</v>
      </c>
      <c r="EQ36" s="64">
        <v>7.1328962384479407E-6</v>
      </c>
      <c r="ER36" s="64">
        <v>7.1328962384479407E-6</v>
      </c>
      <c r="ES36" s="64">
        <v>7.1328962384479407E-6</v>
      </c>
      <c r="ET36" s="64">
        <v>7.1328962384479407E-6</v>
      </c>
      <c r="EU36" s="64">
        <v>2.0804280695473161E-5</v>
      </c>
      <c r="EV36" s="64">
        <v>5.9440801987066177E-6</v>
      </c>
      <c r="EW36" s="64">
        <v>8.3217122781892637E-6</v>
      </c>
      <c r="EX36" s="64">
        <v>7.7273042583186018E-6</v>
      </c>
      <c r="EY36" s="64">
        <v>1.6049016536507869E-5</v>
      </c>
      <c r="EZ36" s="64">
        <v>1.9021056635861179E-5</v>
      </c>
      <c r="FA36" s="64">
        <v>5.9440801987066177E-6</v>
      </c>
      <c r="FB36" s="64">
        <v>1.2482568417283901E-5</v>
      </c>
      <c r="FC36" s="64">
        <v>1.9615464655731841E-5</v>
      </c>
      <c r="FD36" s="64">
        <v>4.7552641589652938E-6</v>
      </c>
      <c r="FE36" s="64">
        <v>1.188816039741324E-5</v>
      </c>
      <c r="FF36" s="64">
        <v>4.0419745351204998E-5</v>
      </c>
      <c r="FG36" s="64">
        <v>2.258750475508515E-5</v>
      </c>
      <c r="FH36" s="64">
        <v>4.7552641589652938E-6</v>
      </c>
      <c r="FI36" s="64">
        <v>3.5664481192239699E-6</v>
      </c>
      <c r="FJ36" s="64">
        <v>2.3181912774955809E-5</v>
      </c>
      <c r="FK36" s="64">
        <v>2.3181912774955809E-5</v>
      </c>
      <c r="FL36" s="64">
        <v>1.188816039741323E-6</v>
      </c>
      <c r="FM36" s="64">
        <v>1.188816039741323E-6</v>
      </c>
      <c r="FN36" s="64">
        <v>1.188816039741323E-6</v>
      </c>
      <c r="FO36" s="64">
        <v>1.188816039741323E-6</v>
      </c>
      <c r="FP36" s="64">
        <v>0</v>
      </c>
      <c r="FQ36" s="64">
        <v>5.9440801987066173E-7</v>
      </c>
      <c r="FR36" s="64">
        <v>5.9440801987066173E-7</v>
      </c>
      <c r="FS36" s="64">
        <v>5.9440801987066173E-7</v>
      </c>
      <c r="FT36" s="64">
        <v>5.9440801987066173E-7</v>
      </c>
      <c r="FU36" s="64">
        <v>5.9440801987066173E-7</v>
      </c>
      <c r="FV36" s="64">
        <v>5.9440801987066173E-7</v>
      </c>
      <c r="FW36" s="64">
        <v>5.9440801987066173E-7</v>
      </c>
      <c r="FX36" s="64">
        <v>2.3776320794826469E-6</v>
      </c>
      <c r="FY36" s="64">
        <v>2.3776320794826469E-6</v>
      </c>
      <c r="FZ36" s="64">
        <v>5.9440801987066177E-6</v>
      </c>
      <c r="GA36" s="64">
        <v>5.9440801987066177E-6</v>
      </c>
      <c r="GB36" s="64">
        <v>6.5384882185772788E-6</v>
      </c>
      <c r="GC36" s="64">
        <v>3.5664481192239699E-6</v>
      </c>
      <c r="GD36" s="64">
        <v>2.3776320794826469E-6</v>
      </c>
      <c r="GE36" s="64">
        <v>3.5664481192239699E-6</v>
      </c>
      <c r="GF36" s="64">
        <v>8.3217122781892637E-6</v>
      </c>
      <c r="GG36" s="64">
        <v>2.258750475508515E-5</v>
      </c>
      <c r="GH36" s="64">
        <v>2.9720400993533088E-6</v>
      </c>
      <c r="GI36" s="64">
        <v>1.783224059611985E-6</v>
      </c>
      <c r="GJ36" s="64">
        <v>1.783224059611985E-6</v>
      </c>
      <c r="GK36" s="64">
        <v>3.5664481192239699E-6</v>
      </c>
      <c r="GL36" s="64">
        <v>4.1608561390946319E-6</v>
      </c>
      <c r="GM36" s="64">
        <v>2.0209872675602499E-5</v>
      </c>
      <c r="GN36" s="64">
        <v>2.3776320794826469E-6</v>
      </c>
      <c r="GO36" s="64">
        <v>5.9440801987066173E-7</v>
      </c>
      <c r="GP36" s="64">
        <v>5.9440801987066173E-7</v>
      </c>
      <c r="GQ36" s="64">
        <v>2.3776320794826469E-6</v>
      </c>
      <c r="GR36" s="64">
        <v>2.3776320794826469E-6</v>
      </c>
      <c r="GS36" s="64">
        <v>3.5664481192239699E-6</v>
      </c>
      <c r="GT36" s="64">
        <v>3.5664481192239699E-6</v>
      </c>
      <c r="GU36" s="64">
        <v>3.5664481192239699E-6</v>
      </c>
      <c r="GV36" s="64">
        <v>3.5664481192239699E-6</v>
      </c>
      <c r="GW36" s="64">
        <v>0</v>
      </c>
      <c r="GX36" s="64">
        <v>9.5105283179305876E-6</v>
      </c>
      <c r="GY36" s="64">
        <v>9.5105283179305876E-6</v>
      </c>
      <c r="GZ36" s="64">
        <v>9.5105283179305876E-6</v>
      </c>
      <c r="HA36" s="64">
        <v>9.5105283179305876E-6</v>
      </c>
      <c r="HB36" s="64">
        <v>9.5105283179305876E-6</v>
      </c>
      <c r="HC36" s="64">
        <v>9.5105283179305876E-6</v>
      </c>
      <c r="HD36" s="64">
        <v>9.5105283179305876E-6</v>
      </c>
      <c r="HE36" s="64">
        <v>1.129375237754257E-5</v>
      </c>
      <c r="HF36" s="64">
        <v>1.129375237754257E-5</v>
      </c>
      <c r="HG36" s="64">
        <v>1.010493633780125E-5</v>
      </c>
      <c r="HH36" s="64">
        <v>1.010493633780125E-5</v>
      </c>
      <c r="HI36" s="64">
        <v>2.7342768914050439E-5</v>
      </c>
      <c r="HJ36" s="64">
        <v>1.069934435767191E-5</v>
      </c>
      <c r="HK36" s="64">
        <v>8.9161202980599257E-6</v>
      </c>
      <c r="HL36" s="64">
        <v>1.069934435767191E-5</v>
      </c>
      <c r="HM36" s="64">
        <v>3.0314809013403749E-5</v>
      </c>
      <c r="HN36" s="64">
        <v>3.6853297231981033E-5</v>
      </c>
      <c r="HO36" s="64">
        <v>1.188816039741324E-5</v>
      </c>
      <c r="HP36" s="64">
        <v>3.8636521291593009E-5</v>
      </c>
      <c r="HQ36" s="64">
        <v>3.4475665152498379E-5</v>
      </c>
      <c r="HR36" s="64">
        <v>1.6049016536507869E-5</v>
      </c>
      <c r="HS36" s="64">
        <v>2.258750475508515E-5</v>
      </c>
      <c r="HT36" s="64">
        <v>8.5594754861375292E-5</v>
      </c>
      <c r="HU36" s="64">
        <v>3.7447705251851692E-5</v>
      </c>
      <c r="HV36" s="64">
        <v>4.7552641589652938E-6</v>
      </c>
      <c r="HW36" s="64">
        <v>3.5664481192239699E-6</v>
      </c>
      <c r="HX36" s="64">
        <v>2.674836089417978E-5</v>
      </c>
      <c r="HY36" s="64">
        <v>2.674836089417978E-5</v>
      </c>
      <c r="HZ36" s="64">
        <v>5.9440801987066173E-7</v>
      </c>
      <c r="IA36" s="64">
        <v>5.9440801987066173E-7</v>
      </c>
      <c r="IB36" s="64">
        <v>5.9440801987066173E-7</v>
      </c>
      <c r="IC36" s="64">
        <v>5.9440801987066173E-7</v>
      </c>
      <c r="ID36" s="64">
        <v>0</v>
      </c>
      <c r="IE36" s="64">
        <v>2.9720400993533088E-6</v>
      </c>
      <c r="IF36" s="64">
        <v>2.9720400993533088E-6</v>
      </c>
      <c r="IG36" s="64">
        <v>2.9720400993533088E-6</v>
      </c>
      <c r="IH36" s="64">
        <v>2.9720400993533088E-6</v>
      </c>
      <c r="II36" s="64">
        <v>2.9720400993533088E-6</v>
      </c>
      <c r="IJ36" s="64">
        <v>2.9720400993533088E-6</v>
      </c>
      <c r="IK36" s="64">
        <v>2.9720400993533088E-6</v>
      </c>
      <c r="IL36" s="64">
        <v>2.3776320794826469E-6</v>
      </c>
      <c r="IM36" s="64">
        <v>2.3776320794826469E-6</v>
      </c>
      <c r="IN36" s="64">
        <v>5.9440801987066177E-6</v>
      </c>
      <c r="IO36" s="64">
        <v>5.9440801987066177E-6</v>
      </c>
      <c r="IP36" s="64">
        <v>1.129375237754257E-5</v>
      </c>
      <c r="IQ36" s="64">
        <v>2.3181912774955809E-5</v>
      </c>
      <c r="IR36" s="64">
        <v>1.188816039741323E-6</v>
      </c>
      <c r="IS36" s="64">
        <v>5.9440801987066177E-6</v>
      </c>
      <c r="IT36" s="64">
        <v>1.783224059611985E-6</v>
      </c>
      <c r="IU36" s="64">
        <v>4.7552641589652938E-6</v>
      </c>
      <c r="IV36" s="64">
        <v>8.3217122781892637E-6</v>
      </c>
      <c r="IW36" s="64">
        <v>1.54546085166372E-5</v>
      </c>
      <c r="IX36" s="64">
        <v>1.188816039741324E-5</v>
      </c>
      <c r="IY36" s="64">
        <v>3.3286849112757048E-5</v>
      </c>
      <c r="IZ36" s="64">
        <v>5.3496721788359557E-6</v>
      </c>
      <c r="JA36" s="64">
        <v>6.7762514265255441E-5</v>
      </c>
      <c r="JB36" s="64">
        <v>2.258750475508515E-5</v>
      </c>
      <c r="JC36" s="64">
        <v>1.783224059611985E-6</v>
      </c>
      <c r="JD36" s="64">
        <v>1.188816039741323E-6</v>
      </c>
      <c r="JE36" s="64">
        <v>1.129375237754257E-5</v>
      </c>
      <c r="JF36" s="64">
        <v>1.129375237754257E-5</v>
      </c>
      <c r="JG36" s="64">
        <v>1.022381794177538E-4</v>
      </c>
      <c r="JH36" s="64">
        <v>1.022381794177538E-4</v>
      </c>
      <c r="JI36" s="64">
        <v>1.022381794177538E-4</v>
      </c>
      <c r="JJ36" s="64">
        <v>1.022381794177538E-4</v>
      </c>
      <c r="JK36" s="64">
        <v>0</v>
      </c>
      <c r="JL36" s="64">
        <v>1.7475595784197451E-4</v>
      </c>
      <c r="JM36" s="64">
        <v>1.7475595784197451E-4</v>
      </c>
      <c r="JN36" s="64">
        <v>1.7475595784197451E-4</v>
      </c>
      <c r="JO36" s="64">
        <v>1.7475595784197451E-4</v>
      </c>
      <c r="JP36" s="64">
        <v>1.7475595784197451E-4</v>
      </c>
      <c r="JQ36" s="64">
        <v>1.7475595784197451E-4</v>
      </c>
      <c r="JR36" s="64">
        <v>1.7475595784197451E-4</v>
      </c>
      <c r="JS36" s="64">
        <v>1.367138445702522E-4</v>
      </c>
      <c r="JT36" s="64">
        <v>1.367138445702522E-4</v>
      </c>
      <c r="JU36" s="64">
        <v>6.8356922285126099E-5</v>
      </c>
      <c r="JV36" s="64">
        <v>6.8356922285126099E-5</v>
      </c>
      <c r="JW36" s="64">
        <v>1.5335726912663069E-4</v>
      </c>
      <c r="JX36" s="64">
        <v>5.5874353867842202E-5</v>
      </c>
      <c r="JY36" s="64">
        <v>5.6468761887712867E-5</v>
      </c>
      <c r="JZ36" s="64">
        <v>7.9056266642798007E-5</v>
      </c>
      <c r="KA36" s="64">
        <v>8.7377978920987268E-5</v>
      </c>
      <c r="KB36" s="64">
        <v>1.147207478350377E-4</v>
      </c>
      <c r="KC36" s="64">
        <v>7.7273042583186018E-5</v>
      </c>
      <c r="KD36" s="64">
        <v>1.3730825259012291E-4</v>
      </c>
      <c r="KE36" s="64">
        <v>3.5010632370381981E-4</v>
      </c>
      <c r="KF36" s="64">
        <v>3.8874284499541281E-4</v>
      </c>
      <c r="KG36" s="64">
        <v>6.0629618026807497E-5</v>
      </c>
      <c r="KH36" s="64">
        <v>1.540705587504755E-3</v>
      </c>
      <c r="KI36" s="64">
        <v>5.7776459531428315E-4</v>
      </c>
      <c r="KJ36" s="64">
        <v>9.3975907941551613E-4</v>
      </c>
      <c r="KK36" s="64">
        <v>6.8297481483139033E-4</v>
      </c>
      <c r="KL36" s="64">
        <v>2.4370728814697131E-4</v>
      </c>
      <c r="KM36" s="64">
        <v>2.4370728814697131E-4</v>
      </c>
      <c r="KN36" s="64">
        <v>2.3776320794826469E-6</v>
      </c>
      <c r="KO36" s="64">
        <v>2.3776320794826469E-6</v>
      </c>
      <c r="KP36" s="64">
        <v>2.3776320794826469E-6</v>
      </c>
      <c r="KQ36" s="64">
        <v>2.3776320794826469E-6</v>
      </c>
      <c r="KR36" s="64">
        <v>0</v>
      </c>
      <c r="KS36" s="64">
        <v>2.6153952874309118E-5</v>
      </c>
      <c r="KT36" s="64">
        <v>2.6153952874309118E-5</v>
      </c>
      <c r="KU36" s="64">
        <v>2.6153952874309118E-5</v>
      </c>
      <c r="KV36" s="64">
        <v>2.6153952874309118E-5</v>
      </c>
      <c r="KW36" s="64">
        <v>2.6153952874309118E-5</v>
      </c>
      <c r="KX36" s="64">
        <v>2.6153952874309118E-5</v>
      </c>
      <c r="KY36" s="64">
        <v>2.6153952874309118E-5</v>
      </c>
      <c r="KZ36" s="64">
        <v>1.3076976437154559E-5</v>
      </c>
      <c r="LA36" s="64">
        <v>1.3076976437154559E-5</v>
      </c>
      <c r="LB36" s="64">
        <v>1.486020049676654E-5</v>
      </c>
      <c r="LC36" s="64">
        <v>1.486020049676654E-5</v>
      </c>
      <c r="LD36" s="64">
        <v>7.1328962384479405E-5</v>
      </c>
      <c r="LE36" s="64">
        <v>1.3671384457025219E-5</v>
      </c>
      <c r="LF36" s="64">
        <v>1.129375237754257E-5</v>
      </c>
      <c r="LG36" s="64">
        <v>8.3217122781892637E-6</v>
      </c>
      <c r="LH36" s="64">
        <v>6.7762514265255441E-5</v>
      </c>
      <c r="LI36" s="64">
        <v>3.6258889212110361E-5</v>
      </c>
      <c r="LJ36" s="64">
        <v>4.2202969410816987E-5</v>
      </c>
      <c r="LK36" s="64">
        <v>4.1608561390946319E-6</v>
      </c>
      <c r="LL36" s="64">
        <v>4.6363825549911611E-5</v>
      </c>
      <c r="LM36" s="64">
        <v>1.069934435767191E-5</v>
      </c>
      <c r="LN36" s="64">
        <v>2.0209872675602499E-5</v>
      </c>
      <c r="LO36" s="64">
        <v>3.7804350063774079E-4</v>
      </c>
      <c r="LP36" s="64">
        <v>4.81470496095236E-5</v>
      </c>
      <c r="LQ36" s="64">
        <v>1.188816039741323E-6</v>
      </c>
      <c r="LR36" s="64">
        <v>1.188816039741323E-6</v>
      </c>
      <c r="LS36" s="64">
        <v>6.3007250106290145E-5</v>
      </c>
      <c r="LT36" s="64">
        <v>6.3007250106290145E-5</v>
      </c>
      <c r="LU36" s="64">
        <v>1.069934435767191E-5</v>
      </c>
      <c r="LV36" s="64">
        <v>1.069934435767191E-5</v>
      </c>
      <c r="LW36" s="64">
        <v>1.069934435767191E-5</v>
      </c>
      <c r="LX36" s="64">
        <v>1.069934435767191E-5</v>
      </c>
      <c r="LY36" s="64">
        <v>0</v>
      </c>
      <c r="LZ36" s="64">
        <v>2.3181912774955809E-5</v>
      </c>
      <c r="MA36" s="64">
        <v>2.3181912774955809E-5</v>
      </c>
      <c r="MB36" s="64">
        <v>2.3181912774955809E-5</v>
      </c>
      <c r="MC36" s="64">
        <v>2.3181912774955809E-5</v>
      </c>
      <c r="MD36" s="64">
        <v>2.3181912774955809E-5</v>
      </c>
      <c r="ME36" s="64">
        <v>2.3181912774955809E-5</v>
      </c>
      <c r="MF36" s="64">
        <v>2.3181912774955809E-5</v>
      </c>
      <c r="MG36" s="64">
        <v>7.1328962384479407E-6</v>
      </c>
      <c r="MH36" s="64">
        <v>7.1328962384479407E-6</v>
      </c>
      <c r="MI36" s="64">
        <v>1.426579247689588E-5</v>
      </c>
      <c r="MJ36" s="64">
        <v>1.426579247689588E-5</v>
      </c>
      <c r="MK36" s="64">
        <v>9.3916467139564552E-5</v>
      </c>
      <c r="ML36" s="64">
        <v>1.426579247689588E-5</v>
      </c>
      <c r="MM36" s="64">
        <v>8.9161202980599257E-6</v>
      </c>
      <c r="MN36" s="64">
        <v>1.426579247689588E-5</v>
      </c>
      <c r="MO36" s="64">
        <v>4.3986193470428963E-5</v>
      </c>
      <c r="MP36" s="64">
        <v>4.3986193470428963E-5</v>
      </c>
      <c r="MQ36" s="64">
        <v>2.139868871534382E-5</v>
      </c>
      <c r="MR36" s="64">
        <v>3.0909217033274407E-5</v>
      </c>
      <c r="MS36" s="64">
        <v>3.4475665152498379E-5</v>
      </c>
      <c r="MT36" s="64">
        <v>2.0209872675602499E-5</v>
      </c>
      <c r="MU36" s="64">
        <v>2.6153952874309118E-5</v>
      </c>
      <c r="MV36" s="64">
        <v>7.9650674662668679E-5</v>
      </c>
      <c r="MW36" s="64">
        <v>4.4580601490299628E-5</v>
      </c>
      <c r="MX36" s="64">
        <v>5.9440801987066177E-6</v>
      </c>
      <c r="MY36" s="64">
        <v>4.1608561390946319E-6</v>
      </c>
      <c r="MZ36" s="64">
        <v>3.982533733133434E-5</v>
      </c>
      <c r="NA36" s="64">
        <v>3.982533733133434E-5</v>
      </c>
      <c r="NB36" s="64"/>
      <c r="NC36" s="64"/>
      <c r="ND36" s="64"/>
      <c r="NE36" s="64"/>
      <c r="NF36" s="64"/>
      <c r="NG36" s="64"/>
      <c r="NH36" s="64"/>
      <c r="NI36" s="64"/>
      <c r="NJ36" s="64"/>
      <c r="NK36" s="64"/>
      <c r="NL36" s="64"/>
      <c r="NM36" s="64"/>
      <c r="NN36" s="64"/>
      <c r="NO36" s="64"/>
      <c r="NP36" s="64"/>
      <c r="NQ36" s="64"/>
      <c r="NR36" s="64"/>
      <c r="NS36" s="64"/>
      <c r="NT36" s="64"/>
      <c r="NU36" s="64"/>
      <c r="NV36" s="64"/>
      <c r="NW36" s="64"/>
      <c r="NX36" s="64"/>
      <c r="NY36" s="64"/>
      <c r="NZ36" s="64"/>
      <c r="OA36" s="64"/>
      <c r="OB36" s="64"/>
      <c r="OC36" s="64"/>
      <c r="OD36" s="64"/>
      <c r="OE36" s="64"/>
      <c r="OF36" s="64"/>
      <c r="OG36" s="64"/>
      <c r="OH36" s="64"/>
      <c r="OI36" s="64"/>
      <c r="OJ36" s="64"/>
      <c r="OK36" s="64"/>
      <c r="OL36" s="64"/>
      <c r="OM36" s="64"/>
      <c r="ON36" s="64"/>
      <c r="OO36" s="64"/>
      <c r="OP36" s="64"/>
      <c r="OQ36" s="64"/>
      <c r="OR36" s="64"/>
      <c r="OS36" s="64"/>
    </row>
    <row r="37" spans="1:409" s="222" customFormat="1">
      <c r="A37" s="319"/>
      <c r="B37" s="319"/>
      <c r="C37" s="319"/>
      <c r="D37" s="319"/>
      <c r="E37" s="319"/>
      <c r="F37" s="319"/>
      <c r="G37" s="319"/>
      <c r="H37" s="319"/>
      <c r="I37" s="319"/>
      <c r="J37" s="319"/>
      <c r="K37" s="319"/>
      <c r="L37" s="319"/>
      <c r="M37" s="319"/>
      <c r="N37" s="319"/>
      <c r="O37" s="319"/>
      <c r="P37" s="319"/>
      <c r="Q37" s="319"/>
      <c r="R37" s="319"/>
      <c r="S37" s="319"/>
      <c r="T37" s="319"/>
      <c r="U37" s="319"/>
      <c r="V37" s="319"/>
      <c r="W37" s="319"/>
      <c r="X37" s="319"/>
      <c r="Y37" s="319"/>
      <c r="Z37" s="319"/>
      <c r="AA37" s="319"/>
      <c r="AB37" s="319"/>
      <c r="AC37" s="319"/>
      <c r="AD37" s="319"/>
      <c r="AE37" s="319"/>
      <c r="AF37" s="319"/>
      <c r="AG37" s="319"/>
      <c r="AH37" s="319"/>
      <c r="AI37" s="319"/>
      <c r="AJ37" s="319"/>
      <c r="AK37" s="319"/>
      <c r="AL37" s="319"/>
      <c r="AM37" s="319"/>
      <c r="AN37" s="319"/>
      <c r="AO37" s="319"/>
      <c r="AP37" s="319"/>
      <c r="AQ37" s="319"/>
      <c r="AR37" s="319"/>
      <c r="AS37" s="319"/>
      <c r="AT37" s="319"/>
      <c r="AU37" s="319"/>
      <c r="AV37" s="319"/>
      <c r="AW37" s="319"/>
      <c r="AX37" s="319"/>
      <c r="AY37" s="319"/>
      <c r="AZ37" s="319"/>
      <c r="BA37" s="319"/>
      <c r="BB37" s="319"/>
      <c r="BC37" s="319"/>
      <c r="BD37" s="319"/>
      <c r="BE37" s="319"/>
      <c r="BF37" s="319"/>
      <c r="BG37" s="319"/>
      <c r="BH37" s="319"/>
      <c r="BI37" s="319"/>
      <c r="BJ37" s="319"/>
      <c r="BK37" s="319"/>
      <c r="BL37" s="319"/>
      <c r="BM37" s="319"/>
      <c r="BN37" s="319"/>
      <c r="BO37" s="319"/>
      <c r="BP37" s="319"/>
      <c r="BQ37" s="319"/>
      <c r="BR37" s="319"/>
      <c r="BS37" s="319"/>
      <c r="BT37" s="319"/>
      <c r="BU37" s="319"/>
      <c r="BV37" s="319"/>
      <c r="BW37" s="319"/>
      <c r="BX37" s="319"/>
      <c r="BY37" s="319"/>
      <c r="BZ37" s="319"/>
      <c r="CA37" s="319"/>
      <c r="CB37" s="319"/>
      <c r="CC37" s="319"/>
      <c r="CD37" s="319"/>
      <c r="CE37" s="319"/>
      <c r="CF37" s="319"/>
      <c r="CG37" s="319"/>
      <c r="CH37" s="319"/>
      <c r="CI37" s="319"/>
      <c r="CJ37" s="319"/>
      <c r="CK37" s="319"/>
      <c r="CL37" s="319"/>
      <c r="CM37" s="319"/>
      <c r="CN37" s="319"/>
      <c r="CO37" s="319"/>
      <c r="CP37" s="319"/>
      <c r="CQ37" s="319"/>
      <c r="CR37" s="319"/>
      <c r="CS37" s="319"/>
      <c r="CT37" s="319"/>
      <c r="CU37" s="319"/>
      <c r="CV37" s="319"/>
      <c r="CW37" s="319"/>
      <c r="CX37" s="319"/>
      <c r="CY37" s="319"/>
      <c r="CZ37" s="319"/>
      <c r="DA37" s="319"/>
      <c r="DB37" s="319"/>
      <c r="DC37" s="319"/>
      <c r="DD37" s="319"/>
      <c r="DE37" s="319"/>
      <c r="DF37" s="319"/>
      <c r="DG37" s="319"/>
      <c r="DH37" s="319"/>
      <c r="DI37" s="319"/>
      <c r="DJ37" s="319"/>
      <c r="DK37" s="319"/>
      <c r="DL37" s="319"/>
      <c r="DM37" s="319"/>
      <c r="DN37" s="319"/>
      <c r="DO37" s="319"/>
      <c r="DP37" s="319"/>
      <c r="DQ37" s="319"/>
      <c r="DR37" s="319"/>
      <c r="DS37" s="319"/>
      <c r="DT37" s="319"/>
      <c r="DU37" s="319"/>
      <c r="DV37" s="319"/>
      <c r="DW37" s="319"/>
      <c r="DX37" s="319"/>
      <c r="DY37" s="319"/>
      <c r="DZ37" s="319"/>
      <c r="EA37" s="319"/>
      <c r="EB37" s="319"/>
      <c r="EC37" s="319"/>
      <c r="ED37" s="319"/>
      <c r="EE37" s="319"/>
      <c r="EF37" s="319"/>
      <c r="EG37" s="319"/>
      <c r="EH37" s="319"/>
      <c r="EI37" s="319"/>
      <c r="EJ37" s="319"/>
      <c r="EK37" s="319"/>
      <c r="EL37" s="319"/>
      <c r="EM37" s="319"/>
      <c r="EN37" s="319"/>
      <c r="EO37" s="319"/>
      <c r="EP37" s="319"/>
      <c r="EQ37" s="319"/>
      <c r="ER37" s="319"/>
      <c r="ES37" s="319"/>
      <c r="ET37" s="319"/>
      <c r="EU37" s="319"/>
      <c r="EV37" s="319"/>
      <c r="EW37" s="319"/>
      <c r="EX37" s="319"/>
      <c r="EY37" s="319"/>
      <c r="EZ37" s="319"/>
      <c r="FA37" s="319"/>
      <c r="FB37" s="319"/>
      <c r="FC37" s="319"/>
      <c r="FD37" s="319"/>
      <c r="FE37" s="319"/>
      <c r="FF37" s="319"/>
      <c r="FG37" s="319"/>
      <c r="FH37" s="319"/>
      <c r="FI37" s="319"/>
      <c r="FJ37" s="319"/>
      <c r="FK37" s="319"/>
      <c r="FL37" s="319"/>
      <c r="FM37" s="319"/>
      <c r="FN37" s="319"/>
      <c r="FO37" s="319"/>
      <c r="FP37" s="319"/>
      <c r="FQ37" s="319"/>
      <c r="FR37" s="319"/>
      <c r="FS37" s="319"/>
      <c r="FT37" s="319"/>
      <c r="FU37" s="319"/>
      <c r="FV37" s="319"/>
      <c r="FW37" s="319"/>
      <c r="FX37" s="319"/>
      <c r="FY37" s="319"/>
      <c r="FZ37" s="319"/>
      <c r="GA37" s="319"/>
      <c r="GB37" s="319"/>
      <c r="GC37" s="319"/>
      <c r="GD37" s="319"/>
      <c r="GE37" s="319"/>
      <c r="GF37" s="319"/>
      <c r="GG37" s="319"/>
      <c r="GH37" s="319"/>
      <c r="GI37" s="319"/>
      <c r="GJ37" s="319"/>
      <c r="GK37" s="319"/>
      <c r="GL37" s="319"/>
      <c r="GM37" s="319"/>
      <c r="GN37" s="319"/>
      <c r="GO37" s="319"/>
      <c r="GP37" s="319"/>
      <c r="GQ37" s="319"/>
      <c r="GR37" s="319"/>
      <c r="GS37" s="319"/>
      <c r="GT37" s="319"/>
      <c r="GU37" s="319"/>
      <c r="GV37" s="319"/>
      <c r="GW37" s="319"/>
      <c r="GX37" s="319"/>
      <c r="GY37" s="319"/>
      <c r="GZ37" s="319"/>
      <c r="HA37" s="319"/>
      <c r="HB37" s="319"/>
      <c r="HC37" s="319"/>
      <c r="HD37" s="319"/>
      <c r="HE37" s="319"/>
      <c r="HF37" s="319"/>
      <c r="HG37" s="319"/>
      <c r="HH37" s="319"/>
      <c r="HI37" s="319"/>
      <c r="HJ37" s="319"/>
      <c r="HK37" s="319"/>
      <c r="HL37" s="319"/>
      <c r="HM37" s="319"/>
      <c r="HN37" s="319"/>
      <c r="HO37" s="319"/>
      <c r="HP37" s="319"/>
      <c r="HQ37" s="319"/>
      <c r="HR37" s="319"/>
      <c r="HS37" s="319"/>
      <c r="HT37" s="319"/>
      <c r="HU37" s="319"/>
      <c r="HV37" s="319"/>
      <c r="HW37" s="319"/>
      <c r="HX37" s="319"/>
      <c r="HY37" s="319"/>
      <c r="HZ37" s="319"/>
      <c r="IA37" s="319"/>
      <c r="IB37" s="319"/>
      <c r="IC37" s="319"/>
      <c r="ID37" s="319"/>
      <c r="IE37" s="319"/>
      <c r="IF37" s="319"/>
      <c r="IG37" s="319"/>
      <c r="IH37" s="319"/>
      <c r="II37" s="319"/>
      <c r="IJ37" s="319"/>
      <c r="IK37" s="319"/>
      <c r="IL37" s="319"/>
      <c r="IM37" s="319"/>
      <c r="IN37" s="319"/>
      <c r="IO37" s="319"/>
      <c r="IP37" s="319"/>
      <c r="IQ37" s="319"/>
      <c r="IR37" s="319"/>
      <c r="IS37" s="319"/>
      <c r="IT37" s="319"/>
      <c r="IU37" s="319"/>
      <c r="IV37" s="319"/>
      <c r="IW37" s="319"/>
      <c r="IX37" s="319"/>
      <c r="IY37" s="319"/>
      <c r="IZ37" s="319"/>
      <c r="JA37" s="319"/>
      <c r="JB37" s="319"/>
      <c r="JC37" s="319"/>
      <c r="JD37" s="319"/>
      <c r="JE37" s="319"/>
      <c r="JF37" s="319"/>
      <c r="JG37" s="319"/>
      <c r="JH37" s="319"/>
      <c r="JI37" s="319"/>
      <c r="JJ37" s="319"/>
      <c r="JK37" s="319"/>
      <c r="JL37" s="319"/>
      <c r="JM37" s="319"/>
      <c r="JN37" s="319"/>
      <c r="JO37" s="319"/>
      <c r="JP37" s="319"/>
      <c r="JQ37" s="319"/>
      <c r="JR37" s="319"/>
      <c r="JS37" s="319"/>
      <c r="JT37" s="319"/>
      <c r="JU37" s="319"/>
      <c r="JV37" s="319"/>
      <c r="JW37" s="319"/>
      <c r="JX37" s="319"/>
      <c r="JY37" s="319"/>
      <c r="JZ37" s="319"/>
      <c r="KA37" s="319"/>
      <c r="KB37" s="319"/>
      <c r="KC37" s="319"/>
      <c r="KD37" s="319"/>
      <c r="KE37" s="319"/>
      <c r="KF37" s="319"/>
      <c r="KG37" s="319"/>
      <c r="KH37" s="319"/>
      <c r="KI37" s="319"/>
      <c r="KJ37" s="319"/>
      <c r="KK37" s="319"/>
      <c r="KL37" s="319"/>
      <c r="KM37" s="319"/>
      <c r="KN37" s="319"/>
      <c r="KO37" s="319"/>
      <c r="KP37" s="319"/>
      <c r="KQ37" s="319"/>
      <c r="KR37" s="319"/>
      <c r="KS37" s="319"/>
      <c r="KT37" s="319"/>
      <c r="KU37" s="319"/>
      <c r="KV37" s="319"/>
      <c r="KW37" s="319"/>
      <c r="KX37" s="319"/>
      <c r="KY37" s="319"/>
      <c r="KZ37" s="319"/>
      <c r="LA37" s="319"/>
      <c r="LB37" s="319"/>
      <c r="LC37" s="319"/>
      <c r="LD37" s="319"/>
      <c r="LE37" s="319"/>
      <c r="LF37" s="319"/>
      <c r="LG37" s="319"/>
      <c r="LH37" s="319"/>
      <c r="LI37" s="319"/>
      <c r="LJ37" s="319"/>
      <c r="LK37" s="319"/>
      <c r="LL37" s="319"/>
      <c r="LM37" s="319"/>
      <c r="LN37" s="319"/>
      <c r="LO37" s="319"/>
      <c r="LP37" s="319"/>
      <c r="LQ37" s="319"/>
      <c r="LR37" s="319"/>
      <c r="LS37" s="319"/>
      <c r="LT37" s="319"/>
      <c r="LU37" s="319"/>
      <c r="LV37" s="319"/>
      <c r="LW37" s="319"/>
      <c r="LX37" s="319"/>
      <c r="LY37" s="319"/>
      <c r="LZ37" s="319"/>
      <c r="MA37" s="319"/>
      <c r="MB37" s="319"/>
      <c r="MC37" s="319"/>
      <c r="MD37" s="319"/>
      <c r="ME37" s="319"/>
      <c r="MF37" s="319"/>
      <c r="MG37" s="319"/>
      <c r="MH37" s="319"/>
      <c r="MI37" s="319"/>
      <c r="MJ37" s="319"/>
      <c r="MK37" s="319"/>
      <c r="ML37" s="319"/>
      <c r="MM37" s="319"/>
      <c r="MN37" s="319"/>
      <c r="MO37" s="319"/>
      <c r="MP37" s="319"/>
      <c r="MQ37" s="319"/>
      <c r="MR37" s="319"/>
      <c r="MS37" s="319"/>
      <c r="MT37" s="319"/>
      <c r="MU37" s="319"/>
      <c r="MV37" s="319"/>
      <c r="MW37" s="319"/>
      <c r="MX37" s="319"/>
      <c r="MY37" s="319"/>
      <c r="MZ37" s="319"/>
      <c r="NA37" s="319"/>
      <c r="NB37" s="319"/>
      <c r="NC37" s="319"/>
      <c r="ND37" s="319"/>
      <c r="NE37" s="319"/>
      <c r="NF37" s="319"/>
      <c r="NG37" s="319"/>
      <c r="NH37" s="319"/>
      <c r="NI37" s="319"/>
      <c r="NJ37" s="319"/>
      <c r="NK37" s="319"/>
      <c r="NL37" s="319"/>
      <c r="NM37" s="319"/>
      <c r="NN37" s="319"/>
      <c r="NO37" s="319"/>
      <c r="NP37" s="319"/>
      <c r="NQ37" s="319"/>
      <c r="NR37" s="319"/>
      <c r="NS37" s="319"/>
      <c r="NT37" s="319"/>
      <c r="NU37" s="319"/>
      <c r="NV37" s="319"/>
      <c r="NW37" s="319"/>
      <c r="NX37" s="319"/>
      <c r="NY37" s="319"/>
      <c r="NZ37" s="319"/>
      <c r="OA37" s="319"/>
      <c r="OB37" s="319"/>
      <c r="OC37" s="319"/>
      <c r="OD37" s="319"/>
      <c r="OE37" s="319"/>
      <c r="OF37" s="319"/>
      <c r="OG37" s="319"/>
      <c r="OH37" s="319"/>
      <c r="OI37" s="319"/>
      <c r="OJ37" s="319"/>
      <c r="OK37" s="319"/>
      <c r="OL37" s="319"/>
      <c r="OM37" s="319"/>
      <c r="ON37" s="319"/>
      <c r="OO37" s="319"/>
      <c r="OP37" s="319"/>
      <c r="OQ37" s="319"/>
      <c r="OR37" s="319"/>
      <c r="OS37" s="319"/>
    </row>
    <row r="38" spans="1:409" s="222" customFormat="1">
      <c r="A38" s="319"/>
      <c r="B38" s="319"/>
      <c r="C38" s="319"/>
      <c r="D38" s="319"/>
      <c r="E38" s="319"/>
      <c r="F38" s="319"/>
      <c r="G38" s="319"/>
      <c r="H38" s="319"/>
      <c r="I38" s="319"/>
      <c r="J38" s="319"/>
      <c r="K38" s="319"/>
      <c r="L38" s="319"/>
      <c r="M38" s="319"/>
      <c r="N38" s="319"/>
      <c r="O38" s="319"/>
      <c r="P38" s="319"/>
      <c r="Q38" s="319"/>
      <c r="R38" s="319"/>
      <c r="S38" s="319"/>
      <c r="T38" s="319"/>
      <c r="U38" s="319"/>
      <c r="V38" s="319"/>
      <c r="W38" s="319"/>
      <c r="X38" s="319"/>
      <c r="Y38" s="319"/>
      <c r="Z38" s="319"/>
      <c r="AA38" s="319"/>
      <c r="AB38" s="319"/>
      <c r="AC38" s="319"/>
      <c r="AD38" s="319"/>
      <c r="AE38" s="319"/>
      <c r="AF38" s="319"/>
      <c r="AG38" s="319"/>
      <c r="AH38" s="319"/>
      <c r="AI38" s="319"/>
      <c r="AJ38" s="319"/>
      <c r="AK38" s="319"/>
      <c r="AL38" s="319"/>
      <c r="AM38" s="319"/>
      <c r="AN38" s="319"/>
      <c r="AO38" s="319"/>
      <c r="AP38" s="319"/>
      <c r="AQ38" s="319"/>
      <c r="AR38" s="319"/>
      <c r="AS38" s="319"/>
      <c r="AT38" s="319"/>
      <c r="AU38" s="319"/>
      <c r="AV38" s="319"/>
      <c r="AW38" s="319"/>
      <c r="AX38" s="319"/>
      <c r="AY38" s="319"/>
      <c r="AZ38" s="319"/>
      <c r="BA38" s="319"/>
      <c r="BB38" s="319"/>
      <c r="BC38" s="319"/>
      <c r="BD38" s="319"/>
      <c r="BE38" s="319"/>
      <c r="BF38" s="319"/>
      <c r="BG38" s="319"/>
      <c r="BH38" s="319"/>
      <c r="BI38" s="319"/>
      <c r="BJ38" s="319"/>
      <c r="BK38" s="319"/>
      <c r="BL38" s="319"/>
      <c r="BM38" s="319"/>
      <c r="BN38" s="319"/>
      <c r="BO38" s="319"/>
      <c r="BP38" s="319"/>
      <c r="BQ38" s="319"/>
      <c r="BR38" s="319"/>
      <c r="BS38" s="319"/>
      <c r="BT38" s="319"/>
      <c r="BU38" s="319"/>
      <c r="BV38" s="319"/>
      <c r="BW38" s="319"/>
      <c r="BX38" s="319"/>
      <c r="BY38" s="319"/>
      <c r="BZ38" s="319"/>
      <c r="CA38" s="319"/>
      <c r="CB38" s="319"/>
      <c r="CC38" s="319"/>
      <c r="CD38" s="319"/>
      <c r="CE38" s="319"/>
      <c r="CF38" s="319"/>
      <c r="CG38" s="319"/>
      <c r="CH38" s="319"/>
      <c r="CI38" s="319"/>
      <c r="CJ38" s="319"/>
      <c r="CK38" s="319"/>
      <c r="CL38" s="319"/>
      <c r="CM38" s="319"/>
      <c r="CN38" s="319"/>
      <c r="CO38" s="319"/>
      <c r="CP38" s="319"/>
      <c r="CQ38" s="319"/>
      <c r="CR38" s="319"/>
      <c r="CS38" s="319"/>
      <c r="CT38" s="319"/>
      <c r="CU38" s="319"/>
      <c r="CV38" s="319"/>
      <c r="CW38" s="319"/>
      <c r="CX38" s="319"/>
      <c r="CY38" s="319"/>
      <c r="CZ38" s="319"/>
      <c r="DA38" s="319"/>
      <c r="DB38" s="319"/>
      <c r="DC38" s="319"/>
      <c r="DD38" s="319"/>
      <c r="DE38" s="319"/>
      <c r="DF38" s="319"/>
      <c r="DG38" s="319"/>
      <c r="DH38" s="319"/>
      <c r="DI38" s="319"/>
      <c r="DJ38" s="319"/>
      <c r="DK38" s="319"/>
      <c r="DL38" s="319"/>
      <c r="DM38" s="319"/>
      <c r="DN38" s="319"/>
      <c r="DO38" s="319"/>
      <c r="DP38" s="319"/>
      <c r="DQ38" s="319"/>
      <c r="DR38" s="319"/>
      <c r="DS38" s="319"/>
      <c r="DT38" s="319"/>
      <c r="DU38" s="319"/>
      <c r="DV38" s="319"/>
      <c r="DW38" s="319"/>
      <c r="DX38" s="319"/>
      <c r="DY38" s="319"/>
      <c r="DZ38" s="319"/>
      <c r="EA38" s="319"/>
      <c r="EB38" s="319"/>
      <c r="EC38" s="319"/>
      <c r="ED38" s="319"/>
      <c r="EE38" s="319"/>
      <c r="EF38" s="319"/>
      <c r="EG38" s="319"/>
      <c r="EH38" s="319"/>
      <c r="EI38" s="319"/>
      <c r="EJ38" s="319"/>
      <c r="EK38" s="319"/>
      <c r="EL38" s="319"/>
      <c r="EM38" s="319"/>
      <c r="EN38" s="319"/>
      <c r="EO38" s="319"/>
      <c r="EP38" s="319"/>
      <c r="EQ38" s="319"/>
      <c r="ER38" s="319"/>
      <c r="ES38" s="319"/>
      <c r="ET38" s="319"/>
      <c r="EU38" s="319"/>
      <c r="EV38" s="319"/>
      <c r="EW38" s="319"/>
      <c r="EX38" s="319"/>
      <c r="EY38" s="319"/>
      <c r="EZ38" s="319"/>
      <c r="FA38" s="319"/>
      <c r="FB38" s="319"/>
      <c r="FC38" s="319"/>
      <c r="FD38" s="319"/>
      <c r="FE38" s="319"/>
      <c r="FF38" s="319"/>
      <c r="FG38" s="319"/>
      <c r="FH38" s="319"/>
      <c r="FI38" s="319"/>
      <c r="FJ38" s="319"/>
      <c r="FK38" s="319"/>
      <c r="FL38" s="319"/>
      <c r="FM38" s="319"/>
      <c r="FN38" s="319"/>
      <c r="FO38" s="319"/>
      <c r="FP38" s="319"/>
      <c r="FQ38" s="319"/>
      <c r="FR38" s="319"/>
      <c r="FS38" s="319"/>
      <c r="FT38" s="319"/>
      <c r="FU38" s="319"/>
      <c r="FV38" s="319"/>
      <c r="FW38" s="319"/>
      <c r="FX38" s="319"/>
      <c r="FY38" s="319"/>
      <c r="FZ38" s="319"/>
      <c r="GA38" s="319"/>
      <c r="GB38" s="319"/>
      <c r="GC38" s="319"/>
      <c r="GD38" s="319"/>
      <c r="GE38" s="319"/>
      <c r="GF38" s="319"/>
      <c r="GG38" s="319"/>
      <c r="GH38" s="319"/>
      <c r="GI38" s="319"/>
      <c r="GJ38" s="319"/>
      <c r="GK38" s="319"/>
      <c r="GL38" s="319"/>
      <c r="GM38" s="319"/>
      <c r="GN38" s="319"/>
      <c r="GO38" s="319"/>
      <c r="GP38" s="319"/>
      <c r="GQ38" s="319"/>
      <c r="GR38" s="319"/>
      <c r="GS38" s="319"/>
      <c r="GT38" s="319"/>
      <c r="GU38" s="319"/>
      <c r="GV38" s="319"/>
      <c r="GW38" s="319"/>
      <c r="GX38" s="319"/>
      <c r="GY38" s="319"/>
      <c r="GZ38" s="319"/>
      <c r="HA38" s="319"/>
      <c r="HB38" s="319"/>
      <c r="HC38" s="319"/>
      <c r="HD38" s="319"/>
      <c r="HE38" s="319"/>
      <c r="HF38" s="319"/>
      <c r="HG38" s="319"/>
      <c r="HH38" s="319"/>
      <c r="HI38" s="319"/>
      <c r="HJ38" s="319"/>
      <c r="HK38" s="319"/>
      <c r="HL38" s="319"/>
      <c r="HM38" s="319"/>
      <c r="HN38" s="319"/>
      <c r="HO38" s="319"/>
      <c r="HP38" s="319"/>
      <c r="HQ38" s="319"/>
      <c r="HR38" s="319"/>
      <c r="HS38" s="319"/>
      <c r="HT38" s="319"/>
      <c r="HU38" s="319"/>
      <c r="HV38" s="319"/>
      <c r="HW38" s="319"/>
      <c r="HX38" s="319"/>
      <c r="HY38" s="319"/>
      <c r="HZ38" s="319"/>
      <c r="IA38" s="319"/>
      <c r="IB38" s="319"/>
      <c r="IC38" s="319"/>
      <c r="ID38" s="319"/>
      <c r="IE38" s="319"/>
      <c r="IF38" s="319"/>
      <c r="IG38" s="319"/>
      <c r="IH38" s="319"/>
      <c r="II38" s="319"/>
      <c r="IJ38" s="319"/>
      <c r="IK38" s="319"/>
      <c r="IL38" s="319"/>
      <c r="IM38" s="319"/>
      <c r="IN38" s="319"/>
      <c r="IO38" s="319"/>
      <c r="IP38" s="319"/>
      <c r="IQ38" s="319"/>
      <c r="IR38" s="319"/>
      <c r="IS38" s="319"/>
      <c r="IT38" s="319"/>
      <c r="IU38" s="319"/>
      <c r="IV38" s="319"/>
      <c r="IW38" s="319"/>
      <c r="IX38" s="319"/>
      <c r="IY38" s="319"/>
      <c r="IZ38" s="319"/>
      <c r="JA38" s="319"/>
      <c r="JB38" s="319"/>
      <c r="JC38" s="319"/>
      <c r="JD38" s="319"/>
      <c r="JE38" s="319"/>
      <c r="JF38" s="319"/>
      <c r="JG38" s="319"/>
      <c r="JH38" s="319"/>
      <c r="JI38" s="319"/>
      <c r="JJ38" s="319"/>
      <c r="JK38" s="319"/>
      <c r="JL38" s="319"/>
      <c r="JM38" s="319"/>
      <c r="JN38" s="319"/>
      <c r="JO38" s="319"/>
      <c r="JP38" s="319"/>
      <c r="JQ38" s="319"/>
      <c r="JR38" s="319"/>
      <c r="JS38" s="319"/>
      <c r="JT38" s="319"/>
      <c r="JU38" s="319"/>
      <c r="JV38" s="319"/>
      <c r="JW38" s="319"/>
      <c r="JX38" s="319"/>
      <c r="JY38" s="319"/>
      <c r="JZ38" s="319"/>
      <c r="KA38" s="319"/>
      <c r="KB38" s="319"/>
      <c r="KC38" s="319"/>
      <c r="KD38" s="319"/>
      <c r="KE38" s="319"/>
      <c r="KF38" s="319"/>
      <c r="KG38" s="319"/>
      <c r="KH38" s="319"/>
      <c r="KI38" s="319"/>
      <c r="KJ38" s="319"/>
      <c r="KK38" s="319"/>
      <c r="KL38" s="319"/>
      <c r="KM38" s="319"/>
      <c r="KN38" s="319"/>
      <c r="KO38" s="319"/>
      <c r="KP38" s="319"/>
      <c r="KQ38" s="319"/>
      <c r="KR38" s="319"/>
      <c r="KS38" s="319"/>
      <c r="KT38" s="319"/>
      <c r="KU38" s="319"/>
      <c r="KV38" s="319"/>
      <c r="KW38" s="319"/>
      <c r="KX38" s="319"/>
      <c r="KY38" s="319"/>
      <c r="KZ38" s="319"/>
      <c r="LA38" s="319"/>
      <c r="LB38" s="319"/>
      <c r="LC38" s="319"/>
      <c r="LD38" s="319"/>
      <c r="LE38" s="319"/>
      <c r="LF38" s="319"/>
      <c r="LG38" s="319"/>
      <c r="LH38" s="319"/>
      <c r="LI38" s="319"/>
      <c r="LJ38" s="319"/>
      <c r="LK38" s="319"/>
      <c r="LL38" s="319"/>
      <c r="LM38" s="319"/>
      <c r="LN38" s="319"/>
      <c r="LO38" s="319"/>
      <c r="LP38" s="319"/>
      <c r="LQ38" s="319"/>
      <c r="LR38" s="319"/>
      <c r="LS38" s="319"/>
      <c r="LT38" s="319"/>
      <c r="LU38" s="319"/>
      <c r="LV38" s="319"/>
      <c r="LW38" s="319"/>
      <c r="LX38" s="319"/>
      <c r="LY38" s="319"/>
      <c r="LZ38" s="319"/>
      <c r="MA38" s="319"/>
      <c r="MB38" s="319"/>
      <c r="MC38" s="319"/>
      <c r="MD38" s="319"/>
      <c r="ME38" s="319"/>
      <c r="MF38" s="319"/>
      <c r="MG38" s="319"/>
      <c r="MH38" s="319"/>
      <c r="MI38" s="319"/>
      <c r="MJ38" s="319"/>
      <c r="MK38" s="319"/>
      <c r="ML38" s="319"/>
      <c r="MM38" s="319"/>
      <c r="MN38" s="319"/>
      <c r="MO38" s="319"/>
      <c r="MP38" s="319"/>
      <c r="MQ38" s="319"/>
      <c r="MR38" s="319"/>
      <c r="MS38" s="319"/>
      <c r="MT38" s="319"/>
      <c r="MU38" s="319"/>
      <c r="MV38" s="319"/>
      <c r="MW38" s="319"/>
      <c r="MX38" s="319"/>
      <c r="MY38" s="319"/>
      <c r="MZ38" s="319"/>
      <c r="NA38" s="319"/>
      <c r="NB38" s="319"/>
      <c r="NC38" s="319"/>
      <c r="ND38" s="319"/>
      <c r="NE38" s="319"/>
      <c r="NF38" s="319"/>
      <c r="NG38" s="319"/>
      <c r="NH38" s="319"/>
      <c r="NI38" s="319"/>
      <c r="NJ38" s="319"/>
      <c r="NK38" s="319"/>
      <c r="NL38" s="319"/>
      <c r="NM38" s="319"/>
      <c r="NN38" s="319"/>
      <c r="NO38" s="319"/>
      <c r="NP38" s="319"/>
      <c r="NQ38" s="319"/>
      <c r="NR38" s="319"/>
      <c r="NS38" s="319"/>
      <c r="NT38" s="319"/>
      <c r="NU38" s="319"/>
      <c r="NV38" s="319"/>
      <c r="NW38" s="319"/>
      <c r="NX38" s="319"/>
      <c r="NY38" s="319"/>
      <c r="NZ38" s="319"/>
      <c r="OA38" s="319"/>
      <c r="OB38" s="319"/>
      <c r="OC38" s="319"/>
      <c r="OD38" s="319"/>
      <c r="OE38" s="319"/>
      <c r="OF38" s="319"/>
      <c r="OG38" s="319"/>
      <c r="OH38" s="319"/>
      <c r="OI38" s="319"/>
      <c r="OJ38" s="319"/>
      <c r="OK38" s="319"/>
      <c r="OL38" s="319"/>
      <c r="OM38" s="319"/>
      <c r="ON38" s="319"/>
      <c r="OO38" s="319"/>
      <c r="OP38" s="319"/>
      <c r="OQ38" s="319"/>
      <c r="OR38" s="319"/>
      <c r="OS38" s="319"/>
    </row>
    <row r="39" spans="1:409" s="222" customFormat="1">
      <c r="A39" s="320" t="s">
        <v>472</v>
      </c>
      <c r="B39" s="320"/>
      <c r="C39" s="320"/>
      <c r="D39" s="320"/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  <c r="R39" s="320"/>
      <c r="S39" s="320"/>
      <c r="T39" s="320"/>
      <c r="U39" s="320"/>
      <c r="V39" s="320"/>
      <c r="W39" s="320"/>
      <c r="X39" s="320"/>
      <c r="Y39" s="320"/>
      <c r="Z39" s="320"/>
      <c r="AA39" s="320"/>
      <c r="AB39" s="320"/>
      <c r="AC39" s="320"/>
      <c r="AD39" s="320"/>
      <c r="AE39" s="320"/>
      <c r="AF39" s="320"/>
      <c r="AG39" s="320"/>
      <c r="AH39" s="320"/>
      <c r="AI39" s="320"/>
      <c r="AJ39" s="320"/>
      <c r="AK39" s="320"/>
      <c r="AL39" s="320"/>
      <c r="AM39" s="320"/>
      <c r="AN39" s="320"/>
      <c r="AO39" s="320"/>
      <c r="AP39" s="320"/>
      <c r="AQ39" s="320"/>
      <c r="AR39" s="320"/>
      <c r="AS39" s="320"/>
      <c r="AT39" s="320"/>
      <c r="AU39" s="320"/>
      <c r="AV39" s="320"/>
      <c r="AW39" s="320"/>
      <c r="AX39" s="320"/>
      <c r="AY39" s="320"/>
      <c r="AZ39" s="320"/>
      <c r="BA39" s="320"/>
      <c r="BB39" s="320"/>
      <c r="BC39" s="320"/>
      <c r="BD39" s="320"/>
      <c r="BE39" s="320"/>
      <c r="BF39" s="320"/>
      <c r="BG39" s="320"/>
      <c r="BH39" s="320"/>
      <c r="BI39" s="320"/>
      <c r="BJ39" s="320"/>
      <c r="BK39" s="320"/>
      <c r="BL39" s="320"/>
      <c r="BM39" s="320"/>
      <c r="BN39" s="320"/>
      <c r="BO39" s="320"/>
      <c r="BP39" s="320"/>
      <c r="BQ39" s="320"/>
      <c r="BR39" s="320"/>
      <c r="BS39" s="320"/>
      <c r="BT39" s="320"/>
      <c r="BU39" s="320"/>
      <c r="BV39" s="320"/>
      <c r="BW39" s="320"/>
      <c r="BX39" s="320"/>
      <c r="BY39" s="320"/>
      <c r="BZ39" s="320"/>
      <c r="CA39" s="320"/>
      <c r="CB39" s="320"/>
      <c r="CC39" s="320"/>
      <c r="CD39" s="320"/>
      <c r="CE39" s="320"/>
      <c r="CF39" s="320"/>
      <c r="CG39" s="320"/>
      <c r="CH39" s="320"/>
      <c r="CI39" s="320"/>
      <c r="CJ39" s="320"/>
      <c r="CK39" s="320"/>
      <c r="CL39" s="320"/>
      <c r="CM39" s="320"/>
      <c r="CN39" s="320"/>
      <c r="CO39" s="320"/>
      <c r="CP39" s="320"/>
      <c r="CQ39" s="320"/>
      <c r="CR39" s="320"/>
      <c r="CS39" s="320"/>
      <c r="CT39" s="320"/>
      <c r="CU39" s="320"/>
      <c r="CV39" s="320"/>
      <c r="CW39" s="320"/>
      <c r="CX39" s="320"/>
      <c r="CY39" s="320"/>
      <c r="CZ39" s="320"/>
      <c r="DA39" s="320"/>
      <c r="DB39" s="320"/>
      <c r="DC39" s="320"/>
      <c r="DD39" s="320"/>
      <c r="DE39" s="320"/>
      <c r="DF39" s="320"/>
      <c r="DG39" s="320"/>
      <c r="DH39" s="320"/>
      <c r="DI39" s="320"/>
      <c r="DJ39" s="320"/>
      <c r="DK39" s="320"/>
      <c r="DL39" s="320"/>
      <c r="DM39" s="320"/>
      <c r="DN39" s="320"/>
      <c r="DO39" s="320"/>
      <c r="DP39" s="320"/>
      <c r="DQ39" s="320"/>
      <c r="DR39" s="320"/>
      <c r="DS39" s="320"/>
      <c r="DT39" s="320"/>
      <c r="DU39" s="320"/>
      <c r="DV39" s="320"/>
      <c r="DW39" s="320"/>
      <c r="DX39" s="320"/>
      <c r="DY39" s="320"/>
      <c r="DZ39" s="320"/>
      <c r="EA39" s="320"/>
      <c r="EB39" s="320"/>
      <c r="EC39" s="320"/>
      <c r="ED39" s="320"/>
      <c r="EE39" s="320"/>
      <c r="EF39" s="320"/>
      <c r="EG39" s="320"/>
      <c r="EH39" s="320"/>
      <c r="EI39" s="320"/>
      <c r="EJ39" s="320"/>
      <c r="EK39" s="320"/>
      <c r="EL39" s="320"/>
      <c r="EM39" s="320"/>
      <c r="EN39" s="320"/>
      <c r="EO39" s="320"/>
      <c r="EP39" s="320"/>
      <c r="EQ39" s="320"/>
      <c r="ER39" s="320"/>
      <c r="ES39" s="320"/>
      <c r="ET39" s="320"/>
      <c r="EU39" s="320"/>
      <c r="EV39" s="320"/>
      <c r="EW39" s="320"/>
      <c r="EX39" s="320"/>
      <c r="EY39" s="320"/>
      <c r="EZ39" s="320"/>
      <c r="FA39" s="320"/>
      <c r="FB39" s="320"/>
      <c r="FC39" s="320"/>
      <c r="FD39" s="320"/>
      <c r="FE39" s="320"/>
      <c r="FF39" s="320"/>
      <c r="FG39" s="320"/>
      <c r="FH39" s="320"/>
      <c r="FI39" s="320"/>
      <c r="FJ39" s="320"/>
      <c r="FK39" s="320"/>
      <c r="FL39" s="320"/>
      <c r="FM39" s="320"/>
      <c r="FN39" s="320"/>
      <c r="FO39" s="320"/>
      <c r="FP39" s="320"/>
      <c r="FQ39" s="320"/>
      <c r="FR39" s="320"/>
      <c r="FS39" s="320"/>
      <c r="FT39" s="320"/>
      <c r="FU39" s="320"/>
      <c r="FV39" s="320"/>
      <c r="FW39" s="320"/>
      <c r="FX39" s="320"/>
      <c r="FY39" s="320"/>
      <c r="FZ39" s="320"/>
      <c r="GA39" s="320"/>
      <c r="GB39" s="320"/>
      <c r="GC39" s="320"/>
      <c r="GD39" s="320"/>
      <c r="GE39" s="320"/>
      <c r="GF39" s="320"/>
      <c r="GG39" s="320"/>
      <c r="GH39" s="320"/>
      <c r="GI39" s="320"/>
      <c r="GJ39" s="320"/>
      <c r="GK39" s="320"/>
      <c r="GL39" s="320"/>
      <c r="GM39" s="320"/>
      <c r="GN39" s="320"/>
      <c r="GO39" s="320"/>
      <c r="GP39" s="320"/>
      <c r="GQ39" s="320"/>
      <c r="GR39" s="320"/>
      <c r="GS39" s="320"/>
      <c r="GT39" s="320"/>
      <c r="GU39" s="320"/>
      <c r="GV39" s="320"/>
      <c r="GW39" s="320"/>
      <c r="GX39" s="320"/>
      <c r="GY39" s="320"/>
      <c r="GZ39" s="320"/>
      <c r="HA39" s="320"/>
      <c r="HB39" s="320"/>
      <c r="HC39" s="320"/>
      <c r="HD39" s="320"/>
      <c r="HE39" s="320"/>
      <c r="HF39" s="320"/>
      <c r="HG39" s="320"/>
      <c r="HH39" s="320"/>
      <c r="HI39" s="320"/>
      <c r="HJ39" s="320"/>
      <c r="HK39" s="320"/>
      <c r="HL39" s="320"/>
      <c r="HM39" s="320"/>
      <c r="HN39" s="320"/>
      <c r="HO39" s="320"/>
      <c r="HP39" s="320"/>
      <c r="HQ39" s="320"/>
      <c r="HR39" s="320"/>
      <c r="HS39" s="320"/>
      <c r="HT39" s="320"/>
      <c r="HU39" s="320"/>
      <c r="HV39" s="320"/>
      <c r="HW39" s="320"/>
      <c r="HX39" s="320"/>
      <c r="HY39" s="320"/>
      <c r="HZ39" s="320"/>
      <c r="IA39" s="320"/>
      <c r="IB39" s="320"/>
      <c r="IC39" s="320"/>
      <c r="ID39" s="320"/>
      <c r="IE39" s="320"/>
      <c r="IF39" s="320"/>
      <c r="IG39" s="320"/>
      <c r="IH39" s="320"/>
      <c r="II39" s="320"/>
      <c r="IJ39" s="320"/>
      <c r="IK39" s="320"/>
      <c r="IL39" s="320"/>
      <c r="IM39" s="320"/>
      <c r="IN39" s="320"/>
      <c r="IO39" s="320"/>
      <c r="IP39" s="320"/>
      <c r="IQ39" s="320"/>
      <c r="IR39" s="320"/>
      <c r="IS39" s="320"/>
      <c r="IT39" s="320"/>
      <c r="IU39" s="320"/>
      <c r="IV39" s="320"/>
      <c r="IW39" s="320"/>
      <c r="IX39" s="320"/>
      <c r="IY39" s="320"/>
      <c r="IZ39" s="320"/>
      <c r="JA39" s="320"/>
      <c r="JB39" s="320"/>
      <c r="JC39" s="320"/>
      <c r="JD39" s="320"/>
      <c r="JE39" s="320"/>
      <c r="JF39" s="320"/>
      <c r="JG39" s="320"/>
      <c r="JH39" s="320"/>
      <c r="JI39" s="320"/>
      <c r="JJ39" s="320"/>
      <c r="JK39" s="320"/>
      <c r="JL39" s="320"/>
      <c r="JM39" s="320"/>
      <c r="JN39" s="320"/>
      <c r="JO39" s="320"/>
      <c r="JP39" s="320"/>
      <c r="JQ39" s="320"/>
      <c r="JR39" s="320"/>
      <c r="JS39" s="320"/>
      <c r="JT39" s="320"/>
      <c r="JU39" s="320"/>
      <c r="JV39" s="320"/>
      <c r="JW39" s="320"/>
      <c r="JX39" s="320"/>
      <c r="JY39" s="320"/>
      <c r="JZ39" s="320"/>
      <c r="KA39" s="320"/>
      <c r="KB39" s="320"/>
      <c r="KC39" s="320"/>
      <c r="KD39" s="320"/>
      <c r="KE39" s="320"/>
      <c r="KF39" s="320"/>
      <c r="KG39" s="320"/>
      <c r="KH39" s="320"/>
      <c r="KI39" s="320"/>
      <c r="KJ39" s="320"/>
      <c r="KK39" s="320"/>
      <c r="KL39" s="320"/>
      <c r="KM39" s="320"/>
      <c r="KN39" s="320"/>
      <c r="KO39" s="320"/>
      <c r="KP39" s="320"/>
      <c r="KQ39" s="320"/>
      <c r="KR39" s="320"/>
      <c r="KS39" s="320"/>
      <c r="KT39" s="320"/>
      <c r="KU39" s="320"/>
      <c r="KV39" s="320"/>
      <c r="KW39" s="320"/>
      <c r="KX39" s="320"/>
      <c r="KY39" s="320"/>
      <c r="KZ39" s="320"/>
      <c r="LA39" s="320"/>
      <c r="LB39" s="320"/>
      <c r="LC39" s="320"/>
      <c r="LD39" s="320"/>
      <c r="LE39" s="320"/>
      <c r="LF39" s="320"/>
      <c r="LG39" s="320"/>
      <c r="LH39" s="320"/>
      <c r="LI39" s="320"/>
      <c r="LJ39" s="320"/>
      <c r="LK39" s="320"/>
      <c r="LL39" s="320"/>
      <c r="LM39" s="320"/>
      <c r="LN39" s="320"/>
      <c r="LO39" s="320"/>
      <c r="LP39" s="320"/>
      <c r="LQ39" s="320"/>
      <c r="LR39" s="320"/>
      <c r="LS39" s="320"/>
      <c r="LT39" s="320"/>
      <c r="LU39" s="320"/>
      <c r="LV39" s="320"/>
      <c r="LW39" s="320"/>
      <c r="LX39" s="320"/>
      <c r="LY39" s="320"/>
      <c r="LZ39" s="320"/>
      <c r="MA39" s="320"/>
      <c r="MB39" s="320"/>
      <c r="MC39" s="320"/>
      <c r="MD39" s="320"/>
      <c r="ME39" s="320"/>
      <c r="MF39" s="320"/>
      <c r="MG39" s="320"/>
      <c r="MH39" s="320"/>
      <c r="MI39" s="320"/>
      <c r="MJ39" s="320"/>
      <c r="MK39" s="320"/>
      <c r="ML39" s="320"/>
      <c r="MM39" s="320"/>
      <c r="MN39" s="320"/>
      <c r="MO39" s="320"/>
      <c r="MP39" s="320"/>
      <c r="MQ39" s="320"/>
      <c r="MR39" s="320"/>
      <c r="MS39" s="320"/>
      <c r="MT39" s="320"/>
      <c r="MU39" s="320"/>
      <c r="MV39" s="320"/>
      <c r="MW39" s="320"/>
      <c r="MX39" s="320"/>
      <c r="MY39" s="320"/>
      <c r="MZ39" s="320"/>
      <c r="NA39" s="320"/>
      <c r="NB39" s="320"/>
      <c r="NC39" s="320"/>
      <c r="ND39" s="320"/>
      <c r="NE39" s="320"/>
      <c r="NF39" s="320"/>
      <c r="NG39" s="320"/>
      <c r="NH39" s="320"/>
      <c r="NI39" s="320"/>
      <c r="NJ39" s="320"/>
      <c r="NK39" s="320"/>
      <c r="NL39" s="320"/>
      <c r="NM39" s="320"/>
      <c r="NN39" s="320"/>
      <c r="NO39" s="320"/>
      <c r="NP39" s="320"/>
      <c r="NQ39" s="320"/>
      <c r="NR39" s="320"/>
      <c r="NS39" s="320"/>
      <c r="NT39" s="320"/>
      <c r="NU39" s="320"/>
      <c r="NV39" s="320"/>
      <c r="NW39" s="320"/>
      <c r="NX39" s="320"/>
      <c r="NY39" s="320"/>
      <c r="NZ39" s="320"/>
      <c r="OA39" s="320"/>
      <c r="OB39" s="320"/>
      <c r="OC39" s="320"/>
      <c r="OD39" s="320"/>
      <c r="OE39" s="320"/>
      <c r="OF39" s="320"/>
      <c r="OG39" s="321"/>
      <c r="OH39" s="321"/>
      <c r="OI39" s="321"/>
      <c r="OJ39" s="321"/>
      <c r="OK39" s="321"/>
      <c r="OL39" s="321"/>
      <c r="OM39" s="321"/>
      <c r="ON39" s="321"/>
      <c r="OO39" s="321"/>
      <c r="OP39" s="321"/>
      <c r="OQ39" s="321"/>
      <c r="OR39" s="321"/>
      <c r="OS39" s="321"/>
    </row>
    <row r="40" spans="1:409" ht="31" customHeight="1">
      <c r="A40" s="415" t="s">
        <v>473</v>
      </c>
      <c r="B40" s="415"/>
      <c r="C40" s="415"/>
      <c r="D40" s="415"/>
      <c r="E40" s="415"/>
      <c r="F40" s="415"/>
      <c r="G40" s="415"/>
      <c r="H40" s="415"/>
      <c r="I40" s="415"/>
      <c r="J40" s="415"/>
      <c r="K40" s="415"/>
      <c r="L40" s="415"/>
      <c r="M40" s="415"/>
      <c r="N40" s="415"/>
      <c r="O40" s="415"/>
      <c r="P40" s="415"/>
      <c r="Q40" s="415"/>
      <c r="R40" s="415"/>
      <c r="S40" s="415"/>
      <c r="T40" s="415"/>
      <c r="U40" s="415"/>
      <c r="V40" s="415"/>
      <c r="W40" s="415"/>
      <c r="X40" s="415"/>
      <c r="Y40" s="415"/>
      <c r="Z40" s="415"/>
      <c r="AA40" s="415"/>
      <c r="AB40" s="415"/>
      <c r="AC40" s="415"/>
      <c r="AD40" s="415"/>
      <c r="AE40" s="415"/>
      <c r="AF40" s="415"/>
      <c r="AG40" s="415"/>
      <c r="AH40" s="415"/>
      <c r="AI40" s="415"/>
      <c r="AZ40" s="321"/>
      <c r="BA40" s="321"/>
      <c r="BB40" s="321"/>
      <c r="BC40" s="321"/>
      <c r="BD40" s="321"/>
      <c r="BE40" s="321"/>
      <c r="BF40" s="321"/>
      <c r="BG40" s="321"/>
      <c r="BH40" s="321"/>
      <c r="BI40" s="321"/>
      <c r="BJ40" s="321"/>
      <c r="BK40" s="321"/>
      <c r="BL40" s="321"/>
      <c r="BM40" s="321"/>
      <c r="BN40" s="321"/>
      <c r="BO40" s="321"/>
      <c r="BP40" s="321"/>
      <c r="BQ40" s="321"/>
      <c r="BR40" s="321"/>
      <c r="BS40" s="321"/>
      <c r="BT40" s="321"/>
      <c r="BU40" s="321"/>
      <c r="BV40" s="321"/>
      <c r="BW40" s="321"/>
      <c r="BX40" s="321"/>
      <c r="BY40" s="321"/>
      <c r="BZ40" s="321"/>
      <c r="CA40" s="321"/>
      <c r="CB40" s="321"/>
      <c r="CC40" s="321"/>
      <c r="CD40" s="321"/>
      <c r="CE40" s="321"/>
      <c r="CF40" s="321"/>
      <c r="CG40" s="321"/>
      <c r="CH40" s="321"/>
      <c r="CI40" s="321"/>
      <c r="CJ40" s="321"/>
      <c r="CK40" s="321"/>
      <c r="CL40" s="321"/>
      <c r="CM40" s="321"/>
      <c r="CN40" s="321"/>
      <c r="CO40" s="321"/>
      <c r="CP40" s="321"/>
      <c r="CQ40" s="321"/>
      <c r="CR40" s="321"/>
      <c r="CS40" s="321"/>
      <c r="CT40" s="321"/>
      <c r="CU40" s="321"/>
      <c r="CV40" s="321"/>
      <c r="CW40" s="321"/>
      <c r="CX40" s="321"/>
      <c r="CY40" s="321"/>
      <c r="CZ40" s="321"/>
      <c r="DA40" s="321"/>
      <c r="DB40" s="321"/>
      <c r="DC40" s="321"/>
      <c r="DD40" s="321"/>
      <c r="DE40" s="321"/>
      <c r="DF40" s="321"/>
      <c r="DG40" s="321"/>
      <c r="DH40" s="321"/>
      <c r="DI40" s="321"/>
      <c r="DJ40" s="321"/>
      <c r="DK40" s="321"/>
      <c r="DL40" s="321"/>
      <c r="DM40" s="321"/>
      <c r="DN40" s="321"/>
      <c r="DO40" s="321"/>
      <c r="DP40" s="321"/>
      <c r="DQ40" s="321"/>
      <c r="DR40" s="321"/>
      <c r="DS40" s="321"/>
      <c r="DT40" s="321"/>
      <c r="DU40" s="321"/>
      <c r="DV40" s="321"/>
      <c r="DW40" s="321"/>
      <c r="DX40" s="321"/>
      <c r="DY40" s="321"/>
      <c r="DZ40" s="321"/>
      <c r="EA40" s="321"/>
      <c r="EB40" s="321"/>
      <c r="EC40" s="321"/>
      <c r="ED40" s="321"/>
      <c r="EE40" s="321"/>
      <c r="EF40" s="321"/>
      <c r="EG40" s="321"/>
      <c r="EH40" s="321"/>
      <c r="EI40" s="321"/>
      <c r="EJ40" s="321"/>
      <c r="EK40" s="321"/>
      <c r="EL40" s="321"/>
      <c r="EM40" s="321"/>
      <c r="EN40" s="321"/>
      <c r="EO40" s="321"/>
      <c r="EP40" s="321"/>
      <c r="EQ40" s="321"/>
      <c r="ER40" s="321"/>
      <c r="ES40" s="321"/>
      <c r="ET40" s="321"/>
      <c r="EU40" s="321"/>
      <c r="EV40" s="321"/>
      <c r="EW40" s="321"/>
      <c r="EX40" s="321"/>
      <c r="EY40" s="321"/>
      <c r="EZ40" s="321"/>
      <c r="FA40" s="321"/>
      <c r="FB40" s="321"/>
      <c r="FC40" s="321"/>
      <c r="FD40" s="321"/>
      <c r="FE40" s="321"/>
      <c r="FF40" s="321"/>
      <c r="FG40" s="321"/>
      <c r="FH40" s="321"/>
      <c r="FI40" s="321"/>
      <c r="FJ40" s="321"/>
      <c r="FK40" s="321"/>
      <c r="FL40" s="321"/>
      <c r="FM40" s="321"/>
      <c r="FN40" s="321"/>
      <c r="FO40" s="321"/>
      <c r="FP40" s="321"/>
      <c r="FQ40" s="321"/>
      <c r="FR40" s="321"/>
      <c r="FS40" s="321"/>
      <c r="FT40" s="321"/>
      <c r="FU40" s="321"/>
      <c r="FV40" s="321"/>
      <c r="FW40" s="321"/>
      <c r="FX40" s="321"/>
      <c r="FY40" s="321"/>
      <c r="FZ40" s="321"/>
      <c r="GA40" s="321"/>
      <c r="GB40" s="321"/>
      <c r="GC40" s="321"/>
      <c r="GD40" s="321"/>
      <c r="GE40" s="321"/>
      <c r="GF40" s="321"/>
      <c r="GG40" s="321"/>
      <c r="GH40" s="321"/>
      <c r="GI40" s="321"/>
      <c r="GJ40" s="321"/>
      <c r="GK40" s="321"/>
      <c r="GL40" s="321"/>
      <c r="GM40" s="321"/>
      <c r="GN40" s="321"/>
      <c r="GO40" s="321"/>
      <c r="GP40" s="321"/>
      <c r="GQ40" s="321"/>
      <c r="GR40" s="321"/>
      <c r="GS40" s="321"/>
      <c r="GT40" s="321"/>
      <c r="GU40" s="321"/>
      <c r="GV40" s="321"/>
      <c r="GW40" s="321"/>
      <c r="GX40" s="321"/>
      <c r="GY40" s="321"/>
      <c r="GZ40" s="321"/>
      <c r="HA40" s="321"/>
      <c r="HB40" s="321"/>
      <c r="HC40" s="321"/>
      <c r="HD40" s="321"/>
      <c r="HE40" s="321"/>
      <c r="HF40" s="321"/>
      <c r="HG40" s="321"/>
      <c r="HH40" s="321"/>
      <c r="HI40" s="321"/>
      <c r="HJ40" s="321"/>
      <c r="HK40" s="321"/>
      <c r="HL40" s="321"/>
      <c r="HM40" s="321"/>
      <c r="HN40" s="321"/>
      <c r="HO40" s="321"/>
      <c r="HP40" s="321"/>
      <c r="HQ40" s="321"/>
      <c r="HR40" s="321"/>
      <c r="HS40" s="321"/>
      <c r="HT40" s="321"/>
      <c r="HU40" s="321"/>
      <c r="HV40" s="321"/>
      <c r="HW40" s="321"/>
      <c r="HX40" s="321"/>
      <c r="HY40" s="321"/>
      <c r="HZ40" s="321"/>
      <c r="IA40" s="321"/>
      <c r="IB40" s="321"/>
      <c r="IC40" s="321"/>
      <c r="ID40" s="321"/>
      <c r="IE40" s="321"/>
      <c r="IF40" s="321"/>
      <c r="IG40" s="321"/>
      <c r="IH40" s="321"/>
      <c r="II40" s="321"/>
      <c r="IJ40" s="321"/>
      <c r="IK40" s="321"/>
      <c r="IL40" s="321"/>
      <c r="IM40" s="321"/>
      <c r="IN40" s="321"/>
      <c r="IO40" s="321"/>
      <c r="IP40" s="321"/>
      <c r="IQ40" s="321"/>
      <c r="IR40" s="321"/>
      <c r="IS40" s="321"/>
      <c r="IT40" s="321"/>
      <c r="IU40" s="321"/>
      <c r="IV40" s="321"/>
      <c r="IW40" s="321"/>
      <c r="IX40" s="321"/>
      <c r="IY40" s="321"/>
      <c r="IZ40" s="321"/>
      <c r="JA40" s="321"/>
      <c r="JB40" s="321"/>
      <c r="JC40" s="321"/>
      <c r="JD40" s="321"/>
      <c r="JE40" s="321"/>
      <c r="JF40" s="321"/>
      <c r="JG40" s="321"/>
      <c r="JH40" s="321"/>
      <c r="JI40" s="321"/>
      <c r="JJ40" s="321"/>
      <c r="JK40" s="321"/>
      <c r="JL40" s="321"/>
      <c r="JM40" s="321"/>
      <c r="JN40" s="321"/>
      <c r="JO40" s="321"/>
      <c r="JP40" s="321"/>
      <c r="JQ40" s="321"/>
      <c r="JR40" s="321"/>
      <c r="JS40" s="321"/>
      <c r="JT40" s="321"/>
      <c r="JU40" s="321"/>
      <c r="JV40" s="321"/>
      <c r="JW40" s="321"/>
      <c r="JX40" s="321"/>
      <c r="JY40" s="321"/>
      <c r="JZ40" s="321"/>
      <c r="KA40" s="321"/>
      <c r="KB40" s="321"/>
      <c r="KC40" s="321"/>
      <c r="KD40" s="321"/>
      <c r="KE40" s="321"/>
      <c r="KF40" s="321"/>
      <c r="KG40" s="321"/>
      <c r="KH40" s="321"/>
      <c r="KI40" s="321"/>
      <c r="KJ40" s="321"/>
      <c r="KK40" s="321"/>
      <c r="KL40" s="321"/>
      <c r="KM40" s="321"/>
      <c r="KN40" s="321"/>
      <c r="KO40" s="321"/>
      <c r="KP40" s="321"/>
      <c r="KQ40" s="321"/>
      <c r="KR40" s="321"/>
      <c r="KS40" s="321"/>
      <c r="KT40" s="321"/>
      <c r="KU40" s="321"/>
      <c r="KV40" s="321"/>
      <c r="KW40" s="321"/>
      <c r="KX40" s="321"/>
      <c r="KY40" s="321"/>
      <c r="KZ40" s="321"/>
      <c r="LA40" s="321"/>
      <c r="LB40" s="321"/>
      <c r="LC40" s="321"/>
      <c r="LD40" s="321"/>
      <c r="LE40" s="321"/>
      <c r="LF40" s="321"/>
      <c r="LG40" s="321"/>
      <c r="LH40" s="321"/>
      <c r="LI40" s="321"/>
      <c r="LJ40" s="321"/>
      <c r="LK40" s="321"/>
      <c r="LL40" s="321"/>
      <c r="LM40" s="321"/>
      <c r="LN40" s="321"/>
      <c r="LO40" s="321"/>
      <c r="LP40" s="321"/>
      <c r="LQ40" s="321"/>
      <c r="LR40" s="321"/>
      <c r="LS40" s="321"/>
      <c r="LT40" s="321"/>
      <c r="LU40" s="321"/>
      <c r="LV40" s="321"/>
      <c r="LW40" s="321"/>
      <c r="LX40" s="321"/>
      <c r="LY40" s="321"/>
      <c r="LZ40" s="321"/>
      <c r="MA40" s="321"/>
      <c r="MB40" s="321"/>
      <c r="MC40" s="321"/>
      <c r="MD40" s="321"/>
      <c r="ME40" s="321"/>
      <c r="MF40" s="321"/>
      <c r="MG40" s="321"/>
      <c r="MH40" s="321"/>
      <c r="MI40" s="321"/>
      <c r="MJ40" s="321"/>
      <c r="MK40" s="321"/>
      <c r="ML40" s="321"/>
      <c r="MM40" s="321"/>
      <c r="MN40" s="321"/>
      <c r="MO40" s="321"/>
      <c r="MP40" s="321"/>
      <c r="MQ40" s="321"/>
      <c r="MR40" s="321"/>
      <c r="MS40" s="321"/>
      <c r="MT40" s="321"/>
      <c r="MU40" s="321"/>
      <c r="MV40" s="321"/>
      <c r="MW40" s="321"/>
      <c r="MX40" s="321"/>
      <c r="MY40" s="321"/>
      <c r="MZ40" s="321"/>
      <c r="NA40" s="321"/>
      <c r="NB40" s="321"/>
      <c r="NC40" s="321"/>
      <c r="ND40" s="321"/>
      <c r="NE40" s="321"/>
      <c r="NF40" s="321"/>
      <c r="NG40" s="321"/>
      <c r="NH40" s="321"/>
      <c r="NI40" s="321"/>
      <c r="NJ40" s="321"/>
      <c r="NK40" s="321"/>
      <c r="NL40" s="321"/>
      <c r="NM40" s="321"/>
      <c r="NN40" s="321"/>
      <c r="NO40" s="321"/>
      <c r="NP40" s="321"/>
      <c r="NQ40" s="321"/>
      <c r="NR40" s="321"/>
      <c r="NS40" s="321"/>
      <c r="NT40" s="321"/>
      <c r="NU40" s="321"/>
      <c r="NV40" s="321"/>
      <c r="NW40" s="321"/>
      <c r="NX40" s="321"/>
      <c r="NY40" s="321"/>
      <c r="NZ40" s="321"/>
      <c r="OA40" s="321"/>
      <c r="OB40" s="321"/>
      <c r="OC40" s="321"/>
      <c r="OD40" s="321"/>
      <c r="OE40" s="321"/>
      <c r="OF40" s="321"/>
      <c r="OG40" s="321"/>
      <c r="OH40" s="321"/>
      <c r="OI40" s="321"/>
      <c r="OJ40" s="321"/>
      <c r="OK40" s="321"/>
      <c r="OL40" s="321"/>
      <c r="OM40" s="321"/>
      <c r="ON40" s="321"/>
      <c r="OO40" s="321"/>
      <c r="OP40" s="321"/>
      <c r="OQ40" s="321"/>
      <c r="OR40" s="321"/>
      <c r="OS40" s="321"/>
    </row>
    <row r="41" spans="1:409">
      <c r="A41" s="64" t="s">
        <v>599</v>
      </c>
      <c r="B41" s="64" t="s">
        <v>582</v>
      </c>
      <c r="C41" s="64">
        <v>1.022104606258404</v>
      </c>
      <c r="D41" s="64">
        <v>4.3399559340197007E-2</v>
      </c>
      <c r="E41" s="64">
        <v>8.7014495843620702E-4</v>
      </c>
      <c r="F41" s="64">
        <v>9.9769529593651159E-3</v>
      </c>
      <c r="G41" s="64">
        <v>0</v>
      </c>
      <c r="H41" s="64">
        <v>1.6610023799137411E-2</v>
      </c>
      <c r="I41" s="64">
        <v>0.2583304870423071</v>
      </c>
      <c r="J41" s="64">
        <v>1.062622321396056E-2</v>
      </c>
      <c r="K41" s="64">
        <v>0.28080408666027917</v>
      </c>
      <c r="L41" s="64">
        <v>3.6960404907737887E-2</v>
      </c>
      <c r="M41" s="64">
        <v>0.1058113726518717</v>
      </c>
      <c r="N41" s="64">
        <v>5.6421081923248843E-2</v>
      </c>
      <c r="O41" s="64">
        <v>5.3719007362455348E-3</v>
      </c>
      <c r="P41" s="64">
        <v>2.2814782889937551E-3</v>
      </c>
      <c r="Q41" s="64">
        <v>1.283060152219088E-3</v>
      </c>
      <c r="R41" s="64">
        <v>1.9038206842046919E-3</v>
      </c>
      <c r="S41" s="64">
        <v>1.8528249562597351E-2</v>
      </c>
      <c r="T41" s="64">
        <v>8.5471183266401247E-4</v>
      </c>
      <c r="U41" s="64">
        <v>4.6920096222484648E-4</v>
      </c>
      <c r="V41" s="64">
        <v>7.6497965230180724E-4</v>
      </c>
      <c r="W41" s="64">
        <v>1.2006097862911109E-2</v>
      </c>
      <c r="X41" s="64">
        <v>4.3521552209728146E-3</v>
      </c>
      <c r="Y41" s="64">
        <v>2.539929445250719E-4</v>
      </c>
      <c r="Z41" s="64">
        <v>2.4175771861609991E-3</v>
      </c>
      <c r="AA41" s="64">
        <v>3.782152388231391E-3</v>
      </c>
      <c r="AB41" s="64">
        <v>5.2269419791010803E-3</v>
      </c>
      <c r="AC41" s="64">
        <v>1.2642093620323879E-2</v>
      </c>
      <c r="AD41" s="64">
        <v>4.6856182459086961E-3</v>
      </c>
      <c r="AE41" s="64">
        <v>5.8451316731704243E-4</v>
      </c>
      <c r="AF41" s="64">
        <v>1.3778201912850009E-3</v>
      </c>
      <c r="AG41" s="64">
        <v>7.2350772450391733E-4</v>
      </c>
      <c r="AH41" s="64">
        <v>6.2463781301582812E-3</v>
      </c>
      <c r="AI41" s="64">
        <v>4.5956857196673721E-3</v>
      </c>
      <c r="AJ41" s="64">
        <v>1.665510943305257E-4</v>
      </c>
      <c r="AK41" s="64">
        <v>1.665510943305257E-4</v>
      </c>
      <c r="AL41" s="64">
        <v>1.665510943305257E-4</v>
      </c>
      <c r="AM41" s="64">
        <v>1.665510943305257E-4</v>
      </c>
      <c r="AN41" s="64">
        <v>0</v>
      </c>
      <c r="AO41" s="64">
        <v>5.7808210518954951E-4</v>
      </c>
      <c r="AP41" s="64">
        <v>5.7808210518954951E-4</v>
      </c>
      <c r="AQ41" s="64">
        <v>5.7808210518954951E-4</v>
      </c>
      <c r="AR41" s="64">
        <v>5.7808210518954951E-4</v>
      </c>
      <c r="AS41" s="64">
        <v>5.7808210518954951E-4</v>
      </c>
      <c r="AT41" s="64">
        <v>5.7808210518954951E-4</v>
      </c>
      <c r="AU41" s="64">
        <v>5.7808210518954951E-4</v>
      </c>
      <c r="AV41" s="64">
        <v>1.2777729459220231E-4</v>
      </c>
      <c r="AW41" s="64">
        <v>1.2777729459220231E-4</v>
      </c>
      <c r="AX41" s="64">
        <v>4.8467249672904308E-5</v>
      </c>
      <c r="AY41" s="64">
        <v>4.8467249672904308E-5</v>
      </c>
      <c r="AZ41" s="64">
        <v>3.304585204970748E-4</v>
      </c>
      <c r="BA41" s="64">
        <v>3.6130131574346837E-5</v>
      </c>
      <c r="BB41" s="64">
        <v>2.379301347578938E-5</v>
      </c>
      <c r="BC41" s="64">
        <v>2.5555458918440448E-5</v>
      </c>
      <c r="BD41" s="64">
        <v>4.9348472394229842E-5</v>
      </c>
      <c r="BE41" s="64">
        <v>5.1992140558206431E-5</v>
      </c>
      <c r="BF41" s="64">
        <v>8.8122272132553292E-6</v>
      </c>
      <c r="BG41" s="64">
        <v>2.2030568033138319E-5</v>
      </c>
      <c r="BH41" s="64">
        <v>1.2337118098557461E-5</v>
      </c>
      <c r="BI41" s="64">
        <v>1.586200898385959E-5</v>
      </c>
      <c r="BJ41" s="64">
        <v>1.7448209882245551E-4</v>
      </c>
      <c r="BK41" s="64">
        <v>1.8505677147836189E-5</v>
      </c>
      <c r="BL41" s="64">
        <v>6.1685590492787286E-6</v>
      </c>
      <c r="BM41" s="64">
        <v>8.8122272132553273E-7</v>
      </c>
      <c r="BN41" s="64">
        <v>8.8122272132553273E-7</v>
      </c>
      <c r="BO41" s="64">
        <v>1.321834081988299E-5</v>
      </c>
      <c r="BP41" s="64">
        <v>1.321834081988299E-5</v>
      </c>
      <c r="BQ41" s="64">
        <v>2.870455451189684E-5</v>
      </c>
      <c r="BR41" s="64">
        <v>2.870455451189684E-5</v>
      </c>
      <c r="BS41" s="64">
        <v>2.870455451189684E-5</v>
      </c>
      <c r="BT41" s="64">
        <v>2.870455451189684E-5</v>
      </c>
      <c r="BU41" s="64">
        <v>0</v>
      </c>
      <c r="BV41" s="64">
        <v>6.2421015367140751E-5</v>
      </c>
      <c r="BW41" s="64">
        <v>6.2421015367140751E-5</v>
      </c>
      <c r="BX41" s="64">
        <v>6.2421015367140751E-5</v>
      </c>
      <c r="BY41" s="64">
        <v>6.2421015367140751E-5</v>
      </c>
      <c r="BZ41" s="64">
        <v>6.2421015367140751E-5</v>
      </c>
      <c r="CA41" s="64">
        <v>6.2421015367140751E-5</v>
      </c>
      <c r="CB41" s="64">
        <v>6.2421015367140751E-5</v>
      </c>
      <c r="CC41" s="64">
        <v>2.095888107217865E-5</v>
      </c>
      <c r="CD41" s="64">
        <v>2.095888107217865E-5</v>
      </c>
      <c r="CE41" s="64">
        <v>5.0119063433470676E-6</v>
      </c>
      <c r="CF41" s="64">
        <v>5.0119063433470676E-6</v>
      </c>
      <c r="CG41" s="64">
        <v>1.640260257822677E-5</v>
      </c>
      <c r="CH41" s="64">
        <v>2.27813924697594E-6</v>
      </c>
      <c r="CI41" s="64">
        <v>2.733767096371128E-6</v>
      </c>
      <c r="CJ41" s="64">
        <v>1.8225113975807519E-6</v>
      </c>
      <c r="CK41" s="64">
        <v>5.0119063433470676E-6</v>
      </c>
      <c r="CL41" s="64">
        <v>5.4675341927422559E-6</v>
      </c>
      <c r="CM41" s="64">
        <v>1.8225113975807519E-6</v>
      </c>
      <c r="CN41" s="64">
        <v>1.8225113975807519E-6</v>
      </c>
      <c r="CO41" s="64">
        <v>1.8225113975807519E-6</v>
      </c>
      <c r="CP41" s="64">
        <v>2.27813924697594E-6</v>
      </c>
      <c r="CQ41" s="64">
        <v>1.093506838548451E-5</v>
      </c>
      <c r="CR41" s="64">
        <v>4.5562784939518801E-6</v>
      </c>
      <c r="CS41" s="64">
        <v>1.366883548185564E-6</v>
      </c>
      <c r="CT41" s="64">
        <v>4.5562784939518792E-7</v>
      </c>
      <c r="CU41" s="64">
        <v>0</v>
      </c>
      <c r="CV41" s="64">
        <v>1.8225113975807519E-6</v>
      </c>
      <c r="CW41" s="64">
        <v>1.8225113975807519E-6</v>
      </c>
      <c r="CX41" s="64">
        <v>3.412369236100583E-6</v>
      </c>
      <c r="CY41" s="64">
        <v>3.412369236100583E-6</v>
      </c>
      <c r="CZ41" s="64">
        <v>3.412369236100583E-6</v>
      </c>
      <c r="DA41" s="64">
        <v>3.412369236100583E-6</v>
      </c>
      <c r="DB41" s="64">
        <v>0</v>
      </c>
      <c r="DC41" s="64">
        <v>6.1422646249810497E-6</v>
      </c>
      <c r="DD41" s="64">
        <v>6.1422646249810497E-6</v>
      </c>
      <c r="DE41" s="64">
        <v>6.1422646249810497E-6</v>
      </c>
      <c r="DF41" s="64">
        <v>6.1422646249810497E-6</v>
      </c>
      <c r="DG41" s="64">
        <v>6.1422646249810497E-6</v>
      </c>
      <c r="DH41" s="64">
        <v>6.1422646249810497E-6</v>
      </c>
      <c r="DI41" s="64">
        <v>6.1422646249810497E-6</v>
      </c>
      <c r="DJ41" s="64">
        <v>5.4597907777609326E-6</v>
      </c>
      <c r="DK41" s="64">
        <v>5.4597907777609326E-6</v>
      </c>
      <c r="DL41" s="64">
        <v>2.7298953888804659E-6</v>
      </c>
      <c r="DM41" s="64">
        <v>2.7298953888804659E-6</v>
      </c>
      <c r="DN41" s="64">
        <v>6.8247384722011668E-6</v>
      </c>
      <c r="DO41" s="64">
        <v>2.04742154166035E-6</v>
      </c>
      <c r="DP41" s="64">
        <v>1.3649476944402329E-6</v>
      </c>
      <c r="DQ41" s="64">
        <v>2.04742154166035E-6</v>
      </c>
      <c r="DR41" s="64">
        <v>4.0948430833207001E-6</v>
      </c>
      <c r="DS41" s="64">
        <v>3.412369236100583E-6</v>
      </c>
      <c r="DT41" s="64">
        <v>1.3649476944402329E-6</v>
      </c>
      <c r="DU41" s="64">
        <v>2.04742154166035E-6</v>
      </c>
      <c r="DV41" s="64">
        <v>1.3649476944402329E-6</v>
      </c>
      <c r="DW41" s="64">
        <v>1.3649476944402329E-6</v>
      </c>
      <c r="DX41" s="64">
        <v>4.0948430833207001E-6</v>
      </c>
      <c r="DY41" s="64">
        <v>2.04742154166035E-6</v>
      </c>
      <c r="DZ41" s="64">
        <v>0</v>
      </c>
      <c r="EA41" s="64">
        <v>0</v>
      </c>
      <c r="EB41" s="64">
        <v>0</v>
      </c>
      <c r="EC41" s="64">
        <v>1.3649476944402329E-6</v>
      </c>
      <c r="ED41" s="64">
        <v>1.3649476944402329E-6</v>
      </c>
      <c r="EE41" s="64">
        <v>5.4597907777609326E-6</v>
      </c>
      <c r="EF41" s="64">
        <v>5.4597907777609326E-6</v>
      </c>
      <c r="EG41" s="64">
        <v>5.4597907777609326E-6</v>
      </c>
      <c r="EH41" s="64">
        <v>5.4597907777609326E-6</v>
      </c>
      <c r="EI41" s="64">
        <v>0</v>
      </c>
      <c r="EJ41" s="64">
        <v>2.1156689263823621E-5</v>
      </c>
      <c r="EK41" s="64">
        <v>2.1156689263823621E-5</v>
      </c>
      <c r="EL41" s="64">
        <v>2.1156689263823621E-5</v>
      </c>
      <c r="EM41" s="64">
        <v>2.1156689263823621E-5</v>
      </c>
      <c r="EN41" s="64">
        <v>2.1156689263823621E-5</v>
      </c>
      <c r="EO41" s="64">
        <v>2.1156689263823621E-5</v>
      </c>
      <c r="EP41" s="64">
        <v>2.1156689263823621E-5</v>
      </c>
      <c r="EQ41" s="64">
        <v>3.412369236100583E-6</v>
      </c>
      <c r="ER41" s="64">
        <v>3.412369236100583E-6</v>
      </c>
      <c r="ES41" s="64">
        <v>2.7298953888804659E-6</v>
      </c>
      <c r="ET41" s="64">
        <v>2.7298953888804659E-6</v>
      </c>
      <c r="EU41" s="64">
        <v>6.8247384722011668E-6</v>
      </c>
      <c r="EV41" s="64">
        <v>1.3649476944402329E-6</v>
      </c>
      <c r="EW41" s="64">
        <v>2.04742154166035E-6</v>
      </c>
      <c r="EX41" s="64">
        <v>1.3649476944402329E-6</v>
      </c>
      <c r="EY41" s="64">
        <v>3.412369236100583E-6</v>
      </c>
      <c r="EZ41" s="64">
        <v>3.412369236100583E-6</v>
      </c>
      <c r="FA41" s="64">
        <v>6.8247384722011657E-7</v>
      </c>
      <c r="FB41" s="64">
        <v>1.3649476944402329E-6</v>
      </c>
      <c r="FC41" s="64">
        <v>1.3649476944402329E-6</v>
      </c>
      <c r="FD41" s="64">
        <v>6.8247384722011657E-7</v>
      </c>
      <c r="FE41" s="64">
        <v>3.412369236100583E-6</v>
      </c>
      <c r="FF41" s="64">
        <v>2.04742154166035E-6</v>
      </c>
      <c r="FG41" s="64">
        <v>6.8247384722011657E-7</v>
      </c>
      <c r="FH41" s="64">
        <v>0</v>
      </c>
      <c r="FI41" s="64">
        <v>0</v>
      </c>
      <c r="FJ41" s="64">
        <v>1.3649476944402329E-6</v>
      </c>
      <c r="FK41" s="64">
        <v>1.3649476944402329E-6</v>
      </c>
      <c r="FL41" s="64">
        <v>5.8637120820716161E-3</v>
      </c>
      <c r="FM41" s="64">
        <v>5.8637120820716161E-3</v>
      </c>
      <c r="FN41" s="64">
        <v>5.8637120820716161E-3</v>
      </c>
      <c r="FO41" s="64">
        <v>5.8637120820716161E-3</v>
      </c>
      <c r="FP41" s="64">
        <v>0</v>
      </c>
      <c r="FQ41" s="64">
        <v>1.309486285920072E-2</v>
      </c>
      <c r="FR41" s="64">
        <v>1.309486285920072E-2</v>
      </c>
      <c r="FS41" s="64">
        <v>1.309486285920072E-2</v>
      </c>
      <c r="FT41" s="64">
        <v>1.309486285920072E-2</v>
      </c>
      <c r="FU41" s="64">
        <v>1.309486285920072E-2</v>
      </c>
      <c r="FV41" s="64">
        <v>1.309486285920072E-2</v>
      </c>
      <c r="FW41" s="64">
        <v>1.309486285920072E-2</v>
      </c>
      <c r="FX41" s="64">
        <v>5.3596055094379423E-3</v>
      </c>
      <c r="FY41" s="64">
        <v>5.3596055094379423E-3</v>
      </c>
      <c r="FZ41" s="64">
        <v>4.8128284985695269E-4</v>
      </c>
      <c r="GA41" s="64">
        <v>4.8128284985695269E-4</v>
      </c>
      <c r="GB41" s="64">
        <v>1.064776284322702E-3</v>
      </c>
      <c r="GC41" s="64">
        <v>1.9945949035308759E-4</v>
      </c>
      <c r="GD41" s="64">
        <v>2.7686168063936051E-4</v>
      </c>
      <c r="GE41" s="64">
        <v>2.5602262940844079E-4</v>
      </c>
      <c r="GF41" s="64">
        <v>5.5471569705162183E-4</v>
      </c>
      <c r="GG41" s="64">
        <v>6.4005657352110199E-4</v>
      </c>
      <c r="GH41" s="64">
        <v>1.3198065779582421E-4</v>
      </c>
      <c r="GI41" s="64">
        <v>1.200726285210129E-4</v>
      </c>
      <c r="GJ41" s="64">
        <v>1.200726285210129E-4</v>
      </c>
      <c r="GK41" s="64">
        <v>1.627430667557531E-4</v>
      </c>
      <c r="GL41" s="64">
        <v>4.4456642625961811E-3</v>
      </c>
      <c r="GM41" s="64">
        <v>5.5173868973291897E-4</v>
      </c>
      <c r="GN41" s="64">
        <v>1.419040155248335E-4</v>
      </c>
      <c r="GO41" s="64">
        <v>3.2747080505730808E-5</v>
      </c>
      <c r="GP41" s="64">
        <v>2.3816058549622399E-5</v>
      </c>
      <c r="GQ41" s="64">
        <v>2.8579270259546877E-4</v>
      </c>
      <c r="GR41" s="64">
        <v>2.8579270259546877E-4</v>
      </c>
      <c r="GS41" s="64">
        <v>6.8247384722011668E-6</v>
      </c>
      <c r="GT41" s="64">
        <v>6.8247384722011668E-6</v>
      </c>
      <c r="GU41" s="64">
        <v>6.8247384722011668E-6</v>
      </c>
      <c r="GV41" s="64">
        <v>6.8247384722011668E-6</v>
      </c>
      <c r="GW41" s="64">
        <v>0</v>
      </c>
      <c r="GX41" s="64">
        <v>4.2313378527647242E-5</v>
      </c>
      <c r="GY41" s="64">
        <v>4.2313378527647242E-5</v>
      </c>
      <c r="GZ41" s="64">
        <v>4.2313378527647242E-5</v>
      </c>
      <c r="HA41" s="64">
        <v>4.2313378527647242E-5</v>
      </c>
      <c r="HB41" s="64">
        <v>4.2313378527647242E-5</v>
      </c>
      <c r="HC41" s="64">
        <v>4.2313378527647242E-5</v>
      </c>
      <c r="HD41" s="64">
        <v>4.2313378527647242E-5</v>
      </c>
      <c r="HE41" s="64">
        <v>2.3886584652704079E-5</v>
      </c>
      <c r="HF41" s="64">
        <v>2.3886584652704079E-5</v>
      </c>
      <c r="HG41" s="64">
        <v>3.412369236100583E-6</v>
      </c>
      <c r="HH41" s="64">
        <v>3.412369236100583E-6</v>
      </c>
      <c r="HI41" s="64">
        <v>1.706184618050292E-5</v>
      </c>
      <c r="HJ41" s="64">
        <v>2.04742154166035E-6</v>
      </c>
      <c r="HK41" s="64">
        <v>2.04742154166035E-6</v>
      </c>
      <c r="HL41" s="64">
        <v>2.04742154166035E-6</v>
      </c>
      <c r="HM41" s="64">
        <v>4.7773169305408163E-6</v>
      </c>
      <c r="HN41" s="64">
        <v>6.1422646249810497E-6</v>
      </c>
      <c r="HO41" s="64">
        <v>1.3649476944402329E-6</v>
      </c>
      <c r="HP41" s="64">
        <v>2.04742154166035E-6</v>
      </c>
      <c r="HQ41" s="64">
        <v>2.7298953888804659E-6</v>
      </c>
      <c r="HR41" s="64">
        <v>1.3649476944402329E-6</v>
      </c>
      <c r="HS41" s="64">
        <v>1.2284529249962099E-5</v>
      </c>
      <c r="HT41" s="64">
        <v>4.0948430833207001E-6</v>
      </c>
      <c r="HU41" s="64">
        <v>1.3649476944402329E-6</v>
      </c>
      <c r="HV41" s="64">
        <v>0</v>
      </c>
      <c r="HW41" s="64">
        <v>0</v>
      </c>
      <c r="HX41" s="64">
        <v>2.04742154166035E-6</v>
      </c>
      <c r="HY41" s="64">
        <v>2.04742154166035E-6</v>
      </c>
      <c r="HZ41" s="64">
        <v>1.317174525134825E-4</v>
      </c>
      <c r="IA41" s="64">
        <v>1.317174525134825E-4</v>
      </c>
      <c r="IB41" s="64">
        <v>1.317174525134825E-4</v>
      </c>
      <c r="IC41" s="64">
        <v>1.317174525134825E-4</v>
      </c>
      <c r="ID41" s="64">
        <v>0</v>
      </c>
      <c r="IE41" s="64">
        <v>3.2076270819345482E-4</v>
      </c>
      <c r="IF41" s="64">
        <v>3.2076270819345482E-4</v>
      </c>
      <c r="IG41" s="64">
        <v>3.2076270819345482E-4</v>
      </c>
      <c r="IH41" s="64">
        <v>3.2076270819345482E-4</v>
      </c>
      <c r="II41" s="64">
        <v>3.2076270819345482E-4</v>
      </c>
      <c r="IJ41" s="64">
        <v>3.2076270819345482E-4</v>
      </c>
      <c r="IK41" s="64">
        <v>3.2076270819345482E-4</v>
      </c>
      <c r="IL41" s="64">
        <v>4.5725747763747813E-5</v>
      </c>
      <c r="IM41" s="64">
        <v>4.5725747763747813E-5</v>
      </c>
      <c r="IN41" s="64">
        <v>4.1630904680427122E-5</v>
      </c>
      <c r="IO41" s="64">
        <v>4.1630904680427122E-5</v>
      </c>
      <c r="IP41" s="64">
        <v>4.8455643152628278E-5</v>
      </c>
      <c r="IQ41" s="64">
        <v>8.8721600138615147E-6</v>
      </c>
      <c r="IR41" s="64">
        <v>6.1422646249810497E-6</v>
      </c>
      <c r="IS41" s="64">
        <v>7.5072123194212822E-6</v>
      </c>
      <c r="IT41" s="64">
        <v>1.160205540274198E-5</v>
      </c>
      <c r="IU41" s="64">
        <v>3.0028849277685129E-5</v>
      </c>
      <c r="IV41" s="64">
        <v>5.4597907777609326E-6</v>
      </c>
      <c r="IW41" s="64">
        <v>8.1896861666414002E-6</v>
      </c>
      <c r="IX41" s="64">
        <v>8.1896861666414002E-6</v>
      </c>
      <c r="IY41" s="64">
        <v>7.5072123194212822E-6</v>
      </c>
      <c r="IZ41" s="64">
        <v>5.1868012388728863E-5</v>
      </c>
      <c r="JA41" s="64">
        <v>1.8426793874943149E-5</v>
      </c>
      <c r="JB41" s="64">
        <v>5.4597907777609326E-6</v>
      </c>
      <c r="JC41" s="64">
        <v>1.3649476944402329E-6</v>
      </c>
      <c r="JD41" s="64">
        <v>6.8247384722011657E-7</v>
      </c>
      <c r="JE41" s="64">
        <v>2.1156689263823621E-5</v>
      </c>
      <c r="JF41" s="64">
        <v>2.1156689263823621E-5</v>
      </c>
      <c r="JG41" s="64">
        <v>7.943995581642158E-4</v>
      </c>
      <c r="JH41" s="64">
        <v>7.943995581642158E-4</v>
      </c>
      <c r="JI41" s="64">
        <v>7.943995581642158E-4</v>
      </c>
      <c r="JJ41" s="64">
        <v>7.943995581642158E-4</v>
      </c>
      <c r="JK41" s="64">
        <v>0</v>
      </c>
      <c r="JL41" s="64">
        <v>1.8488216521192959E-3</v>
      </c>
      <c r="JM41" s="64">
        <v>1.8488216521192959E-3</v>
      </c>
      <c r="JN41" s="64">
        <v>1.8488216521192959E-3</v>
      </c>
      <c r="JO41" s="64">
        <v>1.8488216521192959E-3</v>
      </c>
      <c r="JP41" s="64">
        <v>1.8488216521192959E-3</v>
      </c>
      <c r="JQ41" s="64">
        <v>1.8488216521192959E-3</v>
      </c>
      <c r="JR41" s="64">
        <v>1.8488216521192959E-3</v>
      </c>
      <c r="JS41" s="64">
        <v>7.8498141907257808E-3</v>
      </c>
      <c r="JT41" s="64">
        <v>7.8498141907257808E-3</v>
      </c>
      <c r="JU41" s="64">
        <v>3.4601424054059911E-4</v>
      </c>
      <c r="JV41" s="64">
        <v>3.4601424054059911E-4</v>
      </c>
      <c r="JW41" s="64">
        <v>1.9436855168828921E-3</v>
      </c>
      <c r="JX41" s="64">
        <v>8.2579335513634111E-5</v>
      </c>
      <c r="JY41" s="64">
        <v>1.856328864438717E-4</v>
      </c>
      <c r="JZ41" s="64">
        <v>2.0405968031881491E-4</v>
      </c>
      <c r="KA41" s="64">
        <v>4.0811936063762981E-4</v>
      </c>
      <c r="KB41" s="64">
        <v>5.7464297935933819E-4</v>
      </c>
      <c r="KC41" s="64">
        <v>7.3707175499772596E-5</v>
      </c>
      <c r="KD41" s="64">
        <v>1.2557518788850139E-4</v>
      </c>
      <c r="KE41" s="64">
        <v>9.076902168027552E-5</v>
      </c>
      <c r="KF41" s="64">
        <v>8.1896861666413991E-5</v>
      </c>
      <c r="KG41" s="64">
        <v>7.268346472894242E-4</v>
      </c>
      <c r="KH41" s="64">
        <v>2.067895757076953E-4</v>
      </c>
      <c r="KI41" s="64">
        <v>6.8929858569231786E-5</v>
      </c>
      <c r="KJ41" s="64">
        <v>3.6853587749886298E-5</v>
      </c>
      <c r="KK41" s="64">
        <v>2.6616480041584551E-5</v>
      </c>
      <c r="KL41" s="64">
        <v>2.293112126659592E-4</v>
      </c>
      <c r="KM41" s="64">
        <v>2.293112126659592E-4</v>
      </c>
      <c r="KN41" s="64">
        <v>4.0948430833207001E-6</v>
      </c>
      <c r="KO41" s="64">
        <v>4.0948430833207001E-6</v>
      </c>
      <c r="KP41" s="64">
        <v>4.0948430833207001E-6</v>
      </c>
      <c r="KQ41" s="64">
        <v>4.0948430833207001E-6</v>
      </c>
      <c r="KR41" s="64">
        <v>0</v>
      </c>
      <c r="KS41" s="64">
        <v>1.0237107708301751E-5</v>
      </c>
      <c r="KT41" s="64">
        <v>1.0237107708301751E-5</v>
      </c>
      <c r="KU41" s="64">
        <v>1.0237107708301751E-5</v>
      </c>
      <c r="KV41" s="64">
        <v>1.0237107708301751E-5</v>
      </c>
      <c r="KW41" s="64">
        <v>1.0237107708301751E-5</v>
      </c>
      <c r="KX41" s="64">
        <v>1.0237107708301751E-5</v>
      </c>
      <c r="KY41" s="64">
        <v>1.0237107708301751E-5</v>
      </c>
      <c r="KZ41" s="64">
        <v>4.0948430833207001E-6</v>
      </c>
      <c r="LA41" s="64">
        <v>4.0948430833207001E-6</v>
      </c>
      <c r="LB41" s="64">
        <v>2.7298953888804659E-6</v>
      </c>
      <c r="LC41" s="64">
        <v>2.7298953888804659E-6</v>
      </c>
      <c r="LD41" s="64">
        <v>8.1896861666414002E-6</v>
      </c>
      <c r="LE41" s="64">
        <v>2.04742154166035E-6</v>
      </c>
      <c r="LF41" s="64">
        <v>2.7298953888804659E-6</v>
      </c>
      <c r="LG41" s="64">
        <v>1.3649476944402329E-6</v>
      </c>
      <c r="LH41" s="64">
        <v>4.7773169305408163E-6</v>
      </c>
      <c r="LI41" s="64">
        <v>4.0948430833207001E-6</v>
      </c>
      <c r="LJ41" s="64">
        <v>2.7298953888804659E-6</v>
      </c>
      <c r="LK41" s="64">
        <v>1.3649476944402329E-6</v>
      </c>
      <c r="LL41" s="64">
        <v>2.04742154166035E-6</v>
      </c>
      <c r="LM41" s="64">
        <v>2.04742154166035E-6</v>
      </c>
      <c r="LN41" s="64">
        <v>6.1422646249810497E-6</v>
      </c>
      <c r="LO41" s="64">
        <v>8.8721600138615147E-6</v>
      </c>
      <c r="LP41" s="64">
        <v>2.04742154166035E-6</v>
      </c>
      <c r="LQ41" s="64">
        <v>0</v>
      </c>
      <c r="LR41" s="64">
        <v>0</v>
      </c>
      <c r="LS41" s="64">
        <v>2.04742154166035E-6</v>
      </c>
      <c r="LT41" s="64">
        <v>2.04742154166035E-6</v>
      </c>
      <c r="LU41" s="64">
        <v>1.4783755614178741E-4</v>
      </c>
      <c r="LV41" s="64">
        <v>1.4783755614178741E-4</v>
      </c>
      <c r="LW41" s="64">
        <v>1.4783755614178741E-4</v>
      </c>
      <c r="LX41" s="64">
        <v>1.4783755614178741E-4</v>
      </c>
      <c r="LY41" s="64">
        <v>0</v>
      </c>
      <c r="LZ41" s="64">
        <v>5.3488965036224581E-4</v>
      </c>
      <c r="MA41" s="64">
        <v>5.3488965036224581E-4</v>
      </c>
      <c r="MB41" s="64">
        <v>5.3488965036224581E-4</v>
      </c>
      <c r="MC41" s="64">
        <v>5.3488965036224581E-4</v>
      </c>
      <c r="MD41" s="64">
        <v>5.3488965036224581E-4</v>
      </c>
      <c r="ME41" s="64">
        <v>5.3488965036224581E-4</v>
      </c>
      <c r="MF41" s="64">
        <v>5.3488965036224581E-4</v>
      </c>
      <c r="MG41" s="64">
        <v>1.9984071659367241E-4</v>
      </c>
      <c r="MH41" s="64">
        <v>1.9984071659367241E-4</v>
      </c>
      <c r="MI41" s="64">
        <v>2.5258677933772719E-5</v>
      </c>
      <c r="MJ41" s="64">
        <v>2.5258677933772719E-5</v>
      </c>
      <c r="MK41" s="64">
        <v>1.2629338966886359E-4</v>
      </c>
      <c r="ML41" s="64">
        <v>8.1719252138676442E-6</v>
      </c>
      <c r="MM41" s="64">
        <v>5.9432183373582874E-6</v>
      </c>
      <c r="MN41" s="64">
        <v>7.4290229216978594E-6</v>
      </c>
      <c r="MO41" s="64">
        <v>1.5600948135565498E-5</v>
      </c>
      <c r="MP41" s="64">
        <v>2.4515775641602939E-5</v>
      </c>
      <c r="MQ41" s="64">
        <v>6.686120629528073E-6</v>
      </c>
      <c r="MR41" s="64">
        <v>9.6577297982072154E-6</v>
      </c>
      <c r="MS41" s="64">
        <v>8.9148275060374306E-6</v>
      </c>
      <c r="MT41" s="64">
        <v>6.686120629528073E-6</v>
      </c>
      <c r="MU41" s="64">
        <v>1.114353438254679E-4</v>
      </c>
      <c r="MV41" s="64">
        <v>1.6343850427735288E-5</v>
      </c>
      <c r="MW41" s="64">
        <v>4.4574137530187153E-6</v>
      </c>
      <c r="MX41" s="64">
        <v>2.2287068765093581E-6</v>
      </c>
      <c r="MY41" s="64">
        <v>1.485804584339572E-6</v>
      </c>
      <c r="MZ41" s="64">
        <v>1.2629338966886359E-5</v>
      </c>
      <c r="NA41" s="64">
        <v>1.2629338966886359E-5</v>
      </c>
      <c r="NB41" s="64"/>
      <c r="NC41" s="64"/>
      <c r="ND41" s="64"/>
      <c r="NE41" s="64"/>
      <c r="NF41" s="64"/>
      <c r="NG41" s="64"/>
      <c r="NH41" s="64"/>
      <c r="NI41" s="64"/>
      <c r="NJ41" s="64"/>
      <c r="NK41" s="64"/>
      <c r="NL41" s="64"/>
      <c r="NM41" s="64"/>
      <c r="NN41" s="64"/>
      <c r="NO41" s="64"/>
      <c r="NP41" s="64"/>
      <c r="NQ41" s="64"/>
      <c r="NR41" s="64"/>
      <c r="NS41" s="64"/>
      <c r="NT41" s="64"/>
      <c r="NU41" s="64"/>
      <c r="NV41" s="64"/>
      <c r="NW41" s="64"/>
      <c r="NX41" s="64"/>
      <c r="NY41" s="64"/>
      <c r="NZ41" s="64"/>
      <c r="OA41" s="64"/>
      <c r="OB41" s="64"/>
      <c r="OC41" s="64"/>
      <c r="OD41" s="64"/>
      <c r="OE41" s="64"/>
      <c r="OF41" s="64"/>
      <c r="OG41" s="64"/>
      <c r="OH41" s="64"/>
      <c r="OI41" s="64"/>
      <c r="OJ41" s="64"/>
      <c r="OK41" s="64"/>
      <c r="OL41" s="64"/>
      <c r="OM41" s="64"/>
      <c r="ON41" s="64"/>
      <c r="OO41" s="64"/>
      <c r="OP41" s="64"/>
      <c r="OQ41" s="64"/>
      <c r="OR41" s="64"/>
      <c r="OS41" s="64"/>
    </row>
    <row r="42" spans="1:409">
      <c r="A42" s="64" t="s">
        <v>600</v>
      </c>
      <c r="B42" s="64" t="s">
        <v>583</v>
      </c>
      <c r="C42" s="64">
        <v>3.6440237837680791E-4</v>
      </c>
      <c r="D42" s="64">
        <v>1.002455682889092</v>
      </c>
      <c r="E42" s="64">
        <v>1.9509148835015051E-4</v>
      </c>
      <c r="F42" s="64">
        <v>1.565677247182461E-3</v>
      </c>
      <c r="G42" s="64">
        <v>0</v>
      </c>
      <c r="H42" s="64">
        <v>0.24705097276395499</v>
      </c>
      <c r="I42" s="64">
        <v>1.9209085188126709E-4</v>
      </c>
      <c r="J42" s="64">
        <v>0.17614704960042579</v>
      </c>
      <c r="K42" s="64">
        <v>1.397993003663995E-2</v>
      </c>
      <c r="L42" s="64">
        <v>1.1844874594547651E-4</v>
      </c>
      <c r="M42" s="64">
        <v>1.6473037180775609E-2</v>
      </c>
      <c r="N42" s="64">
        <v>7.4874923376030771E-4</v>
      </c>
      <c r="O42" s="64">
        <v>4.1396099416872141E-4</v>
      </c>
      <c r="P42" s="64">
        <v>2.2317722690933309E-2</v>
      </c>
      <c r="Q42" s="64">
        <v>3.1944442219338079E-4</v>
      </c>
      <c r="R42" s="64">
        <v>3.9523705831552092E-4</v>
      </c>
      <c r="S42" s="64">
        <v>1.051830473216426E-3</v>
      </c>
      <c r="T42" s="64">
        <v>2.177028247540631E-4</v>
      </c>
      <c r="U42" s="64">
        <v>1.8016208408506301E-4</v>
      </c>
      <c r="V42" s="64">
        <v>2.8279794452523531E-4</v>
      </c>
      <c r="W42" s="64">
        <v>4.1135799621432063E-3</v>
      </c>
      <c r="X42" s="64">
        <v>8.1298390368387716E-4</v>
      </c>
      <c r="Y42" s="64">
        <v>1.5283546633257659E-4</v>
      </c>
      <c r="Z42" s="64">
        <v>6.003964305255809E-4</v>
      </c>
      <c r="AA42" s="64">
        <v>1.043550973942345E-3</v>
      </c>
      <c r="AB42" s="64">
        <v>1.875381408559969E-3</v>
      </c>
      <c r="AC42" s="64">
        <v>9.0514864464252033E-3</v>
      </c>
      <c r="AD42" s="64">
        <v>1.4033603761368859E-3</v>
      </c>
      <c r="AE42" s="64">
        <v>2.4845543893740462E-4</v>
      </c>
      <c r="AF42" s="64">
        <v>4.9606736811787797E-4</v>
      </c>
      <c r="AG42" s="64">
        <v>2.1416681303242359E-4</v>
      </c>
      <c r="AH42" s="64">
        <v>2.6585181690385882E-3</v>
      </c>
      <c r="AI42" s="64">
        <v>2.1314930806179788E-3</v>
      </c>
      <c r="AJ42" s="64">
        <v>2.008735410595415E-5</v>
      </c>
      <c r="AK42" s="64">
        <v>2.008735410595415E-5</v>
      </c>
      <c r="AL42" s="64">
        <v>2.008735410595415E-5</v>
      </c>
      <c r="AM42" s="64">
        <v>2.008735410595415E-5</v>
      </c>
      <c r="AN42" s="64">
        <v>0</v>
      </c>
      <c r="AO42" s="64">
        <v>6.9721186738126568E-5</v>
      </c>
      <c r="AP42" s="64">
        <v>6.9721186738126568E-5</v>
      </c>
      <c r="AQ42" s="64">
        <v>6.9721186738126568E-5</v>
      </c>
      <c r="AR42" s="64">
        <v>6.9721186738126568E-5</v>
      </c>
      <c r="AS42" s="64">
        <v>6.9721186738126568E-5</v>
      </c>
      <c r="AT42" s="64">
        <v>6.9721186738126568E-5</v>
      </c>
      <c r="AU42" s="64">
        <v>6.9721186738126568E-5</v>
      </c>
      <c r="AV42" s="64">
        <v>1.5410933044250541E-5</v>
      </c>
      <c r="AW42" s="64">
        <v>1.5410933044250541E-5</v>
      </c>
      <c r="AX42" s="64">
        <v>5.8455263271295144E-6</v>
      </c>
      <c r="AY42" s="64">
        <v>5.8455263271295144E-6</v>
      </c>
      <c r="AZ42" s="64">
        <v>3.9855861321337601E-5</v>
      </c>
      <c r="BA42" s="64">
        <v>4.3575741711329096E-6</v>
      </c>
      <c r="BB42" s="64">
        <v>2.869622015136307E-6</v>
      </c>
      <c r="BC42" s="64">
        <v>3.0821866088501069E-6</v>
      </c>
      <c r="BD42" s="64">
        <v>5.9518086239864147E-6</v>
      </c>
      <c r="BE42" s="64">
        <v>6.2706555145571149E-6</v>
      </c>
      <c r="BF42" s="64">
        <v>1.062822968569003E-6</v>
      </c>
      <c r="BG42" s="64">
        <v>2.6570574214225072E-6</v>
      </c>
      <c r="BH42" s="64">
        <v>1.4879521559966041E-6</v>
      </c>
      <c r="BI42" s="64">
        <v>1.9130813434242048E-6</v>
      </c>
      <c r="BJ42" s="64">
        <v>2.1043894777666248E-5</v>
      </c>
      <c r="BK42" s="64">
        <v>2.231928233994905E-6</v>
      </c>
      <c r="BL42" s="64">
        <v>7.4397607799830184E-7</v>
      </c>
      <c r="BM42" s="64">
        <v>1.062822968569003E-7</v>
      </c>
      <c r="BN42" s="64">
        <v>1.062822968569003E-7</v>
      </c>
      <c r="BO42" s="64">
        <v>1.594234452853504E-6</v>
      </c>
      <c r="BP42" s="64">
        <v>1.594234452853504E-6</v>
      </c>
      <c r="BQ42" s="64">
        <v>1.2528076329149809E-5</v>
      </c>
      <c r="BR42" s="64">
        <v>1.2528076329149809E-5</v>
      </c>
      <c r="BS42" s="64">
        <v>1.2528076329149809E-5</v>
      </c>
      <c r="BT42" s="64">
        <v>1.2528076329149809E-5</v>
      </c>
      <c r="BU42" s="64">
        <v>0</v>
      </c>
      <c r="BV42" s="64">
        <v>2.7243594557040059E-5</v>
      </c>
      <c r="BW42" s="64">
        <v>2.7243594557040059E-5</v>
      </c>
      <c r="BX42" s="64">
        <v>2.7243594557040059E-5</v>
      </c>
      <c r="BY42" s="64">
        <v>2.7243594557040059E-5</v>
      </c>
      <c r="BZ42" s="64">
        <v>2.7243594557040059E-5</v>
      </c>
      <c r="CA42" s="64">
        <v>2.7243594557040059E-5</v>
      </c>
      <c r="CB42" s="64">
        <v>2.7243594557040059E-5</v>
      </c>
      <c r="CC42" s="64">
        <v>9.1474843038236688E-6</v>
      </c>
      <c r="CD42" s="64">
        <v>9.1474843038236688E-6</v>
      </c>
      <c r="CE42" s="64">
        <v>2.1874418987404421E-6</v>
      </c>
      <c r="CF42" s="64">
        <v>2.1874418987404421E-6</v>
      </c>
      <c r="CG42" s="64">
        <v>7.1589007595141753E-6</v>
      </c>
      <c r="CH42" s="64">
        <v>9.9429177215474674E-7</v>
      </c>
      <c r="CI42" s="64">
        <v>1.193150126585696E-6</v>
      </c>
      <c r="CJ42" s="64">
        <v>7.954334177237972E-7</v>
      </c>
      <c r="CK42" s="64">
        <v>2.1874418987404421E-6</v>
      </c>
      <c r="CL42" s="64">
        <v>2.3863002531713919E-6</v>
      </c>
      <c r="CM42" s="64">
        <v>7.954334177237972E-7</v>
      </c>
      <c r="CN42" s="64">
        <v>7.954334177237972E-7</v>
      </c>
      <c r="CO42" s="64">
        <v>7.954334177237972E-7</v>
      </c>
      <c r="CP42" s="64">
        <v>9.9429177215474674E-7</v>
      </c>
      <c r="CQ42" s="64">
        <v>4.7726005063427838E-6</v>
      </c>
      <c r="CR42" s="64">
        <v>1.9885835443094931E-6</v>
      </c>
      <c r="CS42" s="64">
        <v>5.9657506329284798E-7</v>
      </c>
      <c r="CT42" s="64">
        <v>1.988583544309493E-7</v>
      </c>
      <c r="CU42" s="64">
        <v>0</v>
      </c>
      <c r="CV42" s="64">
        <v>7.954334177237972E-7</v>
      </c>
      <c r="CW42" s="64">
        <v>7.954334177237972E-7</v>
      </c>
      <c r="CX42" s="64">
        <v>1.3825778085811441E-6</v>
      </c>
      <c r="CY42" s="64">
        <v>1.3825778085811441E-6</v>
      </c>
      <c r="CZ42" s="64">
        <v>1.3825778085811441E-6</v>
      </c>
      <c r="DA42" s="64">
        <v>1.3825778085811441E-6</v>
      </c>
      <c r="DB42" s="64">
        <v>0</v>
      </c>
      <c r="DC42" s="64">
        <v>2.4886400554460589E-6</v>
      </c>
      <c r="DD42" s="64">
        <v>2.4886400554460589E-6</v>
      </c>
      <c r="DE42" s="64">
        <v>2.4886400554460589E-6</v>
      </c>
      <c r="DF42" s="64">
        <v>2.4886400554460589E-6</v>
      </c>
      <c r="DG42" s="64">
        <v>2.4886400554460589E-6</v>
      </c>
      <c r="DH42" s="64">
        <v>2.4886400554460589E-6</v>
      </c>
      <c r="DI42" s="64">
        <v>2.4886400554460589E-6</v>
      </c>
      <c r="DJ42" s="64">
        <v>2.21212449372983E-6</v>
      </c>
      <c r="DK42" s="64">
        <v>2.21212449372983E-6</v>
      </c>
      <c r="DL42" s="64">
        <v>1.106062246864915E-6</v>
      </c>
      <c r="DM42" s="64">
        <v>1.106062246864915E-6</v>
      </c>
      <c r="DN42" s="64">
        <v>2.765155617162289E-6</v>
      </c>
      <c r="DO42" s="64">
        <v>8.2954668514868647E-7</v>
      </c>
      <c r="DP42" s="64">
        <v>5.5303112343245761E-7</v>
      </c>
      <c r="DQ42" s="64">
        <v>8.2954668514868647E-7</v>
      </c>
      <c r="DR42" s="64">
        <v>1.6590933702973729E-6</v>
      </c>
      <c r="DS42" s="64">
        <v>1.3825778085811441E-6</v>
      </c>
      <c r="DT42" s="64">
        <v>5.5303112343245761E-7</v>
      </c>
      <c r="DU42" s="64">
        <v>8.2954668514868647E-7</v>
      </c>
      <c r="DV42" s="64">
        <v>5.5303112343245761E-7</v>
      </c>
      <c r="DW42" s="64">
        <v>5.5303112343245761E-7</v>
      </c>
      <c r="DX42" s="64">
        <v>1.6590933702973729E-6</v>
      </c>
      <c r="DY42" s="64">
        <v>8.2954668514868647E-7</v>
      </c>
      <c r="DZ42" s="64">
        <v>0</v>
      </c>
      <c r="EA42" s="64">
        <v>0</v>
      </c>
      <c r="EB42" s="64">
        <v>0</v>
      </c>
      <c r="EC42" s="64">
        <v>5.5303112343245761E-7</v>
      </c>
      <c r="ED42" s="64">
        <v>5.5303112343245761E-7</v>
      </c>
      <c r="EE42" s="64">
        <v>2.21212449372983E-6</v>
      </c>
      <c r="EF42" s="64">
        <v>2.21212449372983E-6</v>
      </c>
      <c r="EG42" s="64">
        <v>2.21212449372983E-6</v>
      </c>
      <c r="EH42" s="64">
        <v>2.21212449372983E-6</v>
      </c>
      <c r="EI42" s="64">
        <v>0</v>
      </c>
      <c r="EJ42" s="64">
        <v>8.571982413203093E-6</v>
      </c>
      <c r="EK42" s="64">
        <v>8.571982413203093E-6</v>
      </c>
      <c r="EL42" s="64">
        <v>8.571982413203093E-6</v>
      </c>
      <c r="EM42" s="64">
        <v>8.571982413203093E-6</v>
      </c>
      <c r="EN42" s="64">
        <v>8.571982413203093E-6</v>
      </c>
      <c r="EO42" s="64">
        <v>8.571982413203093E-6</v>
      </c>
      <c r="EP42" s="64">
        <v>8.571982413203093E-6</v>
      </c>
      <c r="EQ42" s="64">
        <v>1.3825778085811441E-6</v>
      </c>
      <c r="ER42" s="64">
        <v>1.3825778085811441E-6</v>
      </c>
      <c r="ES42" s="64">
        <v>1.106062246864915E-6</v>
      </c>
      <c r="ET42" s="64">
        <v>1.106062246864915E-6</v>
      </c>
      <c r="EU42" s="64">
        <v>2.765155617162289E-6</v>
      </c>
      <c r="EV42" s="64">
        <v>5.5303112343245761E-7</v>
      </c>
      <c r="EW42" s="64">
        <v>8.2954668514868647E-7</v>
      </c>
      <c r="EX42" s="64">
        <v>5.5303112343245761E-7</v>
      </c>
      <c r="EY42" s="64">
        <v>1.3825778085811441E-6</v>
      </c>
      <c r="EZ42" s="64">
        <v>1.3825778085811441E-6</v>
      </c>
      <c r="FA42" s="64">
        <v>2.7651556171622881E-7</v>
      </c>
      <c r="FB42" s="64">
        <v>5.5303112343245761E-7</v>
      </c>
      <c r="FC42" s="64">
        <v>5.5303112343245761E-7</v>
      </c>
      <c r="FD42" s="64">
        <v>2.7651556171622881E-7</v>
      </c>
      <c r="FE42" s="64">
        <v>1.3825778085811441E-6</v>
      </c>
      <c r="FF42" s="64">
        <v>8.2954668514868647E-7</v>
      </c>
      <c r="FG42" s="64">
        <v>2.7651556171622881E-7</v>
      </c>
      <c r="FH42" s="64">
        <v>0</v>
      </c>
      <c r="FI42" s="64">
        <v>0</v>
      </c>
      <c r="FJ42" s="64">
        <v>5.5303112343245761E-7</v>
      </c>
      <c r="FK42" s="64">
        <v>5.5303112343245761E-7</v>
      </c>
      <c r="FL42" s="64">
        <v>4.5276001121278253E-5</v>
      </c>
      <c r="FM42" s="64">
        <v>4.5276001121278253E-5</v>
      </c>
      <c r="FN42" s="64">
        <v>4.5276001121278253E-5</v>
      </c>
      <c r="FO42" s="64">
        <v>4.5276001121278253E-5</v>
      </c>
      <c r="FP42" s="64">
        <v>0</v>
      </c>
      <c r="FQ42" s="64">
        <v>1.011105281428986E-4</v>
      </c>
      <c r="FR42" s="64">
        <v>1.011105281428986E-4</v>
      </c>
      <c r="FS42" s="64">
        <v>1.011105281428986E-4</v>
      </c>
      <c r="FT42" s="64">
        <v>1.011105281428986E-4</v>
      </c>
      <c r="FU42" s="64">
        <v>1.011105281428986E-4</v>
      </c>
      <c r="FV42" s="64">
        <v>1.011105281428986E-4</v>
      </c>
      <c r="FW42" s="64">
        <v>1.011105281428986E-4</v>
      </c>
      <c r="FX42" s="64">
        <v>4.1383598249454018E-5</v>
      </c>
      <c r="FY42" s="64">
        <v>4.1383598249454018E-5</v>
      </c>
      <c r="FZ42" s="64">
        <v>3.716172033139271E-6</v>
      </c>
      <c r="GA42" s="64">
        <v>3.716172033139271E-6</v>
      </c>
      <c r="GB42" s="64">
        <v>8.2215517351720351E-6</v>
      </c>
      <c r="GC42" s="64">
        <v>1.5401042858989551E-6</v>
      </c>
      <c r="GD42" s="64">
        <v>2.1377566953522821E-6</v>
      </c>
      <c r="GE42" s="64">
        <v>1.9768502774225399E-6</v>
      </c>
      <c r="GF42" s="64">
        <v>4.2831756010821696E-6</v>
      </c>
      <c r="GG42" s="64">
        <v>4.9421256935563486E-6</v>
      </c>
      <c r="GH42" s="64">
        <v>1.0190739802216971E-6</v>
      </c>
      <c r="GI42" s="64">
        <v>9.2712745569041597E-7</v>
      </c>
      <c r="GJ42" s="64">
        <v>9.2712745569041597E-7</v>
      </c>
      <c r="GK42" s="64">
        <v>1.256602501927506E-6</v>
      </c>
      <c r="GL42" s="64">
        <v>3.4326702491678208E-5</v>
      </c>
      <c r="GM42" s="64">
        <v>4.260188969949349E-6</v>
      </c>
      <c r="GN42" s="64">
        <v>1.095696083997764E-6</v>
      </c>
      <c r="GO42" s="64">
        <v>2.5285294246102259E-7</v>
      </c>
      <c r="GP42" s="64">
        <v>1.8389304906256189E-7</v>
      </c>
      <c r="GQ42" s="64">
        <v>2.2067165887507418E-6</v>
      </c>
      <c r="GR42" s="64">
        <v>2.2067165887507418E-6</v>
      </c>
      <c r="GS42" s="64">
        <v>2.765155617162289E-6</v>
      </c>
      <c r="GT42" s="64">
        <v>2.765155617162289E-6</v>
      </c>
      <c r="GU42" s="64">
        <v>2.765155617162289E-6</v>
      </c>
      <c r="GV42" s="64">
        <v>2.765155617162289E-6</v>
      </c>
      <c r="GW42" s="64">
        <v>0</v>
      </c>
      <c r="GX42" s="64">
        <v>1.7143964826406189E-5</v>
      </c>
      <c r="GY42" s="64">
        <v>1.7143964826406189E-5</v>
      </c>
      <c r="GZ42" s="64">
        <v>1.7143964826406189E-5</v>
      </c>
      <c r="HA42" s="64">
        <v>1.7143964826406189E-5</v>
      </c>
      <c r="HB42" s="64">
        <v>1.7143964826406189E-5</v>
      </c>
      <c r="HC42" s="64">
        <v>1.7143964826406189E-5</v>
      </c>
      <c r="HD42" s="64">
        <v>1.7143964826406189E-5</v>
      </c>
      <c r="HE42" s="64">
        <v>9.6780446600680084E-6</v>
      </c>
      <c r="HF42" s="64">
        <v>9.6780446600680084E-6</v>
      </c>
      <c r="HG42" s="64">
        <v>1.3825778085811441E-6</v>
      </c>
      <c r="HH42" s="64">
        <v>1.3825778085811441E-6</v>
      </c>
      <c r="HI42" s="64">
        <v>6.9128890429057207E-6</v>
      </c>
      <c r="HJ42" s="64">
        <v>8.2954668514868647E-7</v>
      </c>
      <c r="HK42" s="64">
        <v>8.2954668514868647E-7</v>
      </c>
      <c r="HL42" s="64">
        <v>8.2954668514868647E-7</v>
      </c>
      <c r="HM42" s="64">
        <v>1.935608932013602E-6</v>
      </c>
      <c r="HN42" s="64">
        <v>2.4886400554460589E-6</v>
      </c>
      <c r="HO42" s="64">
        <v>5.5303112343245761E-7</v>
      </c>
      <c r="HP42" s="64">
        <v>8.2954668514868647E-7</v>
      </c>
      <c r="HQ42" s="64">
        <v>1.106062246864915E-6</v>
      </c>
      <c r="HR42" s="64">
        <v>5.5303112343245761E-7</v>
      </c>
      <c r="HS42" s="64">
        <v>4.9772801108921186E-6</v>
      </c>
      <c r="HT42" s="64">
        <v>1.6590933702973729E-6</v>
      </c>
      <c r="HU42" s="64">
        <v>5.5303112343245761E-7</v>
      </c>
      <c r="HV42" s="64">
        <v>0</v>
      </c>
      <c r="HW42" s="64">
        <v>0</v>
      </c>
      <c r="HX42" s="64">
        <v>8.2954668514868647E-7</v>
      </c>
      <c r="HY42" s="64">
        <v>8.2954668514868647E-7</v>
      </c>
      <c r="HZ42" s="64">
        <v>5.336750341123216E-5</v>
      </c>
      <c r="IA42" s="64">
        <v>5.336750341123216E-5</v>
      </c>
      <c r="IB42" s="64">
        <v>5.336750341123216E-5</v>
      </c>
      <c r="IC42" s="64">
        <v>5.336750341123216E-5</v>
      </c>
      <c r="ID42" s="64">
        <v>0</v>
      </c>
      <c r="IE42" s="64">
        <v>1.2996231400662749E-4</v>
      </c>
      <c r="IF42" s="64">
        <v>1.2996231400662749E-4</v>
      </c>
      <c r="IG42" s="64">
        <v>1.2996231400662749E-4</v>
      </c>
      <c r="IH42" s="64">
        <v>1.2996231400662749E-4</v>
      </c>
      <c r="II42" s="64">
        <v>1.2996231400662749E-4</v>
      </c>
      <c r="IJ42" s="64">
        <v>1.2996231400662749E-4</v>
      </c>
      <c r="IK42" s="64">
        <v>1.2996231400662749E-4</v>
      </c>
      <c r="IL42" s="64">
        <v>1.852654263498733E-5</v>
      </c>
      <c r="IM42" s="64">
        <v>1.852654263498733E-5</v>
      </c>
      <c r="IN42" s="64">
        <v>1.686744926468996E-5</v>
      </c>
      <c r="IO42" s="64">
        <v>1.686744926468996E-5</v>
      </c>
      <c r="IP42" s="64">
        <v>1.9632604881852249E-5</v>
      </c>
      <c r="IQ42" s="64">
        <v>3.5947023023109739E-6</v>
      </c>
      <c r="IR42" s="64">
        <v>2.4886400554460589E-6</v>
      </c>
      <c r="IS42" s="64">
        <v>3.041671178878517E-6</v>
      </c>
      <c r="IT42" s="64">
        <v>4.7007645491758898E-6</v>
      </c>
      <c r="IU42" s="64">
        <v>1.216668471551407E-5</v>
      </c>
      <c r="IV42" s="64">
        <v>2.21212449372983E-6</v>
      </c>
      <c r="IW42" s="64">
        <v>3.3181867405947459E-6</v>
      </c>
      <c r="IX42" s="64">
        <v>3.3181867405947459E-6</v>
      </c>
      <c r="IY42" s="64">
        <v>3.041671178878517E-6</v>
      </c>
      <c r="IZ42" s="64">
        <v>2.101518269043339E-5</v>
      </c>
      <c r="JA42" s="64">
        <v>7.4659201663381784E-6</v>
      </c>
      <c r="JB42" s="64">
        <v>2.21212449372983E-6</v>
      </c>
      <c r="JC42" s="64">
        <v>5.5303112343245761E-7</v>
      </c>
      <c r="JD42" s="64">
        <v>2.7651556171622881E-7</v>
      </c>
      <c r="JE42" s="64">
        <v>8.571982413203093E-6</v>
      </c>
      <c r="JF42" s="64">
        <v>8.571982413203093E-6</v>
      </c>
      <c r="JG42" s="64">
        <v>3.2186411383769041E-4</v>
      </c>
      <c r="JH42" s="64">
        <v>3.2186411383769041E-4</v>
      </c>
      <c r="JI42" s="64">
        <v>3.2186411383769041E-4</v>
      </c>
      <c r="JJ42" s="64">
        <v>3.2186411383769041E-4</v>
      </c>
      <c r="JK42" s="64">
        <v>0</v>
      </c>
      <c r="JL42" s="64">
        <v>7.490806566892639E-4</v>
      </c>
      <c r="JM42" s="64">
        <v>7.490806566892639E-4</v>
      </c>
      <c r="JN42" s="64">
        <v>7.490806566892639E-4</v>
      </c>
      <c r="JO42" s="64">
        <v>7.490806566892639E-4</v>
      </c>
      <c r="JP42" s="64">
        <v>7.490806566892639E-4</v>
      </c>
      <c r="JQ42" s="64">
        <v>7.490806566892639E-4</v>
      </c>
      <c r="JR42" s="64">
        <v>7.490806566892639E-4</v>
      </c>
      <c r="JS42" s="64">
        <v>3.1804819908600639E-3</v>
      </c>
      <c r="JT42" s="64">
        <v>3.1804819908600639E-3</v>
      </c>
      <c r="JU42" s="64">
        <v>1.4019338979012801E-4</v>
      </c>
      <c r="JV42" s="64">
        <v>1.4019338979012801E-4</v>
      </c>
      <c r="JW42" s="64">
        <v>7.8751631976781969E-4</v>
      </c>
      <c r="JX42" s="64">
        <v>3.3458382967663689E-5</v>
      </c>
      <c r="JY42" s="64">
        <v>7.5212232786814236E-5</v>
      </c>
      <c r="JZ42" s="64">
        <v>8.2678152953152419E-5</v>
      </c>
      <c r="KA42" s="64">
        <v>1.6535630590630481E-4</v>
      </c>
      <c r="KB42" s="64">
        <v>2.3282610296506469E-4</v>
      </c>
      <c r="KC42" s="64">
        <v>2.986368066535271E-5</v>
      </c>
      <c r="KD42" s="64">
        <v>5.0878863355786097E-5</v>
      </c>
      <c r="KE42" s="64">
        <v>3.6776569708258442E-5</v>
      </c>
      <c r="KF42" s="64">
        <v>3.3181867405947463E-5</v>
      </c>
      <c r="KG42" s="64">
        <v>2.9448907322778369E-4</v>
      </c>
      <c r="KH42" s="64">
        <v>8.3784215200017335E-5</v>
      </c>
      <c r="KI42" s="64">
        <v>2.7928071733339112E-5</v>
      </c>
      <c r="KJ42" s="64">
        <v>1.493184033267636E-5</v>
      </c>
      <c r="KK42" s="64">
        <v>1.078410690693292E-5</v>
      </c>
      <c r="KL42" s="64">
        <v>9.2909228736652884E-5</v>
      </c>
      <c r="KM42" s="64">
        <v>9.2909228736652884E-5</v>
      </c>
      <c r="KN42" s="64">
        <v>1.6590933702973729E-6</v>
      </c>
      <c r="KO42" s="64">
        <v>1.6590933702973729E-6</v>
      </c>
      <c r="KP42" s="64">
        <v>1.6590933702973729E-6</v>
      </c>
      <c r="KQ42" s="64">
        <v>1.6590933702973729E-6</v>
      </c>
      <c r="KR42" s="64">
        <v>0</v>
      </c>
      <c r="KS42" s="64">
        <v>4.1477334257434321E-6</v>
      </c>
      <c r="KT42" s="64">
        <v>4.1477334257434321E-6</v>
      </c>
      <c r="KU42" s="64">
        <v>4.1477334257434321E-6</v>
      </c>
      <c r="KV42" s="64">
        <v>4.1477334257434321E-6</v>
      </c>
      <c r="KW42" s="64">
        <v>4.1477334257434321E-6</v>
      </c>
      <c r="KX42" s="64">
        <v>4.1477334257434321E-6</v>
      </c>
      <c r="KY42" s="64">
        <v>4.1477334257434321E-6</v>
      </c>
      <c r="KZ42" s="64">
        <v>1.6590933702973729E-6</v>
      </c>
      <c r="LA42" s="64">
        <v>1.6590933702973729E-6</v>
      </c>
      <c r="LB42" s="64">
        <v>1.106062246864915E-6</v>
      </c>
      <c r="LC42" s="64">
        <v>1.106062246864915E-6</v>
      </c>
      <c r="LD42" s="64">
        <v>3.3181867405947459E-6</v>
      </c>
      <c r="LE42" s="64">
        <v>8.2954668514868647E-7</v>
      </c>
      <c r="LF42" s="64">
        <v>1.106062246864915E-6</v>
      </c>
      <c r="LG42" s="64">
        <v>5.5303112343245761E-7</v>
      </c>
      <c r="LH42" s="64">
        <v>1.935608932013602E-6</v>
      </c>
      <c r="LI42" s="64">
        <v>1.6590933702973729E-6</v>
      </c>
      <c r="LJ42" s="64">
        <v>1.106062246864915E-6</v>
      </c>
      <c r="LK42" s="64">
        <v>5.5303112343245761E-7</v>
      </c>
      <c r="LL42" s="64">
        <v>8.2954668514868647E-7</v>
      </c>
      <c r="LM42" s="64">
        <v>8.2954668514868647E-7</v>
      </c>
      <c r="LN42" s="64">
        <v>2.4886400554460589E-6</v>
      </c>
      <c r="LO42" s="64">
        <v>3.5947023023109739E-6</v>
      </c>
      <c r="LP42" s="64">
        <v>8.2954668514868647E-7</v>
      </c>
      <c r="LQ42" s="64">
        <v>0</v>
      </c>
      <c r="LR42" s="64">
        <v>0</v>
      </c>
      <c r="LS42" s="64">
        <v>8.2954668514868647E-7</v>
      </c>
      <c r="LT42" s="64">
        <v>8.2954668514868647E-7</v>
      </c>
      <c r="LU42" s="64">
        <v>1.9573355906264621E-5</v>
      </c>
      <c r="LV42" s="64">
        <v>1.9573355906264621E-5</v>
      </c>
      <c r="LW42" s="64">
        <v>1.9573355906264621E-5</v>
      </c>
      <c r="LX42" s="64">
        <v>1.9573355906264621E-5</v>
      </c>
      <c r="LY42" s="64">
        <v>0</v>
      </c>
      <c r="LZ42" s="64">
        <v>7.0818172123168473E-5</v>
      </c>
      <c r="MA42" s="64">
        <v>7.0818172123168473E-5</v>
      </c>
      <c r="MB42" s="64">
        <v>7.0818172123168473E-5</v>
      </c>
      <c r="MC42" s="64">
        <v>7.0818172123168473E-5</v>
      </c>
      <c r="MD42" s="64">
        <v>7.0818172123168473E-5</v>
      </c>
      <c r="ME42" s="64">
        <v>7.0818172123168473E-5</v>
      </c>
      <c r="MF42" s="64">
        <v>7.0818172123168473E-5</v>
      </c>
      <c r="MG42" s="64">
        <v>2.6458455973794881E-5</v>
      </c>
      <c r="MH42" s="64">
        <v>2.6458455973794881E-5</v>
      </c>
      <c r="MI42" s="64">
        <v>3.344191461371844E-6</v>
      </c>
      <c r="MJ42" s="64">
        <v>3.344191461371844E-6</v>
      </c>
      <c r="MK42" s="64">
        <v>1.672095730685922E-5</v>
      </c>
      <c r="ML42" s="64">
        <v>1.0819442963261849E-6</v>
      </c>
      <c r="MM42" s="64">
        <v>7.8686857914631624E-7</v>
      </c>
      <c r="MN42" s="64">
        <v>9.8358572393289538E-7</v>
      </c>
      <c r="MO42" s="64">
        <v>2.0655300202590799E-6</v>
      </c>
      <c r="MP42" s="64">
        <v>3.2458328889785549E-6</v>
      </c>
      <c r="MQ42" s="64">
        <v>8.8522715153960576E-7</v>
      </c>
      <c r="MR42" s="64">
        <v>1.2786614411127639E-6</v>
      </c>
      <c r="MS42" s="64">
        <v>1.180302868719474E-6</v>
      </c>
      <c r="MT42" s="64">
        <v>8.8522715153960576E-7</v>
      </c>
      <c r="MU42" s="64">
        <v>1.475378585899343E-5</v>
      </c>
      <c r="MV42" s="64">
        <v>2.1638885926523698E-6</v>
      </c>
      <c r="MW42" s="64">
        <v>5.9015143435973721E-7</v>
      </c>
      <c r="MX42" s="64">
        <v>2.950757171798686E-7</v>
      </c>
      <c r="MY42" s="64">
        <v>1.9671714478657909E-7</v>
      </c>
      <c r="MZ42" s="64">
        <v>1.672095730685922E-6</v>
      </c>
      <c r="NA42" s="64">
        <v>1.672095730685922E-6</v>
      </c>
      <c r="NB42" s="64"/>
      <c r="NC42" s="64"/>
      <c r="ND42" s="64"/>
      <c r="NE42" s="64"/>
      <c r="NF42" s="64"/>
      <c r="NG42" s="64"/>
      <c r="NH42" s="64"/>
      <c r="NI42" s="64"/>
      <c r="NJ42" s="64"/>
      <c r="NK42" s="64"/>
      <c r="NL42" s="64"/>
      <c r="NM42" s="64"/>
      <c r="NN42" s="64"/>
      <c r="NO42" s="64"/>
      <c r="NP42" s="64"/>
      <c r="NQ42" s="64"/>
      <c r="NR42" s="64"/>
      <c r="NS42" s="64"/>
      <c r="NT42" s="64"/>
      <c r="NU42" s="64"/>
      <c r="NV42" s="64"/>
      <c r="NW42" s="64"/>
      <c r="NX42" s="64"/>
      <c r="NY42" s="64"/>
      <c r="NZ42" s="64"/>
      <c r="OA42" s="64"/>
      <c r="OB42" s="64"/>
      <c r="OC42" s="64"/>
      <c r="OD42" s="64"/>
      <c r="OE42" s="64"/>
      <c r="OF42" s="64"/>
      <c r="OG42" s="64"/>
      <c r="OH42" s="64"/>
      <c r="OI42" s="64"/>
      <c r="OJ42" s="64"/>
      <c r="OK42" s="64"/>
      <c r="OL42" s="64"/>
      <c r="OM42" s="64"/>
      <c r="ON42" s="64"/>
      <c r="OO42" s="64"/>
      <c r="OP42" s="64"/>
      <c r="OQ42" s="64"/>
      <c r="OR42" s="64"/>
      <c r="OS42" s="64"/>
    </row>
    <row r="43" spans="1:409">
      <c r="A43" s="64" t="s">
        <v>601</v>
      </c>
      <c r="B43" s="64" t="s">
        <v>584</v>
      </c>
      <c r="C43" s="64">
        <v>5.3465020246359412E-3</v>
      </c>
      <c r="D43" s="64">
        <v>6.316582090157557E-3</v>
      </c>
      <c r="E43" s="64">
        <v>1.069668454205368</v>
      </c>
      <c r="F43" s="64">
        <v>1.9514764494310271E-3</v>
      </c>
      <c r="G43" s="64">
        <v>0</v>
      </c>
      <c r="H43" s="64">
        <v>2.9331247578948199E-3</v>
      </c>
      <c r="I43" s="64">
        <v>2.378742542914954E-3</v>
      </c>
      <c r="J43" s="64">
        <v>1.540349176545585E-2</v>
      </c>
      <c r="K43" s="64">
        <v>5.5479838508437976E-3</v>
      </c>
      <c r="L43" s="64">
        <v>4.7263636110964893E-3</v>
      </c>
      <c r="M43" s="64">
        <v>4.0887523707278488E-3</v>
      </c>
      <c r="N43" s="64">
        <v>2.7977489431161729E-3</v>
      </c>
      <c r="O43" s="64">
        <v>8.8016061499494142E-4</v>
      </c>
      <c r="P43" s="64">
        <v>5.7225004269273883E-4</v>
      </c>
      <c r="Q43" s="64">
        <v>0.31909944857548561</v>
      </c>
      <c r="R43" s="64">
        <v>1.4994930357088931E-3</v>
      </c>
      <c r="S43" s="64">
        <v>2.9142607353738479E-3</v>
      </c>
      <c r="T43" s="64">
        <v>5.840848804880088E-4</v>
      </c>
      <c r="U43" s="64">
        <v>6.0672036502961335E-4</v>
      </c>
      <c r="V43" s="64">
        <v>2.8382010648725841E-4</v>
      </c>
      <c r="W43" s="64">
        <v>6.076255772960424E-3</v>
      </c>
      <c r="X43" s="64">
        <v>3.9795981228001417E-2</v>
      </c>
      <c r="Y43" s="64">
        <v>1.5616745676824619E-4</v>
      </c>
      <c r="Z43" s="64">
        <v>1.6797120141562961E-2</v>
      </c>
      <c r="AA43" s="64">
        <v>2.7877134299238329E-3</v>
      </c>
      <c r="AB43" s="64">
        <v>7.690969202422902E-3</v>
      </c>
      <c r="AC43" s="64">
        <v>4.5624923344294232E-4</v>
      </c>
      <c r="AD43" s="64">
        <v>2.275286986631347E-3</v>
      </c>
      <c r="AE43" s="64">
        <v>4.758473733138494E-4</v>
      </c>
      <c r="AF43" s="64">
        <v>7.9233988213915283E-4</v>
      </c>
      <c r="AG43" s="64">
        <v>2.8619119930204729E-4</v>
      </c>
      <c r="AH43" s="64">
        <v>2.1128320340262079E-3</v>
      </c>
      <c r="AI43" s="64">
        <v>1.9379192955861621E-3</v>
      </c>
      <c r="AJ43" s="64">
        <v>2.3614746004630589E-6</v>
      </c>
      <c r="AK43" s="64">
        <v>2.3614746004630589E-6</v>
      </c>
      <c r="AL43" s="64">
        <v>2.3614746004630589E-6</v>
      </c>
      <c r="AM43" s="64">
        <v>2.3614746004630589E-6</v>
      </c>
      <c r="AN43" s="64">
        <v>0</v>
      </c>
      <c r="AO43" s="64">
        <v>8.1964409412897718E-6</v>
      </c>
      <c r="AP43" s="64">
        <v>8.1964409412897718E-6</v>
      </c>
      <c r="AQ43" s="64">
        <v>8.1964409412897718E-6</v>
      </c>
      <c r="AR43" s="64">
        <v>8.1964409412897718E-6</v>
      </c>
      <c r="AS43" s="64">
        <v>8.1964409412897718E-6</v>
      </c>
      <c r="AT43" s="64">
        <v>8.1964409412897718E-6</v>
      </c>
      <c r="AU43" s="64">
        <v>8.1964409412897718E-6</v>
      </c>
      <c r="AV43" s="64">
        <v>1.8117133178155751E-6</v>
      </c>
      <c r="AW43" s="64">
        <v>1.8117133178155751E-6</v>
      </c>
      <c r="AX43" s="64">
        <v>6.8720160330935587E-7</v>
      </c>
      <c r="AY43" s="64">
        <v>6.8720160330935587E-7</v>
      </c>
      <c r="AZ43" s="64">
        <v>4.6854654771092447E-6</v>
      </c>
      <c r="BA43" s="64">
        <v>5.1227755883061074E-7</v>
      </c>
      <c r="BB43" s="64">
        <v>3.3735351435186561E-7</v>
      </c>
      <c r="BC43" s="64">
        <v>3.6234266356311489E-7</v>
      </c>
      <c r="BD43" s="64">
        <v>6.996961779149805E-7</v>
      </c>
      <c r="BE43" s="64">
        <v>7.3717990173185452E-7</v>
      </c>
      <c r="BF43" s="64">
        <v>1.249457460562465E-7</v>
      </c>
      <c r="BG43" s="64">
        <v>3.1236436514061629E-7</v>
      </c>
      <c r="BH43" s="64">
        <v>1.749240444787451E-7</v>
      </c>
      <c r="BI43" s="64">
        <v>2.249023429012438E-7</v>
      </c>
      <c r="BJ43" s="64">
        <v>2.473925771913681E-6</v>
      </c>
      <c r="BK43" s="64">
        <v>2.6238606671811769E-7</v>
      </c>
      <c r="BL43" s="64">
        <v>8.7462022239372563E-8</v>
      </c>
      <c r="BM43" s="64">
        <v>1.249457460562465E-8</v>
      </c>
      <c r="BN43" s="64">
        <v>1.249457460562465E-8</v>
      </c>
      <c r="BO43" s="64">
        <v>1.8741861908436979E-7</v>
      </c>
      <c r="BP43" s="64">
        <v>1.8741861908436979E-7</v>
      </c>
      <c r="BQ43" s="64">
        <v>2.1738855033025841E-5</v>
      </c>
      <c r="BR43" s="64">
        <v>2.1738855033025841E-5</v>
      </c>
      <c r="BS43" s="64">
        <v>2.1738855033025841E-5</v>
      </c>
      <c r="BT43" s="64">
        <v>2.1738855033025841E-5</v>
      </c>
      <c r="BU43" s="64">
        <v>0</v>
      </c>
      <c r="BV43" s="64">
        <v>4.7273383167056202E-5</v>
      </c>
      <c r="BW43" s="64">
        <v>4.7273383167056202E-5</v>
      </c>
      <c r="BX43" s="64">
        <v>4.7273383167056202E-5</v>
      </c>
      <c r="BY43" s="64">
        <v>4.7273383167056202E-5</v>
      </c>
      <c r="BZ43" s="64">
        <v>4.7273383167056202E-5</v>
      </c>
      <c r="CA43" s="64">
        <v>4.7273383167056202E-5</v>
      </c>
      <c r="CB43" s="64">
        <v>4.7273383167056202E-5</v>
      </c>
      <c r="CC43" s="64">
        <v>1.587281478601887E-5</v>
      </c>
      <c r="CD43" s="64">
        <v>1.587281478601887E-5</v>
      </c>
      <c r="CE43" s="64">
        <v>3.7956731010045118E-6</v>
      </c>
      <c r="CF43" s="64">
        <v>3.7956731010045118E-6</v>
      </c>
      <c r="CG43" s="64">
        <v>1.2422202876014771E-5</v>
      </c>
      <c r="CH43" s="64">
        <v>1.725305955002051E-6</v>
      </c>
      <c r="CI43" s="64">
        <v>2.0703671460024608E-6</v>
      </c>
      <c r="CJ43" s="64">
        <v>1.380244764001641E-6</v>
      </c>
      <c r="CK43" s="64">
        <v>3.7956731010045118E-6</v>
      </c>
      <c r="CL43" s="64">
        <v>4.1407342920049216E-6</v>
      </c>
      <c r="CM43" s="64">
        <v>1.380244764001641E-6</v>
      </c>
      <c r="CN43" s="64">
        <v>1.380244764001641E-6</v>
      </c>
      <c r="CO43" s="64">
        <v>1.380244764001641E-6</v>
      </c>
      <c r="CP43" s="64">
        <v>1.725305955002051E-6</v>
      </c>
      <c r="CQ43" s="64">
        <v>8.2814685840098449E-6</v>
      </c>
      <c r="CR43" s="64">
        <v>3.450611910004102E-6</v>
      </c>
      <c r="CS43" s="64">
        <v>1.035183573001231E-6</v>
      </c>
      <c r="CT43" s="64">
        <v>3.450611910004102E-7</v>
      </c>
      <c r="CU43" s="64">
        <v>0</v>
      </c>
      <c r="CV43" s="64">
        <v>1.380244764001641E-6</v>
      </c>
      <c r="CW43" s="64">
        <v>1.380244764001641E-6</v>
      </c>
      <c r="CX43" s="64">
        <v>1.7505577093846789E-7</v>
      </c>
      <c r="CY43" s="64">
        <v>1.7505577093846789E-7</v>
      </c>
      <c r="CZ43" s="64">
        <v>1.7505577093846789E-7</v>
      </c>
      <c r="DA43" s="64">
        <v>1.7505577093846789E-7</v>
      </c>
      <c r="DB43" s="64">
        <v>0</v>
      </c>
      <c r="DC43" s="64">
        <v>3.1510038768924218E-7</v>
      </c>
      <c r="DD43" s="64">
        <v>3.1510038768924218E-7</v>
      </c>
      <c r="DE43" s="64">
        <v>3.1510038768924218E-7</v>
      </c>
      <c r="DF43" s="64">
        <v>3.1510038768924218E-7</v>
      </c>
      <c r="DG43" s="64">
        <v>3.1510038768924218E-7</v>
      </c>
      <c r="DH43" s="64">
        <v>3.1510038768924218E-7</v>
      </c>
      <c r="DI43" s="64">
        <v>3.1510038768924218E-7</v>
      </c>
      <c r="DJ43" s="64">
        <v>2.8008923350154858E-7</v>
      </c>
      <c r="DK43" s="64">
        <v>2.8008923350154858E-7</v>
      </c>
      <c r="DL43" s="64">
        <v>1.4004461675077429E-7</v>
      </c>
      <c r="DM43" s="64">
        <v>1.4004461675077429E-7</v>
      </c>
      <c r="DN43" s="64">
        <v>3.5011154187693579E-7</v>
      </c>
      <c r="DO43" s="64">
        <v>1.050334625630807E-7</v>
      </c>
      <c r="DP43" s="64">
        <v>7.0022308375387157E-8</v>
      </c>
      <c r="DQ43" s="64">
        <v>1.050334625630807E-7</v>
      </c>
      <c r="DR43" s="64">
        <v>2.100669251261615E-7</v>
      </c>
      <c r="DS43" s="64">
        <v>1.7505577093846789E-7</v>
      </c>
      <c r="DT43" s="64">
        <v>7.0022308375387157E-8</v>
      </c>
      <c r="DU43" s="64">
        <v>1.050334625630807E-7</v>
      </c>
      <c r="DV43" s="64">
        <v>7.0022308375387157E-8</v>
      </c>
      <c r="DW43" s="64">
        <v>7.0022308375387157E-8</v>
      </c>
      <c r="DX43" s="64">
        <v>2.100669251261615E-7</v>
      </c>
      <c r="DY43" s="64">
        <v>1.050334625630807E-7</v>
      </c>
      <c r="DZ43" s="64">
        <v>0</v>
      </c>
      <c r="EA43" s="64">
        <v>0</v>
      </c>
      <c r="EB43" s="64">
        <v>0</v>
      </c>
      <c r="EC43" s="64">
        <v>7.0022308375387157E-8</v>
      </c>
      <c r="ED43" s="64">
        <v>7.0022308375387157E-8</v>
      </c>
      <c r="EE43" s="64">
        <v>2.8008923350154858E-7</v>
      </c>
      <c r="EF43" s="64">
        <v>2.8008923350154858E-7</v>
      </c>
      <c r="EG43" s="64">
        <v>2.8008923350154858E-7</v>
      </c>
      <c r="EH43" s="64">
        <v>2.8008923350154858E-7</v>
      </c>
      <c r="EI43" s="64">
        <v>0</v>
      </c>
      <c r="EJ43" s="64">
        <v>1.085345779818501E-6</v>
      </c>
      <c r="EK43" s="64">
        <v>1.085345779818501E-6</v>
      </c>
      <c r="EL43" s="64">
        <v>1.085345779818501E-6</v>
      </c>
      <c r="EM43" s="64">
        <v>1.085345779818501E-6</v>
      </c>
      <c r="EN43" s="64">
        <v>1.085345779818501E-6</v>
      </c>
      <c r="EO43" s="64">
        <v>1.085345779818501E-6</v>
      </c>
      <c r="EP43" s="64">
        <v>1.085345779818501E-6</v>
      </c>
      <c r="EQ43" s="64">
        <v>1.7505577093846789E-7</v>
      </c>
      <c r="ER43" s="64">
        <v>1.7505577093846789E-7</v>
      </c>
      <c r="ES43" s="64">
        <v>1.4004461675077429E-7</v>
      </c>
      <c r="ET43" s="64">
        <v>1.4004461675077429E-7</v>
      </c>
      <c r="EU43" s="64">
        <v>3.5011154187693579E-7</v>
      </c>
      <c r="EV43" s="64">
        <v>7.0022308375387157E-8</v>
      </c>
      <c r="EW43" s="64">
        <v>1.050334625630807E-7</v>
      </c>
      <c r="EX43" s="64">
        <v>7.0022308375387157E-8</v>
      </c>
      <c r="EY43" s="64">
        <v>1.7505577093846789E-7</v>
      </c>
      <c r="EZ43" s="64">
        <v>1.7505577093846789E-7</v>
      </c>
      <c r="FA43" s="64">
        <v>3.5011154187693579E-8</v>
      </c>
      <c r="FB43" s="64">
        <v>7.0022308375387157E-8</v>
      </c>
      <c r="FC43" s="64">
        <v>7.0022308375387157E-8</v>
      </c>
      <c r="FD43" s="64">
        <v>3.5011154187693579E-8</v>
      </c>
      <c r="FE43" s="64">
        <v>1.7505577093846789E-7</v>
      </c>
      <c r="FF43" s="64">
        <v>1.050334625630807E-7</v>
      </c>
      <c r="FG43" s="64">
        <v>3.5011154187693579E-8</v>
      </c>
      <c r="FH43" s="64">
        <v>0</v>
      </c>
      <c r="FI43" s="64">
        <v>0</v>
      </c>
      <c r="FJ43" s="64">
        <v>7.0022308375387157E-8</v>
      </c>
      <c r="FK43" s="64">
        <v>7.0022308375387157E-8</v>
      </c>
      <c r="FL43" s="64">
        <v>5.6423969017051213E-9</v>
      </c>
      <c r="FM43" s="64">
        <v>5.6423969017051213E-9</v>
      </c>
      <c r="FN43" s="64">
        <v>5.6423969017051213E-9</v>
      </c>
      <c r="FO43" s="64">
        <v>5.6423969017051213E-9</v>
      </c>
      <c r="FP43" s="64">
        <v>0</v>
      </c>
      <c r="FQ43" s="64">
        <v>1.260062100438327E-8</v>
      </c>
      <c r="FR43" s="64">
        <v>1.260062100438327E-8</v>
      </c>
      <c r="FS43" s="64">
        <v>1.260062100438327E-8</v>
      </c>
      <c r="FT43" s="64">
        <v>1.260062100438327E-8</v>
      </c>
      <c r="FU43" s="64">
        <v>1.260062100438327E-8</v>
      </c>
      <c r="FV43" s="64">
        <v>1.260062100438327E-8</v>
      </c>
      <c r="FW43" s="64">
        <v>1.260062100438327E-8</v>
      </c>
      <c r="FX43" s="64">
        <v>5.1573169176018554E-9</v>
      </c>
      <c r="FY43" s="64">
        <v>5.1573169176018554E-9</v>
      </c>
      <c r="FZ43" s="64">
        <v>4.6311770135843353E-10</v>
      </c>
      <c r="GA43" s="64">
        <v>4.6311770135843353E-10</v>
      </c>
      <c r="GB43" s="64">
        <v>1.02458823413938E-9</v>
      </c>
      <c r="GC43" s="64">
        <v>1.9193125355267041E-10</v>
      </c>
      <c r="GD43" s="64">
        <v>2.6641203851340812E-10</v>
      </c>
      <c r="GE43" s="64">
        <v>2.4635951948551718E-10</v>
      </c>
      <c r="GF43" s="64">
        <v>5.3377895888528728E-10</v>
      </c>
      <c r="GG43" s="64">
        <v>6.1589879871379292E-10</v>
      </c>
      <c r="GH43" s="64">
        <v>1.2699928717664259E-10</v>
      </c>
      <c r="GI43" s="64">
        <v>1.1554070487499059E-10</v>
      </c>
      <c r="GJ43" s="64">
        <v>1.1554070487499059E-10</v>
      </c>
      <c r="GK43" s="64">
        <v>1.566006247892435E-10</v>
      </c>
      <c r="GL43" s="64">
        <v>4.2778707259500658E-9</v>
      </c>
      <c r="GM43" s="64">
        <v>5.3091431330987425E-10</v>
      </c>
      <c r="GN43" s="64">
        <v>1.3654810576135259E-10</v>
      </c>
      <c r="GO43" s="64">
        <v>3.15111013295429E-11</v>
      </c>
      <c r="GP43" s="64">
        <v>2.2917164603303929E-11</v>
      </c>
      <c r="GQ43" s="64">
        <v>2.7500597523964712E-10</v>
      </c>
      <c r="GR43" s="64">
        <v>2.7500597523964712E-10</v>
      </c>
      <c r="GS43" s="64">
        <v>3.5011154187693579E-7</v>
      </c>
      <c r="GT43" s="64">
        <v>3.5011154187693579E-7</v>
      </c>
      <c r="GU43" s="64">
        <v>3.5011154187693579E-7</v>
      </c>
      <c r="GV43" s="64">
        <v>3.5011154187693579E-7</v>
      </c>
      <c r="GW43" s="64">
        <v>0</v>
      </c>
      <c r="GX43" s="64">
        <v>2.170691559637002E-6</v>
      </c>
      <c r="GY43" s="64">
        <v>2.170691559637002E-6</v>
      </c>
      <c r="GZ43" s="64">
        <v>2.170691559637002E-6</v>
      </c>
      <c r="HA43" s="64">
        <v>2.170691559637002E-6</v>
      </c>
      <c r="HB43" s="64">
        <v>2.170691559637002E-6</v>
      </c>
      <c r="HC43" s="64">
        <v>2.170691559637002E-6</v>
      </c>
      <c r="HD43" s="64">
        <v>2.170691559637002E-6</v>
      </c>
      <c r="HE43" s="64">
        <v>1.225390396569275E-6</v>
      </c>
      <c r="HF43" s="64">
        <v>1.225390396569275E-6</v>
      </c>
      <c r="HG43" s="64">
        <v>1.7505577093846789E-7</v>
      </c>
      <c r="HH43" s="64">
        <v>1.7505577093846789E-7</v>
      </c>
      <c r="HI43" s="64">
        <v>8.7527885469233949E-7</v>
      </c>
      <c r="HJ43" s="64">
        <v>1.050334625630807E-7</v>
      </c>
      <c r="HK43" s="64">
        <v>1.050334625630807E-7</v>
      </c>
      <c r="HL43" s="64">
        <v>1.050334625630807E-7</v>
      </c>
      <c r="HM43" s="64">
        <v>2.4507807931385502E-7</v>
      </c>
      <c r="HN43" s="64">
        <v>3.1510038768924218E-7</v>
      </c>
      <c r="HO43" s="64">
        <v>7.0022308375387157E-8</v>
      </c>
      <c r="HP43" s="64">
        <v>1.050334625630807E-7</v>
      </c>
      <c r="HQ43" s="64">
        <v>1.4004461675077429E-7</v>
      </c>
      <c r="HR43" s="64">
        <v>7.0022308375387157E-8</v>
      </c>
      <c r="HS43" s="64">
        <v>6.3020077537848447E-7</v>
      </c>
      <c r="HT43" s="64">
        <v>2.100669251261615E-7</v>
      </c>
      <c r="HU43" s="64">
        <v>7.0022308375387157E-8</v>
      </c>
      <c r="HV43" s="64">
        <v>0</v>
      </c>
      <c r="HW43" s="64">
        <v>0</v>
      </c>
      <c r="HX43" s="64">
        <v>1.050334625630807E-7</v>
      </c>
      <c r="HY43" s="64">
        <v>1.050334625630807E-7</v>
      </c>
      <c r="HZ43" s="64">
        <v>6.7571527582248604E-6</v>
      </c>
      <c r="IA43" s="64">
        <v>6.7571527582248604E-6</v>
      </c>
      <c r="IB43" s="64">
        <v>6.7571527582248604E-6</v>
      </c>
      <c r="IC43" s="64">
        <v>6.7571527582248604E-6</v>
      </c>
      <c r="ID43" s="64">
        <v>0</v>
      </c>
      <c r="IE43" s="64">
        <v>1.6455242468215981E-5</v>
      </c>
      <c r="IF43" s="64">
        <v>1.6455242468215981E-5</v>
      </c>
      <c r="IG43" s="64">
        <v>1.6455242468215981E-5</v>
      </c>
      <c r="IH43" s="64">
        <v>1.6455242468215981E-5</v>
      </c>
      <c r="II43" s="64">
        <v>1.6455242468215981E-5</v>
      </c>
      <c r="IJ43" s="64">
        <v>1.6455242468215981E-5</v>
      </c>
      <c r="IK43" s="64">
        <v>1.6455242468215981E-5</v>
      </c>
      <c r="IL43" s="64">
        <v>2.3457473305754702E-6</v>
      </c>
      <c r="IM43" s="64">
        <v>2.3457473305754702E-6</v>
      </c>
      <c r="IN43" s="64">
        <v>2.1356804054493079E-6</v>
      </c>
      <c r="IO43" s="64">
        <v>2.1356804054493079E-6</v>
      </c>
      <c r="IP43" s="64">
        <v>2.4857919473262442E-6</v>
      </c>
      <c r="IQ43" s="64">
        <v>4.5514500444001649E-7</v>
      </c>
      <c r="IR43" s="64">
        <v>3.1510038768924218E-7</v>
      </c>
      <c r="IS43" s="64">
        <v>3.8512269606462928E-7</v>
      </c>
      <c r="IT43" s="64">
        <v>5.9518962119079086E-7</v>
      </c>
      <c r="IU43" s="64">
        <v>1.5404907842585169E-6</v>
      </c>
      <c r="IV43" s="64">
        <v>2.8008923350154858E-7</v>
      </c>
      <c r="IW43" s="64">
        <v>4.2013385025232289E-7</v>
      </c>
      <c r="IX43" s="64">
        <v>4.2013385025232289E-7</v>
      </c>
      <c r="IY43" s="64">
        <v>3.8512269606462928E-7</v>
      </c>
      <c r="IZ43" s="64">
        <v>2.6608477182647119E-6</v>
      </c>
      <c r="JA43" s="64">
        <v>9.4530116306772659E-7</v>
      </c>
      <c r="JB43" s="64">
        <v>2.8008923350154858E-7</v>
      </c>
      <c r="JC43" s="64">
        <v>7.0022308375387157E-8</v>
      </c>
      <c r="JD43" s="64">
        <v>3.5011154187693579E-8</v>
      </c>
      <c r="JE43" s="64">
        <v>1.085345779818501E-6</v>
      </c>
      <c r="JF43" s="64">
        <v>1.085345779818501E-6</v>
      </c>
      <c r="JG43" s="64">
        <v>4.0752983474475332E-5</v>
      </c>
      <c r="JH43" s="64">
        <v>4.0752983474475332E-5</v>
      </c>
      <c r="JI43" s="64">
        <v>4.0752983474475332E-5</v>
      </c>
      <c r="JJ43" s="64">
        <v>4.0752983474475332E-5</v>
      </c>
      <c r="JK43" s="64">
        <v>0</v>
      </c>
      <c r="JL43" s="64">
        <v>9.4845216694461912E-5</v>
      </c>
      <c r="JM43" s="64">
        <v>9.4845216694461912E-5</v>
      </c>
      <c r="JN43" s="64">
        <v>9.4845216694461912E-5</v>
      </c>
      <c r="JO43" s="64">
        <v>9.4845216694461912E-5</v>
      </c>
      <c r="JP43" s="64">
        <v>9.4845216694461912E-5</v>
      </c>
      <c r="JQ43" s="64">
        <v>9.4845216694461912E-5</v>
      </c>
      <c r="JR43" s="64">
        <v>9.4845216694461912E-5</v>
      </c>
      <c r="JS43" s="64">
        <v>4.0269829546685161E-4</v>
      </c>
      <c r="JT43" s="64">
        <v>4.0269829546685161E-4</v>
      </c>
      <c r="JU43" s="64">
        <v>1.7750655173160639E-5</v>
      </c>
      <c r="JV43" s="64">
        <v>1.7750655173160639E-5</v>
      </c>
      <c r="JW43" s="64">
        <v>9.9711767126551309E-5</v>
      </c>
      <c r="JX43" s="64">
        <v>4.2363496567109234E-6</v>
      </c>
      <c r="JY43" s="64">
        <v>9.5230339390526538E-6</v>
      </c>
      <c r="JZ43" s="64">
        <v>1.0468335102120379E-5</v>
      </c>
      <c r="KA43" s="64">
        <v>2.0936670204240759E-5</v>
      </c>
      <c r="KB43" s="64">
        <v>2.9479391826037989E-5</v>
      </c>
      <c r="KC43" s="64">
        <v>3.781204652270906E-6</v>
      </c>
      <c r="KD43" s="64">
        <v>6.4420523705356182E-6</v>
      </c>
      <c r="KE43" s="64">
        <v>4.6564835069632462E-6</v>
      </c>
      <c r="KF43" s="64">
        <v>4.2013385025232292E-6</v>
      </c>
      <c r="KG43" s="64">
        <v>3.7286879209893659E-5</v>
      </c>
      <c r="KH43" s="64">
        <v>1.0608379718871151E-5</v>
      </c>
      <c r="KI43" s="64">
        <v>3.5361265729570521E-6</v>
      </c>
      <c r="KJ43" s="64">
        <v>1.890602326135453E-6</v>
      </c>
      <c r="KK43" s="64">
        <v>1.3654350133200501E-6</v>
      </c>
      <c r="KL43" s="64">
        <v>1.1763747807065039E-5</v>
      </c>
      <c r="KM43" s="64">
        <v>1.1763747807065039E-5</v>
      </c>
      <c r="KN43" s="64">
        <v>2.100669251261615E-7</v>
      </c>
      <c r="KO43" s="64">
        <v>2.100669251261615E-7</v>
      </c>
      <c r="KP43" s="64">
        <v>2.100669251261615E-7</v>
      </c>
      <c r="KQ43" s="64">
        <v>2.100669251261615E-7</v>
      </c>
      <c r="KR43" s="64">
        <v>0</v>
      </c>
      <c r="KS43" s="64">
        <v>5.2516731281540365E-7</v>
      </c>
      <c r="KT43" s="64">
        <v>5.2516731281540365E-7</v>
      </c>
      <c r="KU43" s="64">
        <v>5.2516731281540365E-7</v>
      </c>
      <c r="KV43" s="64">
        <v>5.2516731281540365E-7</v>
      </c>
      <c r="KW43" s="64">
        <v>5.2516731281540365E-7</v>
      </c>
      <c r="KX43" s="64">
        <v>5.2516731281540365E-7</v>
      </c>
      <c r="KY43" s="64">
        <v>5.2516731281540365E-7</v>
      </c>
      <c r="KZ43" s="64">
        <v>2.100669251261615E-7</v>
      </c>
      <c r="LA43" s="64">
        <v>2.100669251261615E-7</v>
      </c>
      <c r="LB43" s="64">
        <v>1.4004461675077429E-7</v>
      </c>
      <c r="LC43" s="64">
        <v>1.4004461675077429E-7</v>
      </c>
      <c r="LD43" s="64">
        <v>4.2013385025232289E-7</v>
      </c>
      <c r="LE43" s="64">
        <v>1.050334625630807E-7</v>
      </c>
      <c r="LF43" s="64">
        <v>1.4004461675077429E-7</v>
      </c>
      <c r="LG43" s="64">
        <v>7.0022308375387157E-8</v>
      </c>
      <c r="LH43" s="64">
        <v>2.4507807931385502E-7</v>
      </c>
      <c r="LI43" s="64">
        <v>2.100669251261615E-7</v>
      </c>
      <c r="LJ43" s="64">
        <v>1.4004461675077429E-7</v>
      </c>
      <c r="LK43" s="64">
        <v>7.0022308375387157E-8</v>
      </c>
      <c r="LL43" s="64">
        <v>1.050334625630807E-7</v>
      </c>
      <c r="LM43" s="64">
        <v>1.050334625630807E-7</v>
      </c>
      <c r="LN43" s="64">
        <v>3.1510038768924218E-7</v>
      </c>
      <c r="LO43" s="64">
        <v>4.5514500444001649E-7</v>
      </c>
      <c r="LP43" s="64">
        <v>1.050334625630807E-7</v>
      </c>
      <c r="LQ43" s="64">
        <v>0</v>
      </c>
      <c r="LR43" s="64">
        <v>0</v>
      </c>
      <c r="LS43" s="64">
        <v>1.050334625630807E-7</v>
      </c>
      <c r="LT43" s="64">
        <v>1.050334625630807E-7</v>
      </c>
      <c r="LU43" s="64">
        <v>3.1589060877691402E-5</v>
      </c>
      <c r="LV43" s="64">
        <v>3.1589060877691402E-5</v>
      </c>
      <c r="LW43" s="64">
        <v>3.1589060877691402E-5</v>
      </c>
      <c r="LX43" s="64">
        <v>3.1589060877691402E-5</v>
      </c>
      <c r="LY43" s="64">
        <v>0</v>
      </c>
      <c r="LZ43" s="64">
        <v>1.1429207955747639E-4</v>
      </c>
      <c r="MA43" s="64">
        <v>1.1429207955747639E-4</v>
      </c>
      <c r="MB43" s="64">
        <v>1.1429207955747639E-4</v>
      </c>
      <c r="MC43" s="64">
        <v>1.1429207955747639E-4</v>
      </c>
      <c r="MD43" s="64">
        <v>1.1429207955747639E-4</v>
      </c>
      <c r="ME43" s="64">
        <v>1.1429207955747639E-4</v>
      </c>
      <c r="MF43" s="64">
        <v>1.1429207955747639E-4</v>
      </c>
      <c r="MG43" s="64">
        <v>4.2700790834668267E-5</v>
      </c>
      <c r="MH43" s="64">
        <v>4.2700790834668267E-5</v>
      </c>
      <c r="MI43" s="64">
        <v>5.3971259791030533E-6</v>
      </c>
      <c r="MJ43" s="64">
        <v>5.3971259791030533E-6</v>
      </c>
      <c r="MK43" s="64">
        <v>2.6985629895515271E-5</v>
      </c>
      <c r="ML43" s="64">
        <v>1.746128993239223E-6</v>
      </c>
      <c r="MM43" s="64">
        <v>1.269911995083071E-6</v>
      </c>
      <c r="MN43" s="64">
        <v>1.5873899938538389E-6</v>
      </c>
      <c r="MO43" s="64">
        <v>3.3335189870930621E-6</v>
      </c>
      <c r="MP43" s="64">
        <v>5.2383869797176698E-6</v>
      </c>
      <c r="MQ43" s="64">
        <v>1.428650994468455E-6</v>
      </c>
      <c r="MR43" s="64">
        <v>2.0636069920099912E-6</v>
      </c>
      <c r="MS43" s="64">
        <v>1.9048679926246071E-6</v>
      </c>
      <c r="MT43" s="64">
        <v>1.428650994468455E-6</v>
      </c>
      <c r="MU43" s="64">
        <v>2.3810849907807581E-5</v>
      </c>
      <c r="MV43" s="64">
        <v>3.492257986478446E-6</v>
      </c>
      <c r="MW43" s="64">
        <v>9.5243399631230354E-7</v>
      </c>
      <c r="MX43" s="64">
        <v>4.7621699815615182E-7</v>
      </c>
      <c r="MY43" s="64">
        <v>3.1747799877076779E-7</v>
      </c>
      <c r="MZ43" s="64">
        <v>2.6985629895515271E-6</v>
      </c>
      <c r="NA43" s="64">
        <v>2.6985629895515271E-6</v>
      </c>
      <c r="NB43" s="64"/>
      <c r="NC43" s="64"/>
      <c r="ND43" s="64"/>
      <c r="NE43" s="64"/>
      <c r="NF43" s="64"/>
      <c r="NG43" s="64"/>
      <c r="NH43" s="64"/>
      <c r="NI43" s="64"/>
      <c r="NJ43" s="64"/>
      <c r="NK43" s="64"/>
      <c r="NL43" s="64"/>
      <c r="NM43" s="64"/>
      <c r="NN43" s="64"/>
      <c r="NO43" s="64"/>
      <c r="NP43" s="64"/>
      <c r="NQ43" s="64"/>
      <c r="NR43" s="64"/>
      <c r="NS43" s="64"/>
      <c r="NT43" s="64"/>
      <c r="NU43" s="64"/>
      <c r="NV43" s="64"/>
      <c r="NW43" s="64"/>
      <c r="NX43" s="64"/>
      <c r="NY43" s="64"/>
      <c r="NZ43" s="64"/>
      <c r="OA43" s="64"/>
      <c r="OB43" s="64"/>
      <c r="OC43" s="64"/>
      <c r="OD43" s="64"/>
      <c r="OE43" s="64"/>
      <c r="OF43" s="64"/>
      <c r="OG43" s="64"/>
      <c r="OH43" s="64"/>
      <c r="OI43" s="64"/>
      <c r="OJ43" s="64"/>
      <c r="OK43" s="64"/>
      <c r="OL43" s="64"/>
      <c r="OM43" s="64"/>
      <c r="ON43" s="64"/>
      <c r="OO43" s="64"/>
      <c r="OP43" s="64"/>
      <c r="OQ43" s="64"/>
      <c r="OR43" s="64"/>
      <c r="OS43" s="64"/>
    </row>
    <row r="44" spans="1:409">
      <c r="A44" s="64" t="s">
        <v>602</v>
      </c>
      <c r="B44" s="64" t="s">
        <v>585</v>
      </c>
      <c r="C44" s="64">
        <v>2.385626461746321E-6</v>
      </c>
      <c r="D44" s="64">
        <v>2.3803468012916039E-6</v>
      </c>
      <c r="E44" s="64">
        <v>8.8439059750851087E-7</v>
      </c>
      <c r="F44" s="64">
        <v>0.99177452041913716</v>
      </c>
      <c r="G44" s="64">
        <v>0</v>
      </c>
      <c r="H44" s="64">
        <v>1.356182330033881E-6</v>
      </c>
      <c r="I44" s="64">
        <v>9.4595391662118828E-7</v>
      </c>
      <c r="J44" s="64">
        <v>1.1145807728078501E-6</v>
      </c>
      <c r="K44" s="64">
        <v>1.170784726909336E-6</v>
      </c>
      <c r="L44" s="64">
        <v>4.4520407085294061E-7</v>
      </c>
      <c r="M44" s="64">
        <v>9.5533836871410556E-7</v>
      </c>
      <c r="N44" s="64">
        <v>9.6246573141240974E-7</v>
      </c>
      <c r="O44" s="64">
        <v>3.0686013855285862E-7</v>
      </c>
      <c r="P44" s="64">
        <v>5.8773152497726035E-7</v>
      </c>
      <c r="Q44" s="64">
        <v>1.1749540749616931E-6</v>
      </c>
      <c r="R44" s="64">
        <v>1.3489815625784129E-6</v>
      </c>
      <c r="S44" s="64">
        <v>2.6736847810357419E-6</v>
      </c>
      <c r="T44" s="64">
        <v>9.0573823940233395E-7</v>
      </c>
      <c r="U44" s="64">
        <v>6.7632442534381954E-7</v>
      </c>
      <c r="V44" s="64">
        <v>6.7460581377530237E-7</v>
      </c>
      <c r="W44" s="64">
        <v>1.1123849154254391E-5</v>
      </c>
      <c r="X44" s="64">
        <v>2.6418631373101149E-6</v>
      </c>
      <c r="Y44" s="64">
        <v>6.7165387981629904E-7</v>
      </c>
      <c r="Z44" s="64">
        <v>8.0944404545498156E-7</v>
      </c>
      <c r="AA44" s="64">
        <v>5.1295078889649886E-6</v>
      </c>
      <c r="AB44" s="64">
        <v>9.2407159108925103E-5</v>
      </c>
      <c r="AC44" s="64">
        <v>3.3893380791269002E-5</v>
      </c>
      <c r="AD44" s="64">
        <v>1.5170936986637671E-6</v>
      </c>
      <c r="AE44" s="64">
        <v>8.040480797012343E-7</v>
      </c>
      <c r="AF44" s="64">
        <v>1.434321873817643E-6</v>
      </c>
      <c r="AG44" s="64">
        <v>7.1302953275109542E-7</v>
      </c>
      <c r="AH44" s="64">
        <v>5.3857036784265912E-6</v>
      </c>
      <c r="AI44" s="64">
        <v>7.4555388422186286E-6</v>
      </c>
      <c r="AJ44" s="64">
        <v>7.6963057059946799E-11</v>
      </c>
      <c r="AK44" s="64">
        <v>7.6963057059946799E-11</v>
      </c>
      <c r="AL44" s="64">
        <v>7.6963057059946799E-11</v>
      </c>
      <c r="AM44" s="64">
        <v>7.6963057059946799E-11</v>
      </c>
      <c r="AN44" s="64">
        <v>0</v>
      </c>
      <c r="AO44" s="64">
        <v>2.6713103402817512E-10</v>
      </c>
      <c r="AP44" s="64">
        <v>2.6713103402817512E-10</v>
      </c>
      <c r="AQ44" s="64">
        <v>2.6713103402817512E-10</v>
      </c>
      <c r="AR44" s="64">
        <v>2.6713103402817512E-10</v>
      </c>
      <c r="AS44" s="64">
        <v>2.6713103402817512E-10</v>
      </c>
      <c r="AT44" s="64">
        <v>2.6713103402817512E-10</v>
      </c>
      <c r="AU44" s="64">
        <v>2.6713103402817512E-10</v>
      </c>
      <c r="AV44" s="64">
        <v>5.9045731606837485E-11</v>
      </c>
      <c r="AW44" s="64">
        <v>5.9045731606837485E-11</v>
      </c>
      <c r="AX44" s="64">
        <v>2.2396656816386629E-11</v>
      </c>
      <c r="AY44" s="64">
        <v>2.2396656816386629E-11</v>
      </c>
      <c r="AZ44" s="64">
        <v>1.5270447829354519E-10</v>
      </c>
      <c r="BA44" s="64">
        <v>1.6695689626760942E-11</v>
      </c>
      <c r="BB44" s="64">
        <v>1.099472243713526E-11</v>
      </c>
      <c r="BC44" s="64">
        <v>1.1809146321367499E-11</v>
      </c>
      <c r="BD44" s="64">
        <v>2.2803868758502751E-11</v>
      </c>
      <c r="BE44" s="64">
        <v>2.4025504584851111E-11</v>
      </c>
      <c r="BF44" s="64">
        <v>4.0721194211612073E-12</v>
      </c>
      <c r="BG44" s="64">
        <v>1.018029855290302E-11</v>
      </c>
      <c r="BH44" s="64">
        <v>5.7009671896256887E-12</v>
      </c>
      <c r="BI44" s="64">
        <v>7.3298149580901708E-12</v>
      </c>
      <c r="BJ44" s="64">
        <v>8.062796453899188E-11</v>
      </c>
      <c r="BK44" s="64">
        <v>8.5514507844385318E-12</v>
      </c>
      <c r="BL44" s="64">
        <v>2.8504835948128439E-12</v>
      </c>
      <c r="BM44" s="64">
        <v>4.0721194211612058E-13</v>
      </c>
      <c r="BN44" s="64">
        <v>4.0721194211612058E-13</v>
      </c>
      <c r="BO44" s="64">
        <v>6.108179131741809E-12</v>
      </c>
      <c r="BP44" s="64">
        <v>6.108179131741809E-12</v>
      </c>
      <c r="BQ44" s="64">
        <v>2.8514125927503681E-8</v>
      </c>
      <c r="BR44" s="64">
        <v>2.8514125927503681E-8</v>
      </c>
      <c r="BS44" s="64">
        <v>2.8514125927503681E-8</v>
      </c>
      <c r="BT44" s="64">
        <v>2.8514125927503681E-8</v>
      </c>
      <c r="BU44" s="64">
        <v>0</v>
      </c>
      <c r="BV44" s="64">
        <v>6.2006908762984202E-8</v>
      </c>
      <c r="BW44" s="64">
        <v>6.2006908762984202E-8</v>
      </c>
      <c r="BX44" s="64">
        <v>6.2006908762984202E-8</v>
      </c>
      <c r="BY44" s="64">
        <v>6.2006908762984202E-8</v>
      </c>
      <c r="BZ44" s="64">
        <v>6.2006908762984202E-8</v>
      </c>
      <c r="CA44" s="64">
        <v>6.2006908762984202E-8</v>
      </c>
      <c r="CB44" s="64">
        <v>6.2006908762984202E-8</v>
      </c>
      <c r="CC44" s="64">
        <v>2.081983797881221E-8</v>
      </c>
      <c r="CD44" s="64">
        <v>2.081983797881221E-8</v>
      </c>
      <c r="CE44" s="64">
        <v>4.9786569079768336E-9</v>
      </c>
      <c r="CF44" s="64">
        <v>4.9786569079768336E-9</v>
      </c>
      <c r="CG44" s="64">
        <v>1.6293786244287821E-8</v>
      </c>
      <c r="CH44" s="64">
        <v>2.263025867262197E-9</v>
      </c>
      <c r="CI44" s="64">
        <v>2.715631040714637E-9</v>
      </c>
      <c r="CJ44" s="64">
        <v>1.810420693809758E-9</v>
      </c>
      <c r="CK44" s="64">
        <v>4.9786569079768336E-9</v>
      </c>
      <c r="CL44" s="64">
        <v>5.4312620814292733E-9</v>
      </c>
      <c r="CM44" s="64">
        <v>1.810420693809758E-9</v>
      </c>
      <c r="CN44" s="64">
        <v>1.810420693809758E-9</v>
      </c>
      <c r="CO44" s="64">
        <v>1.810420693809758E-9</v>
      </c>
      <c r="CP44" s="64">
        <v>2.263025867262197E-9</v>
      </c>
      <c r="CQ44" s="64">
        <v>1.086252416285855E-8</v>
      </c>
      <c r="CR44" s="64">
        <v>4.5260517345243948E-9</v>
      </c>
      <c r="CS44" s="64">
        <v>1.3578155203573179E-9</v>
      </c>
      <c r="CT44" s="64">
        <v>4.5260517345243939E-10</v>
      </c>
      <c r="CU44" s="64">
        <v>0</v>
      </c>
      <c r="CV44" s="64">
        <v>1.810420693809758E-9</v>
      </c>
      <c r="CW44" s="64">
        <v>1.810420693809758E-9</v>
      </c>
      <c r="CX44" s="64">
        <v>2.999718437980551E-8</v>
      </c>
      <c r="CY44" s="64">
        <v>2.999718437980551E-8</v>
      </c>
      <c r="CZ44" s="64">
        <v>2.999718437980551E-8</v>
      </c>
      <c r="DA44" s="64">
        <v>2.999718437980551E-8</v>
      </c>
      <c r="DB44" s="64">
        <v>0</v>
      </c>
      <c r="DC44" s="64">
        <v>5.3994931883649919E-8</v>
      </c>
      <c r="DD44" s="64">
        <v>5.3994931883649919E-8</v>
      </c>
      <c r="DE44" s="64">
        <v>5.3994931883649919E-8</v>
      </c>
      <c r="DF44" s="64">
        <v>5.3994931883649919E-8</v>
      </c>
      <c r="DG44" s="64">
        <v>5.3994931883649919E-8</v>
      </c>
      <c r="DH44" s="64">
        <v>5.3994931883649919E-8</v>
      </c>
      <c r="DI44" s="64">
        <v>5.3994931883649919E-8</v>
      </c>
      <c r="DJ44" s="64">
        <v>4.7995495007688812E-8</v>
      </c>
      <c r="DK44" s="64">
        <v>4.7995495007688812E-8</v>
      </c>
      <c r="DL44" s="64">
        <v>2.3997747503844409E-8</v>
      </c>
      <c r="DM44" s="64">
        <v>2.3997747503844409E-8</v>
      </c>
      <c r="DN44" s="64">
        <v>5.999436875961102E-8</v>
      </c>
      <c r="DO44" s="64">
        <v>1.7998310627883309E-8</v>
      </c>
      <c r="DP44" s="64">
        <v>1.19988737519222E-8</v>
      </c>
      <c r="DQ44" s="64">
        <v>1.7998310627883309E-8</v>
      </c>
      <c r="DR44" s="64">
        <v>3.5996621255766611E-8</v>
      </c>
      <c r="DS44" s="64">
        <v>2.999718437980551E-8</v>
      </c>
      <c r="DT44" s="64">
        <v>1.19988737519222E-8</v>
      </c>
      <c r="DU44" s="64">
        <v>1.7998310627883309E-8</v>
      </c>
      <c r="DV44" s="64">
        <v>1.19988737519222E-8</v>
      </c>
      <c r="DW44" s="64">
        <v>1.19988737519222E-8</v>
      </c>
      <c r="DX44" s="64">
        <v>3.5996621255766611E-8</v>
      </c>
      <c r="DY44" s="64">
        <v>1.7998310627883309E-8</v>
      </c>
      <c r="DZ44" s="64">
        <v>0</v>
      </c>
      <c r="EA44" s="64">
        <v>0</v>
      </c>
      <c r="EB44" s="64">
        <v>0</v>
      </c>
      <c r="EC44" s="64">
        <v>1.19988737519222E-8</v>
      </c>
      <c r="ED44" s="64">
        <v>1.19988737519222E-8</v>
      </c>
      <c r="EE44" s="64">
        <v>4.7995495007688812E-8</v>
      </c>
      <c r="EF44" s="64">
        <v>4.7995495007688812E-8</v>
      </c>
      <c r="EG44" s="64">
        <v>4.7995495007688812E-8</v>
      </c>
      <c r="EH44" s="64">
        <v>4.7995495007688812E-8</v>
      </c>
      <c r="EI44" s="64">
        <v>0</v>
      </c>
      <c r="EJ44" s="64">
        <v>1.859825431547942E-7</v>
      </c>
      <c r="EK44" s="64">
        <v>1.859825431547942E-7</v>
      </c>
      <c r="EL44" s="64">
        <v>1.859825431547942E-7</v>
      </c>
      <c r="EM44" s="64">
        <v>1.859825431547942E-7</v>
      </c>
      <c r="EN44" s="64">
        <v>1.859825431547942E-7</v>
      </c>
      <c r="EO44" s="64">
        <v>1.859825431547942E-7</v>
      </c>
      <c r="EP44" s="64">
        <v>1.859825431547942E-7</v>
      </c>
      <c r="EQ44" s="64">
        <v>2.999718437980551E-8</v>
      </c>
      <c r="ER44" s="64">
        <v>2.999718437980551E-8</v>
      </c>
      <c r="ES44" s="64">
        <v>2.3997747503844409E-8</v>
      </c>
      <c r="ET44" s="64">
        <v>2.3997747503844409E-8</v>
      </c>
      <c r="EU44" s="64">
        <v>5.999436875961102E-8</v>
      </c>
      <c r="EV44" s="64">
        <v>1.19988737519222E-8</v>
      </c>
      <c r="EW44" s="64">
        <v>1.7998310627883309E-8</v>
      </c>
      <c r="EX44" s="64">
        <v>1.19988737519222E-8</v>
      </c>
      <c r="EY44" s="64">
        <v>2.999718437980551E-8</v>
      </c>
      <c r="EZ44" s="64">
        <v>2.999718437980551E-8</v>
      </c>
      <c r="FA44" s="64">
        <v>5.9994368759611023E-9</v>
      </c>
      <c r="FB44" s="64">
        <v>1.19988737519222E-8</v>
      </c>
      <c r="FC44" s="64">
        <v>1.19988737519222E-8</v>
      </c>
      <c r="FD44" s="64">
        <v>5.9994368759611023E-9</v>
      </c>
      <c r="FE44" s="64">
        <v>2.999718437980551E-8</v>
      </c>
      <c r="FF44" s="64">
        <v>1.7998310627883309E-8</v>
      </c>
      <c r="FG44" s="64">
        <v>5.9994368759611023E-9</v>
      </c>
      <c r="FH44" s="64">
        <v>0</v>
      </c>
      <c r="FI44" s="64">
        <v>0</v>
      </c>
      <c r="FJ44" s="64">
        <v>1.19988737519222E-8</v>
      </c>
      <c r="FK44" s="64">
        <v>1.19988737519222E-8</v>
      </c>
      <c r="FL44" s="64">
        <v>6.2744102045964E-9</v>
      </c>
      <c r="FM44" s="64">
        <v>6.2744102045964E-9</v>
      </c>
      <c r="FN44" s="64">
        <v>6.2744102045964E-9</v>
      </c>
      <c r="FO44" s="64">
        <v>6.2744102045964E-9</v>
      </c>
      <c r="FP44" s="64">
        <v>0</v>
      </c>
      <c r="FQ44" s="64">
        <v>1.4012035379904231E-8</v>
      </c>
      <c r="FR44" s="64">
        <v>1.4012035379904231E-8</v>
      </c>
      <c r="FS44" s="64">
        <v>1.4012035379904231E-8</v>
      </c>
      <c r="FT44" s="64">
        <v>1.4012035379904231E-8</v>
      </c>
      <c r="FU44" s="64">
        <v>1.4012035379904231E-8</v>
      </c>
      <c r="FV44" s="64">
        <v>1.4012035379904231E-8</v>
      </c>
      <c r="FW44" s="64">
        <v>1.4012035379904231E-8</v>
      </c>
      <c r="FX44" s="64">
        <v>5.7349956870917506E-9</v>
      </c>
      <c r="FY44" s="64">
        <v>5.7349956870917506E-9</v>
      </c>
      <c r="FZ44" s="64">
        <v>5.1499220667274562E-10</v>
      </c>
      <c r="GA44" s="64">
        <v>5.1499220667274562E-10</v>
      </c>
      <c r="GB44" s="64">
        <v>1.1393538922883631E-9</v>
      </c>
      <c r="GC44" s="64">
        <v>2.1342975987880801E-10</v>
      </c>
      <c r="GD44" s="64">
        <v>2.9625324878700212E-10</v>
      </c>
      <c r="GE44" s="64">
        <v>2.7395461715787289E-10</v>
      </c>
      <c r="GF44" s="64">
        <v>5.9356833717539141E-10</v>
      </c>
      <c r="GG44" s="64">
        <v>6.8488654289468225E-10</v>
      </c>
      <c r="GH44" s="64">
        <v>1.412246669844849E-10</v>
      </c>
      <c r="GI44" s="64">
        <v>1.2848259176783959E-10</v>
      </c>
      <c r="GJ44" s="64">
        <v>1.2848259176783959E-10</v>
      </c>
      <c r="GK44" s="64">
        <v>1.7414169462748509E-10</v>
      </c>
      <c r="GL44" s="64">
        <v>4.757041414214227E-9</v>
      </c>
      <c r="GM44" s="64">
        <v>5.9038281837123002E-10</v>
      </c>
      <c r="GN44" s="64">
        <v>1.5184306299835591E-10</v>
      </c>
      <c r="GO44" s="64">
        <v>3.5040706845774453E-11</v>
      </c>
      <c r="GP44" s="64">
        <v>2.5484150433290501E-11</v>
      </c>
      <c r="GQ44" s="64">
        <v>3.0580980519948599E-10</v>
      </c>
      <c r="GR44" s="64">
        <v>3.0580980519948599E-10</v>
      </c>
      <c r="GS44" s="64">
        <v>5.999436875961102E-8</v>
      </c>
      <c r="GT44" s="64">
        <v>5.999436875961102E-8</v>
      </c>
      <c r="GU44" s="64">
        <v>5.999436875961102E-8</v>
      </c>
      <c r="GV44" s="64">
        <v>5.999436875961102E-8</v>
      </c>
      <c r="GW44" s="64">
        <v>0</v>
      </c>
      <c r="GX44" s="64">
        <v>3.719650863095883E-7</v>
      </c>
      <c r="GY44" s="64">
        <v>3.719650863095883E-7</v>
      </c>
      <c r="GZ44" s="64">
        <v>3.719650863095883E-7</v>
      </c>
      <c r="HA44" s="64">
        <v>3.719650863095883E-7</v>
      </c>
      <c r="HB44" s="64">
        <v>3.719650863095883E-7</v>
      </c>
      <c r="HC44" s="64">
        <v>3.719650863095883E-7</v>
      </c>
      <c r="HD44" s="64">
        <v>3.719650863095883E-7</v>
      </c>
      <c r="HE44" s="64">
        <v>2.099802906586386E-7</v>
      </c>
      <c r="HF44" s="64">
        <v>2.099802906586386E-7</v>
      </c>
      <c r="HG44" s="64">
        <v>2.999718437980551E-8</v>
      </c>
      <c r="HH44" s="64">
        <v>2.999718437980551E-8</v>
      </c>
      <c r="HI44" s="64">
        <v>1.4998592189902749E-7</v>
      </c>
      <c r="HJ44" s="64">
        <v>1.7998310627883309E-8</v>
      </c>
      <c r="HK44" s="64">
        <v>1.7998310627883309E-8</v>
      </c>
      <c r="HL44" s="64">
        <v>1.7998310627883309E-8</v>
      </c>
      <c r="HM44" s="64">
        <v>4.1996058131727711E-8</v>
      </c>
      <c r="HN44" s="64">
        <v>5.3994931883649919E-8</v>
      </c>
      <c r="HO44" s="64">
        <v>1.19988737519222E-8</v>
      </c>
      <c r="HP44" s="64">
        <v>1.7998310627883309E-8</v>
      </c>
      <c r="HQ44" s="64">
        <v>2.3997747503844409E-8</v>
      </c>
      <c r="HR44" s="64">
        <v>1.19988737519222E-8</v>
      </c>
      <c r="HS44" s="64">
        <v>1.079898637672998E-7</v>
      </c>
      <c r="HT44" s="64">
        <v>3.5996621255766611E-8</v>
      </c>
      <c r="HU44" s="64">
        <v>1.19988737519222E-8</v>
      </c>
      <c r="HV44" s="64">
        <v>0</v>
      </c>
      <c r="HW44" s="64">
        <v>0</v>
      </c>
      <c r="HX44" s="64">
        <v>1.7998310627883309E-8</v>
      </c>
      <c r="HY44" s="64">
        <v>1.7998310627883309E-8</v>
      </c>
      <c r="HZ44" s="64">
        <v>1.1578913170604931E-6</v>
      </c>
      <c r="IA44" s="64">
        <v>1.1578913170604931E-6</v>
      </c>
      <c r="IB44" s="64">
        <v>1.1578913170604931E-6</v>
      </c>
      <c r="IC44" s="64">
        <v>1.1578913170604931E-6</v>
      </c>
      <c r="ID44" s="64">
        <v>0</v>
      </c>
      <c r="IE44" s="64">
        <v>2.8197353317017179E-6</v>
      </c>
      <c r="IF44" s="64">
        <v>2.8197353317017179E-6</v>
      </c>
      <c r="IG44" s="64">
        <v>2.8197353317017179E-6</v>
      </c>
      <c r="IH44" s="64">
        <v>2.8197353317017179E-6</v>
      </c>
      <c r="II44" s="64">
        <v>2.8197353317017179E-6</v>
      </c>
      <c r="IJ44" s="64">
        <v>2.8197353317017179E-6</v>
      </c>
      <c r="IK44" s="64">
        <v>2.8197353317017179E-6</v>
      </c>
      <c r="IL44" s="64">
        <v>4.0196227068939383E-7</v>
      </c>
      <c r="IM44" s="64">
        <v>4.0196227068939383E-7</v>
      </c>
      <c r="IN44" s="64">
        <v>3.6596564943362722E-7</v>
      </c>
      <c r="IO44" s="64">
        <v>3.6596564943362722E-7</v>
      </c>
      <c r="IP44" s="64">
        <v>4.2596001819323818E-7</v>
      </c>
      <c r="IQ44" s="64">
        <v>7.7992679387494322E-8</v>
      </c>
      <c r="IR44" s="64">
        <v>5.3994931883649919E-8</v>
      </c>
      <c r="IS44" s="64">
        <v>6.5993805635572121E-8</v>
      </c>
      <c r="IT44" s="64">
        <v>1.019904268913387E-7</v>
      </c>
      <c r="IU44" s="64">
        <v>2.6397522254228848E-7</v>
      </c>
      <c r="IV44" s="64">
        <v>4.7995495007688812E-8</v>
      </c>
      <c r="IW44" s="64">
        <v>7.1993242511533222E-8</v>
      </c>
      <c r="IX44" s="64">
        <v>7.1993242511533222E-8</v>
      </c>
      <c r="IY44" s="64">
        <v>6.5993805635572121E-8</v>
      </c>
      <c r="IZ44" s="64">
        <v>4.5595720257304381E-7</v>
      </c>
      <c r="JA44" s="64">
        <v>1.6198479565094969E-7</v>
      </c>
      <c r="JB44" s="64">
        <v>4.7995495007688812E-8</v>
      </c>
      <c r="JC44" s="64">
        <v>1.19988737519222E-8</v>
      </c>
      <c r="JD44" s="64">
        <v>5.9994368759611023E-9</v>
      </c>
      <c r="JE44" s="64">
        <v>1.859825431547942E-7</v>
      </c>
      <c r="JF44" s="64">
        <v>1.859825431547942E-7</v>
      </c>
      <c r="JG44" s="64">
        <v>6.9833445236187232E-6</v>
      </c>
      <c r="JH44" s="64">
        <v>6.9833445236187232E-6</v>
      </c>
      <c r="JI44" s="64">
        <v>6.9833445236187232E-6</v>
      </c>
      <c r="JJ44" s="64">
        <v>6.9833445236187232E-6</v>
      </c>
      <c r="JK44" s="64">
        <v>0</v>
      </c>
      <c r="JL44" s="64">
        <v>1.6252474496978621E-5</v>
      </c>
      <c r="JM44" s="64">
        <v>1.6252474496978621E-5</v>
      </c>
      <c r="JN44" s="64">
        <v>1.6252474496978621E-5</v>
      </c>
      <c r="JO44" s="64">
        <v>1.6252474496978621E-5</v>
      </c>
      <c r="JP44" s="64">
        <v>1.6252474496978621E-5</v>
      </c>
      <c r="JQ44" s="64">
        <v>1.6252474496978621E-5</v>
      </c>
      <c r="JR44" s="64">
        <v>1.6252474496978621E-5</v>
      </c>
      <c r="JS44" s="64">
        <v>6.9005522947304594E-5</v>
      </c>
      <c r="JT44" s="64">
        <v>6.9005522947304594E-5</v>
      </c>
      <c r="JU44" s="64">
        <v>3.041714496112279E-6</v>
      </c>
      <c r="JV44" s="64">
        <v>3.041714496112279E-6</v>
      </c>
      <c r="JW44" s="64">
        <v>1.7086396222737219E-5</v>
      </c>
      <c r="JX44" s="64">
        <v>7.2593186199129332E-7</v>
      </c>
      <c r="JY44" s="64">
        <v>1.63184683026142E-6</v>
      </c>
      <c r="JZ44" s="64">
        <v>1.793831625912369E-6</v>
      </c>
      <c r="KA44" s="64">
        <v>3.5876632518247388E-6</v>
      </c>
      <c r="KB44" s="64">
        <v>5.0515258495592466E-6</v>
      </c>
      <c r="KC44" s="64">
        <v>6.4793918260379898E-7</v>
      </c>
      <c r="KD44" s="64">
        <v>1.103896385176843E-6</v>
      </c>
      <c r="KE44" s="64">
        <v>7.9792510450282652E-7</v>
      </c>
      <c r="KF44" s="64">
        <v>7.1993242511533219E-7</v>
      </c>
      <c r="KG44" s="64">
        <v>6.3894002728985744E-6</v>
      </c>
      <c r="KH44" s="64">
        <v>1.8178293734162139E-6</v>
      </c>
      <c r="KI44" s="64">
        <v>6.059431244720713E-7</v>
      </c>
      <c r="KJ44" s="64">
        <v>3.2396959130189949E-7</v>
      </c>
      <c r="KK44" s="64">
        <v>2.3397803816248301E-7</v>
      </c>
      <c r="KL44" s="64">
        <v>2.0158107903229298E-6</v>
      </c>
      <c r="KM44" s="64">
        <v>2.0158107903229298E-6</v>
      </c>
      <c r="KN44" s="64">
        <v>3.5996621255766611E-8</v>
      </c>
      <c r="KO44" s="64">
        <v>3.5996621255766611E-8</v>
      </c>
      <c r="KP44" s="64">
        <v>3.5996621255766611E-8</v>
      </c>
      <c r="KQ44" s="64">
        <v>3.5996621255766611E-8</v>
      </c>
      <c r="KR44" s="64">
        <v>0</v>
      </c>
      <c r="KS44" s="64">
        <v>8.9991553139416524E-8</v>
      </c>
      <c r="KT44" s="64">
        <v>8.9991553139416524E-8</v>
      </c>
      <c r="KU44" s="64">
        <v>8.9991553139416524E-8</v>
      </c>
      <c r="KV44" s="64">
        <v>8.9991553139416524E-8</v>
      </c>
      <c r="KW44" s="64">
        <v>8.9991553139416524E-8</v>
      </c>
      <c r="KX44" s="64">
        <v>8.9991553139416524E-8</v>
      </c>
      <c r="KY44" s="64">
        <v>8.9991553139416524E-8</v>
      </c>
      <c r="KZ44" s="64">
        <v>3.5996621255766611E-8</v>
      </c>
      <c r="LA44" s="64">
        <v>3.5996621255766611E-8</v>
      </c>
      <c r="LB44" s="64">
        <v>2.3997747503844409E-8</v>
      </c>
      <c r="LC44" s="64">
        <v>2.3997747503844409E-8</v>
      </c>
      <c r="LD44" s="64">
        <v>7.1993242511533222E-8</v>
      </c>
      <c r="LE44" s="64">
        <v>1.7998310627883309E-8</v>
      </c>
      <c r="LF44" s="64">
        <v>2.3997747503844409E-8</v>
      </c>
      <c r="LG44" s="64">
        <v>1.19988737519222E-8</v>
      </c>
      <c r="LH44" s="64">
        <v>4.1996058131727711E-8</v>
      </c>
      <c r="LI44" s="64">
        <v>3.5996621255766611E-8</v>
      </c>
      <c r="LJ44" s="64">
        <v>2.3997747503844409E-8</v>
      </c>
      <c r="LK44" s="64">
        <v>1.19988737519222E-8</v>
      </c>
      <c r="LL44" s="64">
        <v>1.7998310627883309E-8</v>
      </c>
      <c r="LM44" s="64">
        <v>1.7998310627883309E-8</v>
      </c>
      <c r="LN44" s="64">
        <v>5.3994931883649919E-8</v>
      </c>
      <c r="LO44" s="64">
        <v>7.7992679387494322E-8</v>
      </c>
      <c r="LP44" s="64">
        <v>1.7998310627883309E-8</v>
      </c>
      <c r="LQ44" s="64">
        <v>0</v>
      </c>
      <c r="LR44" s="64">
        <v>0</v>
      </c>
      <c r="LS44" s="64">
        <v>1.7998310627883309E-8</v>
      </c>
      <c r="LT44" s="64">
        <v>1.7998310627883309E-8</v>
      </c>
      <c r="LU44" s="64">
        <v>2.707425657949275E-11</v>
      </c>
      <c r="LV44" s="64">
        <v>2.707425657949275E-11</v>
      </c>
      <c r="LW44" s="64">
        <v>2.707425657949275E-11</v>
      </c>
      <c r="LX44" s="64">
        <v>2.707425657949275E-11</v>
      </c>
      <c r="LY44" s="64">
        <v>0</v>
      </c>
      <c r="LZ44" s="64">
        <v>9.7957109232335591E-11</v>
      </c>
      <c r="MA44" s="64">
        <v>9.7957109232335591E-11</v>
      </c>
      <c r="MB44" s="64">
        <v>9.7957109232335591E-11</v>
      </c>
      <c r="MC44" s="64">
        <v>9.7957109232335591E-11</v>
      </c>
      <c r="MD44" s="64">
        <v>9.7957109232335591E-11</v>
      </c>
      <c r="ME44" s="64">
        <v>9.7957109232335591E-11</v>
      </c>
      <c r="MF44" s="64">
        <v>9.7957109232335591E-11</v>
      </c>
      <c r="MG44" s="64">
        <v>3.6597864421525382E-11</v>
      </c>
      <c r="MH44" s="64">
        <v>3.6597864421525382E-11</v>
      </c>
      <c r="MI44" s="64">
        <v>4.625752380415847E-12</v>
      </c>
      <c r="MJ44" s="64">
        <v>4.625752380415847E-12</v>
      </c>
      <c r="MK44" s="64">
        <v>2.3128761902079239E-11</v>
      </c>
      <c r="ML44" s="64">
        <v>1.496566946605127E-12</v>
      </c>
      <c r="MM44" s="64">
        <v>1.0884123248037289E-12</v>
      </c>
      <c r="MN44" s="64">
        <v>1.3605154060046611E-12</v>
      </c>
      <c r="MO44" s="64">
        <v>2.8570823526097871E-12</v>
      </c>
      <c r="MP44" s="64">
        <v>4.4897008398153813E-12</v>
      </c>
      <c r="MQ44" s="64">
        <v>1.224463865404195E-12</v>
      </c>
      <c r="MR44" s="64">
        <v>1.768670027806059E-12</v>
      </c>
      <c r="MS44" s="64">
        <v>1.6326184872055931E-12</v>
      </c>
      <c r="MT44" s="64">
        <v>1.224463865404195E-12</v>
      </c>
      <c r="MU44" s="64">
        <v>2.0407731090069909E-11</v>
      </c>
      <c r="MV44" s="64">
        <v>2.993133893210254E-12</v>
      </c>
      <c r="MW44" s="64">
        <v>8.1630924360279654E-13</v>
      </c>
      <c r="MX44" s="64">
        <v>4.0815462180139832E-13</v>
      </c>
      <c r="MY44" s="64">
        <v>2.7210308120093208E-13</v>
      </c>
      <c r="MZ44" s="64">
        <v>2.3128761902079239E-12</v>
      </c>
      <c r="NA44" s="64">
        <v>2.3128761902079239E-12</v>
      </c>
      <c r="NB44" s="64"/>
      <c r="NC44" s="64"/>
      <c r="ND44" s="64"/>
      <c r="NE44" s="64"/>
      <c r="NF44" s="64"/>
      <c r="NG44" s="64"/>
      <c r="NH44" s="64"/>
      <c r="NI44" s="64"/>
      <c r="NJ44" s="64"/>
      <c r="NK44" s="64"/>
      <c r="NL44" s="64"/>
      <c r="NM44" s="64"/>
      <c r="NN44" s="64"/>
      <c r="NO44" s="64"/>
      <c r="NP44" s="64"/>
      <c r="NQ44" s="64"/>
      <c r="NR44" s="64"/>
      <c r="NS44" s="64"/>
      <c r="NT44" s="64"/>
      <c r="NU44" s="64"/>
      <c r="NV44" s="64"/>
      <c r="NW44" s="64"/>
      <c r="NX44" s="64"/>
      <c r="NY44" s="64"/>
      <c r="NZ44" s="64"/>
      <c r="OA44" s="64"/>
      <c r="OB44" s="64"/>
      <c r="OC44" s="64"/>
      <c r="OD44" s="64"/>
      <c r="OE44" s="64"/>
      <c r="OF44" s="64"/>
      <c r="OG44" s="64"/>
      <c r="OH44" s="64"/>
      <c r="OI44" s="64"/>
      <c r="OJ44" s="64"/>
      <c r="OK44" s="64"/>
      <c r="OL44" s="64"/>
      <c r="OM44" s="64"/>
      <c r="ON44" s="64"/>
      <c r="OO44" s="64"/>
      <c r="OP44" s="64"/>
      <c r="OQ44" s="64"/>
      <c r="OR44" s="64"/>
      <c r="OS44" s="64"/>
    </row>
    <row r="45" spans="1:409">
      <c r="A45" s="65" t="s">
        <v>91</v>
      </c>
      <c r="B45" s="65" t="s">
        <v>10</v>
      </c>
      <c r="C45" s="65">
        <v>0</v>
      </c>
      <c r="D45" s="65">
        <v>0</v>
      </c>
      <c r="E45" s="65">
        <v>0</v>
      </c>
      <c r="F45" s="65">
        <v>0</v>
      </c>
      <c r="G45" s="65">
        <v>1.000003414629419</v>
      </c>
      <c r="H45" s="65">
        <v>0</v>
      </c>
      <c r="I45" s="65">
        <v>0</v>
      </c>
      <c r="J45" s="65">
        <v>0</v>
      </c>
      <c r="K45" s="65">
        <v>0</v>
      </c>
      <c r="L45" s="65">
        <v>0</v>
      </c>
      <c r="M45" s="65">
        <v>0</v>
      </c>
      <c r="N45" s="65">
        <v>0</v>
      </c>
      <c r="O45" s="65">
        <v>0</v>
      </c>
      <c r="P45" s="65">
        <v>0</v>
      </c>
      <c r="Q45" s="65">
        <v>0</v>
      </c>
      <c r="R45" s="65">
        <v>0</v>
      </c>
      <c r="S45" s="65">
        <v>0</v>
      </c>
      <c r="T45" s="65">
        <v>0</v>
      </c>
      <c r="U45" s="65">
        <v>0</v>
      </c>
      <c r="V45" s="65">
        <v>0</v>
      </c>
      <c r="W45" s="65">
        <v>0</v>
      </c>
      <c r="X45" s="65">
        <v>0</v>
      </c>
      <c r="Y45" s="65">
        <v>0</v>
      </c>
      <c r="Z45" s="65">
        <v>0</v>
      </c>
      <c r="AA45" s="65">
        <v>0</v>
      </c>
      <c r="AB45" s="65">
        <v>0</v>
      </c>
      <c r="AC45" s="65">
        <v>0</v>
      </c>
      <c r="AD45" s="65">
        <v>0</v>
      </c>
      <c r="AE45" s="65">
        <v>0</v>
      </c>
      <c r="AF45" s="65">
        <v>0</v>
      </c>
      <c r="AG45" s="65">
        <v>0</v>
      </c>
      <c r="AH45" s="65">
        <v>0</v>
      </c>
      <c r="AI45" s="65">
        <v>0</v>
      </c>
      <c r="AJ45" s="65">
        <v>0</v>
      </c>
      <c r="AK45" s="65">
        <v>0</v>
      </c>
      <c r="AL45" s="65">
        <v>0</v>
      </c>
      <c r="AM45" s="65">
        <v>0</v>
      </c>
      <c r="AN45" s="65">
        <v>0</v>
      </c>
      <c r="AO45" s="65">
        <v>0</v>
      </c>
      <c r="AP45" s="65">
        <v>0</v>
      </c>
      <c r="AQ45" s="65">
        <v>0</v>
      </c>
      <c r="AR45" s="65">
        <v>0</v>
      </c>
      <c r="AS45" s="65">
        <v>0</v>
      </c>
      <c r="AT45" s="65">
        <v>0</v>
      </c>
      <c r="AU45" s="65">
        <v>0</v>
      </c>
      <c r="AV45" s="65">
        <v>0</v>
      </c>
      <c r="AW45" s="65">
        <v>0</v>
      </c>
      <c r="AX45" s="65">
        <v>0</v>
      </c>
      <c r="AY45" s="65">
        <v>0</v>
      </c>
      <c r="AZ45" s="65">
        <v>0</v>
      </c>
      <c r="BA45" s="65">
        <v>0</v>
      </c>
      <c r="BB45" s="65">
        <v>0</v>
      </c>
      <c r="BC45" s="65">
        <v>0</v>
      </c>
      <c r="BD45" s="65">
        <v>0</v>
      </c>
      <c r="BE45" s="65">
        <v>0</v>
      </c>
      <c r="BF45" s="65">
        <v>0</v>
      </c>
      <c r="BG45" s="65">
        <v>0</v>
      </c>
      <c r="BH45" s="65">
        <v>0</v>
      </c>
      <c r="BI45" s="65">
        <v>0</v>
      </c>
      <c r="BJ45" s="65">
        <v>0</v>
      </c>
      <c r="BK45" s="65">
        <v>0</v>
      </c>
      <c r="BL45" s="65">
        <v>0</v>
      </c>
      <c r="BM45" s="65">
        <v>0</v>
      </c>
      <c r="BN45" s="65">
        <v>0</v>
      </c>
      <c r="BO45" s="65">
        <v>0</v>
      </c>
      <c r="BP45" s="65">
        <v>0</v>
      </c>
      <c r="BQ45" s="65">
        <v>0</v>
      </c>
      <c r="BR45" s="65">
        <v>0</v>
      </c>
      <c r="BS45" s="65">
        <v>0</v>
      </c>
      <c r="BT45" s="65">
        <v>0</v>
      </c>
      <c r="BU45" s="65">
        <v>0</v>
      </c>
      <c r="BV45" s="65">
        <v>0</v>
      </c>
      <c r="BW45" s="65">
        <v>0</v>
      </c>
      <c r="BX45" s="65">
        <v>0</v>
      </c>
      <c r="BY45" s="65">
        <v>0</v>
      </c>
      <c r="BZ45" s="65">
        <v>0</v>
      </c>
      <c r="CA45" s="65">
        <v>0</v>
      </c>
      <c r="CB45" s="65">
        <v>0</v>
      </c>
      <c r="CC45" s="65">
        <v>0</v>
      </c>
      <c r="CD45" s="65">
        <v>0</v>
      </c>
      <c r="CE45" s="65">
        <v>0</v>
      </c>
      <c r="CF45" s="65">
        <v>0</v>
      </c>
      <c r="CG45" s="65">
        <v>0</v>
      </c>
      <c r="CH45" s="65">
        <v>0</v>
      </c>
      <c r="CI45" s="65">
        <v>0</v>
      </c>
      <c r="CJ45" s="65">
        <v>0</v>
      </c>
      <c r="CK45" s="65">
        <v>0</v>
      </c>
      <c r="CL45" s="65">
        <v>0</v>
      </c>
      <c r="CM45" s="65">
        <v>0</v>
      </c>
      <c r="CN45" s="65">
        <v>0</v>
      </c>
      <c r="CO45" s="65">
        <v>0</v>
      </c>
      <c r="CP45" s="65">
        <v>0</v>
      </c>
      <c r="CQ45" s="65">
        <v>0</v>
      </c>
      <c r="CR45" s="65">
        <v>0</v>
      </c>
      <c r="CS45" s="65">
        <v>0</v>
      </c>
      <c r="CT45" s="65">
        <v>0</v>
      </c>
      <c r="CU45" s="65">
        <v>0</v>
      </c>
      <c r="CV45" s="65">
        <v>0</v>
      </c>
      <c r="CW45" s="65">
        <v>0</v>
      </c>
      <c r="CX45" s="65">
        <v>0</v>
      </c>
      <c r="CY45" s="65">
        <v>0</v>
      </c>
      <c r="CZ45" s="65">
        <v>0</v>
      </c>
      <c r="DA45" s="65">
        <v>0</v>
      </c>
      <c r="DB45" s="65">
        <v>0</v>
      </c>
      <c r="DC45" s="65">
        <v>0</v>
      </c>
      <c r="DD45" s="65">
        <v>0</v>
      </c>
      <c r="DE45" s="65">
        <v>0</v>
      </c>
      <c r="DF45" s="65">
        <v>0</v>
      </c>
      <c r="DG45" s="65">
        <v>0</v>
      </c>
      <c r="DH45" s="65">
        <v>0</v>
      </c>
      <c r="DI45" s="65">
        <v>0</v>
      </c>
      <c r="DJ45" s="65">
        <v>0</v>
      </c>
      <c r="DK45" s="65">
        <v>0</v>
      </c>
      <c r="DL45" s="65">
        <v>0</v>
      </c>
      <c r="DM45" s="65">
        <v>0</v>
      </c>
      <c r="DN45" s="65">
        <v>0</v>
      </c>
      <c r="DO45" s="65">
        <v>0</v>
      </c>
      <c r="DP45" s="65">
        <v>0</v>
      </c>
      <c r="DQ45" s="65">
        <v>0</v>
      </c>
      <c r="DR45" s="65">
        <v>0</v>
      </c>
      <c r="DS45" s="65">
        <v>0</v>
      </c>
      <c r="DT45" s="65">
        <v>0</v>
      </c>
      <c r="DU45" s="65">
        <v>0</v>
      </c>
      <c r="DV45" s="65">
        <v>0</v>
      </c>
      <c r="DW45" s="65">
        <v>0</v>
      </c>
      <c r="DX45" s="65">
        <v>0</v>
      </c>
      <c r="DY45" s="65">
        <v>0</v>
      </c>
      <c r="DZ45" s="65">
        <v>0</v>
      </c>
      <c r="EA45" s="65">
        <v>0</v>
      </c>
      <c r="EB45" s="65">
        <v>0</v>
      </c>
      <c r="EC45" s="65">
        <v>0</v>
      </c>
      <c r="ED45" s="65">
        <v>0</v>
      </c>
      <c r="EE45" s="65">
        <v>0</v>
      </c>
      <c r="EF45" s="65">
        <v>0</v>
      </c>
      <c r="EG45" s="65">
        <v>0</v>
      </c>
      <c r="EH45" s="65">
        <v>0</v>
      </c>
      <c r="EI45" s="65">
        <v>0</v>
      </c>
      <c r="EJ45" s="65">
        <v>0</v>
      </c>
      <c r="EK45" s="65">
        <v>0</v>
      </c>
      <c r="EL45" s="65">
        <v>0</v>
      </c>
      <c r="EM45" s="65">
        <v>0</v>
      </c>
      <c r="EN45" s="65">
        <v>0</v>
      </c>
      <c r="EO45" s="65">
        <v>0</v>
      </c>
      <c r="EP45" s="65">
        <v>0</v>
      </c>
      <c r="EQ45" s="65">
        <v>0</v>
      </c>
      <c r="ER45" s="65">
        <v>0</v>
      </c>
      <c r="ES45" s="65">
        <v>0</v>
      </c>
      <c r="ET45" s="65">
        <v>0</v>
      </c>
      <c r="EU45" s="65">
        <v>0</v>
      </c>
      <c r="EV45" s="65">
        <v>0</v>
      </c>
      <c r="EW45" s="65">
        <v>0</v>
      </c>
      <c r="EX45" s="65">
        <v>0</v>
      </c>
      <c r="EY45" s="65">
        <v>0</v>
      </c>
      <c r="EZ45" s="65">
        <v>0</v>
      </c>
      <c r="FA45" s="65">
        <v>0</v>
      </c>
      <c r="FB45" s="65">
        <v>0</v>
      </c>
      <c r="FC45" s="65">
        <v>0</v>
      </c>
      <c r="FD45" s="65">
        <v>0</v>
      </c>
      <c r="FE45" s="65">
        <v>0</v>
      </c>
      <c r="FF45" s="65">
        <v>0</v>
      </c>
      <c r="FG45" s="65">
        <v>0</v>
      </c>
      <c r="FH45" s="65">
        <v>0</v>
      </c>
      <c r="FI45" s="65">
        <v>0</v>
      </c>
      <c r="FJ45" s="65">
        <v>0</v>
      </c>
      <c r="FK45" s="65">
        <v>0</v>
      </c>
      <c r="FL45" s="65">
        <v>0</v>
      </c>
      <c r="FM45" s="65">
        <v>0</v>
      </c>
      <c r="FN45" s="65">
        <v>0</v>
      </c>
      <c r="FO45" s="65">
        <v>0</v>
      </c>
      <c r="FP45" s="65">
        <v>0</v>
      </c>
      <c r="FQ45" s="65">
        <v>0</v>
      </c>
      <c r="FR45" s="65">
        <v>0</v>
      </c>
      <c r="FS45" s="65">
        <v>0</v>
      </c>
      <c r="FT45" s="65">
        <v>0</v>
      </c>
      <c r="FU45" s="65">
        <v>0</v>
      </c>
      <c r="FV45" s="65">
        <v>0</v>
      </c>
      <c r="FW45" s="65">
        <v>0</v>
      </c>
      <c r="FX45" s="65">
        <v>0</v>
      </c>
      <c r="FY45" s="65">
        <v>0</v>
      </c>
      <c r="FZ45" s="65">
        <v>0</v>
      </c>
      <c r="GA45" s="65">
        <v>0</v>
      </c>
      <c r="GB45" s="65">
        <v>0</v>
      </c>
      <c r="GC45" s="65">
        <v>0</v>
      </c>
      <c r="GD45" s="65">
        <v>0</v>
      </c>
      <c r="GE45" s="65">
        <v>0</v>
      </c>
      <c r="GF45" s="65">
        <v>0</v>
      </c>
      <c r="GG45" s="65">
        <v>0</v>
      </c>
      <c r="GH45" s="65">
        <v>0</v>
      </c>
      <c r="GI45" s="65">
        <v>0</v>
      </c>
      <c r="GJ45" s="65">
        <v>0</v>
      </c>
      <c r="GK45" s="65">
        <v>0</v>
      </c>
      <c r="GL45" s="65">
        <v>0</v>
      </c>
      <c r="GM45" s="65">
        <v>0</v>
      </c>
      <c r="GN45" s="65">
        <v>0</v>
      </c>
      <c r="GO45" s="65">
        <v>0</v>
      </c>
      <c r="GP45" s="65">
        <v>0</v>
      </c>
      <c r="GQ45" s="65">
        <v>0</v>
      </c>
      <c r="GR45" s="65">
        <v>0</v>
      </c>
      <c r="GS45" s="65">
        <v>0</v>
      </c>
      <c r="GT45" s="65">
        <v>0</v>
      </c>
      <c r="GU45" s="65">
        <v>0</v>
      </c>
      <c r="GV45" s="65">
        <v>0</v>
      </c>
      <c r="GW45" s="65">
        <v>0</v>
      </c>
      <c r="GX45" s="65">
        <v>0</v>
      </c>
      <c r="GY45" s="65">
        <v>0</v>
      </c>
      <c r="GZ45" s="65">
        <v>0</v>
      </c>
      <c r="HA45" s="65">
        <v>0</v>
      </c>
      <c r="HB45" s="65">
        <v>0</v>
      </c>
      <c r="HC45" s="65">
        <v>0</v>
      </c>
      <c r="HD45" s="65">
        <v>0</v>
      </c>
      <c r="HE45" s="65">
        <v>0</v>
      </c>
      <c r="HF45" s="65">
        <v>0</v>
      </c>
      <c r="HG45" s="65">
        <v>0</v>
      </c>
      <c r="HH45" s="65">
        <v>0</v>
      </c>
      <c r="HI45" s="65">
        <v>0</v>
      </c>
      <c r="HJ45" s="65">
        <v>0</v>
      </c>
      <c r="HK45" s="65">
        <v>0</v>
      </c>
      <c r="HL45" s="65">
        <v>0</v>
      </c>
      <c r="HM45" s="65">
        <v>0</v>
      </c>
      <c r="HN45" s="65">
        <v>0</v>
      </c>
      <c r="HO45" s="65">
        <v>0</v>
      </c>
      <c r="HP45" s="65">
        <v>0</v>
      </c>
      <c r="HQ45" s="65">
        <v>0</v>
      </c>
      <c r="HR45" s="65">
        <v>0</v>
      </c>
      <c r="HS45" s="65">
        <v>0</v>
      </c>
      <c r="HT45" s="65">
        <v>0</v>
      </c>
      <c r="HU45" s="65">
        <v>0</v>
      </c>
      <c r="HV45" s="65">
        <v>0</v>
      </c>
      <c r="HW45" s="65">
        <v>0</v>
      </c>
      <c r="HX45" s="65">
        <v>0</v>
      </c>
      <c r="HY45" s="65">
        <v>0</v>
      </c>
      <c r="HZ45" s="65">
        <v>0</v>
      </c>
      <c r="IA45" s="65">
        <v>0</v>
      </c>
      <c r="IB45" s="65">
        <v>0</v>
      </c>
      <c r="IC45" s="65">
        <v>0</v>
      </c>
      <c r="ID45" s="65">
        <v>0</v>
      </c>
      <c r="IE45" s="65">
        <v>0</v>
      </c>
      <c r="IF45" s="65">
        <v>0</v>
      </c>
      <c r="IG45" s="65">
        <v>0</v>
      </c>
      <c r="IH45" s="65">
        <v>0</v>
      </c>
      <c r="II45" s="65">
        <v>0</v>
      </c>
      <c r="IJ45" s="65">
        <v>0</v>
      </c>
      <c r="IK45" s="65">
        <v>0</v>
      </c>
      <c r="IL45" s="65">
        <v>0</v>
      </c>
      <c r="IM45" s="65">
        <v>0</v>
      </c>
      <c r="IN45" s="65">
        <v>0</v>
      </c>
      <c r="IO45" s="65">
        <v>0</v>
      </c>
      <c r="IP45" s="65">
        <v>0</v>
      </c>
      <c r="IQ45" s="65">
        <v>0</v>
      </c>
      <c r="IR45" s="65">
        <v>0</v>
      </c>
      <c r="IS45" s="65">
        <v>0</v>
      </c>
      <c r="IT45" s="65">
        <v>0</v>
      </c>
      <c r="IU45" s="65">
        <v>0</v>
      </c>
      <c r="IV45" s="65">
        <v>0</v>
      </c>
      <c r="IW45" s="65">
        <v>0</v>
      </c>
      <c r="IX45" s="65">
        <v>0</v>
      </c>
      <c r="IY45" s="65">
        <v>0</v>
      </c>
      <c r="IZ45" s="65">
        <v>0</v>
      </c>
      <c r="JA45" s="65">
        <v>0</v>
      </c>
      <c r="JB45" s="65">
        <v>0</v>
      </c>
      <c r="JC45" s="65">
        <v>0</v>
      </c>
      <c r="JD45" s="65">
        <v>0</v>
      </c>
      <c r="JE45" s="65">
        <v>0</v>
      </c>
      <c r="JF45" s="65">
        <v>0</v>
      </c>
      <c r="JG45" s="65">
        <v>0</v>
      </c>
      <c r="JH45" s="65">
        <v>0</v>
      </c>
      <c r="JI45" s="65">
        <v>0</v>
      </c>
      <c r="JJ45" s="65">
        <v>0</v>
      </c>
      <c r="JK45" s="65">
        <v>0</v>
      </c>
      <c r="JL45" s="65">
        <v>0</v>
      </c>
      <c r="JM45" s="65">
        <v>0</v>
      </c>
      <c r="JN45" s="65">
        <v>0</v>
      </c>
      <c r="JO45" s="65">
        <v>0</v>
      </c>
      <c r="JP45" s="65">
        <v>0</v>
      </c>
      <c r="JQ45" s="65">
        <v>0</v>
      </c>
      <c r="JR45" s="65">
        <v>0</v>
      </c>
      <c r="JS45" s="65">
        <v>0</v>
      </c>
      <c r="JT45" s="65">
        <v>0</v>
      </c>
      <c r="JU45" s="65">
        <v>0</v>
      </c>
      <c r="JV45" s="65">
        <v>0</v>
      </c>
      <c r="JW45" s="65">
        <v>0</v>
      </c>
      <c r="JX45" s="65">
        <v>0</v>
      </c>
      <c r="JY45" s="65">
        <v>0</v>
      </c>
      <c r="JZ45" s="65">
        <v>0</v>
      </c>
      <c r="KA45" s="65">
        <v>0</v>
      </c>
      <c r="KB45" s="65">
        <v>0</v>
      </c>
      <c r="KC45" s="65">
        <v>0</v>
      </c>
      <c r="KD45" s="65">
        <v>0</v>
      </c>
      <c r="KE45" s="65">
        <v>0</v>
      </c>
      <c r="KF45" s="65">
        <v>0</v>
      </c>
      <c r="KG45" s="65">
        <v>0</v>
      </c>
      <c r="KH45" s="65">
        <v>0</v>
      </c>
      <c r="KI45" s="65">
        <v>0</v>
      </c>
      <c r="KJ45" s="65">
        <v>0</v>
      </c>
      <c r="KK45" s="65">
        <v>0</v>
      </c>
      <c r="KL45" s="65">
        <v>0</v>
      </c>
      <c r="KM45" s="65">
        <v>0</v>
      </c>
      <c r="KN45" s="65">
        <v>0</v>
      </c>
      <c r="KO45" s="65">
        <v>0</v>
      </c>
      <c r="KP45" s="65">
        <v>0</v>
      </c>
      <c r="KQ45" s="65">
        <v>0</v>
      </c>
      <c r="KR45" s="65">
        <v>0</v>
      </c>
      <c r="KS45" s="65">
        <v>0</v>
      </c>
      <c r="KT45" s="65">
        <v>0</v>
      </c>
      <c r="KU45" s="65">
        <v>0</v>
      </c>
      <c r="KV45" s="65">
        <v>0</v>
      </c>
      <c r="KW45" s="65">
        <v>0</v>
      </c>
      <c r="KX45" s="65">
        <v>0</v>
      </c>
      <c r="KY45" s="65">
        <v>0</v>
      </c>
      <c r="KZ45" s="65">
        <v>0</v>
      </c>
      <c r="LA45" s="65">
        <v>0</v>
      </c>
      <c r="LB45" s="65">
        <v>0</v>
      </c>
      <c r="LC45" s="65">
        <v>0</v>
      </c>
      <c r="LD45" s="65">
        <v>0</v>
      </c>
      <c r="LE45" s="65">
        <v>0</v>
      </c>
      <c r="LF45" s="65">
        <v>0</v>
      </c>
      <c r="LG45" s="65">
        <v>0</v>
      </c>
      <c r="LH45" s="65">
        <v>0</v>
      </c>
      <c r="LI45" s="65">
        <v>0</v>
      </c>
      <c r="LJ45" s="65">
        <v>0</v>
      </c>
      <c r="LK45" s="65">
        <v>0</v>
      </c>
      <c r="LL45" s="65">
        <v>0</v>
      </c>
      <c r="LM45" s="65">
        <v>0</v>
      </c>
      <c r="LN45" s="65">
        <v>0</v>
      </c>
      <c r="LO45" s="65">
        <v>0</v>
      </c>
      <c r="LP45" s="65">
        <v>0</v>
      </c>
      <c r="LQ45" s="65">
        <v>0</v>
      </c>
      <c r="LR45" s="65">
        <v>0</v>
      </c>
      <c r="LS45" s="65">
        <v>0</v>
      </c>
      <c r="LT45" s="65">
        <v>0</v>
      </c>
      <c r="LU45" s="65">
        <v>0</v>
      </c>
      <c r="LV45" s="65">
        <v>0</v>
      </c>
      <c r="LW45" s="65">
        <v>0</v>
      </c>
      <c r="LX45" s="65">
        <v>0</v>
      </c>
      <c r="LY45" s="65">
        <v>0</v>
      </c>
      <c r="LZ45" s="65">
        <v>0</v>
      </c>
      <c r="MA45" s="65">
        <v>0</v>
      </c>
      <c r="MB45" s="65">
        <v>0</v>
      </c>
      <c r="MC45" s="65">
        <v>0</v>
      </c>
      <c r="MD45" s="65">
        <v>0</v>
      </c>
      <c r="ME45" s="65">
        <v>0</v>
      </c>
      <c r="MF45" s="65">
        <v>0</v>
      </c>
      <c r="MG45" s="65">
        <v>0</v>
      </c>
      <c r="MH45" s="65">
        <v>0</v>
      </c>
      <c r="MI45" s="65">
        <v>0</v>
      </c>
      <c r="MJ45" s="65">
        <v>0</v>
      </c>
      <c r="MK45" s="65">
        <v>0</v>
      </c>
      <c r="ML45" s="65">
        <v>0</v>
      </c>
      <c r="MM45" s="65">
        <v>0</v>
      </c>
      <c r="MN45" s="65">
        <v>0</v>
      </c>
      <c r="MO45" s="65">
        <v>0</v>
      </c>
      <c r="MP45" s="65">
        <v>0</v>
      </c>
      <c r="MQ45" s="65">
        <v>0</v>
      </c>
      <c r="MR45" s="65">
        <v>0</v>
      </c>
      <c r="MS45" s="65">
        <v>0</v>
      </c>
      <c r="MT45" s="65">
        <v>0</v>
      </c>
      <c r="MU45" s="65">
        <v>0</v>
      </c>
      <c r="MV45" s="65">
        <v>0</v>
      </c>
      <c r="MW45" s="65">
        <v>0</v>
      </c>
      <c r="MX45" s="65">
        <v>0</v>
      </c>
      <c r="MY45" s="65">
        <v>0</v>
      </c>
      <c r="MZ45" s="65">
        <v>0</v>
      </c>
      <c r="NA45" s="65">
        <v>0</v>
      </c>
      <c r="NB45" s="65"/>
      <c r="NC45" s="65"/>
      <c r="ND45" s="65"/>
      <c r="NE45" s="65"/>
      <c r="NF45" s="65"/>
      <c r="NG45" s="65"/>
      <c r="NH45" s="65"/>
      <c r="NI45" s="65"/>
      <c r="NJ45" s="65"/>
      <c r="NK45" s="65"/>
      <c r="NL45" s="65"/>
      <c r="NM45" s="65"/>
      <c r="NN45" s="65"/>
      <c r="NO45" s="65"/>
      <c r="NP45" s="65"/>
      <c r="NQ45" s="65"/>
      <c r="NR45" s="65"/>
      <c r="NS45" s="65"/>
      <c r="NT45" s="65"/>
      <c r="NU45" s="65"/>
      <c r="NV45" s="65"/>
      <c r="NW45" s="65"/>
      <c r="NX45" s="65"/>
      <c r="NY45" s="65"/>
      <c r="NZ45" s="65"/>
      <c r="OA45" s="65"/>
      <c r="OB45" s="65"/>
      <c r="OC45" s="65"/>
      <c r="OD45" s="65"/>
      <c r="OE45" s="65"/>
      <c r="OF45" s="65"/>
      <c r="OG45" s="65"/>
      <c r="OH45" s="65"/>
      <c r="OI45" s="65"/>
      <c r="OJ45" s="65"/>
      <c r="OK45" s="65"/>
      <c r="OL45" s="65"/>
      <c r="OM45" s="65"/>
      <c r="ON45" s="65"/>
      <c r="OO45" s="65"/>
      <c r="OP45" s="65"/>
      <c r="OQ45" s="65"/>
      <c r="OR45" s="65"/>
      <c r="OS45" s="65"/>
    </row>
    <row r="46" spans="1:409">
      <c r="A46" s="64" t="s">
        <v>603</v>
      </c>
      <c r="B46" s="64" t="s">
        <v>586</v>
      </c>
      <c r="C46" s="64">
        <v>3.5588696165880942E-4</v>
      </c>
      <c r="D46" s="64">
        <v>7.5744587687325135E-4</v>
      </c>
      <c r="E46" s="64">
        <v>1.9487450488211809E-4</v>
      </c>
      <c r="F46" s="64">
        <v>9.48522608642148E-4</v>
      </c>
      <c r="G46" s="64">
        <v>0</v>
      </c>
      <c r="H46" s="64">
        <v>0.97256628136450751</v>
      </c>
      <c r="I46" s="64">
        <v>5.8828863967445855E-4</v>
      </c>
      <c r="J46" s="64">
        <v>1.3485715841777799E-3</v>
      </c>
      <c r="K46" s="64">
        <v>5.1243266399943286E-3</v>
      </c>
      <c r="L46" s="64">
        <v>3.5851024722499458E-4</v>
      </c>
      <c r="M46" s="64">
        <v>2.5577444330923779E-2</v>
      </c>
      <c r="N46" s="64">
        <v>1.568411980072647E-3</v>
      </c>
      <c r="O46" s="64">
        <v>8.5046281013623323E-4</v>
      </c>
      <c r="P46" s="64">
        <v>4.9147209694724289E-2</v>
      </c>
      <c r="Q46" s="64">
        <v>2.1113635081947929E-4</v>
      </c>
      <c r="R46" s="64">
        <v>2.5132281746974598E-4</v>
      </c>
      <c r="S46" s="64">
        <v>1.9811616127466888E-3</v>
      </c>
      <c r="T46" s="64">
        <v>1.014108938978856E-4</v>
      </c>
      <c r="U46" s="64">
        <v>5.6034514671904551E-4</v>
      </c>
      <c r="V46" s="64">
        <v>4.7697630196125921E-4</v>
      </c>
      <c r="W46" s="64">
        <v>2.2784159995595252E-3</v>
      </c>
      <c r="X46" s="64">
        <v>7.9867957564091585E-4</v>
      </c>
      <c r="Y46" s="64">
        <v>3.7461526882473013E-4</v>
      </c>
      <c r="Z46" s="64">
        <v>2.1335804734001141E-4</v>
      </c>
      <c r="AA46" s="64">
        <v>7.3939593054258906E-4</v>
      </c>
      <c r="AB46" s="64">
        <v>1.541253475176372E-3</v>
      </c>
      <c r="AC46" s="64">
        <v>2.7767487332485519E-2</v>
      </c>
      <c r="AD46" s="64">
        <v>1.745516752615704E-3</v>
      </c>
      <c r="AE46" s="64">
        <v>6.2318731706904006E-4</v>
      </c>
      <c r="AF46" s="64">
        <v>2.3129938347581219E-4</v>
      </c>
      <c r="AG46" s="64">
        <v>7.4324606254799796E-5</v>
      </c>
      <c r="AH46" s="64">
        <v>8.5056149854775085E-3</v>
      </c>
      <c r="AI46" s="64">
        <v>7.5033318478011706E-3</v>
      </c>
      <c r="AJ46" s="64">
        <v>5.7357005025644173E-6</v>
      </c>
      <c r="AK46" s="64">
        <v>5.7357005025644173E-6</v>
      </c>
      <c r="AL46" s="64">
        <v>5.7357005025644173E-6</v>
      </c>
      <c r="AM46" s="64">
        <v>5.7357005025644173E-6</v>
      </c>
      <c r="AN46" s="64">
        <v>0</v>
      </c>
      <c r="AO46" s="64">
        <v>4.0969289304031557E-6</v>
      </c>
      <c r="AP46" s="64">
        <v>4.0969289304031557E-6</v>
      </c>
      <c r="AQ46" s="64">
        <v>4.0969289304031557E-6</v>
      </c>
      <c r="AR46" s="64">
        <v>4.0969289304031557E-6</v>
      </c>
      <c r="AS46" s="64">
        <v>4.0969289304031557E-6</v>
      </c>
      <c r="AT46" s="64">
        <v>4.0969289304031557E-6</v>
      </c>
      <c r="AU46" s="64">
        <v>4.0969289304031557E-6</v>
      </c>
      <c r="AV46" s="64">
        <v>4.0969289304031557E-6</v>
      </c>
      <c r="AW46" s="64">
        <v>4.0969289304031557E-6</v>
      </c>
      <c r="AX46" s="64">
        <v>3.4823895908426822E-6</v>
      </c>
      <c r="AY46" s="64">
        <v>3.4823895908426822E-6</v>
      </c>
      <c r="AZ46" s="64">
        <v>1.8436180186814201E-5</v>
      </c>
      <c r="BA46" s="64">
        <v>2.8678502512822091E-6</v>
      </c>
      <c r="BB46" s="64">
        <v>1.84361801868142E-6</v>
      </c>
      <c r="BC46" s="64">
        <v>2.0484644652015779E-6</v>
      </c>
      <c r="BD46" s="64">
        <v>4.0969289304031557E-6</v>
      </c>
      <c r="BE46" s="64">
        <v>4.0969289304031557E-6</v>
      </c>
      <c r="BF46" s="64">
        <v>6.1453933956047332E-7</v>
      </c>
      <c r="BG46" s="64">
        <v>1.84361801868142E-6</v>
      </c>
      <c r="BH46" s="64">
        <v>6.1453933956047332E-7</v>
      </c>
      <c r="BI46" s="64">
        <v>1.2290786791209471E-6</v>
      </c>
      <c r="BJ46" s="64">
        <v>1.84361801868142E-6</v>
      </c>
      <c r="BK46" s="64">
        <v>1.4339251256411039E-6</v>
      </c>
      <c r="BL46" s="64">
        <v>4.0969289304031551E-7</v>
      </c>
      <c r="BM46" s="64">
        <v>0</v>
      </c>
      <c r="BN46" s="64">
        <v>0</v>
      </c>
      <c r="BO46" s="64">
        <v>6.1453933956047332E-7</v>
      </c>
      <c r="BP46" s="64">
        <v>6.1453933956047332E-7</v>
      </c>
      <c r="BQ46" s="64">
        <v>2.8284497384731151E-7</v>
      </c>
      <c r="BR46" s="64">
        <v>2.8284497384731151E-7</v>
      </c>
      <c r="BS46" s="64">
        <v>2.8284497384731151E-7</v>
      </c>
      <c r="BT46" s="64">
        <v>2.8284497384731151E-7</v>
      </c>
      <c r="BU46" s="64">
        <v>0</v>
      </c>
      <c r="BV46" s="64">
        <v>4.9497870423279511E-7</v>
      </c>
      <c r="BW46" s="64">
        <v>4.9497870423279511E-7</v>
      </c>
      <c r="BX46" s="64">
        <v>4.9497870423279511E-7</v>
      </c>
      <c r="BY46" s="64">
        <v>4.9497870423279511E-7</v>
      </c>
      <c r="BZ46" s="64">
        <v>4.9497870423279511E-7</v>
      </c>
      <c r="CA46" s="64">
        <v>4.9497870423279511E-7</v>
      </c>
      <c r="CB46" s="64">
        <v>4.9497870423279511E-7</v>
      </c>
      <c r="CC46" s="64">
        <v>6.3640119115645084E-7</v>
      </c>
      <c r="CD46" s="64">
        <v>6.3640119115645084E-7</v>
      </c>
      <c r="CE46" s="64">
        <v>2.8284497384731151E-7</v>
      </c>
      <c r="CF46" s="64">
        <v>2.8284497384731151E-7</v>
      </c>
      <c r="CG46" s="64">
        <v>1.131379895389246E-6</v>
      </c>
      <c r="CH46" s="64">
        <v>2.1213373038548359E-7</v>
      </c>
      <c r="CI46" s="64">
        <v>2.8284497384731151E-7</v>
      </c>
      <c r="CJ46" s="64">
        <v>2.1213373038548359E-7</v>
      </c>
      <c r="CK46" s="64">
        <v>5.6568994769462292E-7</v>
      </c>
      <c r="CL46" s="64">
        <v>4.9497870423279511E-7</v>
      </c>
      <c r="CM46" s="64">
        <v>2.1213373038548359E-7</v>
      </c>
      <c r="CN46" s="64">
        <v>2.1213373038548359E-7</v>
      </c>
      <c r="CO46" s="64">
        <v>1.414224869236557E-7</v>
      </c>
      <c r="CP46" s="64">
        <v>2.1213373038548359E-7</v>
      </c>
      <c r="CQ46" s="64">
        <v>2.8284497384731151E-7</v>
      </c>
      <c r="CR46" s="64">
        <v>7.7782367808010657E-7</v>
      </c>
      <c r="CS46" s="64">
        <v>2.1213373038548359E-7</v>
      </c>
      <c r="CT46" s="64">
        <v>7.0711243461827865E-8</v>
      </c>
      <c r="CU46" s="64">
        <v>0</v>
      </c>
      <c r="CV46" s="64">
        <v>2.1213373038548359E-7</v>
      </c>
      <c r="CW46" s="64">
        <v>2.1213373038548359E-7</v>
      </c>
      <c r="CX46" s="64">
        <v>6.6090129365493045E-7</v>
      </c>
      <c r="CY46" s="64">
        <v>6.6090129365493045E-7</v>
      </c>
      <c r="CZ46" s="64">
        <v>6.6090129365493045E-7</v>
      </c>
      <c r="DA46" s="64">
        <v>6.6090129365493045E-7</v>
      </c>
      <c r="DB46" s="64">
        <v>0</v>
      </c>
      <c r="DC46" s="64">
        <v>9.9135194048239573E-7</v>
      </c>
      <c r="DD46" s="64">
        <v>9.9135194048239573E-7</v>
      </c>
      <c r="DE46" s="64">
        <v>9.9135194048239573E-7</v>
      </c>
      <c r="DF46" s="64">
        <v>9.9135194048239573E-7</v>
      </c>
      <c r="DG46" s="64">
        <v>9.9135194048239573E-7</v>
      </c>
      <c r="DH46" s="64">
        <v>9.9135194048239573E-7</v>
      </c>
      <c r="DI46" s="64">
        <v>9.9135194048239573E-7</v>
      </c>
      <c r="DJ46" s="64">
        <v>1.3218025873098609E-6</v>
      </c>
      <c r="DK46" s="64">
        <v>1.3218025873098609E-6</v>
      </c>
      <c r="DL46" s="64">
        <v>9.9135194048239573E-7</v>
      </c>
      <c r="DM46" s="64">
        <v>9.9135194048239573E-7</v>
      </c>
      <c r="DN46" s="64">
        <v>3.304506468274653E-6</v>
      </c>
      <c r="DO46" s="64">
        <v>9.9135194048239573E-7</v>
      </c>
      <c r="DP46" s="64">
        <v>9.9135194048239573E-7</v>
      </c>
      <c r="DQ46" s="64">
        <v>9.9135194048239573E-7</v>
      </c>
      <c r="DR46" s="64">
        <v>2.3131545277922571E-6</v>
      </c>
      <c r="DS46" s="64">
        <v>1.3218025873098609E-6</v>
      </c>
      <c r="DT46" s="64">
        <v>6.6090129365493045E-7</v>
      </c>
      <c r="DU46" s="64">
        <v>1.3218025873098609E-6</v>
      </c>
      <c r="DV46" s="64">
        <v>9.9135194048239573E-7</v>
      </c>
      <c r="DW46" s="64">
        <v>6.6090129365493045E-7</v>
      </c>
      <c r="DX46" s="64">
        <v>6.6090129365493045E-7</v>
      </c>
      <c r="DY46" s="64">
        <v>1.6522532341373261E-6</v>
      </c>
      <c r="DZ46" s="64">
        <v>3.3045064682746517E-7</v>
      </c>
      <c r="EA46" s="64">
        <v>0</v>
      </c>
      <c r="EB46" s="64">
        <v>0</v>
      </c>
      <c r="EC46" s="64">
        <v>9.9135194048239573E-7</v>
      </c>
      <c r="ED46" s="64">
        <v>9.9135194048239573E-7</v>
      </c>
      <c r="EE46" s="64">
        <v>1.831120342399757E-6</v>
      </c>
      <c r="EF46" s="64">
        <v>1.831120342399757E-6</v>
      </c>
      <c r="EG46" s="64">
        <v>1.831120342399757E-6</v>
      </c>
      <c r="EH46" s="64">
        <v>1.831120342399757E-6</v>
      </c>
      <c r="EI46" s="64">
        <v>0</v>
      </c>
      <c r="EJ46" s="64">
        <v>6.1037344746658552E-6</v>
      </c>
      <c r="EK46" s="64">
        <v>6.1037344746658552E-6</v>
      </c>
      <c r="EL46" s="64">
        <v>6.1037344746658552E-6</v>
      </c>
      <c r="EM46" s="64">
        <v>6.1037344746658552E-6</v>
      </c>
      <c r="EN46" s="64">
        <v>6.1037344746658552E-6</v>
      </c>
      <c r="EO46" s="64">
        <v>6.1037344746658552E-6</v>
      </c>
      <c r="EP46" s="64">
        <v>6.1037344746658552E-6</v>
      </c>
      <c r="EQ46" s="64">
        <v>1.831120342399757E-6</v>
      </c>
      <c r="ER46" s="64">
        <v>1.831120342399757E-6</v>
      </c>
      <c r="ES46" s="64">
        <v>1.831120342399757E-6</v>
      </c>
      <c r="ET46" s="64">
        <v>1.831120342399757E-6</v>
      </c>
      <c r="EU46" s="64">
        <v>4.2726141322660984E-6</v>
      </c>
      <c r="EV46" s="64">
        <v>1.220746894933171E-6</v>
      </c>
      <c r="EW46" s="64">
        <v>1.220746894933171E-6</v>
      </c>
      <c r="EX46" s="64">
        <v>1.220746894933171E-6</v>
      </c>
      <c r="EY46" s="64">
        <v>2.441493789866342E-6</v>
      </c>
      <c r="EZ46" s="64">
        <v>2.441493789866342E-6</v>
      </c>
      <c r="FA46" s="64">
        <v>6.1037344746658549E-7</v>
      </c>
      <c r="FB46" s="64">
        <v>1.220746894933171E-6</v>
      </c>
      <c r="FC46" s="64">
        <v>1.220746894933171E-6</v>
      </c>
      <c r="FD46" s="64">
        <v>6.1037344746658549E-7</v>
      </c>
      <c r="FE46" s="64">
        <v>1.831120342399757E-6</v>
      </c>
      <c r="FF46" s="64">
        <v>2.441493789866342E-6</v>
      </c>
      <c r="FG46" s="64">
        <v>1.220746894933171E-6</v>
      </c>
      <c r="FH46" s="64">
        <v>6.1037344746658549E-7</v>
      </c>
      <c r="FI46" s="64">
        <v>0</v>
      </c>
      <c r="FJ46" s="64">
        <v>1.220746894933171E-6</v>
      </c>
      <c r="FK46" s="64">
        <v>1.220746894933171E-6</v>
      </c>
      <c r="FL46" s="64">
        <v>1.4539828460408469E-5</v>
      </c>
      <c r="FM46" s="64">
        <v>1.4539828460408469E-5</v>
      </c>
      <c r="FN46" s="64">
        <v>1.4539828460408469E-5</v>
      </c>
      <c r="FO46" s="64">
        <v>1.4539828460408469E-5</v>
      </c>
      <c r="FP46" s="64">
        <v>0</v>
      </c>
      <c r="FQ46" s="64">
        <v>2.9740558214471869E-5</v>
      </c>
      <c r="FR46" s="64">
        <v>2.9740558214471869E-5</v>
      </c>
      <c r="FS46" s="64">
        <v>2.9740558214471869E-5</v>
      </c>
      <c r="FT46" s="64">
        <v>2.9740558214471869E-5</v>
      </c>
      <c r="FU46" s="64">
        <v>2.9740558214471869E-5</v>
      </c>
      <c r="FV46" s="64">
        <v>2.9740558214471869E-5</v>
      </c>
      <c r="FW46" s="64">
        <v>2.9740558214471869E-5</v>
      </c>
      <c r="FX46" s="64">
        <v>1.52007297540634E-5</v>
      </c>
      <c r="FY46" s="64">
        <v>1.52007297540634E-5</v>
      </c>
      <c r="FZ46" s="64">
        <v>3.6349571151021169E-6</v>
      </c>
      <c r="GA46" s="64">
        <v>3.6349571151021169E-6</v>
      </c>
      <c r="GB46" s="64">
        <v>1.6852982988200729E-5</v>
      </c>
      <c r="GC46" s="64">
        <v>1.982703880964791E-6</v>
      </c>
      <c r="GD46" s="64">
        <v>1.982703880964791E-6</v>
      </c>
      <c r="GE46" s="64">
        <v>2.3131545277922571E-6</v>
      </c>
      <c r="GF46" s="64">
        <v>7.9308155238591659E-6</v>
      </c>
      <c r="GG46" s="64">
        <v>5.6176609960669088E-6</v>
      </c>
      <c r="GH46" s="64">
        <v>9.9135194048239573E-7</v>
      </c>
      <c r="GI46" s="64">
        <v>1.3218025873098609E-6</v>
      </c>
      <c r="GJ46" s="64">
        <v>6.6090129365493045E-7</v>
      </c>
      <c r="GK46" s="64">
        <v>1.3218025873098609E-6</v>
      </c>
      <c r="GL46" s="64">
        <v>1.1235321992133819E-5</v>
      </c>
      <c r="GM46" s="64">
        <v>4.9567597024119776E-6</v>
      </c>
      <c r="GN46" s="64">
        <v>9.9135194048239573E-7</v>
      </c>
      <c r="GO46" s="64">
        <v>3.3045064682746517E-7</v>
      </c>
      <c r="GP46" s="64">
        <v>3.3045064682746517E-7</v>
      </c>
      <c r="GQ46" s="64">
        <v>1.3218025873098609E-6</v>
      </c>
      <c r="GR46" s="64">
        <v>1.3218025873098609E-6</v>
      </c>
      <c r="GS46" s="64">
        <v>3.3045064682746517E-7</v>
      </c>
      <c r="GT46" s="64">
        <v>3.3045064682746517E-7</v>
      </c>
      <c r="GU46" s="64">
        <v>3.3045064682746517E-7</v>
      </c>
      <c r="GV46" s="64">
        <v>3.3045064682746517E-7</v>
      </c>
      <c r="GW46" s="64">
        <v>0</v>
      </c>
      <c r="GX46" s="64">
        <v>9.9135194048239573E-7</v>
      </c>
      <c r="GY46" s="64">
        <v>9.9135194048239573E-7</v>
      </c>
      <c r="GZ46" s="64">
        <v>9.9135194048239573E-7</v>
      </c>
      <c r="HA46" s="64">
        <v>9.9135194048239573E-7</v>
      </c>
      <c r="HB46" s="64">
        <v>9.9135194048239573E-7</v>
      </c>
      <c r="HC46" s="64">
        <v>9.9135194048239573E-7</v>
      </c>
      <c r="HD46" s="64">
        <v>9.9135194048239573E-7</v>
      </c>
      <c r="HE46" s="64">
        <v>1.3218025873098609E-6</v>
      </c>
      <c r="HF46" s="64">
        <v>1.3218025873098609E-6</v>
      </c>
      <c r="HG46" s="64">
        <v>6.6090129365493045E-7</v>
      </c>
      <c r="HH46" s="64">
        <v>6.6090129365493045E-7</v>
      </c>
      <c r="HI46" s="64">
        <v>1.982703880964791E-6</v>
      </c>
      <c r="HJ46" s="64">
        <v>6.6090129365493045E-7</v>
      </c>
      <c r="HK46" s="64">
        <v>6.6090129365493045E-7</v>
      </c>
      <c r="HL46" s="64">
        <v>6.6090129365493045E-7</v>
      </c>
      <c r="HM46" s="64">
        <v>1.6522532341373261E-6</v>
      </c>
      <c r="HN46" s="64">
        <v>1.6522532341373261E-6</v>
      </c>
      <c r="HO46" s="64">
        <v>6.6090129365493045E-7</v>
      </c>
      <c r="HP46" s="64">
        <v>9.9135194048239573E-7</v>
      </c>
      <c r="HQ46" s="64">
        <v>9.9135194048239573E-7</v>
      </c>
      <c r="HR46" s="64">
        <v>6.6090129365493045E-7</v>
      </c>
      <c r="HS46" s="64">
        <v>9.9135194048239573E-7</v>
      </c>
      <c r="HT46" s="64">
        <v>2.6436051746197218E-6</v>
      </c>
      <c r="HU46" s="64">
        <v>9.9135194048239573E-7</v>
      </c>
      <c r="HV46" s="64">
        <v>3.3045064682746517E-7</v>
      </c>
      <c r="HW46" s="64">
        <v>0</v>
      </c>
      <c r="HX46" s="64">
        <v>6.6090129365493045E-7</v>
      </c>
      <c r="HY46" s="64">
        <v>6.6090129365493045E-7</v>
      </c>
      <c r="HZ46" s="64">
        <v>1.9316283181169499E-4</v>
      </c>
      <c r="IA46" s="64">
        <v>1.9316283181169499E-4</v>
      </c>
      <c r="IB46" s="64">
        <v>1.9316283181169499E-4</v>
      </c>
      <c r="IC46" s="64">
        <v>1.9316283181169499E-4</v>
      </c>
      <c r="ID46" s="64">
        <v>0</v>
      </c>
      <c r="IE46" s="64">
        <v>3.3791017347937352E-4</v>
      </c>
      <c r="IF46" s="64">
        <v>3.3791017347937352E-4</v>
      </c>
      <c r="IG46" s="64">
        <v>3.3791017347937352E-4</v>
      </c>
      <c r="IH46" s="64">
        <v>3.3791017347937352E-4</v>
      </c>
      <c r="II46" s="64">
        <v>3.3791017347937352E-4</v>
      </c>
      <c r="IJ46" s="64">
        <v>3.3791017347937352E-4</v>
      </c>
      <c r="IK46" s="64">
        <v>3.3791017347937352E-4</v>
      </c>
      <c r="IL46" s="64">
        <v>1.7968635517366981E-5</v>
      </c>
      <c r="IM46" s="64">
        <v>1.7968635517366981E-5</v>
      </c>
      <c r="IN46" s="64">
        <v>6.9878027011982695E-5</v>
      </c>
      <c r="IO46" s="64">
        <v>6.9878027011982695E-5</v>
      </c>
      <c r="IP46" s="64">
        <v>6.3888481839527041E-5</v>
      </c>
      <c r="IQ46" s="64">
        <v>1.1479961580540019E-5</v>
      </c>
      <c r="IR46" s="64">
        <v>7.9860602299408801E-6</v>
      </c>
      <c r="IS46" s="64">
        <v>9.9825752874261022E-6</v>
      </c>
      <c r="IT46" s="64">
        <v>1.1979090344911319E-5</v>
      </c>
      <c r="IU46" s="64">
        <v>2.7452082040421779E-5</v>
      </c>
      <c r="IV46" s="64">
        <v>6.9878027011982707E-6</v>
      </c>
      <c r="IW46" s="64">
        <v>1.0980832816168711E-5</v>
      </c>
      <c r="IX46" s="64">
        <v>1.0481704051797411E-5</v>
      </c>
      <c r="IY46" s="64">
        <v>9.9825752874261022E-6</v>
      </c>
      <c r="IZ46" s="64">
        <v>4.8415490144016591E-5</v>
      </c>
      <c r="JA46" s="64">
        <v>2.2460794396708732E-5</v>
      </c>
      <c r="JB46" s="64">
        <v>7.4869314655695758E-6</v>
      </c>
      <c r="JC46" s="64">
        <v>2.495643821856526E-6</v>
      </c>
      <c r="JD46" s="64">
        <v>1.4973862931139149E-6</v>
      </c>
      <c r="JE46" s="64">
        <v>3.0945983391020907E-5</v>
      </c>
      <c r="JF46" s="64">
        <v>3.0945983391020907E-5</v>
      </c>
      <c r="JG46" s="64">
        <v>8.6578069468795893E-5</v>
      </c>
      <c r="JH46" s="64">
        <v>8.6578069468795893E-5</v>
      </c>
      <c r="JI46" s="64">
        <v>8.6578069468795893E-5</v>
      </c>
      <c r="JJ46" s="64">
        <v>8.6578069468795893E-5</v>
      </c>
      <c r="JK46" s="64">
        <v>0</v>
      </c>
      <c r="JL46" s="64">
        <v>6.5363137942472623E-4</v>
      </c>
      <c r="JM46" s="64">
        <v>6.5363137942472623E-4</v>
      </c>
      <c r="JN46" s="64">
        <v>6.5363137942472623E-4</v>
      </c>
      <c r="JO46" s="64">
        <v>6.5363137942472623E-4</v>
      </c>
      <c r="JP46" s="64">
        <v>6.5363137942472623E-4</v>
      </c>
      <c r="JQ46" s="64">
        <v>6.5363137942472623E-4</v>
      </c>
      <c r="JR46" s="64">
        <v>6.5363137942472623E-4</v>
      </c>
      <c r="JS46" s="64">
        <v>1.262321470880917E-4</v>
      </c>
      <c r="JT46" s="64">
        <v>1.262321470880917E-4</v>
      </c>
      <c r="JU46" s="64">
        <v>4.2297682793915549E-5</v>
      </c>
      <c r="JV46" s="64">
        <v>4.2297682793915549E-5</v>
      </c>
      <c r="JW46" s="64">
        <v>3.3838146235132439E-4</v>
      </c>
      <c r="JX46" s="64">
        <v>2.610560109936975E-5</v>
      </c>
      <c r="JY46" s="64">
        <v>4.956759702411978E-5</v>
      </c>
      <c r="JZ46" s="64">
        <v>3.9323626972468357E-5</v>
      </c>
      <c r="KA46" s="64">
        <v>7.5673198123489544E-5</v>
      </c>
      <c r="KB46" s="64">
        <v>8.129085911955645E-5</v>
      </c>
      <c r="KC46" s="64">
        <v>2.7427403686679611E-5</v>
      </c>
      <c r="KD46" s="64">
        <v>3.0401459508126799E-5</v>
      </c>
      <c r="KE46" s="64">
        <v>3.8993176325640887E-5</v>
      </c>
      <c r="KF46" s="64">
        <v>3.2714614035919047E-5</v>
      </c>
      <c r="KG46" s="64">
        <v>6.7345841823437404E-4</v>
      </c>
      <c r="KH46" s="64">
        <v>9.3517533052172653E-5</v>
      </c>
      <c r="KI46" s="64">
        <v>4.7915343789982462E-5</v>
      </c>
      <c r="KJ46" s="64">
        <v>2.8418755627162008E-5</v>
      </c>
      <c r="KK46" s="64">
        <v>2.0818390750130311E-5</v>
      </c>
      <c r="KL46" s="64">
        <v>2.055403023266834E-4</v>
      </c>
      <c r="KM46" s="64">
        <v>2.055403023266834E-4</v>
      </c>
      <c r="KN46" s="64">
        <v>1.3218025873098609E-6</v>
      </c>
      <c r="KO46" s="64">
        <v>1.3218025873098609E-6</v>
      </c>
      <c r="KP46" s="64">
        <v>1.3218025873098609E-6</v>
      </c>
      <c r="KQ46" s="64">
        <v>1.3218025873098609E-6</v>
      </c>
      <c r="KR46" s="64">
        <v>0</v>
      </c>
      <c r="KS46" s="64">
        <v>1.982703880964791E-6</v>
      </c>
      <c r="KT46" s="64">
        <v>1.982703880964791E-6</v>
      </c>
      <c r="KU46" s="64">
        <v>1.982703880964791E-6</v>
      </c>
      <c r="KV46" s="64">
        <v>1.982703880964791E-6</v>
      </c>
      <c r="KW46" s="64">
        <v>1.982703880964791E-6</v>
      </c>
      <c r="KX46" s="64">
        <v>1.982703880964791E-6</v>
      </c>
      <c r="KY46" s="64">
        <v>1.982703880964791E-6</v>
      </c>
      <c r="KZ46" s="64">
        <v>1.6522532341373261E-6</v>
      </c>
      <c r="LA46" s="64">
        <v>1.6522532341373261E-6</v>
      </c>
      <c r="LB46" s="64">
        <v>9.9135194048239573E-7</v>
      </c>
      <c r="LC46" s="64">
        <v>9.9135194048239573E-7</v>
      </c>
      <c r="LD46" s="64">
        <v>3.6349571151021169E-6</v>
      </c>
      <c r="LE46" s="64">
        <v>9.9135194048239573E-7</v>
      </c>
      <c r="LF46" s="64">
        <v>1.3218025873098609E-6</v>
      </c>
      <c r="LG46" s="64">
        <v>9.9135194048239573E-7</v>
      </c>
      <c r="LH46" s="64">
        <v>2.974055821447187E-6</v>
      </c>
      <c r="LI46" s="64">
        <v>2.3131545277922571E-6</v>
      </c>
      <c r="LJ46" s="64">
        <v>1.982703880964791E-6</v>
      </c>
      <c r="LK46" s="64">
        <v>6.6090129365493045E-7</v>
      </c>
      <c r="LL46" s="64">
        <v>1.3218025873098609E-6</v>
      </c>
      <c r="LM46" s="64">
        <v>9.9135194048239573E-7</v>
      </c>
      <c r="LN46" s="64">
        <v>1.3218025873098609E-6</v>
      </c>
      <c r="LO46" s="64">
        <v>8.5917168175140945E-6</v>
      </c>
      <c r="LP46" s="64">
        <v>1.6522532341373261E-6</v>
      </c>
      <c r="LQ46" s="64">
        <v>3.3045064682746517E-7</v>
      </c>
      <c r="LR46" s="64">
        <v>0</v>
      </c>
      <c r="LS46" s="64">
        <v>1.6522532341373261E-6</v>
      </c>
      <c r="LT46" s="64">
        <v>1.6522532341373261E-6</v>
      </c>
      <c r="LU46" s="64">
        <v>3.8049326118260592E-6</v>
      </c>
      <c r="LV46" s="64">
        <v>3.8049326118260592E-6</v>
      </c>
      <c r="LW46" s="64">
        <v>3.8049326118260592E-6</v>
      </c>
      <c r="LX46" s="64">
        <v>3.8049326118260592E-6</v>
      </c>
      <c r="LY46" s="64">
        <v>0</v>
      </c>
      <c r="LZ46" s="64">
        <v>1.0653811313112971E-5</v>
      </c>
      <c r="MA46" s="64">
        <v>1.0653811313112971E-5</v>
      </c>
      <c r="MB46" s="64">
        <v>1.0653811313112971E-5</v>
      </c>
      <c r="MC46" s="64">
        <v>1.0653811313112971E-5</v>
      </c>
      <c r="MD46" s="64">
        <v>1.0653811313112971E-5</v>
      </c>
      <c r="ME46" s="64">
        <v>1.0653811313112971E-5</v>
      </c>
      <c r="MF46" s="64">
        <v>1.0653811313112971E-5</v>
      </c>
      <c r="MG46" s="64">
        <v>7.6098652236521183E-6</v>
      </c>
      <c r="MH46" s="64">
        <v>7.6098652236521183E-6</v>
      </c>
      <c r="MI46" s="64">
        <v>3.0439460894608469E-6</v>
      </c>
      <c r="MJ46" s="64">
        <v>3.0439460894608469E-6</v>
      </c>
      <c r="MK46" s="64">
        <v>1.445874392493902E-5</v>
      </c>
      <c r="ML46" s="64">
        <v>3.0439460894608469E-6</v>
      </c>
      <c r="MM46" s="64">
        <v>2.2829595670956351E-6</v>
      </c>
      <c r="MN46" s="64">
        <v>2.2829595670956351E-6</v>
      </c>
      <c r="MO46" s="64">
        <v>6.0878921789216938E-6</v>
      </c>
      <c r="MP46" s="64">
        <v>6.0878921789216938E-6</v>
      </c>
      <c r="MQ46" s="64">
        <v>2.2829595670956351E-6</v>
      </c>
      <c r="MR46" s="64">
        <v>3.0439460894608469E-6</v>
      </c>
      <c r="MS46" s="64">
        <v>3.0439460894608469E-6</v>
      </c>
      <c r="MT46" s="64">
        <v>2.2829595670956351E-6</v>
      </c>
      <c r="MU46" s="64">
        <v>6.8488787012869056E-6</v>
      </c>
      <c r="MV46" s="64">
        <v>7.6098652236521183E-6</v>
      </c>
      <c r="MW46" s="64">
        <v>3.0439460894608469E-6</v>
      </c>
      <c r="MX46" s="64">
        <v>7.6098652236521173E-7</v>
      </c>
      <c r="MY46" s="64">
        <v>7.6098652236521173E-7</v>
      </c>
      <c r="MZ46" s="64">
        <v>3.0439460894608469E-6</v>
      </c>
      <c r="NA46" s="64">
        <v>3.0439460894608469E-6</v>
      </c>
      <c r="NB46" s="64"/>
      <c r="NC46" s="64"/>
      <c r="ND46" s="64"/>
      <c r="NE46" s="64"/>
      <c r="NF46" s="64"/>
      <c r="NG46" s="64"/>
      <c r="NH46" s="64"/>
      <c r="NI46" s="64"/>
      <c r="NJ46" s="64"/>
      <c r="NK46" s="64"/>
      <c r="NL46" s="64"/>
      <c r="NM46" s="64"/>
      <c r="NN46" s="64"/>
      <c r="NO46" s="64"/>
      <c r="NP46" s="64"/>
      <c r="NQ46" s="64"/>
      <c r="NR46" s="64"/>
      <c r="NS46" s="64"/>
      <c r="NT46" s="64"/>
      <c r="NU46" s="64"/>
      <c r="NV46" s="64"/>
      <c r="NW46" s="64"/>
      <c r="NX46" s="64"/>
      <c r="NY46" s="64"/>
      <c r="NZ46" s="64"/>
      <c r="OA46" s="64"/>
      <c r="OB46" s="64"/>
      <c r="OC46" s="64"/>
      <c r="OD46" s="64"/>
      <c r="OE46" s="64"/>
      <c r="OF46" s="64"/>
      <c r="OG46" s="64"/>
      <c r="OH46" s="64"/>
      <c r="OI46" s="64"/>
      <c r="OJ46" s="64"/>
      <c r="OK46" s="64"/>
      <c r="OL46" s="64"/>
      <c r="OM46" s="64"/>
      <c r="ON46" s="64"/>
      <c r="OO46" s="64"/>
      <c r="OP46" s="64"/>
      <c r="OQ46" s="64"/>
      <c r="OR46" s="64"/>
      <c r="OS46" s="64"/>
    </row>
    <row r="47" spans="1:409">
      <c r="A47" s="64" t="s">
        <v>604</v>
      </c>
      <c r="B47" s="64" t="s">
        <v>587</v>
      </c>
      <c r="C47" s="64">
        <v>4.8495378757951228E-4</v>
      </c>
      <c r="D47" s="64">
        <v>1.10682371226846E-3</v>
      </c>
      <c r="E47" s="64">
        <v>2.6307077108523002E-4</v>
      </c>
      <c r="F47" s="64">
        <v>1.5370082121494879E-3</v>
      </c>
      <c r="G47" s="64">
        <v>0</v>
      </c>
      <c r="H47" s="64">
        <v>1.810577273336987E-3</v>
      </c>
      <c r="I47" s="64">
        <v>0.95363296412025111</v>
      </c>
      <c r="J47" s="64">
        <v>2.0243780024485122E-3</v>
      </c>
      <c r="K47" s="64">
        <v>3.696019029082548E-3</v>
      </c>
      <c r="L47" s="64">
        <v>1.3685715038108009E-4</v>
      </c>
      <c r="M47" s="64">
        <v>5.0481935536918349E-2</v>
      </c>
      <c r="N47" s="64">
        <v>2.1055229596316071E-3</v>
      </c>
      <c r="O47" s="64">
        <v>1.198341663681995E-4</v>
      </c>
      <c r="P47" s="64">
        <v>3.8305105894294073E-4</v>
      </c>
      <c r="Q47" s="64">
        <v>3.0119828690171888E-4</v>
      </c>
      <c r="R47" s="64">
        <v>2.7175465181870792E-4</v>
      </c>
      <c r="S47" s="64">
        <v>1.932908454553477E-3</v>
      </c>
      <c r="T47" s="64">
        <v>1.155448346548073E-4</v>
      </c>
      <c r="U47" s="64">
        <v>1.7729263941742971E-4</v>
      </c>
      <c r="V47" s="64">
        <v>2.6204183691599649E-4</v>
      </c>
      <c r="W47" s="64">
        <v>1.7720614506044981E-3</v>
      </c>
      <c r="X47" s="64">
        <v>8.2080423211999983E-4</v>
      </c>
      <c r="Y47" s="64">
        <v>7.9278200741604148E-5</v>
      </c>
      <c r="Z47" s="64">
        <v>2.435990077815853E-4</v>
      </c>
      <c r="AA47" s="64">
        <v>8.0314943051246126E-4</v>
      </c>
      <c r="AB47" s="64">
        <v>1.253961554192288E-3</v>
      </c>
      <c r="AC47" s="64">
        <v>3.4638126223204119E-3</v>
      </c>
      <c r="AD47" s="64">
        <v>7.1016006501686227E-4</v>
      </c>
      <c r="AE47" s="64">
        <v>2.2225071737798569E-4</v>
      </c>
      <c r="AF47" s="64">
        <v>1.137562687500609E-4</v>
      </c>
      <c r="AG47" s="64">
        <v>4.6189053939205452E-5</v>
      </c>
      <c r="AH47" s="64">
        <v>2.748776918446388E-3</v>
      </c>
      <c r="AI47" s="64">
        <v>1.9851886538963049E-3</v>
      </c>
      <c r="AJ47" s="64">
        <v>5.3785938607083523E-6</v>
      </c>
      <c r="AK47" s="64">
        <v>5.3785938607083523E-6</v>
      </c>
      <c r="AL47" s="64">
        <v>5.3785938607083523E-6</v>
      </c>
      <c r="AM47" s="64">
        <v>5.3785938607083523E-6</v>
      </c>
      <c r="AN47" s="64">
        <v>0</v>
      </c>
      <c r="AO47" s="64">
        <v>3.8418527576488239E-6</v>
      </c>
      <c r="AP47" s="64">
        <v>3.8418527576488239E-6</v>
      </c>
      <c r="AQ47" s="64">
        <v>3.8418527576488239E-6</v>
      </c>
      <c r="AR47" s="64">
        <v>3.8418527576488239E-6</v>
      </c>
      <c r="AS47" s="64">
        <v>3.8418527576488239E-6</v>
      </c>
      <c r="AT47" s="64">
        <v>3.8418527576488239E-6</v>
      </c>
      <c r="AU47" s="64">
        <v>3.8418527576488239E-6</v>
      </c>
      <c r="AV47" s="64">
        <v>3.8418527576488239E-6</v>
      </c>
      <c r="AW47" s="64">
        <v>3.8418527576488239E-6</v>
      </c>
      <c r="AX47" s="64">
        <v>3.2655748440015E-6</v>
      </c>
      <c r="AY47" s="64">
        <v>3.2655748440015E-6</v>
      </c>
      <c r="AZ47" s="64">
        <v>1.72883374094197E-5</v>
      </c>
      <c r="BA47" s="64">
        <v>2.6892969303541761E-6</v>
      </c>
      <c r="BB47" s="64">
        <v>1.72883374094197E-6</v>
      </c>
      <c r="BC47" s="64">
        <v>1.920926378824412E-6</v>
      </c>
      <c r="BD47" s="64">
        <v>3.8418527576488239E-6</v>
      </c>
      <c r="BE47" s="64">
        <v>3.8418527576488239E-6</v>
      </c>
      <c r="BF47" s="64">
        <v>5.7627791364732346E-7</v>
      </c>
      <c r="BG47" s="64">
        <v>1.72883374094197E-6</v>
      </c>
      <c r="BH47" s="64">
        <v>5.7627791364732346E-7</v>
      </c>
      <c r="BI47" s="64">
        <v>1.1525558272946469E-6</v>
      </c>
      <c r="BJ47" s="64">
        <v>1.72883374094197E-6</v>
      </c>
      <c r="BK47" s="64">
        <v>1.3446484651770881E-6</v>
      </c>
      <c r="BL47" s="64">
        <v>3.8418527576488231E-7</v>
      </c>
      <c r="BM47" s="64">
        <v>0</v>
      </c>
      <c r="BN47" s="64">
        <v>0</v>
      </c>
      <c r="BO47" s="64">
        <v>5.7627791364732346E-7</v>
      </c>
      <c r="BP47" s="64">
        <v>5.7627791364732346E-7</v>
      </c>
      <c r="BQ47" s="64">
        <v>1.518690204243544E-6</v>
      </c>
      <c r="BR47" s="64">
        <v>1.518690204243544E-6</v>
      </c>
      <c r="BS47" s="64">
        <v>1.518690204243544E-6</v>
      </c>
      <c r="BT47" s="64">
        <v>1.518690204243544E-6</v>
      </c>
      <c r="BU47" s="64">
        <v>0</v>
      </c>
      <c r="BV47" s="64">
        <v>2.657707857426202E-6</v>
      </c>
      <c r="BW47" s="64">
        <v>2.657707857426202E-6</v>
      </c>
      <c r="BX47" s="64">
        <v>2.657707857426202E-6</v>
      </c>
      <c r="BY47" s="64">
        <v>2.657707857426202E-6</v>
      </c>
      <c r="BZ47" s="64">
        <v>2.657707857426202E-6</v>
      </c>
      <c r="CA47" s="64">
        <v>2.657707857426202E-6</v>
      </c>
      <c r="CB47" s="64">
        <v>2.657707857426202E-6</v>
      </c>
      <c r="CC47" s="64">
        <v>3.417052959547974E-6</v>
      </c>
      <c r="CD47" s="64">
        <v>3.417052959547974E-6</v>
      </c>
      <c r="CE47" s="64">
        <v>1.518690204243544E-6</v>
      </c>
      <c r="CF47" s="64">
        <v>1.518690204243544E-6</v>
      </c>
      <c r="CG47" s="64">
        <v>6.0747608169741751E-6</v>
      </c>
      <c r="CH47" s="64">
        <v>1.139017653182658E-6</v>
      </c>
      <c r="CI47" s="64">
        <v>1.518690204243544E-6</v>
      </c>
      <c r="CJ47" s="64">
        <v>1.139017653182658E-6</v>
      </c>
      <c r="CK47" s="64">
        <v>3.037380408487088E-6</v>
      </c>
      <c r="CL47" s="64">
        <v>2.657707857426202E-6</v>
      </c>
      <c r="CM47" s="64">
        <v>1.139017653182658E-6</v>
      </c>
      <c r="CN47" s="64">
        <v>1.139017653182658E-6</v>
      </c>
      <c r="CO47" s="64">
        <v>7.5934510212177189E-7</v>
      </c>
      <c r="CP47" s="64">
        <v>1.139017653182658E-6</v>
      </c>
      <c r="CQ47" s="64">
        <v>1.518690204243544E-6</v>
      </c>
      <c r="CR47" s="64">
        <v>4.1763980616697464E-6</v>
      </c>
      <c r="CS47" s="64">
        <v>1.139017653182658E-6</v>
      </c>
      <c r="CT47" s="64">
        <v>3.7967255106088589E-7</v>
      </c>
      <c r="CU47" s="64">
        <v>0</v>
      </c>
      <c r="CV47" s="64">
        <v>1.139017653182658E-6</v>
      </c>
      <c r="CW47" s="64">
        <v>1.139017653182658E-6</v>
      </c>
      <c r="CX47" s="64">
        <v>2.2469159203272831E-7</v>
      </c>
      <c r="CY47" s="64">
        <v>2.2469159203272831E-7</v>
      </c>
      <c r="CZ47" s="64">
        <v>2.2469159203272831E-7</v>
      </c>
      <c r="DA47" s="64">
        <v>2.2469159203272831E-7</v>
      </c>
      <c r="DB47" s="64">
        <v>0</v>
      </c>
      <c r="DC47" s="64">
        <v>3.370373880490925E-7</v>
      </c>
      <c r="DD47" s="64">
        <v>3.370373880490925E-7</v>
      </c>
      <c r="DE47" s="64">
        <v>3.370373880490925E-7</v>
      </c>
      <c r="DF47" s="64">
        <v>3.370373880490925E-7</v>
      </c>
      <c r="DG47" s="64">
        <v>3.370373880490925E-7</v>
      </c>
      <c r="DH47" s="64">
        <v>3.370373880490925E-7</v>
      </c>
      <c r="DI47" s="64">
        <v>3.370373880490925E-7</v>
      </c>
      <c r="DJ47" s="64">
        <v>4.4938318406545662E-7</v>
      </c>
      <c r="DK47" s="64">
        <v>4.4938318406545662E-7</v>
      </c>
      <c r="DL47" s="64">
        <v>3.370373880490925E-7</v>
      </c>
      <c r="DM47" s="64">
        <v>3.370373880490925E-7</v>
      </c>
      <c r="DN47" s="64">
        <v>1.123457960163642E-6</v>
      </c>
      <c r="DO47" s="64">
        <v>3.370373880490925E-7</v>
      </c>
      <c r="DP47" s="64">
        <v>3.370373880490925E-7</v>
      </c>
      <c r="DQ47" s="64">
        <v>3.370373880490925E-7</v>
      </c>
      <c r="DR47" s="64">
        <v>7.8642057211454912E-7</v>
      </c>
      <c r="DS47" s="64">
        <v>4.4938318406545662E-7</v>
      </c>
      <c r="DT47" s="64">
        <v>2.2469159203272831E-7</v>
      </c>
      <c r="DU47" s="64">
        <v>4.4938318406545662E-7</v>
      </c>
      <c r="DV47" s="64">
        <v>3.370373880490925E-7</v>
      </c>
      <c r="DW47" s="64">
        <v>2.2469159203272831E-7</v>
      </c>
      <c r="DX47" s="64">
        <v>2.2469159203272831E-7</v>
      </c>
      <c r="DY47" s="64">
        <v>5.6172898008182078E-7</v>
      </c>
      <c r="DZ47" s="64">
        <v>1.1234579601636419E-7</v>
      </c>
      <c r="EA47" s="64">
        <v>0</v>
      </c>
      <c r="EB47" s="64">
        <v>0</v>
      </c>
      <c r="EC47" s="64">
        <v>3.370373880490925E-7</v>
      </c>
      <c r="ED47" s="64">
        <v>3.370373880490925E-7</v>
      </c>
      <c r="EE47" s="64">
        <v>2.032286601656722E-8</v>
      </c>
      <c r="EF47" s="64">
        <v>2.032286601656722E-8</v>
      </c>
      <c r="EG47" s="64">
        <v>2.032286601656722E-8</v>
      </c>
      <c r="EH47" s="64">
        <v>2.032286601656722E-8</v>
      </c>
      <c r="EI47" s="64">
        <v>0</v>
      </c>
      <c r="EJ47" s="64">
        <v>6.7742886721890735E-8</v>
      </c>
      <c r="EK47" s="64">
        <v>6.7742886721890735E-8</v>
      </c>
      <c r="EL47" s="64">
        <v>6.7742886721890735E-8</v>
      </c>
      <c r="EM47" s="64">
        <v>6.7742886721890735E-8</v>
      </c>
      <c r="EN47" s="64">
        <v>6.7742886721890735E-8</v>
      </c>
      <c r="EO47" s="64">
        <v>6.7742886721890735E-8</v>
      </c>
      <c r="EP47" s="64">
        <v>6.7742886721890735E-8</v>
      </c>
      <c r="EQ47" s="64">
        <v>2.032286601656722E-8</v>
      </c>
      <c r="ER47" s="64">
        <v>2.032286601656722E-8</v>
      </c>
      <c r="ES47" s="64">
        <v>2.032286601656722E-8</v>
      </c>
      <c r="ET47" s="64">
        <v>2.032286601656722E-8</v>
      </c>
      <c r="EU47" s="64">
        <v>4.7420020705323498E-8</v>
      </c>
      <c r="EV47" s="64">
        <v>1.3548577344378139E-8</v>
      </c>
      <c r="EW47" s="64">
        <v>1.3548577344378139E-8</v>
      </c>
      <c r="EX47" s="64">
        <v>1.3548577344378139E-8</v>
      </c>
      <c r="EY47" s="64">
        <v>2.7097154688756289E-8</v>
      </c>
      <c r="EZ47" s="64">
        <v>2.7097154688756289E-8</v>
      </c>
      <c r="FA47" s="64">
        <v>6.7742886721890721E-9</v>
      </c>
      <c r="FB47" s="64">
        <v>1.3548577344378139E-8</v>
      </c>
      <c r="FC47" s="64">
        <v>1.3548577344378139E-8</v>
      </c>
      <c r="FD47" s="64">
        <v>6.7742886721890721E-9</v>
      </c>
      <c r="FE47" s="64">
        <v>2.032286601656722E-8</v>
      </c>
      <c r="FF47" s="64">
        <v>2.7097154688756289E-8</v>
      </c>
      <c r="FG47" s="64">
        <v>1.3548577344378139E-8</v>
      </c>
      <c r="FH47" s="64">
        <v>6.7742886721890721E-9</v>
      </c>
      <c r="FI47" s="64">
        <v>0</v>
      </c>
      <c r="FJ47" s="64">
        <v>1.3548577344378139E-8</v>
      </c>
      <c r="FK47" s="64">
        <v>1.3548577344378139E-8</v>
      </c>
      <c r="FL47" s="64">
        <v>4.9432150247200227E-6</v>
      </c>
      <c r="FM47" s="64">
        <v>4.9432150247200227E-6</v>
      </c>
      <c r="FN47" s="64">
        <v>4.9432150247200227E-6</v>
      </c>
      <c r="FO47" s="64">
        <v>4.9432150247200227E-6</v>
      </c>
      <c r="FP47" s="64">
        <v>0</v>
      </c>
      <c r="FQ47" s="64">
        <v>1.011112164147278E-5</v>
      </c>
      <c r="FR47" s="64">
        <v>1.011112164147278E-5</v>
      </c>
      <c r="FS47" s="64">
        <v>1.011112164147278E-5</v>
      </c>
      <c r="FT47" s="64">
        <v>1.011112164147278E-5</v>
      </c>
      <c r="FU47" s="64">
        <v>1.011112164147278E-5</v>
      </c>
      <c r="FV47" s="64">
        <v>1.011112164147278E-5</v>
      </c>
      <c r="FW47" s="64">
        <v>1.011112164147278E-5</v>
      </c>
      <c r="FX47" s="64">
        <v>5.1679066167527509E-6</v>
      </c>
      <c r="FY47" s="64">
        <v>5.1679066167527509E-6</v>
      </c>
      <c r="FZ47" s="64">
        <v>1.2358037561800061E-6</v>
      </c>
      <c r="GA47" s="64">
        <v>1.2358037561800061E-6</v>
      </c>
      <c r="GB47" s="64">
        <v>5.7296355968345724E-6</v>
      </c>
      <c r="GC47" s="64">
        <v>6.74074776098185E-7</v>
      </c>
      <c r="GD47" s="64">
        <v>6.74074776098185E-7</v>
      </c>
      <c r="GE47" s="64">
        <v>7.8642057211454912E-7</v>
      </c>
      <c r="GF47" s="64">
        <v>2.69629910439274E-6</v>
      </c>
      <c r="GG47" s="64">
        <v>1.9098785322781912E-6</v>
      </c>
      <c r="GH47" s="64">
        <v>3.370373880490925E-7</v>
      </c>
      <c r="GI47" s="64">
        <v>4.4938318406545662E-7</v>
      </c>
      <c r="GJ47" s="64">
        <v>2.2469159203272831E-7</v>
      </c>
      <c r="GK47" s="64">
        <v>4.4938318406545662E-7</v>
      </c>
      <c r="GL47" s="64">
        <v>3.8197570645563824E-6</v>
      </c>
      <c r="GM47" s="64">
        <v>1.6851869402454619E-6</v>
      </c>
      <c r="GN47" s="64">
        <v>3.370373880490925E-7</v>
      </c>
      <c r="GO47" s="64">
        <v>1.1234579601636419E-7</v>
      </c>
      <c r="GP47" s="64">
        <v>1.1234579601636419E-7</v>
      </c>
      <c r="GQ47" s="64">
        <v>4.4938318406545662E-7</v>
      </c>
      <c r="GR47" s="64">
        <v>4.4938318406545662E-7</v>
      </c>
      <c r="GS47" s="64">
        <v>1.1234579601636419E-7</v>
      </c>
      <c r="GT47" s="64">
        <v>1.1234579601636419E-7</v>
      </c>
      <c r="GU47" s="64">
        <v>1.1234579601636419E-7</v>
      </c>
      <c r="GV47" s="64">
        <v>1.1234579601636419E-7</v>
      </c>
      <c r="GW47" s="64">
        <v>0</v>
      </c>
      <c r="GX47" s="64">
        <v>3.370373880490925E-7</v>
      </c>
      <c r="GY47" s="64">
        <v>3.370373880490925E-7</v>
      </c>
      <c r="GZ47" s="64">
        <v>3.370373880490925E-7</v>
      </c>
      <c r="HA47" s="64">
        <v>3.370373880490925E-7</v>
      </c>
      <c r="HB47" s="64">
        <v>3.370373880490925E-7</v>
      </c>
      <c r="HC47" s="64">
        <v>3.370373880490925E-7</v>
      </c>
      <c r="HD47" s="64">
        <v>3.370373880490925E-7</v>
      </c>
      <c r="HE47" s="64">
        <v>4.4938318406545662E-7</v>
      </c>
      <c r="HF47" s="64">
        <v>4.4938318406545662E-7</v>
      </c>
      <c r="HG47" s="64">
        <v>2.2469159203272831E-7</v>
      </c>
      <c r="HH47" s="64">
        <v>2.2469159203272831E-7</v>
      </c>
      <c r="HI47" s="64">
        <v>6.74074776098185E-7</v>
      </c>
      <c r="HJ47" s="64">
        <v>2.2469159203272831E-7</v>
      </c>
      <c r="HK47" s="64">
        <v>2.2469159203272831E-7</v>
      </c>
      <c r="HL47" s="64">
        <v>2.2469159203272831E-7</v>
      </c>
      <c r="HM47" s="64">
        <v>5.6172898008182078E-7</v>
      </c>
      <c r="HN47" s="64">
        <v>5.6172898008182078E-7</v>
      </c>
      <c r="HO47" s="64">
        <v>2.2469159203272831E-7</v>
      </c>
      <c r="HP47" s="64">
        <v>3.370373880490925E-7</v>
      </c>
      <c r="HQ47" s="64">
        <v>3.370373880490925E-7</v>
      </c>
      <c r="HR47" s="64">
        <v>2.2469159203272831E-7</v>
      </c>
      <c r="HS47" s="64">
        <v>3.370373880490925E-7</v>
      </c>
      <c r="HT47" s="64">
        <v>8.9876636813091323E-7</v>
      </c>
      <c r="HU47" s="64">
        <v>3.370373880490925E-7</v>
      </c>
      <c r="HV47" s="64">
        <v>1.1234579601636419E-7</v>
      </c>
      <c r="HW47" s="64">
        <v>0</v>
      </c>
      <c r="HX47" s="64">
        <v>2.2469159203272831E-7</v>
      </c>
      <c r="HY47" s="64">
        <v>2.2469159203272831E-7</v>
      </c>
      <c r="HZ47" s="64">
        <v>1.55277534192662E-4</v>
      </c>
      <c r="IA47" s="64">
        <v>1.55277534192662E-4</v>
      </c>
      <c r="IB47" s="64">
        <v>1.55277534192662E-4</v>
      </c>
      <c r="IC47" s="64">
        <v>1.55277534192662E-4</v>
      </c>
      <c r="ID47" s="64">
        <v>0</v>
      </c>
      <c r="IE47" s="64">
        <v>2.7163537635253789E-4</v>
      </c>
      <c r="IF47" s="64">
        <v>2.7163537635253789E-4</v>
      </c>
      <c r="IG47" s="64">
        <v>2.7163537635253789E-4</v>
      </c>
      <c r="IH47" s="64">
        <v>2.7163537635253789E-4</v>
      </c>
      <c r="II47" s="64">
        <v>2.7163537635253789E-4</v>
      </c>
      <c r="IJ47" s="64">
        <v>2.7163537635253789E-4</v>
      </c>
      <c r="IK47" s="64">
        <v>2.7163537635253789E-4</v>
      </c>
      <c r="IL47" s="64">
        <v>1.444442178536391E-5</v>
      </c>
      <c r="IM47" s="64">
        <v>1.444442178536391E-5</v>
      </c>
      <c r="IN47" s="64">
        <v>5.6172751387526313E-5</v>
      </c>
      <c r="IO47" s="64">
        <v>5.6172751387526313E-5</v>
      </c>
      <c r="IP47" s="64">
        <v>5.135794412573834E-5</v>
      </c>
      <c r="IQ47" s="64">
        <v>9.2283805850936088E-6</v>
      </c>
      <c r="IR47" s="64">
        <v>6.4197430157172916E-6</v>
      </c>
      <c r="IS47" s="64">
        <v>8.0246787696466173E-6</v>
      </c>
      <c r="IT47" s="64">
        <v>9.6296145235759387E-6</v>
      </c>
      <c r="IU47" s="64">
        <v>2.206786661652819E-5</v>
      </c>
      <c r="IV47" s="64">
        <v>5.6172751387526309E-6</v>
      </c>
      <c r="IW47" s="64">
        <v>8.8271466466112772E-6</v>
      </c>
      <c r="IX47" s="64">
        <v>8.4259127081289455E-6</v>
      </c>
      <c r="IY47" s="64">
        <v>8.0246787696466173E-6</v>
      </c>
      <c r="IZ47" s="64">
        <v>3.8919692032786088E-5</v>
      </c>
      <c r="JA47" s="64">
        <v>1.8055527231704891E-5</v>
      </c>
      <c r="JB47" s="64">
        <v>6.0185090772349634E-6</v>
      </c>
      <c r="JC47" s="64">
        <v>2.0061696924116539E-6</v>
      </c>
      <c r="JD47" s="64">
        <v>1.2037018154469919E-6</v>
      </c>
      <c r="JE47" s="64">
        <v>2.487650418590451E-5</v>
      </c>
      <c r="JF47" s="64">
        <v>2.487650418590451E-5</v>
      </c>
      <c r="JG47" s="64">
        <v>2.943459855628741E-5</v>
      </c>
      <c r="JH47" s="64">
        <v>2.943459855628741E-5</v>
      </c>
      <c r="JI47" s="64">
        <v>2.943459855628741E-5</v>
      </c>
      <c r="JJ47" s="64">
        <v>2.943459855628741E-5</v>
      </c>
      <c r="JK47" s="64">
        <v>0</v>
      </c>
      <c r="JL47" s="64">
        <v>2.2221998452036829E-4</v>
      </c>
      <c r="JM47" s="64">
        <v>2.2221998452036829E-4</v>
      </c>
      <c r="JN47" s="64">
        <v>2.2221998452036829E-4</v>
      </c>
      <c r="JO47" s="64">
        <v>2.2221998452036829E-4</v>
      </c>
      <c r="JP47" s="64">
        <v>2.2221998452036829E-4</v>
      </c>
      <c r="JQ47" s="64">
        <v>2.2221998452036829E-4</v>
      </c>
      <c r="JR47" s="64">
        <v>2.2221998452036829E-4</v>
      </c>
      <c r="JS47" s="64">
        <v>4.291609407825111E-5</v>
      </c>
      <c r="JT47" s="64">
        <v>4.291609407825111E-5</v>
      </c>
      <c r="JU47" s="64">
        <v>1.438026189009461E-5</v>
      </c>
      <c r="JV47" s="64">
        <v>1.438026189009461E-5</v>
      </c>
      <c r="JW47" s="64">
        <v>1.1504209512075689E-4</v>
      </c>
      <c r="JX47" s="64">
        <v>8.8753178852927676E-6</v>
      </c>
      <c r="JY47" s="64">
        <v>1.6851869402454619E-5</v>
      </c>
      <c r="JZ47" s="64">
        <v>1.3369149725947341E-5</v>
      </c>
      <c r="KA47" s="64">
        <v>2.572718728774739E-5</v>
      </c>
      <c r="KB47" s="64">
        <v>2.7637065820025581E-5</v>
      </c>
      <c r="KC47" s="64">
        <v>9.3247010693582257E-6</v>
      </c>
      <c r="KD47" s="64">
        <v>1.03358132335055E-5</v>
      </c>
      <c r="KE47" s="64">
        <v>1.3256803929930971E-5</v>
      </c>
      <c r="KF47" s="64">
        <v>1.112223380562005E-5</v>
      </c>
      <c r="KG47" s="64">
        <v>2.2896073228135009E-4</v>
      </c>
      <c r="KH47" s="64">
        <v>3.1793860272631057E-5</v>
      </c>
      <c r="KI47" s="64">
        <v>1.6290140422372801E-5</v>
      </c>
      <c r="KJ47" s="64">
        <v>9.6617384574073172E-6</v>
      </c>
      <c r="KK47" s="64">
        <v>7.0777851490309417E-6</v>
      </c>
      <c r="KL47" s="64">
        <v>6.9879085122178511E-5</v>
      </c>
      <c r="KM47" s="64">
        <v>6.9879085122178511E-5</v>
      </c>
      <c r="KN47" s="64">
        <v>4.4938318406545662E-7</v>
      </c>
      <c r="KO47" s="64">
        <v>4.4938318406545662E-7</v>
      </c>
      <c r="KP47" s="64">
        <v>4.4938318406545662E-7</v>
      </c>
      <c r="KQ47" s="64">
        <v>4.4938318406545662E-7</v>
      </c>
      <c r="KR47" s="64">
        <v>0</v>
      </c>
      <c r="KS47" s="64">
        <v>6.74074776098185E-7</v>
      </c>
      <c r="KT47" s="64">
        <v>6.74074776098185E-7</v>
      </c>
      <c r="KU47" s="64">
        <v>6.74074776098185E-7</v>
      </c>
      <c r="KV47" s="64">
        <v>6.74074776098185E-7</v>
      </c>
      <c r="KW47" s="64">
        <v>6.74074776098185E-7</v>
      </c>
      <c r="KX47" s="64">
        <v>6.74074776098185E-7</v>
      </c>
      <c r="KY47" s="64">
        <v>6.74074776098185E-7</v>
      </c>
      <c r="KZ47" s="64">
        <v>5.6172898008182078E-7</v>
      </c>
      <c r="LA47" s="64">
        <v>5.6172898008182078E-7</v>
      </c>
      <c r="LB47" s="64">
        <v>3.370373880490925E-7</v>
      </c>
      <c r="LC47" s="64">
        <v>3.370373880490925E-7</v>
      </c>
      <c r="LD47" s="64">
        <v>1.2358037561800061E-6</v>
      </c>
      <c r="LE47" s="64">
        <v>3.370373880490925E-7</v>
      </c>
      <c r="LF47" s="64">
        <v>4.4938318406545662E-7</v>
      </c>
      <c r="LG47" s="64">
        <v>3.370373880490925E-7</v>
      </c>
      <c r="LH47" s="64">
        <v>1.011112164147277E-6</v>
      </c>
      <c r="LI47" s="64">
        <v>7.8642057211454912E-7</v>
      </c>
      <c r="LJ47" s="64">
        <v>6.74074776098185E-7</v>
      </c>
      <c r="LK47" s="64">
        <v>2.2469159203272831E-7</v>
      </c>
      <c r="LL47" s="64">
        <v>4.4938318406545662E-7</v>
      </c>
      <c r="LM47" s="64">
        <v>3.370373880490925E-7</v>
      </c>
      <c r="LN47" s="64">
        <v>4.4938318406545662E-7</v>
      </c>
      <c r="LO47" s="64">
        <v>2.9209906964254678E-6</v>
      </c>
      <c r="LP47" s="64">
        <v>5.6172898008182078E-7</v>
      </c>
      <c r="LQ47" s="64">
        <v>1.1234579601636419E-7</v>
      </c>
      <c r="LR47" s="64">
        <v>0</v>
      </c>
      <c r="LS47" s="64">
        <v>5.6172898008182078E-7</v>
      </c>
      <c r="LT47" s="64">
        <v>5.6172898008182078E-7</v>
      </c>
      <c r="LU47" s="64">
        <v>9.7636451963867769E-7</v>
      </c>
      <c r="LV47" s="64">
        <v>9.7636451963867769E-7</v>
      </c>
      <c r="LW47" s="64">
        <v>9.7636451963867769E-7</v>
      </c>
      <c r="LX47" s="64">
        <v>9.7636451963867769E-7</v>
      </c>
      <c r="LY47" s="64">
        <v>0</v>
      </c>
      <c r="LZ47" s="64">
        <v>2.733820654988297E-6</v>
      </c>
      <c r="MA47" s="64">
        <v>2.733820654988297E-6</v>
      </c>
      <c r="MB47" s="64">
        <v>2.733820654988297E-6</v>
      </c>
      <c r="MC47" s="64">
        <v>2.733820654988297E-6</v>
      </c>
      <c r="MD47" s="64">
        <v>2.733820654988297E-6</v>
      </c>
      <c r="ME47" s="64">
        <v>2.733820654988297E-6</v>
      </c>
      <c r="MF47" s="64">
        <v>2.733820654988297E-6</v>
      </c>
      <c r="MG47" s="64">
        <v>1.952729039277355E-6</v>
      </c>
      <c r="MH47" s="64">
        <v>1.952729039277355E-6</v>
      </c>
      <c r="MI47" s="64">
        <v>7.8109161571094207E-7</v>
      </c>
      <c r="MJ47" s="64">
        <v>7.8109161571094207E-7</v>
      </c>
      <c r="MK47" s="64">
        <v>3.7101851746269749E-6</v>
      </c>
      <c r="ML47" s="64">
        <v>7.8109161571094207E-7</v>
      </c>
      <c r="MM47" s="64">
        <v>5.8581871178320655E-7</v>
      </c>
      <c r="MN47" s="64">
        <v>5.8581871178320655E-7</v>
      </c>
      <c r="MO47" s="64">
        <v>1.5621832314218839E-6</v>
      </c>
      <c r="MP47" s="64">
        <v>1.5621832314218839E-6</v>
      </c>
      <c r="MQ47" s="64">
        <v>5.8581871178320655E-7</v>
      </c>
      <c r="MR47" s="64">
        <v>7.8109161571094207E-7</v>
      </c>
      <c r="MS47" s="64">
        <v>7.8109161571094207E-7</v>
      </c>
      <c r="MT47" s="64">
        <v>5.8581871178320655E-7</v>
      </c>
      <c r="MU47" s="64">
        <v>1.75745613534962E-6</v>
      </c>
      <c r="MV47" s="64">
        <v>1.952729039277355E-6</v>
      </c>
      <c r="MW47" s="64">
        <v>7.8109161571094207E-7</v>
      </c>
      <c r="MX47" s="64">
        <v>1.9527290392773549E-7</v>
      </c>
      <c r="MY47" s="64">
        <v>1.9527290392773549E-7</v>
      </c>
      <c r="MZ47" s="64">
        <v>7.8109161571094207E-7</v>
      </c>
      <c r="NA47" s="64">
        <v>7.8109161571094207E-7</v>
      </c>
      <c r="NB47" s="64"/>
      <c r="NC47" s="64"/>
      <c r="ND47" s="64"/>
      <c r="NE47" s="64"/>
      <c r="NF47" s="64"/>
      <c r="NG47" s="64"/>
      <c r="NH47" s="64"/>
      <c r="NI47" s="64"/>
      <c r="NJ47" s="64"/>
      <c r="NK47" s="64"/>
      <c r="NL47" s="64"/>
      <c r="NM47" s="64"/>
      <c r="NN47" s="64"/>
      <c r="NO47" s="64"/>
      <c r="NP47" s="64"/>
      <c r="NQ47" s="64"/>
      <c r="NR47" s="64"/>
      <c r="NS47" s="64"/>
      <c r="NT47" s="64"/>
      <c r="NU47" s="64"/>
      <c r="NV47" s="64"/>
      <c r="NW47" s="64"/>
      <c r="NX47" s="64"/>
      <c r="NY47" s="64"/>
      <c r="NZ47" s="64"/>
      <c r="OA47" s="64"/>
      <c r="OB47" s="64"/>
      <c r="OC47" s="64"/>
      <c r="OD47" s="64"/>
      <c r="OE47" s="64"/>
      <c r="OF47" s="64"/>
      <c r="OG47" s="64"/>
      <c r="OH47" s="64"/>
      <c r="OI47" s="64"/>
      <c r="OJ47" s="64"/>
      <c r="OK47" s="64"/>
      <c r="OL47" s="64"/>
      <c r="OM47" s="64"/>
      <c r="ON47" s="64"/>
      <c r="OO47" s="64"/>
      <c r="OP47" s="64"/>
      <c r="OQ47" s="64"/>
      <c r="OR47" s="64"/>
      <c r="OS47" s="64"/>
    </row>
    <row r="48" spans="1:409">
      <c r="A48" s="64" t="s">
        <v>87</v>
      </c>
      <c r="B48" s="64" t="s">
        <v>588</v>
      </c>
      <c r="C48" s="64">
        <v>1.003867280175114E-4</v>
      </c>
      <c r="D48" s="64">
        <v>4.0357151292196318E-4</v>
      </c>
      <c r="E48" s="64">
        <v>4.101595143638157E-5</v>
      </c>
      <c r="F48" s="64">
        <v>6.8745283523859602E-4</v>
      </c>
      <c r="G48" s="64">
        <v>0</v>
      </c>
      <c r="H48" s="64">
        <v>1.158806176561872E-3</v>
      </c>
      <c r="I48" s="64">
        <v>1.146432709120941E-4</v>
      </c>
      <c r="J48" s="64">
        <v>0.96984269215671848</v>
      </c>
      <c r="K48" s="64">
        <v>3.5944000869778912E-2</v>
      </c>
      <c r="L48" s="64">
        <v>6.0347566270499577E-5</v>
      </c>
      <c r="M48" s="64">
        <v>2.2412937718172099E-2</v>
      </c>
      <c r="N48" s="64">
        <v>8.2121255794572606E-4</v>
      </c>
      <c r="O48" s="64">
        <v>2.7208051961115499E-5</v>
      </c>
      <c r="P48" s="64">
        <v>1.057855030890859E-4</v>
      </c>
      <c r="Q48" s="64">
        <v>3.8367358134959108E-5</v>
      </c>
      <c r="R48" s="64">
        <v>5.9449047959233698E-5</v>
      </c>
      <c r="S48" s="64">
        <v>6.6777106415173465E-4</v>
      </c>
      <c r="T48" s="64">
        <v>1.8079422117075839E-5</v>
      </c>
      <c r="U48" s="64">
        <v>1.094797488332968E-4</v>
      </c>
      <c r="V48" s="64">
        <v>8.5789566203383334E-5</v>
      </c>
      <c r="W48" s="64">
        <v>3.6918112135871659E-4</v>
      </c>
      <c r="X48" s="64">
        <v>1.4529323289620911E-4</v>
      </c>
      <c r="Y48" s="64">
        <v>6.7715422137549198E-5</v>
      </c>
      <c r="Z48" s="64">
        <v>4.7865939602029913E-5</v>
      </c>
      <c r="AA48" s="64">
        <v>1.924294147668812E-4</v>
      </c>
      <c r="AB48" s="64">
        <v>3.5284801621980979E-4</v>
      </c>
      <c r="AC48" s="64">
        <v>4.8651207024379469E-3</v>
      </c>
      <c r="AD48" s="64">
        <v>3.2986431044312452E-4</v>
      </c>
      <c r="AE48" s="64">
        <v>1.1680402755704799E-4</v>
      </c>
      <c r="AF48" s="64">
        <v>4.1899950374608017E-5</v>
      </c>
      <c r="AG48" s="64">
        <v>1.9279250286527068E-5</v>
      </c>
      <c r="AH48" s="64">
        <v>2.1443513083532718E-3</v>
      </c>
      <c r="AI48" s="64">
        <v>1.44573263740782E-3</v>
      </c>
      <c r="AJ48" s="64">
        <v>1.2469673531888851E-6</v>
      </c>
      <c r="AK48" s="64">
        <v>1.2469673531888851E-6</v>
      </c>
      <c r="AL48" s="64">
        <v>1.2469673531888851E-6</v>
      </c>
      <c r="AM48" s="64">
        <v>1.2469673531888851E-6</v>
      </c>
      <c r="AN48" s="64">
        <v>0</v>
      </c>
      <c r="AO48" s="64">
        <v>8.9069096656348925E-7</v>
      </c>
      <c r="AP48" s="64">
        <v>8.9069096656348925E-7</v>
      </c>
      <c r="AQ48" s="64">
        <v>8.9069096656348925E-7</v>
      </c>
      <c r="AR48" s="64">
        <v>8.9069096656348925E-7</v>
      </c>
      <c r="AS48" s="64">
        <v>8.9069096656348925E-7</v>
      </c>
      <c r="AT48" s="64">
        <v>8.9069096656348925E-7</v>
      </c>
      <c r="AU48" s="64">
        <v>8.9069096656348925E-7</v>
      </c>
      <c r="AV48" s="64">
        <v>8.9069096656348925E-7</v>
      </c>
      <c r="AW48" s="64">
        <v>8.9069096656348925E-7</v>
      </c>
      <c r="AX48" s="64">
        <v>7.5708732157896585E-7</v>
      </c>
      <c r="AY48" s="64">
        <v>7.5708732157896585E-7</v>
      </c>
      <c r="AZ48" s="64">
        <v>4.0081093495357006E-6</v>
      </c>
      <c r="BA48" s="64">
        <v>6.2348367659444244E-7</v>
      </c>
      <c r="BB48" s="64">
        <v>4.0081093495357021E-7</v>
      </c>
      <c r="BC48" s="64">
        <v>4.4534548328174463E-7</v>
      </c>
      <c r="BD48" s="64">
        <v>8.9069096656348925E-7</v>
      </c>
      <c r="BE48" s="64">
        <v>8.9069096656348925E-7</v>
      </c>
      <c r="BF48" s="64">
        <v>1.336036449845234E-7</v>
      </c>
      <c r="BG48" s="64">
        <v>4.0081093495357021E-7</v>
      </c>
      <c r="BH48" s="64">
        <v>1.336036449845234E-7</v>
      </c>
      <c r="BI48" s="64">
        <v>2.6720728996904681E-7</v>
      </c>
      <c r="BJ48" s="64">
        <v>4.0081093495357021E-7</v>
      </c>
      <c r="BK48" s="64">
        <v>3.1174183829722122E-7</v>
      </c>
      <c r="BL48" s="64">
        <v>8.9069096656348922E-8</v>
      </c>
      <c r="BM48" s="64">
        <v>0</v>
      </c>
      <c r="BN48" s="64">
        <v>0</v>
      </c>
      <c r="BO48" s="64">
        <v>1.336036449845234E-7</v>
      </c>
      <c r="BP48" s="64">
        <v>1.336036449845234E-7</v>
      </c>
      <c r="BQ48" s="64">
        <v>3.8673484347174498E-13</v>
      </c>
      <c r="BR48" s="64">
        <v>3.8673484347174498E-13</v>
      </c>
      <c r="BS48" s="64">
        <v>3.8673484347174498E-13</v>
      </c>
      <c r="BT48" s="64">
        <v>3.8673484347174498E-13</v>
      </c>
      <c r="BU48" s="64">
        <v>0</v>
      </c>
      <c r="BV48" s="64">
        <v>6.767859760755539E-13</v>
      </c>
      <c r="BW48" s="64">
        <v>6.767859760755539E-13</v>
      </c>
      <c r="BX48" s="64">
        <v>6.767859760755539E-13</v>
      </c>
      <c r="BY48" s="64">
        <v>6.767859760755539E-13</v>
      </c>
      <c r="BZ48" s="64">
        <v>6.767859760755539E-13</v>
      </c>
      <c r="CA48" s="64">
        <v>6.767859760755539E-13</v>
      </c>
      <c r="CB48" s="64">
        <v>6.767859760755539E-13</v>
      </c>
      <c r="CC48" s="64">
        <v>8.7015339781142644E-13</v>
      </c>
      <c r="CD48" s="64">
        <v>8.7015339781142644E-13</v>
      </c>
      <c r="CE48" s="64">
        <v>3.8673484347174498E-13</v>
      </c>
      <c r="CF48" s="64">
        <v>3.8673484347174498E-13</v>
      </c>
      <c r="CG48" s="64">
        <v>1.5469393738869799E-12</v>
      </c>
      <c r="CH48" s="64">
        <v>2.9005113260380881E-13</v>
      </c>
      <c r="CI48" s="64">
        <v>3.8673484347174498E-13</v>
      </c>
      <c r="CJ48" s="64">
        <v>2.9005113260380881E-13</v>
      </c>
      <c r="CK48" s="64">
        <v>7.7346968694349007E-13</v>
      </c>
      <c r="CL48" s="64">
        <v>6.767859760755539E-13</v>
      </c>
      <c r="CM48" s="64">
        <v>2.9005113260380881E-13</v>
      </c>
      <c r="CN48" s="64">
        <v>2.9005113260380881E-13</v>
      </c>
      <c r="CO48" s="64">
        <v>1.9336742173587249E-13</v>
      </c>
      <c r="CP48" s="64">
        <v>2.9005113260380881E-13</v>
      </c>
      <c r="CQ48" s="64">
        <v>3.8673484347174498E-13</v>
      </c>
      <c r="CR48" s="64">
        <v>1.0635208195472991E-12</v>
      </c>
      <c r="CS48" s="64">
        <v>2.9005113260380881E-13</v>
      </c>
      <c r="CT48" s="64">
        <v>9.6683710867936258E-14</v>
      </c>
      <c r="CU48" s="64">
        <v>0</v>
      </c>
      <c r="CV48" s="64">
        <v>2.9005113260380881E-13</v>
      </c>
      <c r="CW48" s="64">
        <v>2.9005113260380881E-13</v>
      </c>
      <c r="CX48" s="64">
        <v>1.4841491731033499E-7</v>
      </c>
      <c r="CY48" s="64">
        <v>1.4841491731033499E-7</v>
      </c>
      <c r="CZ48" s="64">
        <v>1.4841491731033499E-7</v>
      </c>
      <c r="DA48" s="64">
        <v>1.4841491731033499E-7</v>
      </c>
      <c r="DB48" s="64">
        <v>0</v>
      </c>
      <c r="DC48" s="64">
        <v>2.226223759655025E-7</v>
      </c>
      <c r="DD48" s="64">
        <v>2.226223759655025E-7</v>
      </c>
      <c r="DE48" s="64">
        <v>2.226223759655025E-7</v>
      </c>
      <c r="DF48" s="64">
        <v>2.226223759655025E-7</v>
      </c>
      <c r="DG48" s="64">
        <v>2.226223759655025E-7</v>
      </c>
      <c r="DH48" s="64">
        <v>2.226223759655025E-7</v>
      </c>
      <c r="DI48" s="64">
        <v>2.226223759655025E-7</v>
      </c>
      <c r="DJ48" s="64">
        <v>2.9682983462066998E-7</v>
      </c>
      <c r="DK48" s="64">
        <v>2.9682983462066998E-7</v>
      </c>
      <c r="DL48" s="64">
        <v>2.226223759655025E-7</v>
      </c>
      <c r="DM48" s="64">
        <v>2.226223759655025E-7</v>
      </c>
      <c r="DN48" s="64">
        <v>7.4207458655167498E-7</v>
      </c>
      <c r="DO48" s="64">
        <v>2.226223759655025E-7</v>
      </c>
      <c r="DP48" s="64">
        <v>2.226223759655025E-7</v>
      </c>
      <c r="DQ48" s="64">
        <v>2.226223759655025E-7</v>
      </c>
      <c r="DR48" s="64">
        <v>5.1945221058617245E-7</v>
      </c>
      <c r="DS48" s="64">
        <v>2.9682983462066998E-7</v>
      </c>
      <c r="DT48" s="64">
        <v>1.4841491731033499E-7</v>
      </c>
      <c r="DU48" s="64">
        <v>2.9682983462066998E-7</v>
      </c>
      <c r="DV48" s="64">
        <v>2.226223759655025E-7</v>
      </c>
      <c r="DW48" s="64">
        <v>1.4841491731033499E-7</v>
      </c>
      <c r="DX48" s="64">
        <v>1.4841491731033499E-7</v>
      </c>
      <c r="DY48" s="64">
        <v>3.7103729327583749E-7</v>
      </c>
      <c r="DZ48" s="64">
        <v>7.4207458655167495E-8</v>
      </c>
      <c r="EA48" s="64">
        <v>0</v>
      </c>
      <c r="EB48" s="64">
        <v>0</v>
      </c>
      <c r="EC48" s="64">
        <v>2.226223759655025E-7</v>
      </c>
      <c r="ED48" s="64">
        <v>2.226223759655025E-7</v>
      </c>
      <c r="EE48" s="64">
        <v>7.9235028942889089E-13</v>
      </c>
      <c r="EF48" s="64">
        <v>7.9235028942889089E-13</v>
      </c>
      <c r="EG48" s="64">
        <v>7.9235028942889089E-13</v>
      </c>
      <c r="EH48" s="64">
        <v>7.9235028942889089E-13</v>
      </c>
      <c r="EI48" s="64">
        <v>0</v>
      </c>
      <c r="EJ48" s="64">
        <v>2.6411676314296369E-12</v>
      </c>
      <c r="EK48" s="64">
        <v>2.6411676314296369E-12</v>
      </c>
      <c r="EL48" s="64">
        <v>2.6411676314296369E-12</v>
      </c>
      <c r="EM48" s="64">
        <v>2.6411676314296369E-12</v>
      </c>
      <c r="EN48" s="64">
        <v>2.6411676314296369E-12</v>
      </c>
      <c r="EO48" s="64">
        <v>2.6411676314296369E-12</v>
      </c>
      <c r="EP48" s="64">
        <v>2.6411676314296369E-12</v>
      </c>
      <c r="EQ48" s="64">
        <v>7.9235028942889089E-13</v>
      </c>
      <c r="ER48" s="64">
        <v>7.9235028942889089E-13</v>
      </c>
      <c r="ES48" s="64">
        <v>7.9235028942889089E-13</v>
      </c>
      <c r="ET48" s="64">
        <v>7.9235028942889089E-13</v>
      </c>
      <c r="EU48" s="64">
        <v>1.8488173420007449E-12</v>
      </c>
      <c r="EV48" s="64">
        <v>5.2823352628592726E-13</v>
      </c>
      <c r="EW48" s="64">
        <v>5.2823352628592726E-13</v>
      </c>
      <c r="EX48" s="64">
        <v>5.2823352628592726E-13</v>
      </c>
      <c r="EY48" s="64">
        <v>1.0564670525718549E-12</v>
      </c>
      <c r="EZ48" s="64">
        <v>1.0564670525718549E-12</v>
      </c>
      <c r="FA48" s="64">
        <v>2.6411676314296358E-13</v>
      </c>
      <c r="FB48" s="64">
        <v>5.2823352628592726E-13</v>
      </c>
      <c r="FC48" s="64">
        <v>5.2823352628592726E-13</v>
      </c>
      <c r="FD48" s="64">
        <v>2.6411676314296358E-13</v>
      </c>
      <c r="FE48" s="64">
        <v>7.9235028942889089E-13</v>
      </c>
      <c r="FF48" s="64">
        <v>1.0564670525718549E-12</v>
      </c>
      <c r="FG48" s="64">
        <v>5.2823352628592726E-13</v>
      </c>
      <c r="FH48" s="64">
        <v>2.6411676314296358E-13</v>
      </c>
      <c r="FI48" s="64">
        <v>0</v>
      </c>
      <c r="FJ48" s="64">
        <v>5.2823352628592726E-13</v>
      </c>
      <c r="FK48" s="64">
        <v>5.2823352628592726E-13</v>
      </c>
      <c r="FL48" s="64">
        <v>3.26512818082737E-6</v>
      </c>
      <c r="FM48" s="64">
        <v>3.26512818082737E-6</v>
      </c>
      <c r="FN48" s="64">
        <v>3.26512818082737E-6</v>
      </c>
      <c r="FO48" s="64">
        <v>3.26512818082737E-6</v>
      </c>
      <c r="FP48" s="64">
        <v>0</v>
      </c>
      <c r="FQ48" s="64">
        <v>6.6786712789650749E-6</v>
      </c>
      <c r="FR48" s="64">
        <v>6.6786712789650749E-6</v>
      </c>
      <c r="FS48" s="64">
        <v>6.6786712789650749E-6</v>
      </c>
      <c r="FT48" s="64">
        <v>6.6786712789650749E-6</v>
      </c>
      <c r="FU48" s="64">
        <v>6.6786712789650749E-6</v>
      </c>
      <c r="FV48" s="64">
        <v>6.6786712789650749E-6</v>
      </c>
      <c r="FW48" s="64">
        <v>6.6786712789650749E-6</v>
      </c>
      <c r="FX48" s="64">
        <v>3.413543098137705E-6</v>
      </c>
      <c r="FY48" s="64">
        <v>3.413543098137705E-6</v>
      </c>
      <c r="FZ48" s="64">
        <v>8.1628204520684238E-7</v>
      </c>
      <c r="GA48" s="64">
        <v>8.1628204520684238E-7</v>
      </c>
      <c r="GB48" s="64">
        <v>3.7845803914135421E-6</v>
      </c>
      <c r="GC48" s="64">
        <v>4.45244751931005E-7</v>
      </c>
      <c r="GD48" s="64">
        <v>4.45244751931005E-7</v>
      </c>
      <c r="GE48" s="64">
        <v>5.1945221058617245E-7</v>
      </c>
      <c r="GF48" s="64">
        <v>1.78097900772402E-6</v>
      </c>
      <c r="GG48" s="64">
        <v>1.261526797137847E-6</v>
      </c>
      <c r="GH48" s="64">
        <v>2.226223759655025E-7</v>
      </c>
      <c r="GI48" s="64">
        <v>2.9682983462066998E-7</v>
      </c>
      <c r="GJ48" s="64">
        <v>1.4841491731033499E-7</v>
      </c>
      <c r="GK48" s="64">
        <v>2.9682983462066998E-7</v>
      </c>
      <c r="GL48" s="64">
        <v>2.5230535942756949E-6</v>
      </c>
      <c r="GM48" s="64">
        <v>1.113111879827512E-6</v>
      </c>
      <c r="GN48" s="64">
        <v>2.226223759655025E-7</v>
      </c>
      <c r="GO48" s="64">
        <v>7.4207458655167495E-8</v>
      </c>
      <c r="GP48" s="64">
        <v>7.4207458655167495E-8</v>
      </c>
      <c r="GQ48" s="64">
        <v>2.9682983462066998E-7</v>
      </c>
      <c r="GR48" s="64">
        <v>2.9682983462066998E-7</v>
      </c>
      <c r="GS48" s="64">
        <v>7.4207458655167495E-8</v>
      </c>
      <c r="GT48" s="64">
        <v>7.4207458655167495E-8</v>
      </c>
      <c r="GU48" s="64">
        <v>7.4207458655167495E-8</v>
      </c>
      <c r="GV48" s="64">
        <v>7.4207458655167495E-8</v>
      </c>
      <c r="GW48" s="64">
        <v>0</v>
      </c>
      <c r="GX48" s="64">
        <v>2.226223759655025E-7</v>
      </c>
      <c r="GY48" s="64">
        <v>2.226223759655025E-7</v>
      </c>
      <c r="GZ48" s="64">
        <v>2.226223759655025E-7</v>
      </c>
      <c r="HA48" s="64">
        <v>2.226223759655025E-7</v>
      </c>
      <c r="HB48" s="64">
        <v>2.226223759655025E-7</v>
      </c>
      <c r="HC48" s="64">
        <v>2.226223759655025E-7</v>
      </c>
      <c r="HD48" s="64">
        <v>2.226223759655025E-7</v>
      </c>
      <c r="HE48" s="64">
        <v>2.9682983462066998E-7</v>
      </c>
      <c r="HF48" s="64">
        <v>2.9682983462066998E-7</v>
      </c>
      <c r="HG48" s="64">
        <v>1.4841491731033499E-7</v>
      </c>
      <c r="HH48" s="64">
        <v>1.4841491731033499E-7</v>
      </c>
      <c r="HI48" s="64">
        <v>4.45244751931005E-7</v>
      </c>
      <c r="HJ48" s="64">
        <v>1.4841491731033499E-7</v>
      </c>
      <c r="HK48" s="64">
        <v>1.4841491731033499E-7</v>
      </c>
      <c r="HL48" s="64">
        <v>1.4841491731033499E-7</v>
      </c>
      <c r="HM48" s="64">
        <v>3.7103729327583749E-7</v>
      </c>
      <c r="HN48" s="64">
        <v>3.7103729327583749E-7</v>
      </c>
      <c r="HO48" s="64">
        <v>1.4841491731033499E-7</v>
      </c>
      <c r="HP48" s="64">
        <v>2.226223759655025E-7</v>
      </c>
      <c r="HQ48" s="64">
        <v>2.226223759655025E-7</v>
      </c>
      <c r="HR48" s="64">
        <v>1.4841491731033499E-7</v>
      </c>
      <c r="HS48" s="64">
        <v>2.226223759655025E-7</v>
      </c>
      <c r="HT48" s="64">
        <v>5.9365966924133996E-7</v>
      </c>
      <c r="HU48" s="64">
        <v>2.226223759655025E-7</v>
      </c>
      <c r="HV48" s="64">
        <v>7.4207458655167495E-8</v>
      </c>
      <c r="HW48" s="64">
        <v>0</v>
      </c>
      <c r="HX48" s="64">
        <v>1.4841491731033499E-7</v>
      </c>
      <c r="HY48" s="64">
        <v>1.4841491731033499E-7</v>
      </c>
      <c r="HZ48" s="64">
        <v>1.0249687441919719E-10</v>
      </c>
      <c r="IA48" s="64">
        <v>1.0249687441919719E-10</v>
      </c>
      <c r="IB48" s="64">
        <v>1.0249687441919719E-10</v>
      </c>
      <c r="IC48" s="64">
        <v>1.0249687441919719E-10</v>
      </c>
      <c r="ID48" s="64">
        <v>0</v>
      </c>
      <c r="IE48" s="64">
        <v>1.7930331778241989E-10</v>
      </c>
      <c r="IF48" s="64">
        <v>1.7930331778241989E-10</v>
      </c>
      <c r="IG48" s="64">
        <v>1.7930331778241989E-10</v>
      </c>
      <c r="IH48" s="64">
        <v>1.7930331778241989E-10</v>
      </c>
      <c r="II48" s="64">
        <v>1.7930331778241989E-10</v>
      </c>
      <c r="IJ48" s="64">
        <v>1.7930331778241989E-10</v>
      </c>
      <c r="IK48" s="64">
        <v>1.7930331778241989E-10</v>
      </c>
      <c r="IL48" s="64">
        <v>9.5345929692276471E-12</v>
      </c>
      <c r="IM48" s="64">
        <v>9.5345929692276471E-12</v>
      </c>
      <c r="IN48" s="64">
        <v>3.707897265810751E-11</v>
      </c>
      <c r="IO48" s="64">
        <v>3.707897265810751E-11</v>
      </c>
      <c r="IP48" s="64">
        <v>3.3900775001698288E-11</v>
      </c>
      <c r="IQ48" s="64">
        <v>6.0915455081176626E-12</v>
      </c>
      <c r="IR48" s="64">
        <v>4.2375968752122868E-12</v>
      </c>
      <c r="IS48" s="64">
        <v>5.2969960940153587E-12</v>
      </c>
      <c r="IT48" s="64">
        <v>6.3563953128184314E-12</v>
      </c>
      <c r="IU48" s="64">
        <v>1.456673925854224E-11</v>
      </c>
      <c r="IV48" s="64">
        <v>3.7078972658107516E-12</v>
      </c>
      <c r="IW48" s="64">
        <v>5.8266957034168946E-12</v>
      </c>
      <c r="IX48" s="64">
        <v>5.5618458987161267E-12</v>
      </c>
      <c r="IY48" s="64">
        <v>5.2969960940153587E-12</v>
      </c>
      <c r="IZ48" s="64">
        <v>2.5690431055974489E-11</v>
      </c>
      <c r="JA48" s="64">
        <v>1.191824121153456E-11</v>
      </c>
      <c r="JB48" s="64">
        <v>3.9727470705115196E-12</v>
      </c>
      <c r="JC48" s="64">
        <v>1.3242490235038401E-12</v>
      </c>
      <c r="JD48" s="64">
        <v>7.9454941410230392E-13</v>
      </c>
      <c r="JE48" s="64">
        <v>1.6420687891447611E-11</v>
      </c>
      <c r="JF48" s="64">
        <v>1.6420687891447611E-11</v>
      </c>
      <c r="JG48" s="64">
        <v>1.9442354167653881E-5</v>
      </c>
      <c r="JH48" s="64">
        <v>1.9442354167653881E-5</v>
      </c>
      <c r="JI48" s="64">
        <v>1.9442354167653881E-5</v>
      </c>
      <c r="JJ48" s="64">
        <v>1.9442354167653881E-5</v>
      </c>
      <c r="JK48" s="64">
        <v>0</v>
      </c>
      <c r="JL48" s="64">
        <v>1.4678235321992131E-4</v>
      </c>
      <c r="JM48" s="64">
        <v>1.4678235321992131E-4</v>
      </c>
      <c r="JN48" s="64">
        <v>1.4678235321992131E-4</v>
      </c>
      <c r="JO48" s="64">
        <v>1.4678235321992131E-4</v>
      </c>
      <c r="JP48" s="64">
        <v>1.4678235321992131E-4</v>
      </c>
      <c r="JQ48" s="64">
        <v>1.4678235321992131E-4</v>
      </c>
      <c r="JR48" s="64">
        <v>1.4678235321992131E-4</v>
      </c>
      <c r="JS48" s="64">
        <v>2.8347249206273979E-5</v>
      </c>
      <c r="JT48" s="64">
        <v>2.8347249206273979E-5</v>
      </c>
      <c r="JU48" s="64">
        <v>9.4985547078614394E-6</v>
      </c>
      <c r="JV48" s="64">
        <v>9.4985547078614394E-6</v>
      </c>
      <c r="JW48" s="64">
        <v>7.5988437662891515E-5</v>
      </c>
      <c r="JX48" s="64">
        <v>5.8623892337582319E-6</v>
      </c>
      <c r="JY48" s="64">
        <v>1.113111879827512E-5</v>
      </c>
      <c r="JZ48" s="64">
        <v>8.8306875799649323E-6</v>
      </c>
      <c r="KA48" s="64">
        <v>1.6993508032033361E-5</v>
      </c>
      <c r="KB48" s="64">
        <v>1.8255034829171201E-5</v>
      </c>
      <c r="KC48" s="64">
        <v>6.1592190683789019E-6</v>
      </c>
      <c r="KD48" s="64">
        <v>6.8270861962754091E-6</v>
      </c>
      <c r="KE48" s="64">
        <v>8.7564801213097635E-6</v>
      </c>
      <c r="KF48" s="64">
        <v>7.3465384068615812E-6</v>
      </c>
      <c r="KG48" s="64">
        <v>1.5123480073923131E-4</v>
      </c>
      <c r="KH48" s="64">
        <v>2.10007107994124E-5</v>
      </c>
      <c r="KI48" s="64">
        <v>1.076008150499929E-5</v>
      </c>
      <c r="KJ48" s="64">
        <v>6.3818414443444049E-6</v>
      </c>
      <c r="KK48" s="64">
        <v>4.6750698952755518E-6</v>
      </c>
      <c r="KL48" s="64">
        <v>4.6157039283514178E-5</v>
      </c>
      <c r="KM48" s="64">
        <v>4.6157039283514178E-5</v>
      </c>
      <c r="KN48" s="64">
        <v>2.9682983462066998E-7</v>
      </c>
      <c r="KO48" s="64">
        <v>2.9682983462066998E-7</v>
      </c>
      <c r="KP48" s="64">
        <v>2.9682983462066998E-7</v>
      </c>
      <c r="KQ48" s="64">
        <v>2.9682983462066998E-7</v>
      </c>
      <c r="KR48" s="64">
        <v>0</v>
      </c>
      <c r="KS48" s="64">
        <v>4.45244751931005E-7</v>
      </c>
      <c r="KT48" s="64">
        <v>4.45244751931005E-7</v>
      </c>
      <c r="KU48" s="64">
        <v>4.45244751931005E-7</v>
      </c>
      <c r="KV48" s="64">
        <v>4.45244751931005E-7</v>
      </c>
      <c r="KW48" s="64">
        <v>4.45244751931005E-7</v>
      </c>
      <c r="KX48" s="64">
        <v>4.45244751931005E-7</v>
      </c>
      <c r="KY48" s="64">
        <v>4.45244751931005E-7</v>
      </c>
      <c r="KZ48" s="64">
        <v>3.7103729327583749E-7</v>
      </c>
      <c r="LA48" s="64">
        <v>3.7103729327583749E-7</v>
      </c>
      <c r="LB48" s="64">
        <v>2.226223759655025E-7</v>
      </c>
      <c r="LC48" s="64">
        <v>2.226223759655025E-7</v>
      </c>
      <c r="LD48" s="64">
        <v>8.1628204520684238E-7</v>
      </c>
      <c r="LE48" s="64">
        <v>2.226223759655025E-7</v>
      </c>
      <c r="LF48" s="64">
        <v>2.9682983462066998E-7</v>
      </c>
      <c r="LG48" s="64">
        <v>2.226223759655025E-7</v>
      </c>
      <c r="LH48" s="64">
        <v>6.6786712789650747E-7</v>
      </c>
      <c r="LI48" s="64">
        <v>5.1945221058617245E-7</v>
      </c>
      <c r="LJ48" s="64">
        <v>4.45244751931005E-7</v>
      </c>
      <c r="LK48" s="64">
        <v>1.4841491731033499E-7</v>
      </c>
      <c r="LL48" s="64">
        <v>2.9682983462066998E-7</v>
      </c>
      <c r="LM48" s="64">
        <v>2.226223759655025E-7</v>
      </c>
      <c r="LN48" s="64">
        <v>2.9682983462066998E-7</v>
      </c>
      <c r="LO48" s="64">
        <v>1.9293939250343548E-6</v>
      </c>
      <c r="LP48" s="64">
        <v>3.7103729327583749E-7</v>
      </c>
      <c r="LQ48" s="64">
        <v>7.4207458655167495E-8</v>
      </c>
      <c r="LR48" s="64">
        <v>0</v>
      </c>
      <c r="LS48" s="64">
        <v>3.7103729327583749E-7</v>
      </c>
      <c r="LT48" s="64">
        <v>3.7103729327583749E-7</v>
      </c>
      <c r="LU48" s="64">
        <v>5.6587779057985052E-8</v>
      </c>
      <c r="LV48" s="64">
        <v>5.6587779057985052E-8</v>
      </c>
      <c r="LW48" s="64">
        <v>5.6587779057985052E-8</v>
      </c>
      <c r="LX48" s="64">
        <v>5.6587779057985052E-8</v>
      </c>
      <c r="LY48" s="64">
        <v>0</v>
      </c>
      <c r="LZ48" s="64">
        <v>1.5844578136235809E-7</v>
      </c>
      <c r="MA48" s="64">
        <v>1.5844578136235809E-7</v>
      </c>
      <c r="MB48" s="64">
        <v>1.5844578136235809E-7</v>
      </c>
      <c r="MC48" s="64">
        <v>1.5844578136235809E-7</v>
      </c>
      <c r="MD48" s="64">
        <v>1.5844578136235809E-7</v>
      </c>
      <c r="ME48" s="64">
        <v>1.5844578136235809E-7</v>
      </c>
      <c r="MF48" s="64">
        <v>1.5844578136235809E-7</v>
      </c>
      <c r="MG48" s="64">
        <v>1.131755581159701E-7</v>
      </c>
      <c r="MH48" s="64">
        <v>1.131755581159701E-7</v>
      </c>
      <c r="MI48" s="64">
        <v>4.527022324638803E-8</v>
      </c>
      <c r="MJ48" s="64">
        <v>4.527022324638803E-8</v>
      </c>
      <c r="MK48" s="64">
        <v>2.1503356042034321E-7</v>
      </c>
      <c r="ML48" s="64">
        <v>4.527022324638803E-8</v>
      </c>
      <c r="MM48" s="64">
        <v>3.3952667434791028E-8</v>
      </c>
      <c r="MN48" s="64">
        <v>3.3952667434791028E-8</v>
      </c>
      <c r="MO48" s="64">
        <v>9.054044649277606E-8</v>
      </c>
      <c r="MP48" s="64">
        <v>9.054044649277606E-8</v>
      </c>
      <c r="MQ48" s="64">
        <v>3.3952667434791028E-8</v>
      </c>
      <c r="MR48" s="64">
        <v>4.527022324638803E-8</v>
      </c>
      <c r="MS48" s="64">
        <v>4.527022324638803E-8</v>
      </c>
      <c r="MT48" s="64">
        <v>3.3952667434791028E-8</v>
      </c>
      <c r="MU48" s="64">
        <v>1.018580023043731E-7</v>
      </c>
      <c r="MV48" s="64">
        <v>1.131755581159701E-7</v>
      </c>
      <c r="MW48" s="64">
        <v>4.527022324638803E-8</v>
      </c>
      <c r="MX48" s="64">
        <v>1.1317555811597011E-8</v>
      </c>
      <c r="MY48" s="64">
        <v>1.1317555811597011E-8</v>
      </c>
      <c r="MZ48" s="64">
        <v>4.527022324638803E-8</v>
      </c>
      <c r="NA48" s="64">
        <v>4.527022324638803E-8</v>
      </c>
      <c r="NB48" s="64"/>
      <c r="NC48" s="64"/>
      <c r="ND48" s="64"/>
      <c r="NE48" s="64"/>
      <c r="NF48" s="64"/>
      <c r="NG48" s="64"/>
      <c r="NH48" s="64"/>
      <c r="NI48" s="64"/>
      <c r="NJ48" s="64"/>
      <c r="NK48" s="64"/>
      <c r="NL48" s="64"/>
      <c r="NM48" s="64"/>
      <c r="NN48" s="64"/>
      <c r="NO48" s="64"/>
      <c r="NP48" s="64"/>
      <c r="NQ48" s="64"/>
      <c r="NR48" s="64"/>
      <c r="NS48" s="64"/>
      <c r="NT48" s="64"/>
      <c r="NU48" s="64"/>
      <c r="NV48" s="64"/>
      <c r="NW48" s="64"/>
      <c r="NX48" s="64"/>
      <c r="NY48" s="64"/>
      <c r="NZ48" s="64"/>
      <c r="OA48" s="64"/>
      <c r="OB48" s="64"/>
      <c r="OC48" s="64"/>
      <c r="OD48" s="64"/>
      <c r="OE48" s="64"/>
      <c r="OF48" s="64"/>
      <c r="OG48" s="64"/>
      <c r="OH48" s="64"/>
      <c r="OI48" s="64"/>
      <c r="OJ48" s="64"/>
      <c r="OK48" s="64"/>
      <c r="OL48" s="64"/>
      <c r="OM48" s="64"/>
      <c r="ON48" s="64"/>
      <c r="OO48" s="64"/>
      <c r="OP48" s="64"/>
      <c r="OQ48" s="64"/>
      <c r="OR48" s="64"/>
      <c r="OS48" s="64"/>
    </row>
    <row r="49" spans="1:409">
      <c r="A49" s="64" t="s">
        <v>605</v>
      </c>
      <c r="B49" s="64" t="s">
        <v>589</v>
      </c>
      <c r="C49" s="64">
        <v>6.0122891665521428E-4</v>
      </c>
      <c r="D49" s="64">
        <v>1.4386696562271139E-3</v>
      </c>
      <c r="E49" s="64">
        <v>1.3788237061153601E-4</v>
      </c>
      <c r="F49" s="64">
        <v>2.0620267307700389E-3</v>
      </c>
      <c r="G49" s="64">
        <v>0</v>
      </c>
      <c r="H49" s="64">
        <v>1.8886152511029371E-2</v>
      </c>
      <c r="I49" s="64">
        <v>6.3443840994633293E-4</v>
      </c>
      <c r="J49" s="64">
        <v>2.4827513828572468E-3</v>
      </c>
      <c r="K49" s="64">
        <v>1.0413026526612881</v>
      </c>
      <c r="L49" s="64">
        <v>1.989126797896419E-4</v>
      </c>
      <c r="M49" s="64">
        <v>6.6967477027302158E-2</v>
      </c>
      <c r="N49" s="64">
        <v>2.7091621310660779E-3</v>
      </c>
      <c r="O49" s="64">
        <v>1.6490826823823559E-4</v>
      </c>
      <c r="P49" s="64">
        <v>1.323100871252216E-3</v>
      </c>
      <c r="Q49" s="64">
        <v>2.5425320134148761E-4</v>
      </c>
      <c r="R49" s="64">
        <v>5.6408398761826468E-4</v>
      </c>
      <c r="S49" s="64">
        <v>4.3973879241069411E-3</v>
      </c>
      <c r="T49" s="64">
        <v>1.170405109028337E-4</v>
      </c>
      <c r="U49" s="64">
        <v>2.814292938832247E-4</v>
      </c>
      <c r="V49" s="64">
        <v>3.0817589270547443E-4</v>
      </c>
      <c r="W49" s="64">
        <v>2.141116913079593E-3</v>
      </c>
      <c r="X49" s="64">
        <v>8.3484421973802308E-4</v>
      </c>
      <c r="Y49" s="64">
        <v>1.20308978670964E-4</v>
      </c>
      <c r="Z49" s="64">
        <v>2.435777353670475E-4</v>
      </c>
      <c r="AA49" s="64">
        <v>1.060621357166762E-3</v>
      </c>
      <c r="AB49" s="64">
        <v>1.250125569016499E-3</v>
      </c>
      <c r="AC49" s="64">
        <v>7.5053930998681866E-3</v>
      </c>
      <c r="AD49" s="64">
        <v>8.9024582818577746E-4</v>
      </c>
      <c r="AE49" s="64">
        <v>3.2724340509219808E-4</v>
      </c>
      <c r="AF49" s="64">
        <v>1.5163427122003861E-4</v>
      </c>
      <c r="AG49" s="64">
        <v>6.4185714338391278E-5</v>
      </c>
      <c r="AH49" s="64">
        <v>5.0576844091643289E-3</v>
      </c>
      <c r="AI49" s="64">
        <v>3.070574838051298E-3</v>
      </c>
      <c r="AJ49" s="64">
        <v>1.0736808202829239E-5</v>
      </c>
      <c r="AK49" s="64">
        <v>1.0736808202829239E-5</v>
      </c>
      <c r="AL49" s="64">
        <v>1.0736808202829239E-5</v>
      </c>
      <c r="AM49" s="64">
        <v>1.0736808202829239E-5</v>
      </c>
      <c r="AN49" s="64">
        <v>0</v>
      </c>
      <c r="AO49" s="64">
        <v>7.6691487163065989E-6</v>
      </c>
      <c r="AP49" s="64">
        <v>7.6691487163065989E-6</v>
      </c>
      <c r="AQ49" s="64">
        <v>7.6691487163065989E-6</v>
      </c>
      <c r="AR49" s="64">
        <v>7.6691487163065989E-6</v>
      </c>
      <c r="AS49" s="64">
        <v>7.6691487163065989E-6</v>
      </c>
      <c r="AT49" s="64">
        <v>7.6691487163065989E-6</v>
      </c>
      <c r="AU49" s="64">
        <v>7.6691487163065989E-6</v>
      </c>
      <c r="AV49" s="64">
        <v>7.6691487163065989E-6</v>
      </c>
      <c r="AW49" s="64">
        <v>7.6691487163065989E-6</v>
      </c>
      <c r="AX49" s="64">
        <v>6.5187764088606076E-6</v>
      </c>
      <c r="AY49" s="64">
        <v>6.5187764088606076E-6</v>
      </c>
      <c r="AZ49" s="64">
        <v>3.4511169223379703E-5</v>
      </c>
      <c r="BA49" s="64">
        <v>5.3684041014146189E-6</v>
      </c>
      <c r="BB49" s="64">
        <v>3.45111692233797E-6</v>
      </c>
      <c r="BC49" s="64">
        <v>3.8345743581532986E-6</v>
      </c>
      <c r="BD49" s="64">
        <v>7.6691487163065989E-6</v>
      </c>
      <c r="BE49" s="64">
        <v>7.6691487163065989E-6</v>
      </c>
      <c r="BF49" s="64">
        <v>1.15037230744599E-6</v>
      </c>
      <c r="BG49" s="64">
        <v>3.45111692233797E-6</v>
      </c>
      <c r="BH49" s="64">
        <v>1.15037230744599E-6</v>
      </c>
      <c r="BI49" s="64">
        <v>2.30074461489198E-6</v>
      </c>
      <c r="BJ49" s="64">
        <v>3.45111692233797E-6</v>
      </c>
      <c r="BK49" s="64">
        <v>2.684202050707309E-6</v>
      </c>
      <c r="BL49" s="64">
        <v>7.6691487163065983E-7</v>
      </c>
      <c r="BM49" s="64">
        <v>0</v>
      </c>
      <c r="BN49" s="64">
        <v>0</v>
      </c>
      <c r="BO49" s="64">
        <v>1.15037230744599E-6</v>
      </c>
      <c r="BP49" s="64">
        <v>1.15037230744599E-6</v>
      </c>
      <c r="BQ49" s="64">
        <v>3.4980884271867682E-8</v>
      </c>
      <c r="BR49" s="64">
        <v>3.4980884271867682E-8</v>
      </c>
      <c r="BS49" s="64">
        <v>3.4980884271867682E-8</v>
      </c>
      <c r="BT49" s="64">
        <v>3.4980884271867682E-8</v>
      </c>
      <c r="BU49" s="64">
        <v>0</v>
      </c>
      <c r="BV49" s="64">
        <v>6.1216547475768437E-8</v>
      </c>
      <c r="BW49" s="64">
        <v>6.1216547475768437E-8</v>
      </c>
      <c r="BX49" s="64">
        <v>6.1216547475768437E-8</v>
      </c>
      <c r="BY49" s="64">
        <v>6.1216547475768437E-8</v>
      </c>
      <c r="BZ49" s="64">
        <v>6.1216547475768437E-8</v>
      </c>
      <c r="CA49" s="64">
        <v>6.1216547475768437E-8</v>
      </c>
      <c r="CB49" s="64">
        <v>6.1216547475768437E-8</v>
      </c>
      <c r="CC49" s="64">
        <v>7.8706989611702278E-8</v>
      </c>
      <c r="CD49" s="64">
        <v>7.8706989611702278E-8</v>
      </c>
      <c r="CE49" s="64">
        <v>3.4980884271867682E-8</v>
      </c>
      <c r="CF49" s="64">
        <v>3.4980884271867682E-8</v>
      </c>
      <c r="CG49" s="64">
        <v>1.399235370874707E-7</v>
      </c>
      <c r="CH49" s="64">
        <v>2.6235663203900761E-8</v>
      </c>
      <c r="CI49" s="64">
        <v>3.4980884271867682E-8</v>
      </c>
      <c r="CJ49" s="64">
        <v>2.6235663203900761E-8</v>
      </c>
      <c r="CK49" s="64">
        <v>6.9961768543735351E-8</v>
      </c>
      <c r="CL49" s="64">
        <v>6.1216547475768437E-8</v>
      </c>
      <c r="CM49" s="64">
        <v>2.6235663203900761E-8</v>
      </c>
      <c r="CN49" s="64">
        <v>2.6235663203900761E-8</v>
      </c>
      <c r="CO49" s="64">
        <v>1.7490442135933841E-8</v>
      </c>
      <c r="CP49" s="64">
        <v>2.6235663203900761E-8</v>
      </c>
      <c r="CQ49" s="64">
        <v>3.4980884271867682E-8</v>
      </c>
      <c r="CR49" s="64">
        <v>9.6197431747636105E-8</v>
      </c>
      <c r="CS49" s="64">
        <v>2.6235663203900761E-8</v>
      </c>
      <c r="CT49" s="64">
        <v>8.7452210679669188E-9</v>
      </c>
      <c r="CU49" s="64">
        <v>0</v>
      </c>
      <c r="CV49" s="64">
        <v>2.6235663203900761E-8</v>
      </c>
      <c r="CW49" s="64">
        <v>2.6235663203900761E-8</v>
      </c>
      <c r="CX49" s="64">
        <v>3.2952660759133762E-7</v>
      </c>
      <c r="CY49" s="64">
        <v>3.2952660759133762E-7</v>
      </c>
      <c r="CZ49" s="64">
        <v>3.2952660759133762E-7</v>
      </c>
      <c r="DA49" s="64">
        <v>3.2952660759133762E-7</v>
      </c>
      <c r="DB49" s="64">
        <v>0</v>
      </c>
      <c r="DC49" s="64">
        <v>4.942899113870064E-7</v>
      </c>
      <c r="DD49" s="64">
        <v>4.942899113870064E-7</v>
      </c>
      <c r="DE49" s="64">
        <v>4.942899113870064E-7</v>
      </c>
      <c r="DF49" s="64">
        <v>4.942899113870064E-7</v>
      </c>
      <c r="DG49" s="64">
        <v>4.942899113870064E-7</v>
      </c>
      <c r="DH49" s="64">
        <v>4.942899113870064E-7</v>
      </c>
      <c r="DI49" s="64">
        <v>4.942899113870064E-7</v>
      </c>
      <c r="DJ49" s="64">
        <v>6.5905321518267523E-7</v>
      </c>
      <c r="DK49" s="64">
        <v>6.5905321518267523E-7</v>
      </c>
      <c r="DL49" s="64">
        <v>4.942899113870064E-7</v>
      </c>
      <c r="DM49" s="64">
        <v>4.942899113870064E-7</v>
      </c>
      <c r="DN49" s="64">
        <v>1.6476330379566879E-6</v>
      </c>
      <c r="DO49" s="64">
        <v>4.942899113870064E-7</v>
      </c>
      <c r="DP49" s="64">
        <v>4.942899113870064E-7</v>
      </c>
      <c r="DQ49" s="64">
        <v>4.942899113870064E-7</v>
      </c>
      <c r="DR49" s="64">
        <v>1.1533431265696819E-6</v>
      </c>
      <c r="DS49" s="64">
        <v>6.5905321518267523E-7</v>
      </c>
      <c r="DT49" s="64">
        <v>3.2952660759133762E-7</v>
      </c>
      <c r="DU49" s="64">
        <v>6.5905321518267523E-7</v>
      </c>
      <c r="DV49" s="64">
        <v>4.942899113870064E-7</v>
      </c>
      <c r="DW49" s="64">
        <v>3.2952660759133762E-7</v>
      </c>
      <c r="DX49" s="64">
        <v>3.2952660759133762E-7</v>
      </c>
      <c r="DY49" s="64">
        <v>8.2381651897834407E-7</v>
      </c>
      <c r="DZ49" s="64">
        <v>1.6476330379566881E-7</v>
      </c>
      <c r="EA49" s="64">
        <v>0</v>
      </c>
      <c r="EB49" s="64">
        <v>0</v>
      </c>
      <c r="EC49" s="64">
        <v>4.942899113870064E-7</v>
      </c>
      <c r="ED49" s="64">
        <v>4.942899113870064E-7</v>
      </c>
      <c r="EE49" s="64">
        <v>2.2760443925054282E-9</v>
      </c>
      <c r="EF49" s="64">
        <v>2.2760443925054282E-9</v>
      </c>
      <c r="EG49" s="64">
        <v>2.2760443925054282E-9</v>
      </c>
      <c r="EH49" s="64">
        <v>2.2760443925054282E-9</v>
      </c>
      <c r="EI49" s="64">
        <v>0</v>
      </c>
      <c r="EJ49" s="64">
        <v>7.5868146416847603E-9</v>
      </c>
      <c r="EK49" s="64">
        <v>7.5868146416847603E-9</v>
      </c>
      <c r="EL49" s="64">
        <v>7.5868146416847603E-9</v>
      </c>
      <c r="EM49" s="64">
        <v>7.5868146416847603E-9</v>
      </c>
      <c r="EN49" s="64">
        <v>7.5868146416847603E-9</v>
      </c>
      <c r="EO49" s="64">
        <v>7.5868146416847603E-9</v>
      </c>
      <c r="EP49" s="64">
        <v>7.5868146416847603E-9</v>
      </c>
      <c r="EQ49" s="64">
        <v>2.2760443925054282E-9</v>
      </c>
      <c r="ER49" s="64">
        <v>2.2760443925054282E-9</v>
      </c>
      <c r="ES49" s="64">
        <v>2.2760443925054282E-9</v>
      </c>
      <c r="ET49" s="64">
        <v>2.2760443925054282E-9</v>
      </c>
      <c r="EU49" s="64">
        <v>5.3107702491793317E-9</v>
      </c>
      <c r="EV49" s="64">
        <v>1.517362928336952E-9</v>
      </c>
      <c r="EW49" s="64">
        <v>1.517362928336952E-9</v>
      </c>
      <c r="EX49" s="64">
        <v>1.517362928336952E-9</v>
      </c>
      <c r="EY49" s="64">
        <v>3.034725856673904E-9</v>
      </c>
      <c r="EZ49" s="64">
        <v>3.034725856673904E-9</v>
      </c>
      <c r="FA49" s="64">
        <v>7.5868146416847599E-10</v>
      </c>
      <c r="FB49" s="64">
        <v>1.517362928336952E-9</v>
      </c>
      <c r="FC49" s="64">
        <v>1.517362928336952E-9</v>
      </c>
      <c r="FD49" s="64">
        <v>7.5868146416847599E-10</v>
      </c>
      <c r="FE49" s="64">
        <v>2.2760443925054282E-9</v>
      </c>
      <c r="FF49" s="64">
        <v>3.034725856673904E-9</v>
      </c>
      <c r="FG49" s="64">
        <v>1.517362928336952E-9</v>
      </c>
      <c r="FH49" s="64">
        <v>7.5868146416847599E-10</v>
      </c>
      <c r="FI49" s="64">
        <v>0</v>
      </c>
      <c r="FJ49" s="64">
        <v>1.517362928336952E-9</v>
      </c>
      <c r="FK49" s="64">
        <v>1.517362928336952E-9</v>
      </c>
      <c r="FL49" s="64">
        <v>7.2495853670094266E-6</v>
      </c>
      <c r="FM49" s="64">
        <v>7.2495853670094266E-6</v>
      </c>
      <c r="FN49" s="64">
        <v>7.2495853670094266E-6</v>
      </c>
      <c r="FO49" s="64">
        <v>7.2495853670094266E-6</v>
      </c>
      <c r="FP49" s="64">
        <v>0</v>
      </c>
      <c r="FQ49" s="64">
        <v>1.4828697341610189E-5</v>
      </c>
      <c r="FR49" s="64">
        <v>1.4828697341610189E-5</v>
      </c>
      <c r="FS49" s="64">
        <v>1.4828697341610189E-5</v>
      </c>
      <c r="FT49" s="64">
        <v>1.4828697341610189E-5</v>
      </c>
      <c r="FU49" s="64">
        <v>1.4828697341610189E-5</v>
      </c>
      <c r="FV49" s="64">
        <v>1.4828697341610189E-5</v>
      </c>
      <c r="FW49" s="64">
        <v>1.4828697341610189E-5</v>
      </c>
      <c r="FX49" s="64">
        <v>7.5791119746007653E-6</v>
      </c>
      <c r="FY49" s="64">
        <v>7.5791119746007653E-6</v>
      </c>
      <c r="FZ49" s="64">
        <v>1.8123963417523571E-6</v>
      </c>
      <c r="GA49" s="64">
        <v>1.8123963417523571E-6</v>
      </c>
      <c r="GB49" s="64">
        <v>8.4029284935791092E-6</v>
      </c>
      <c r="GC49" s="64">
        <v>9.885798227740128E-7</v>
      </c>
      <c r="GD49" s="64">
        <v>9.885798227740128E-7</v>
      </c>
      <c r="GE49" s="64">
        <v>1.1533431265696819E-6</v>
      </c>
      <c r="GF49" s="64">
        <v>3.9543192910960512E-6</v>
      </c>
      <c r="GG49" s="64">
        <v>2.8009761645263699E-6</v>
      </c>
      <c r="GH49" s="64">
        <v>4.942899113870064E-7</v>
      </c>
      <c r="GI49" s="64">
        <v>6.5905321518267523E-7</v>
      </c>
      <c r="GJ49" s="64">
        <v>3.2952660759133762E-7</v>
      </c>
      <c r="GK49" s="64">
        <v>6.5905321518267523E-7</v>
      </c>
      <c r="GL49" s="64">
        <v>5.6019523290527397E-6</v>
      </c>
      <c r="GM49" s="64">
        <v>2.471449556935032E-6</v>
      </c>
      <c r="GN49" s="64">
        <v>4.942899113870064E-7</v>
      </c>
      <c r="GO49" s="64">
        <v>1.6476330379566881E-7</v>
      </c>
      <c r="GP49" s="64">
        <v>1.6476330379566881E-7</v>
      </c>
      <c r="GQ49" s="64">
        <v>6.5905321518267523E-7</v>
      </c>
      <c r="GR49" s="64">
        <v>6.5905321518267523E-7</v>
      </c>
      <c r="GS49" s="64">
        <v>1.6476330379566881E-7</v>
      </c>
      <c r="GT49" s="64">
        <v>1.6476330379566881E-7</v>
      </c>
      <c r="GU49" s="64">
        <v>1.6476330379566881E-7</v>
      </c>
      <c r="GV49" s="64">
        <v>1.6476330379566881E-7</v>
      </c>
      <c r="GW49" s="64">
        <v>0</v>
      </c>
      <c r="GX49" s="64">
        <v>4.942899113870064E-7</v>
      </c>
      <c r="GY49" s="64">
        <v>4.942899113870064E-7</v>
      </c>
      <c r="GZ49" s="64">
        <v>4.942899113870064E-7</v>
      </c>
      <c r="HA49" s="64">
        <v>4.942899113870064E-7</v>
      </c>
      <c r="HB49" s="64">
        <v>4.942899113870064E-7</v>
      </c>
      <c r="HC49" s="64">
        <v>4.942899113870064E-7</v>
      </c>
      <c r="HD49" s="64">
        <v>4.942899113870064E-7</v>
      </c>
      <c r="HE49" s="64">
        <v>6.5905321518267523E-7</v>
      </c>
      <c r="HF49" s="64">
        <v>6.5905321518267523E-7</v>
      </c>
      <c r="HG49" s="64">
        <v>3.2952660759133762E-7</v>
      </c>
      <c r="HH49" s="64">
        <v>3.2952660759133762E-7</v>
      </c>
      <c r="HI49" s="64">
        <v>9.885798227740128E-7</v>
      </c>
      <c r="HJ49" s="64">
        <v>3.2952660759133762E-7</v>
      </c>
      <c r="HK49" s="64">
        <v>3.2952660759133762E-7</v>
      </c>
      <c r="HL49" s="64">
        <v>3.2952660759133762E-7</v>
      </c>
      <c r="HM49" s="64">
        <v>8.2381651897834407E-7</v>
      </c>
      <c r="HN49" s="64">
        <v>8.2381651897834407E-7</v>
      </c>
      <c r="HO49" s="64">
        <v>3.2952660759133762E-7</v>
      </c>
      <c r="HP49" s="64">
        <v>4.942899113870064E-7</v>
      </c>
      <c r="HQ49" s="64">
        <v>4.942899113870064E-7</v>
      </c>
      <c r="HR49" s="64">
        <v>3.2952660759133762E-7</v>
      </c>
      <c r="HS49" s="64">
        <v>4.942899113870064E-7</v>
      </c>
      <c r="HT49" s="64">
        <v>1.31810643036535E-6</v>
      </c>
      <c r="HU49" s="64">
        <v>4.942899113870064E-7</v>
      </c>
      <c r="HV49" s="64">
        <v>1.6476330379566881E-7</v>
      </c>
      <c r="HW49" s="64">
        <v>0</v>
      </c>
      <c r="HX49" s="64">
        <v>3.2952660759133762E-7</v>
      </c>
      <c r="HY49" s="64">
        <v>3.2952660759133762E-7</v>
      </c>
      <c r="HZ49" s="64">
        <v>2.141747701923975E-5</v>
      </c>
      <c r="IA49" s="64">
        <v>2.141747701923975E-5</v>
      </c>
      <c r="IB49" s="64">
        <v>2.141747701923975E-5</v>
      </c>
      <c r="IC49" s="64">
        <v>2.141747701923975E-5</v>
      </c>
      <c r="ID49" s="64">
        <v>0</v>
      </c>
      <c r="IE49" s="64">
        <v>3.7466749204199768E-5</v>
      </c>
      <c r="IF49" s="64">
        <v>3.7466749204199768E-5</v>
      </c>
      <c r="IG49" s="64">
        <v>3.7466749204199768E-5</v>
      </c>
      <c r="IH49" s="64">
        <v>3.7466749204199768E-5</v>
      </c>
      <c r="II49" s="64">
        <v>3.7466749204199768E-5</v>
      </c>
      <c r="IJ49" s="64">
        <v>3.7466749204199768E-5</v>
      </c>
      <c r="IK49" s="64">
        <v>3.7466749204199768E-5</v>
      </c>
      <c r="IL49" s="64">
        <v>1.99232344365021E-6</v>
      </c>
      <c r="IM49" s="64">
        <v>1.99232344365021E-6</v>
      </c>
      <c r="IN49" s="64">
        <v>7.7479245030841481E-6</v>
      </c>
      <c r="IO49" s="64">
        <v>7.7479245030841481E-6</v>
      </c>
      <c r="IP49" s="64">
        <v>7.0838166885340782E-6</v>
      </c>
      <c r="IQ49" s="64">
        <v>1.2728733112209669E-6</v>
      </c>
      <c r="IR49" s="64">
        <v>8.8547708606675978E-7</v>
      </c>
      <c r="IS49" s="64">
        <v>1.1068463575834499E-6</v>
      </c>
      <c r="IT49" s="64">
        <v>1.3282156291001399E-6</v>
      </c>
      <c r="IU49" s="64">
        <v>3.0438274833544869E-6</v>
      </c>
      <c r="IV49" s="64">
        <v>7.7479245030841477E-7</v>
      </c>
      <c r="IW49" s="64">
        <v>1.217530993341795E-6</v>
      </c>
      <c r="IX49" s="64">
        <v>1.162188675462622E-6</v>
      </c>
      <c r="IY49" s="64">
        <v>1.1068463575834499E-6</v>
      </c>
      <c r="IZ49" s="64">
        <v>5.368204834279731E-6</v>
      </c>
      <c r="JA49" s="64">
        <v>2.4904043045627622E-6</v>
      </c>
      <c r="JB49" s="64">
        <v>8.3013476818758733E-7</v>
      </c>
      <c r="JC49" s="64">
        <v>2.7671158939586248E-7</v>
      </c>
      <c r="JD49" s="64">
        <v>1.6602695363751749E-7</v>
      </c>
      <c r="JE49" s="64">
        <v>3.431223708508694E-6</v>
      </c>
      <c r="JF49" s="64">
        <v>3.431223708508694E-6</v>
      </c>
      <c r="JG49" s="64">
        <v>4.3167985594465242E-5</v>
      </c>
      <c r="JH49" s="64">
        <v>4.3167985594465242E-5</v>
      </c>
      <c r="JI49" s="64">
        <v>4.3167985594465242E-5</v>
      </c>
      <c r="JJ49" s="64">
        <v>4.3167985594465242E-5</v>
      </c>
      <c r="JK49" s="64">
        <v>0</v>
      </c>
      <c r="JL49" s="64">
        <v>3.2590181490783291E-4</v>
      </c>
      <c r="JM49" s="64">
        <v>3.2590181490783291E-4</v>
      </c>
      <c r="JN49" s="64">
        <v>3.2590181490783291E-4</v>
      </c>
      <c r="JO49" s="64">
        <v>3.2590181490783291E-4</v>
      </c>
      <c r="JP49" s="64">
        <v>3.2590181490783291E-4</v>
      </c>
      <c r="JQ49" s="64">
        <v>3.2590181490783291E-4</v>
      </c>
      <c r="JR49" s="64">
        <v>3.2590181490783291E-4</v>
      </c>
      <c r="JS49" s="64">
        <v>6.2939582049945488E-5</v>
      </c>
      <c r="JT49" s="64">
        <v>6.2939582049945488E-5</v>
      </c>
      <c r="JU49" s="64">
        <v>2.1089702885845611E-5</v>
      </c>
      <c r="JV49" s="64">
        <v>2.1089702885845611E-5</v>
      </c>
      <c r="JW49" s="64">
        <v>1.6871762308676489E-4</v>
      </c>
      <c r="JX49" s="64">
        <v>1.3016300999857829E-5</v>
      </c>
      <c r="JY49" s="64">
        <v>2.4714495569350321E-5</v>
      </c>
      <c r="JZ49" s="64">
        <v>1.960683315168459E-5</v>
      </c>
      <c r="KA49" s="64">
        <v>3.7730796569208157E-5</v>
      </c>
      <c r="KB49" s="64">
        <v>4.0531772733734532E-5</v>
      </c>
      <c r="KC49" s="64">
        <v>1.367535421504051E-5</v>
      </c>
      <c r="KD49" s="64">
        <v>1.5158223949201531E-5</v>
      </c>
      <c r="KE49" s="64">
        <v>1.9442069847888921E-5</v>
      </c>
      <c r="KF49" s="64">
        <v>1.6311567075771212E-5</v>
      </c>
      <c r="KG49" s="64">
        <v>3.3578761313557301E-4</v>
      </c>
      <c r="KH49" s="64">
        <v>4.6628014974174273E-5</v>
      </c>
      <c r="KI49" s="64">
        <v>2.3890679050371979E-5</v>
      </c>
      <c r="KJ49" s="64">
        <v>1.416964412642752E-5</v>
      </c>
      <c r="KK49" s="64">
        <v>1.038008813912713E-5</v>
      </c>
      <c r="KL49" s="64">
        <v>1.0248277496090601E-4</v>
      </c>
      <c r="KM49" s="64">
        <v>1.0248277496090601E-4</v>
      </c>
      <c r="KN49" s="64">
        <v>6.5905321518267523E-7</v>
      </c>
      <c r="KO49" s="64">
        <v>6.5905321518267523E-7</v>
      </c>
      <c r="KP49" s="64">
        <v>6.5905321518267523E-7</v>
      </c>
      <c r="KQ49" s="64">
        <v>6.5905321518267523E-7</v>
      </c>
      <c r="KR49" s="64">
        <v>0</v>
      </c>
      <c r="KS49" s="64">
        <v>9.885798227740128E-7</v>
      </c>
      <c r="KT49" s="64">
        <v>9.885798227740128E-7</v>
      </c>
      <c r="KU49" s="64">
        <v>9.885798227740128E-7</v>
      </c>
      <c r="KV49" s="64">
        <v>9.885798227740128E-7</v>
      </c>
      <c r="KW49" s="64">
        <v>9.885798227740128E-7</v>
      </c>
      <c r="KX49" s="64">
        <v>9.885798227740128E-7</v>
      </c>
      <c r="KY49" s="64">
        <v>9.885798227740128E-7</v>
      </c>
      <c r="KZ49" s="64">
        <v>8.2381651897834407E-7</v>
      </c>
      <c r="LA49" s="64">
        <v>8.2381651897834407E-7</v>
      </c>
      <c r="LB49" s="64">
        <v>4.942899113870064E-7</v>
      </c>
      <c r="LC49" s="64">
        <v>4.942899113870064E-7</v>
      </c>
      <c r="LD49" s="64">
        <v>1.8123963417523571E-6</v>
      </c>
      <c r="LE49" s="64">
        <v>4.942899113870064E-7</v>
      </c>
      <c r="LF49" s="64">
        <v>6.5905321518267523E-7</v>
      </c>
      <c r="LG49" s="64">
        <v>4.942899113870064E-7</v>
      </c>
      <c r="LH49" s="64">
        <v>1.482869734161019E-6</v>
      </c>
      <c r="LI49" s="64">
        <v>1.1533431265696819E-6</v>
      </c>
      <c r="LJ49" s="64">
        <v>9.885798227740128E-7</v>
      </c>
      <c r="LK49" s="64">
        <v>3.2952660759133762E-7</v>
      </c>
      <c r="LL49" s="64">
        <v>6.5905321518267523E-7</v>
      </c>
      <c r="LM49" s="64">
        <v>4.942899113870064E-7</v>
      </c>
      <c r="LN49" s="64">
        <v>6.5905321518267523E-7</v>
      </c>
      <c r="LO49" s="64">
        <v>4.2838458986873891E-6</v>
      </c>
      <c r="LP49" s="64">
        <v>8.2381651897834407E-7</v>
      </c>
      <c r="LQ49" s="64">
        <v>1.6476330379566881E-7</v>
      </c>
      <c r="LR49" s="64">
        <v>0</v>
      </c>
      <c r="LS49" s="64">
        <v>8.2381651897834407E-7</v>
      </c>
      <c r="LT49" s="64">
        <v>8.2381651897834407E-7</v>
      </c>
      <c r="LU49" s="64">
        <v>6.3252386247816099E-8</v>
      </c>
      <c r="LV49" s="64">
        <v>6.3252386247816099E-8</v>
      </c>
      <c r="LW49" s="64">
        <v>6.3252386247816099E-8</v>
      </c>
      <c r="LX49" s="64">
        <v>6.3252386247816099E-8</v>
      </c>
      <c r="LY49" s="64">
        <v>0</v>
      </c>
      <c r="LZ49" s="64">
        <v>1.7710668149388509E-7</v>
      </c>
      <c r="MA49" s="64">
        <v>1.7710668149388509E-7</v>
      </c>
      <c r="MB49" s="64">
        <v>1.7710668149388509E-7</v>
      </c>
      <c r="MC49" s="64">
        <v>1.7710668149388509E-7</v>
      </c>
      <c r="MD49" s="64">
        <v>1.7710668149388509E-7</v>
      </c>
      <c r="ME49" s="64">
        <v>1.7710668149388509E-7</v>
      </c>
      <c r="MF49" s="64">
        <v>1.7710668149388509E-7</v>
      </c>
      <c r="MG49" s="64">
        <v>1.265047724956322E-7</v>
      </c>
      <c r="MH49" s="64">
        <v>1.265047724956322E-7</v>
      </c>
      <c r="MI49" s="64">
        <v>5.0601908998252868E-8</v>
      </c>
      <c r="MJ49" s="64">
        <v>5.0601908998252868E-8</v>
      </c>
      <c r="MK49" s="64">
        <v>2.4035906774170119E-7</v>
      </c>
      <c r="ML49" s="64">
        <v>5.0601908998252868E-8</v>
      </c>
      <c r="MM49" s="64">
        <v>3.7951431748689658E-8</v>
      </c>
      <c r="MN49" s="64">
        <v>3.7951431748689658E-8</v>
      </c>
      <c r="MO49" s="64">
        <v>1.012038179965057E-7</v>
      </c>
      <c r="MP49" s="64">
        <v>1.012038179965057E-7</v>
      </c>
      <c r="MQ49" s="64">
        <v>3.7951431748689658E-8</v>
      </c>
      <c r="MR49" s="64">
        <v>5.0601908998252868E-8</v>
      </c>
      <c r="MS49" s="64">
        <v>5.0601908998252868E-8</v>
      </c>
      <c r="MT49" s="64">
        <v>3.7951431748689658E-8</v>
      </c>
      <c r="MU49" s="64">
        <v>1.1385429524606899E-7</v>
      </c>
      <c r="MV49" s="64">
        <v>1.265047724956322E-7</v>
      </c>
      <c r="MW49" s="64">
        <v>5.0601908998252868E-8</v>
      </c>
      <c r="MX49" s="64">
        <v>1.265047724956322E-8</v>
      </c>
      <c r="MY49" s="64">
        <v>1.265047724956322E-8</v>
      </c>
      <c r="MZ49" s="64">
        <v>5.0601908998252868E-8</v>
      </c>
      <c r="NA49" s="64">
        <v>5.0601908998252868E-8</v>
      </c>
      <c r="NB49" s="64"/>
      <c r="NC49" s="64"/>
      <c r="ND49" s="64"/>
      <c r="NE49" s="64"/>
      <c r="NF49" s="64"/>
      <c r="NG49" s="64"/>
      <c r="NH49" s="64"/>
      <c r="NI49" s="64"/>
      <c r="NJ49" s="64"/>
      <c r="NK49" s="64"/>
      <c r="NL49" s="64"/>
      <c r="NM49" s="64"/>
      <c r="NN49" s="64"/>
      <c r="NO49" s="64"/>
      <c r="NP49" s="64"/>
      <c r="NQ49" s="64"/>
      <c r="NR49" s="64"/>
      <c r="NS49" s="64"/>
      <c r="NT49" s="64"/>
      <c r="NU49" s="64"/>
      <c r="NV49" s="64"/>
      <c r="NW49" s="64"/>
      <c r="NX49" s="64"/>
      <c r="NY49" s="64"/>
      <c r="NZ49" s="64"/>
      <c r="OA49" s="64"/>
      <c r="OB49" s="64"/>
      <c r="OC49" s="64"/>
      <c r="OD49" s="64"/>
      <c r="OE49" s="64"/>
      <c r="OF49" s="64"/>
      <c r="OG49" s="64"/>
      <c r="OH49" s="64"/>
      <c r="OI49" s="64"/>
      <c r="OJ49" s="64"/>
      <c r="OK49" s="64"/>
      <c r="OL49" s="64"/>
      <c r="OM49" s="64"/>
      <c r="ON49" s="64"/>
      <c r="OO49" s="64"/>
      <c r="OP49" s="64"/>
      <c r="OQ49" s="64"/>
      <c r="OR49" s="64"/>
      <c r="OS49" s="64"/>
    </row>
    <row r="50" spans="1:409">
      <c r="A50" s="64" t="s">
        <v>606</v>
      </c>
      <c r="B50" s="64" t="s">
        <v>590</v>
      </c>
      <c r="C50" s="64">
        <v>6.8036918723424808E-5</v>
      </c>
      <c r="D50" s="64">
        <v>1.7742456860182421E-4</v>
      </c>
      <c r="E50" s="64">
        <v>2.2595439220225091E-5</v>
      </c>
      <c r="F50" s="64">
        <v>2.5740771713552948E-4</v>
      </c>
      <c r="G50" s="64">
        <v>0</v>
      </c>
      <c r="H50" s="64">
        <v>4.2301151486988099E-4</v>
      </c>
      <c r="I50" s="64">
        <v>7.336066612154993E-5</v>
      </c>
      <c r="J50" s="64">
        <v>1.431388843552109E-2</v>
      </c>
      <c r="K50" s="64">
        <v>8.5886495624212193E-3</v>
      </c>
      <c r="L50" s="64">
        <v>0.95310267238860158</v>
      </c>
      <c r="M50" s="64">
        <v>8.2409650596963046E-3</v>
      </c>
      <c r="N50" s="64">
        <v>3.3900358900508E-2</v>
      </c>
      <c r="O50" s="64">
        <v>1.6100326243331929E-5</v>
      </c>
      <c r="P50" s="64">
        <v>5.2149248734121982E-5</v>
      </c>
      <c r="Q50" s="64">
        <v>2.4054023768721041E-5</v>
      </c>
      <c r="R50" s="64">
        <v>6.6036734267245533E-5</v>
      </c>
      <c r="S50" s="64">
        <v>3.8051907979588242E-4</v>
      </c>
      <c r="T50" s="64">
        <v>1.157131439769575E-5</v>
      </c>
      <c r="U50" s="64">
        <v>5.6670907911179422E-5</v>
      </c>
      <c r="V50" s="64">
        <v>4.2750175672113421E-5</v>
      </c>
      <c r="W50" s="64">
        <v>1.9857918223573729E-4</v>
      </c>
      <c r="X50" s="64">
        <v>8.6676760227684876E-5</v>
      </c>
      <c r="Y50" s="64">
        <v>2.980828702941502E-5</v>
      </c>
      <c r="Z50" s="64">
        <v>3.8598858491310679E-5</v>
      </c>
      <c r="AA50" s="64">
        <v>1.385460006228362E-4</v>
      </c>
      <c r="AB50" s="64">
        <v>2.2761559934421919E-4</v>
      </c>
      <c r="AC50" s="64">
        <v>2.0026530291344141E-3</v>
      </c>
      <c r="AD50" s="64">
        <v>2.177696663426055E-4</v>
      </c>
      <c r="AE50" s="64">
        <v>5.7392845663994508E-5</v>
      </c>
      <c r="AF50" s="64">
        <v>2.1042899405135129E-5</v>
      </c>
      <c r="AG50" s="64">
        <v>1.4254805995003609E-5</v>
      </c>
      <c r="AH50" s="64">
        <v>8.786242799319621E-4</v>
      </c>
      <c r="AI50" s="64">
        <v>6.9095919793988963E-4</v>
      </c>
      <c r="AJ50" s="64">
        <v>7.405075977113513E-12</v>
      </c>
      <c r="AK50" s="64">
        <v>7.405075977113513E-12</v>
      </c>
      <c r="AL50" s="64">
        <v>7.405075977113513E-12</v>
      </c>
      <c r="AM50" s="64">
        <v>7.405075977113513E-12</v>
      </c>
      <c r="AN50" s="64">
        <v>0</v>
      </c>
      <c r="AO50" s="64">
        <v>5.2893399836525101E-12</v>
      </c>
      <c r="AP50" s="64">
        <v>5.2893399836525101E-12</v>
      </c>
      <c r="AQ50" s="64">
        <v>5.2893399836525101E-12</v>
      </c>
      <c r="AR50" s="64">
        <v>5.2893399836525101E-12</v>
      </c>
      <c r="AS50" s="64">
        <v>5.2893399836525101E-12</v>
      </c>
      <c r="AT50" s="64">
        <v>5.2893399836525101E-12</v>
      </c>
      <c r="AU50" s="64">
        <v>5.2893399836525101E-12</v>
      </c>
      <c r="AV50" s="64">
        <v>5.2893399836525101E-12</v>
      </c>
      <c r="AW50" s="64">
        <v>5.2893399836525101E-12</v>
      </c>
      <c r="AX50" s="64">
        <v>4.4959389861046337E-12</v>
      </c>
      <c r="AY50" s="64">
        <v>4.4959389861046337E-12</v>
      </c>
      <c r="AZ50" s="64">
        <v>2.3802029926436289E-11</v>
      </c>
      <c r="BA50" s="64">
        <v>3.7025379885567557E-12</v>
      </c>
      <c r="BB50" s="64">
        <v>2.38020299264363E-12</v>
      </c>
      <c r="BC50" s="64">
        <v>2.644669991826255E-12</v>
      </c>
      <c r="BD50" s="64">
        <v>5.2893399836525101E-12</v>
      </c>
      <c r="BE50" s="64">
        <v>5.2893399836525101E-12</v>
      </c>
      <c r="BF50" s="64">
        <v>7.9340099754787649E-13</v>
      </c>
      <c r="BG50" s="64">
        <v>2.38020299264363E-12</v>
      </c>
      <c r="BH50" s="64">
        <v>7.9340099754787649E-13</v>
      </c>
      <c r="BI50" s="64">
        <v>1.586801995095753E-12</v>
      </c>
      <c r="BJ50" s="64">
        <v>2.38020299264363E-12</v>
      </c>
      <c r="BK50" s="64">
        <v>1.8512689942783778E-12</v>
      </c>
      <c r="BL50" s="64">
        <v>5.2893399836525093E-13</v>
      </c>
      <c r="BM50" s="64">
        <v>0</v>
      </c>
      <c r="BN50" s="64">
        <v>0</v>
      </c>
      <c r="BO50" s="64">
        <v>7.9340099754787649E-13</v>
      </c>
      <c r="BP50" s="64">
        <v>7.9340099754787649E-13</v>
      </c>
      <c r="BQ50" s="64">
        <v>9.9684697518669701E-8</v>
      </c>
      <c r="BR50" s="64">
        <v>9.9684697518669701E-8</v>
      </c>
      <c r="BS50" s="64">
        <v>9.9684697518669701E-8</v>
      </c>
      <c r="BT50" s="64">
        <v>9.9684697518669701E-8</v>
      </c>
      <c r="BU50" s="64">
        <v>0</v>
      </c>
      <c r="BV50" s="64">
        <v>1.7444822065767199E-7</v>
      </c>
      <c r="BW50" s="64">
        <v>1.7444822065767199E-7</v>
      </c>
      <c r="BX50" s="64">
        <v>1.7444822065767199E-7</v>
      </c>
      <c r="BY50" s="64">
        <v>1.7444822065767199E-7</v>
      </c>
      <c r="BZ50" s="64">
        <v>1.7444822065767199E-7</v>
      </c>
      <c r="CA50" s="64">
        <v>1.7444822065767199E-7</v>
      </c>
      <c r="CB50" s="64">
        <v>1.7444822065767199E-7</v>
      </c>
      <c r="CC50" s="64">
        <v>2.2429056941700679E-7</v>
      </c>
      <c r="CD50" s="64">
        <v>2.2429056941700679E-7</v>
      </c>
      <c r="CE50" s="64">
        <v>9.9684697518669701E-8</v>
      </c>
      <c r="CF50" s="64">
        <v>9.9684697518669701E-8</v>
      </c>
      <c r="CG50" s="64">
        <v>3.9873879007467881E-7</v>
      </c>
      <c r="CH50" s="64">
        <v>7.4763523139002286E-8</v>
      </c>
      <c r="CI50" s="64">
        <v>9.9684697518669701E-8</v>
      </c>
      <c r="CJ50" s="64">
        <v>7.4763523139002286E-8</v>
      </c>
      <c r="CK50" s="64">
        <v>1.993693950373394E-7</v>
      </c>
      <c r="CL50" s="64">
        <v>1.7444822065767199E-7</v>
      </c>
      <c r="CM50" s="64">
        <v>7.4763523139002286E-8</v>
      </c>
      <c r="CN50" s="64">
        <v>7.4763523139002286E-8</v>
      </c>
      <c r="CO50" s="64">
        <v>4.9842348759334851E-8</v>
      </c>
      <c r="CP50" s="64">
        <v>7.4763523139002286E-8</v>
      </c>
      <c r="CQ50" s="64">
        <v>9.9684697518669701E-8</v>
      </c>
      <c r="CR50" s="64">
        <v>2.741329181763417E-7</v>
      </c>
      <c r="CS50" s="64">
        <v>7.4763523139002286E-8</v>
      </c>
      <c r="CT50" s="64">
        <v>2.4921174379667429E-8</v>
      </c>
      <c r="CU50" s="64">
        <v>0</v>
      </c>
      <c r="CV50" s="64">
        <v>7.4763523139002286E-8</v>
      </c>
      <c r="CW50" s="64">
        <v>7.4763523139002286E-8</v>
      </c>
      <c r="CX50" s="64">
        <v>5.9944083779557397E-8</v>
      </c>
      <c r="CY50" s="64">
        <v>5.9944083779557397E-8</v>
      </c>
      <c r="CZ50" s="64">
        <v>5.9944083779557397E-8</v>
      </c>
      <c r="DA50" s="64">
        <v>5.9944083779557397E-8</v>
      </c>
      <c r="DB50" s="64">
        <v>0</v>
      </c>
      <c r="DC50" s="64">
        <v>8.9916125669336088E-8</v>
      </c>
      <c r="DD50" s="64">
        <v>8.9916125669336088E-8</v>
      </c>
      <c r="DE50" s="64">
        <v>8.9916125669336088E-8</v>
      </c>
      <c r="DF50" s="64">
        <v>8.9916125669336088E-8</v>
      </c>
      <c r="DG50" s="64">
        <v>8.9916125669336088E-8</v>
      </c>
      <c r="DH50" s="64">
        <v>8.9916125669336088E-8</v>
      </c>
      <c r="DI50" s="64">
        <v>8.9916125669336088E-8</v>
      </c>
      <c r="DJ50" s="64">
        <v>1.1988816755911479E-7</v>
      </c>
      <c r="DK50" s="64">
        <v>1.1988816755911479E-7</v>
      </c>
      <c r="DL50" s="64">
        <v>8.9916125669336088E-8</v>
      </c>
      <c r="DM50" s="64">
        <v>8.9916125669336088E-8</v>
      </c>
      <c r="DN50" s="64">
        <v>2.9972041889778702E-7</v>
      </c>
      <c r="DO50" s="64">
        <v>8.9916125669336088E-8</v>
      </c>
      <c r="DP50" s="64">
        <v>8.9916125669336088E-8</v>
      </c>
      <c r="DQ50" s="64">
        <v>8.9916125669336088E-8</v>
      </c>
      <c r="DR50" s="64">
        <v>2.098042932284509E-7</v>
      </c>
      <c r="DS50" s="64">
        <v>1.1988816755911479E-7</v>
      </c>
      <c r="DT50" s="64">
        <v>5.9944083779557397E-8</v>
      </c>
      <c r="DU50" s="64">
        <v>1.1988816755911479E-7</v>
      </c>
      <c r="DV50" s="64">
        <v>8.9916125669336088E-8</v>
      </c>
      <c r="DW50" s="64">
        <v>5.9944083779557397E-8</v>
      </c>
      <c r="DX50" s="64">
        <v>5.9944083779557397E-8</v>
      </c>
      <c r="DY50" s="64">
        <v>1.4986020944889351E-7</v>
      </c>
      <c r="DZ50" s="64">
        <v>2.9972041889778698E-8</v>
      </c>
      <c r="EA50" s="64">
        <v>0</v>
      </c>
      <c r="EB50" s="64">
        <v>0</v>
      </c>
      <c r="EC50" s="64">
        <v>8.9916125669336088E-8</v>
      </c>
      <c r="ED50" s="64">
        <v>8.9916125669336088E-8</v>
      </c>
      <c r="EE50" s="64">
        <v>2.9172420017675911E-7</v>
      </c>
      <c r="EF50" s="64">
        <v>2.9172420017675911E-7</v>
      </c>
      <c r="EG50" s="64">
        <v>2.9172420017675911E-7</v>
      </c>
      <c r="EH50" s="64">
        <v>2.9172420017675911E-7</v>
      </c>
      <c r="EI50" s="64">
        <v>0</v>
      </c>
      <c r="EJ50" s="64">
        <v>9.7241400058919693E-7</v>
      </c>
      <c r="EK50" s="64">
        <v>9.7241400058919693E-7</v>
      </c>
      <c r="EL50" s="64">
        <v>9.7241400058919693E-7</v>
      </c>
      <c r="EM50" s="64">
        <v>9.7241400058919693E-7</v>
      </c>
      <c r="EN50" s="64">
        <v>9.7241400058919693E-7</v>
      </c>
      <c r="EO50" s="64">
        <v>9.7241400058919693E-7</v>
      </c>
      <c r="EP50" s="64">
        <v>9.7241400058919693E-7</v>
      </c>
      <c r="EQ50" s="64">
        <v>2.9172420017675911E-7</v>
      </c>
      <c r="ER50" s="64">
        <v>2.9172420017675911E-7</v>
      </c>
      <c r="ES50" s="64">
        <v>2.9172420017675911E-7</v>
      </c>
      <c r="ET50" s="64">
        <v>2.9172420017675911E-7</v>
      </c>
      <c r="EU50" s="64">
        <v>6.8068980041243776E-7</v>
      </c>
      <c r="EV50" s="64">
        <v>1.9448280011783941E-7</v>
      </c>
      <c r="EW50" s="64">
        <v>1.9448280011783941E-7</v>
      </c>
      <c r="EX50" s="64">
        <v>1.9448280011783941E-7</v>
      </c>
      <c r="EY50" s="64">
        <v>3.8896560023567871E-7</v>
      </c>
      <c r="EZ50" s="64">
        <v>3.8896560023567871E-7</v>
      </c>
      <c r="FA50" s="64">
        <v>9.7241400058919677E-8</v>
      </c>
      <c r="FB50" s="64">
        <v>1.9448280011783941E-7</v>
      </c>
      <c r="FC50" s="64">
        <v>1.9448280011783941E-7</v>
      </c>
      <c r="FD50" s="64">
        <v>9.7241400058919677E-8</v>
      </c>
      <c r="FE50" s="64">
        <v>2.9172420017675911E-7</v>
      </c>
      <c r="FF50" s="64">
        <v>3.8896560023567871E-7</v>
      </c>
      <c r="FG50" s="64">
        <v>1.9448280011783941E-7</v>
      </c>
      <c r="FH50" s="64">
        <v>9.7241400058919677E-8</v>
      </c>
      <c r="FI50" s="64">
        <v>0</v>
      </c>
      <c r="FJ50" s="64">
        <v>1.9448280011783941E-7</v>
      </c>
      <c r="FK50" s="64">
        <v>1.9448280011783941E-7</v>
      </c>
      <c r="FL50" s="64">
        <v>1.318769843150263E-6</v>
      </c>
      <c r="FM50" s="64">
        <v>1.318769843150263E-6</v>
      </c>
      <c r="FN50" s="64">
        <v>1.318769843150263E-6</v>
      </c>
      <c r="FO50" s="64">
        <v>1.318769843150263E-6</v>
      </c>
      <c r="FP50" s="64">
        <v>0</v>
      </c>
      <c r="FQ50" s="64">
        <v>2.6974837700800829E-6</v>
      </c>
      <c r="FR50" s="64">
        <v>2.6974837700800829E-6</v>
      </c>
      <c r="FS50" s="64">
        <v>2.6974837700800829E-6</v>
      </c>
      <c r="FT50" s="64">
        <v>2.6974837700800829E-6</v>
      </c>
      <c r="FU50" s="64">
        <v>2.6974837700800829E-6</v>
      </c>
      <c r="FV50" s="64">
        <v>2.6974837700800829E-6</v>
      </c>
      <c r="FW50" s="64">
        <v>2.6974837700800829E-6</v>
      </c>
      <c r="FX50" s="64">
        <v>1.37871392692982E-6</v>
      </c>
      <c r="FY50" s="64">
        <v>1.37871392692982E-6</v>
      </c>
      <c r="FZ50" s="64">
        <v>3.2969246078756558E-7</v>
      </c>
      <c r="GA50" s="64">
        <v>3.2969246078756558E-7</v>
      </c>
      <c r="GB50" s="64">
        <v>1.528574136378714E-6</v>
      </c>
      <c r="GC50" s="64">
        <v>1.798322513386722E-7</v>
      </c>
      <c r="GD50" s="64">
        <v>1.798322513386722E-7</v>
      </c>
      <c r="GE50" s="64">
        <v>2.098042932284509E-7</v>
      </c>
      <c r="GF50" s="64">
        <v>7.1932900535468871E-7</v>
      </c>
      <c r="GG50" s="64">
        <v>5.0952471212623779E-7</v>
      </c>
      <c r="GH50" s="64">
        <v>8.9916125669336088E-8</v>
      </c>
      <c r="GI50" s="64">
        <v>1.1988816755911479E-7</v>
      </c>
      <c r="GJ50" s="64">
        <v>5.9944083779557397E-8</v>
      </c>
      <c r="GK50" s="64">
        <v>1.1988816755911479E-7</v>
      </c>
      <c r="GL50" s="64">
        <v>1.019049424252476E-6</v>
      </c>
      <c r="GM50" s="64">
        <v>4.4958062834668051E-7</v>
      </c>
      <c r="GN50" s="64">
        <v>8.9916125669336088E-8</v>
      </c>
      <c r="GO50" s="64">
        <v>2.9972041889778698E-8</v>
      </c>
      <c r="GP50" s="64">
        <v>2.9972041889778698E-8</v>
      </c>
      <c r="GQ50" s="64">
        <v>1.1988816755911479E-7</v>
      </c>
      <c r="GR50" s="64">
        <v>1.1988816755911479E-7</v>
      </c>
      <c r="GS50" s="64">
        <v>2.9972041889778698E-8</v>
      </c>
      <c r="GT50" s="64">
        <v>2.9972041889778698E-8</v>
      </c>
      <c r="GU50" s="64">
        <v>2.9972041889778698E-8</v>
      </c>
      <c r="GV50" s="64">
        <v>2.9972041889778698E-8</v>
      </c>
      <c r="GW50" s="64">
        <v>0</v>
      </c>
      <c r="GX50" s="64">
        <v>8.9916125669336088E-8</v>
      </c>
      <c r="GY50" s="64">
        <v>8.9916125669336088E-8</v>
      </c>
      <c r="GZ50" s="64">
        <v>8.9916125669336088E-8</v>
      </c>
      <c r="HA50" s="64">
        <v>8.9916125669336088E-8</v>
      </c>
      <c r="HB50" s="64">
        <v>8.9916125669336088E-8</v>
      </c>
      <c r="HC50" s="64">
        <v>8.9916125669336088E-8</v>
      </c>
      <c r="HD50" s="64">
        <v>8.9916125669336088E-8</v>
      </c>
      <c r="HE50" s="64">
        <v>1.1988816755911479E-7</v>
      </c>
      <c r="HF50" s="64">
        <v>1.1988816755911479E-7</v>
      </c>
      <c r="HG50" s="64">
        <v>5.9944083779557397E-8</v>
      </c>
      <c r="HH50" s="64">
        <v>5.9944083779557397E-8</v>
      </c>
      <c r="HI50" s="64">
        <v>1.798322513386722E-7</v>
      </c>
      <c r="HJ50" s="64">
        <v>5.9944083779557397E-8</v>
      </c>
      <c r="HK50" s="64">
        <v>5.9944083779557397E-8</v>
      </c>
      <c r="HL50" s="64">
        <v>5.9944083779557397E-8</v>
      </c>
      <c r="HM50" s="64">
        <v>1.4986020944889351E-7</v>
      </c>
      <c r="HN50" s="64">
        <v>1.4986020944889351E-7</v>
      </c>
      <c r="HO50" s="64">
        <v>5.9944083779557397E-8</v>
      </c>
      <c r="HP50" s="64">
        <v>8.9916125669336088E-8</v>
      </c>
      <c r="HQ50" s="64">
        <v>8.9916125669336088E-8</v>
      </c>
      <c r="HR50" s="64">
        <v>5.9944083779557397E-8</v>
      </c>
      <c r="HS50" s="64">
        <v>8.9916125669336088E-8</v>
      </c>
      <c r="HT50" s="64">
        <v>2.3977633511822959E-7</v>
      </c>
      <c r="HU50" s="64">
        <v>8.9916125669336088E-8</v>
      </c>
      <c r="HV50" s="64">
        <v>2.9972041889778698E-8</v>
      </c>
      <c r="HW50" s="64">
        <v>0</v>
      </c>
      <c r="HX50" s="64">
        <v>5.9944083779557397E-8</v>
      </c>
      <c r="HY50" s="64">
        <v>5.9944083779557397E-8</v>
      </c>
      <c r="HZ50" s="64">
        <v>1.1686399816896881E-7</v>
      </c>
      <c r="IA50" s="64">
        <v>1.1686399816896881E-7</v>
      </c>
      <c r="IB50" s="64">
        <v>1.1686399816896881E-7</v>
      </c>
      <c r="IC50" s="64">
        <v>1.1686399816896881E-7</v>
      </c>
      <c r="ID50" s="64">
        <v>0</v>
      </c>
      <c r="IE50" s="64">
        <v>2.0443650325682649E-7</v>
      </c>
      <c r="IF50" s="64">
        <v>2.0443650325682649E-7</v>
      </c>
      <c r="IG50" s="64">
        <v>2.0443650325682649E-7</v>
      </c>
      <c r="IH50" s="64">
        <v>2.0443650325682649E-7</v>
      </c>
      <c r="II50" s="64">
        <v>2.0443650325682649E-7</v>
      </c>
      <c r="IJ50" s="64">
        <v>2.0443650325682649E-7</v>
      </c>
      <c r="IK50" s="64">
        <v>2.0443650325682649E-7</v>
      </c>
      <c r="IL50" s="64">
        <v>1.087106959711337E-8</v>
      </c>
      <c r="IM50" s="64">
        <v>1.087106959711337E-8</v>
      </c>
      <c r="IN50" s="64">
        <v>4.2276381766552012E-8</v>
      </c>
      <c r="IO50" s="64">
        <v>4.2276381766552012E-8</v>
      </c>
      <c r="IP50" s="64">
        <v>3.8652691900847551E-8</v>
      </c>
      <c r="IQ50" s="64">
        <v>6.9454055759335446E-9</v>
      </c>
      <c r="IR50" s="64">
        <v>4.8315864876059438E-9</v>
      </c>
      <c r="IS50" s="64">
        <v>6.0394831095074308E-9</v>
      </c>
      <c r="IT50" s="64">
        <v>7.2473797314089161E-9</v>
      </c>
      <c r="IU50" s="64">
        <v>1.6608578551145431E-8</v>
      </c>
      <c r="IV50" s="64">
        <v>4.2276381766552007E-9</v>
      </c>
      <c r="IW50" s="64">
        <v>6.6434314204581731E-9</v>
      </c>
      <c r="IX50" s="64">
        <v>6.3414572649828024E-9</v>
      </c>
      <c r="IY50" s="64">
        <v>6.0394831095074308E-9</v>
      </c>
      <c r="IZ50" s="64">
        <v>2.929149308111104E-8</v>
      </c>
      <c r="JA50" s="64">
        <v>1.358883699639172E-8</v>
      </c>
      <c r="JB50" s="64">
        <v>4.5296123321305723E-9</v>
      </c>
      <c r="JC50" s="64">
        <v>1.5098707773768579E-9</v>
      </c>
      <c r="JD50" s="64">
        <v>9.0592246642611452E-10</v>
      </c>
      <c r="JE50" s="64">
        <v>1.8722397639473031E-8</v>
      </c>
      <c r="JF50" s="64">
        <v>1.8722397639473031E-8</v>
      </c>
      <c r="JG50" s="64">
        <v>7.8526749751220191E-6</v>
      </c>
      <c r="JH50" s="64">
        <v>7.8526749751220191E-6</v>
      </c>
      <c r="JI50" s="64">
        <v>7.8526749751220191E-6</v>
      </c>
      <c r="JJ50" s="64">
        <v>7.8526749751220191E-6</v>
      </c>
      <c r="JK50" s="64">
        <v>0</v>
      </c>
      <c r="JL50" s="64">
        <v>5.9284698857982257E-5</v>
      </c>
      <c r="JM50" s="64">
        <v>5.9284698857982257E-5</v>
      </c>
      <c r="JN50" s="64">
        <v>5.9284698857982257E-5</v>
      </c>
      <c r="JO50" s="64">
        <v>5.9284698857982257E-5</v>
      </c>
      <c r="JP50" s="64">
        <v>5.9284698857982257E-5</v>
      </c>
      <c r="JQ50" s="64">
        <v>5.9284698857982257E-5</v>
      </c>
      <c r="JR50" s="64">
        <v>5.9284698857982257E-5</v>
      </c>
      <c r="JS50" s="64">
        <v>1.144932000189546E-5</v>
      </c>
      <c r="JT50" s="64">
        <v>1.144932000189546E-5</v>
      </c>
      <c r="JU50" s="64">
        <v>3.8364213618916734E-6</v>
      </c>
      <c r="JV50" s="64">
        <v>3.8364213618916734E-6</v>
      </c>
      <c r="JW50" s="64">
        <v>3.0691370895133387E-5</v>
      </c>
      <c r="JX50" s="64">
        <v>2.367791309292517E-6</v>
      </c>
      <c r="JY50" s="64">
        <v>4.4958062834668043E-6</v>
      </c>
      <c r="JZ50" s="64">
        <v>3.5666729848836649E-6</v>
      </c>
      <c r="KA50" s="64">
        <v>6.8635975927593214E-6</v>
      </c>
      <c r="KB50" s="64">
        <v>7.3731223048855596E-6</v>
      </c>
      <c r="KC50" s="64">
        <v>2.4876794768516319E-6</v>
      </c>
      <c r="KD50" s="64">
        <v>2.75742785385964E-6</v>
      </c>
      <c r="KE50" s="64">
        <v>3.5367009429938862E-6</v>
      </c>
      <c r="KF50" s="64">
        <v>2.967232147088091E-6</v>
      </c>
      <c r="KG50" s="64">
        <v>6.1083021371368973E-5</v>
      </c>
      <c r="KH50" s="64">
        <v>8.4820878548073705E-6</v>
      </c>
      <c r="KI50" s="64">
        <v>4.3459460740179108E-6</v>
      </c>
      <c r="KJ50" s="64">
        <v>2.5775956025209681E-6</v>
      </c>
      <c r="KK50" s="64">
        <v>1.888238639056058E-6</v>
      </c>
      <c r="KL50" s="64">
        <v>1.8642610055442349E-5</v>
      </c>
      <c r="KM50" s="64">
        <v>1.8642610055442349E-5</v>
      </c>
      <c r="KN50" s="64">
        <v>1.1988816755911479E-7</v>
      </c>
      <c r="KO50" s="64">
        <v>1.1988816755911479E-7</v>
      </c>
      <c r="KP50" s="64">
        <v>1.1988816755911479E-7</v>
      </c>
      <c r="KQ50" s="64">
        <v>1.1988816755911479E-7</v>
      </c>
      <c r="KR50" s="64">
        <v>0</v>
      </c>
      <c r="KS50" s="64">
        <v>1.798322513386722E-7</v>
      </c>
      <c r="KT50" s="64">
        <v>1.798322513386722E-7</v>
      </c>
      <c r="KU50" s="64">
        <v>1.798322513386722E-7</v>
      </c>
      <c r="KV50" s="64">
        <v>1.798322513386722E-7</v>
      </c>
      <c r="KW50" s="64">
        <v>1.798322513386722E-7</v>
      </c>
      <c r="KX50" s="64">
        <v>1.798322513386722E-7</v>
      </c>
      <c r="KY50" s="64">
        <v>1.798322513386722E-7</v>
      </c>
      <c r="KZ50" s="64">
        <v>1.4986020944889351E-7</v>
      </c>
      <c r="LA50" s="64">
        <v>1.4986020944889351E-7</v>
      </c>
      <c r="LB50" s="64">
        <v>8.9916125669336088E-8</v>
      </c>
      <c r="LC50" s="64">
        <v>8.9916125669336088E-8</v>
      </c>
      <c r="LD50" s="64">
        <v>3.2969246078756558E-7</v>
      </c>
      <c r="LE50" s="64">
        <v>8.9916125669336088E-8</v>
      </c>
      <c r="LF50" s="64">
        <v>1.1988816755911479E-7</v>
      </c>
      <c r="LG50" s="64">
        <v>8.9916125669336088E-8</v>
      </c>
      <c r="LH50" s="64">
        <v>2.697483770080083E-7</v>
      </c>
      <c r="LI50" s="64">
        <v>2.098042932284509E-7</v>
      </c>
      <c r="LJ50" s="64">
        <v>1.798322513386722E-7</v>
      </c>
      <c r="LK50" s="64">
        <v>5.9944083779557397E-8</v>
      </c>
      <c r="LL50" s="64">
        <v>1.1988816755911479E-7</v>
      </c>
      <c r="LM50" s="64">
        <v>8.9916125669336088E-8</v>
      </c>
      <c r="LN50" s="64">
        <v>1.1988816755911479E-7</v>
      </c>
      <c r="LO50" s="64">
        <v>7.7927308913424604E-7</v>
      </c>
      <c r="LP50" s="64">
        <v>1.4986020944889351E-7</v>
      </c>
      <c r="LQ50" s="64">
        <v>2.9972041889778698E-8</v>
      </c>
      <c r="LR50" s="64">
        <v>0</v>
      </c>
      <c r="LS50" s="64">
        <v>1.4986020944889351E-7</v>
      </c>
      <c r="LT50" s="64">
        <v>1.4986020944889351E-7</v>
      </c>
      <c r="LU50" s="64">
        <v>6.8965627676949241E-8</v>
      </c>
      <c r="LV50" s="64">
        <v>6.8965627676949241E-8</v>
      </c>
      <c r="LW50" s="64">
        <v>6.8965627676949241E-8</v>
      </c>
      <c r="LX50" s="64">
        <v>6.8965627676949241E-8</v>
      </c>
      <c r="LY50" s="64">
        <v>0</v>
      </c>
      <c r="LZ50" s="64">
        <v>1.9310375749545789E-7</v>
      </c>
      <c r="MA50" s="64">
        <v>1.9310375749545789E-7</v>
      </c>
      <c r="MB50" s="64">
        <v>1.9310375749545789E-7</v>
      </c>
      <c r="MC50" s="64">
        <v>1.9310375749545789E-7</v>
      </c>
      <c r="MD50" s="64">
        <v>1.9310375749545789E-7</v>
      </c>
      <c r="ME50" s="64">
        <v>1.9310375749545789E-7</v>
      </c>
      <c r="MF50" s="64">
        <v>1.9310375749545789E-7</v>
      </c>
      <c r="MG50" s="64">
        <v>1.3793125535389851E-7</v>
      </c>
      <c r="MH50" s="64">
        <v>1.3793125535389851E-7</v>
      </c>
      <c r="MI50" s="64">
        <v>5.5172502141559383E-8</v>
      </c>
      <c r="MJ50" s="64">
        <v>5.5172502141559383E-8</v>
      </c>
      <c r="MK50" s="64">
        <v>2.6206938517240711E-7</v>
      </c>
      <c r="ML50" s="64">
        <v>5.5172502141559383E-8</v>
      </c>
      <c r="MM50" s="64">
        <v>4.1379376606169537E-8</v>
      </c>
      <c r="MN50" s="64">
        <v>4.1379376606169537E-8</v>
      </c>
      <c r="MO50" s="64">
        <v>1.103450042831188E-7</v>
      </c>
      <c r="MP50" s="64">
        <v>1.103450042831188E-7</v>
      </c>
      <c r="MQ50" s="64">
        <v>4.1379376606169537E-8</v>
      </c>
      <c r="MR50" s="64">
        <v>5.5172502141559383E-8</v>
      </c>
      <c r="MS50" s="64">
        <v>5.5172502141559383E-8</v>
      </c>
      <c r="MT50" s="64">
        <v>4.1379376606169537E-8</v>
      </c>
      <c r="MU50" s="64">
        <v>1.241381298185086E-7</v>
      </c>
      <c r="MV50" s="64">
        <v>1.3793125535389851E-7</v>
      </c>
      <c r="MW50" s="64">
        <v>5.5172502141559383E-8</v>
      </c>
      <c r="MX50" s="64">
        <v>1.3793125535389851E-8</v>
      </c>
      <c r="MY50" s="64">
        <v>1.3793125535389851E-8</v>
      </c>
      <c r="MZ50" s="64">
        <v>5.5172502141559383E-8</v>
      </c>
      <c r="NA50" s="64">
        <v>5.5172502141559383E-8</v>
      </c>
      <c r="NB50" s="64"/>
      <c r="NC50" s="64"/>
      <c r="ND50" s="64"/>
      <c r="NE50" s="64"/>
      <c r="NF50" s="64"/>
      <c r="NG50" s="64"/>
      <c r="NH50" s="64"/>
      <c r="NI50" s="64"/>
      <c r="NJ50" s="64"/>
      <c r="NK50" s="64"/>
      <c r="NL50" s="64"/>
      <c r="NM50" s="64"/>
      <c r="NN50" s="64"/>
      <c r="NO50" s="64"/>
      <c r="NP50" s="64"/>
      <c r="NQ50" s="64"/>
      <c r="NR50" s="64"/>
      <c r="NS50" s="64"/>
      <c r="NT50" s="64"/>
      <c r="NU50" s="64"/>
      <c r="NV50" s="64"/>
      <c r="NW50" s="64"/>
      <c r="NX50" s="64"/>
      <c r="NY50" s="64"/>
      <c r="NZ50" s="64"/>
      <c r="OA50" s="64"/>
      <c r="OB50" s="64"/>
      <c r="OC50" s="64"/>
      <c r="OD50" s="64"/>
      <c r="OE50" s="64"/>
      <c r="OF50" s="64"/>
      <c r="OG50" s="64"/>
      <c r="OH50" s="64"/>
      <c r="OI50" s="64"/>
      <c r="OJ50" s="64"/>
      <c r="OK50" s="64"/>
      <c r="OL50" s="64"/>
      <c r="OM50" s="64"/>
      <c r="ON50" s="64"/>
      <c r="OO50" s="64"/>
      <c r="OP50" s="64"/>
      <c r="OQ50" s="64"/>
      <c r="OR50" s="64"/>
      <c r="OS50" s="64"/>
    </row>
    <row r="51" spans="1:409">
      <c r="A51" s="64" t="s">
        <v>607</v>
      </c>
      <c r="B51" s="64" t="s">
        <v>591</v>
      </c>
      <c r="C51" s="64">
        <v>4.8978145456055695E-4</v>
      </c>
      <c r="D51" s="64">
        <v>1.3365498459581871E-2</v>
      </c>
      <c r="E51" s="64">
        <v>2.5380445296040518E-4</v>
      </c>
      <c r="F51" s="64">
        <v>2.8383014886959872E-2</v>
      </c>
      <c r="G51" s="64">
        <v>0</v>
      </c>
      <c r="H51" s="64">
        <v>1.7666917814250661E-2</v>
      </c>
      <c r="I51" s="64">
        <v>6.3167172279994651E-4</v>
      </c>
      <c r="J51" s="64">
        <v>2.3908270982875179E-2</v>
      </c>
      <c r="K51" s="64">
        <v>2.0288564231696119E-2</v>
      </c>
      <c r="L51" s="64">
        <v>2.80619827540075E-4</v>
      </c>
      <c r="M51" s="64">
        <v>0.96460852779989303</v>
      </c>
      <c r="N51" s="64">
        <v>2.8483236003250069E-2</v>
      </c>
      <c r="O51" s="64">
        <v>2.036836120821177E-4</v>
      </c>
      <c r="P51" s="64">
        <v>1.360326348701485E-3</v>
      </c>
      <c r="Q51" s="64">
        <v>2.7864075369347441E-4</v>
      </c>
      <c r="R51" s="64">
        <v>3.6083678650220962E-4</v>
      </c>
      <c r="S51" s="64">
        <v>1.2973627532246811E-2</v>
      </c>
      <c r="T51" s="64">
        <v>1.058851979692839E-4</v>
      </c>
      <c r="U51" s="64">
        <v>4.9091884980463629E-4</v>
      </c>
      <c r="V51" s="64">
        <v>2.3838629500940101E-4</v>
      </c>
      <c r="W51" s="64">
        <v>1.2462587092861241E-3</v>
      </c>
      <c r="X51" s="64">
        <v>1.053513678627694E-3</v>
      </c>
      <c r="Y51" s="64">
        <v>1.369490609368481E-4</v>
      </c>
      <c r="Z51" s="64">
        <v>2.5771310097800289E-4</v>
      </c>
      <c r="AA51" s="64">
        <v>8.2747757011385453E-4</v>
      </c>
      <c r="AB51" s="64">
        <v>1.2335837810547041E-3</v>
      </c>
      <c r="AC51" s="64">
        <v>5.2895792021764631E-3</v>
      </c>
      <c r="AD51" s="64">
        <v>1.2059371627895839E-3</v>
      </c>
      <c r="AE51" s="64">
        <v>4.1895907788202819E-4</v>
      </c>
      <c r="AF51" s="64">
        <v>1.3195083800020759E-4</v>
      </c>
      <c r="AG51" s="64">
        <v>2.6104845979452933E-4</v>
      </c>
      <c r="AH51" s="64">
        <v>4.883269155972798E-3</v>
      </c>
      <c r="AI51" s="64">
        <v>4.4236499274806773E-3</v>
      </c>
      <c r="AJ51" s="64">
        <v>8.3207682004934743E-7</v>
      </c>
      <c r="AK51" s="64">
        <v>8.3207682004934743E-7</v>
      </c>
      <c r="AL51" s="64">
        <v>8.3207682004934743E-7</v>
      </c>
      <c r="AM51" s="64">
        <v>8.3207682004934743E-7</v>
      </c>
      <c r="AN51" s="64">
        <v>0</v>
      </c>
      <c r="AO51" s="64">
        <v>5.9434058574953397E-7</v>
      </c>
      <c r="AP51" s="64">
        <v>5.9434058574953397E-7</v>
      </c>
      <c r="AQ51" s="64">
        <v>5.9434058574953397E-7</v>
      </c>
      <c r="AR51" s="64">
        <v>5.9434058574953397E-7</v>
      </c>
      <c r="AS51" s="64">
        <v>5.9434058574953397E-7</v>
      </c>
      <c r="AT51" s="64">
        <v>5.9434058574953397E-7</v>
      </c>
      <c r="AU51" s="64">
        <v>5.9434058574953397E-7</v>
      </c>
      <c r="AV51" s="64">
        <v>5.9434058574953397E-7</v>
      </c>
      <c r="AW51" s="64">
        <v>5.9434058574953397E-7</v>
      </c>
      <c r="AX51" s="64">
        <v>5.0518949788710381E-7</v>
      </c>
      <c r="AY51" s="64">
        <v>5.0518949788710381E-7</v>
      </c>
      <c r="AZ51" s="64">
        <v>2.6745326358729021E-6</v>
      </c>
      <c r="BA51" s="64">
        <v>4.1603841002467371E-7</v>
      </c>
      <c r="BB51" s="64">
        <v>2.674532635872902E-7</v>
      </c>
      <c r="BC51" s="64">
        <v>2.9717029287476698E-7</v>
      </c>
      <c r="BD51" s="64">
        <v>5.9434058574953397E-7</v>
      </c>
      <c r="BE51" s="64">
        <v>5.9434058574953397E-7</v>
      </c>
      <c r="BF51" s="64">
        <v>8.9151087862430087E-8</v>
      </c>
      <c r="BG51" s="64">
        <v>2.674532635872902E-7</v>
      </c>
      <c r="BH51" s="64">
        <v>8.9151087862430087E-8</v>
      </c>
      <c r="BI51" s="64">
        <v>1.783021757248602E-7</v>
      </c>
      <c r="BJ51" s="64">
        <v>2.674532635872902E-7</v>
      </c>
      <c r="BK51" s="64">
        <v>2.0801920501233691E-7</v>
      </c>
      <c r="BL51" s="64">
        <v>5.9434058574953378E-8</v>
      </c>
      <c r="BM51" s="64">
        <v>0</v>
      </c>
      <c r="BN51" s="64">
        <v>0</v>
      </c>
      <c r="BO51" s="64">
        <v>8.9151087862430087E-8</v>
      </c>
      <c r="BP51" s="64">
        <v>8.9151087862430087E-8</v>
      </c>
      <c r="BQ51" s="64">
        <v>6.7750516974701896E-8</v>
      </c>
      <c r="BR51" s="64">
        <v>6.7750516974701896E-8</v>
      </c>
      <c r="BS51" s="64">
        <v>6.7750516974701896E-8</v>
      </c>
      <c r="BT51" s="64">
        <v>6.7750516974701896E-8</v>
      </c>
      <c r="BU51" s="64">
        <v>0</v>
      </c>
      <c r="BV51" s="64">
        <v>1.185634047057283E-7</v>
      </c>
      <c r="BW51" s="64">
        <v>1.185634047057283E-7</v>
      </c>
      <c r="BX51" s="64">
        <v>1.185634047057283E-7</v>
      </c>
      <c r="BY51" s="64">
        <v>1.185634047057283E-7</v>
      </c>
      <c r="BZ51" s="64">
        <v>1.185634047057283E-7</v>
      </c>
      <c r="CA51" s="64">
        <v>1.185634047057283E-7</v>
      </c>
      <c r="CB51" s="64">
        <v>1.185634047057283E-7</v>
      </c>
      <c r="CC51" s="64">
        <v>1.5243866319307931E-7</v>
      </c>
      <c r="CD51" s="64">
        <v>1.5243866319307931E-7</v>
      </c>
      <c r="CE51" s="64">
        <v>6.7750516974701896E-8</v>
      </c>
      <c r="CF51" s="64">
        <v>6.7750516974701896E-8</v>
      </c>
      <c r="CG51" s="64">
        <v>2.7100206789880758E-7</v>
      </c>
      <c r="CH51" s="64">
        <v>5.0812887731026432E-8</v>
      </c>
      <c r="CI51" s="64">
        <v>6.7750516974701896E-8</v>
      </c>
      <c r="CJ51" s="64">
        <v>5.0812887731026432E-8</v>
      </c>
      <c r="CK51" s="64">
        <v>1.3550103394940379E-7</v>
      </c>
      <c r="CL51" s="64">
        <v>1.185634047057283E-7</v>
      </c>
      <c r="CM51" s="64">
        <v>5.0812887731026432E-8</v>
      </c>
      <c r="CN51" s="64">
        <v>5.0812887731026432E-8</v>
      </c>
      <c r="CO51" s="64">
        <v>3.3875258487350948E-8</v>
      </c>
      <c r="CP51" s="64">
        <v>5.0812887731026432E-8</v>
      </c>
      <c r="CQ51" s="64">
        <v>6.7750516974701896E-8</v>
      </c>
      <c r="CR51" s="64">
        <v>1.8631392168043021E-7</v>
      </c>
      <c r="CS51" s="64">
        <v>5.0812887731026432E-8</v>
      </c>
      <c r="CT51" s="64">
        <v>1.6937629243675471E-8</v>
      </c>
      <c r="CU51" s="64">
        <v>0</v>
      </c>
      <c r="CV51" s="64">
        <v>5.0812887731026432E-8</v>
      </c>
      <c r="CW51" s="64">
        <v>5.0812887731026432E-8</v>
      </c>
      <c r="CX51" s="64">
        <v>2.1562495063892961E-7</v>
      </c>
      <c r="CY51" s="64">
        <v>2.1562495063892961E-7</v>
      </c>
      <c r="CZ51" s="64">
        <v>2.1562495063892961E-7</v>
      </c>
      <c r="DA51" s="64">
        <v>2.1562495063892961E-7</v>
      </c>
      <c r="DB51" s="64">
        <v>0</v>
      </c>
      <c r="DC51" s="64">
        <v>3.2343742595839451E-7</v>
      </c>
      <c r="DD51" s="64">
        <v>3.2343742595839451E-7</v>
      </c>
      <c r="DE51" s="64">
        <v>3.2343742595839451E-7</v>
      </c>
      <c r="DF51" s="64">
        <v>3.2343742595839451E-7</v>
      </c>
      <c r="DG51" s="64">
        <v>3.2343742595839451E-7</v>
      </c>
      <c r="DH51" s="64">
        <v>3.2343742595839451E-7</v>
      </c>
      <c r="DI51" s="64">
        <v>3.2343742595839451E-7</v>
      </c>
      <c r="DJ51" s="64">
        <v>4.3124990127785932E-7</v>
      </c>
      <c r="DK51" s="64">
        <v>4.3124990127785932E-7</v>
      </c>
      <c r="DL51" s="64">
        <v>3.2343742595839451E-7</v>
      </c>
      <c r="DM51" s="64">
        <v>3.2343742595839451E-7</v>
      </c>
      <c r="DN51" s="64">
        <v>1.078124753194648E-6</v>
      </c>
      <c r="DO51" s="64">
        <v>3.2343742595839451E-7</v>
      </c>
      <c r="DP51" s="64">
        <v>3.2343742595839451E-7</v>
      </c>
      <c r="DQ51" s="64">
        <v>3.2343742595839451E-7</v>
      </c>
      <c r="DR51" s="64">
        <v>7.5468732723625372E-7</v>
      </c>
      <c r="DS51" s="64">
        <v>4.3124990127785932E-7</v>
      </c>
      <c r="DT51" s="64">
        <v>2.1562495063892961E-7</v>
      </c>
      <c r="DU51" s="64">
        <v>4.3124990127785932E-7</v>
      </c>
      <c r="DV51" s="64">
        <v>3.2343742595839451E-7</v>
      </c>
      <c r="DW51" s="64">
        <v>2.1562495063892961E-7</v>
      </c>
      <c r="DX51" s="64">
        <v>2.1562495063892961E-7</v>
      </c>
      <c r="DY51" s="64">
        <v>5.3906237659732419E-7</v>
      </c>
      <c r="DZ51" s="64">
        <v>1.078124753194648E-7</v>
      </c>
      <c r="EA51" s="64">
        <v>0</v>
      </c>
      <c r="EB51" s="64">
        <v>0</v>
      </c>
      <c r="EC51" s="64">
        <v>3.2343742595839451E-7</v>
      </c>
      <c r="ED51" s="64">
        <v>3.2343742595839451E-7</v>
      </c>
      <c r="EE51" s="64">
        <v>8.1809630357556501E-7</v>
      </c>
      <c r="EF51" s="64">
        <v>8.1809630357556501E-7</v>
      </c>
      <c r="EG51" s="64">
        <v>8.1809630357556501E-7</v>
      </c>
      <c r="EH51" s="64">
        <v>8.1809630357556501E-7</v>
      </c>
      <c r="EI51" s="64">
        <v>0</v>
      </c>
      <c r="EJ51" s="64">
        <v>2.7269876785852171E-6</v>
      </c>
      <c r="EK51" s="64">
        <v>2.7269876785852171E-6</v>
      </c>
      <c r="EL51" s="64">
        <v>2.7269876785852171E-6</v>
      </c>
      <c r="EM51" s="64">
        <v>2.7269876785852171E-6</v>
      </c>
      <c r="EN51" s="64">
        <v>2.7269876785852171E-6</v>
      </c>
      <c r="EO51" s="64">
        <v>2.7269876785852171E-6</v>
      </c>
      <c r="EP51" s="64">
        <v>2.7269876785852171E-6</v>
      </c>
      <c r="EQ51" s="64">
        <v>8.1809630357556501E-7</v>
      </c>
      <c r="ER51" s="64">
        <v>8.1809630357556501E-7</v>
      </c>
      <c r="ES51" s="64">
        <v>8.1809630357556501E-7</v>
      </c>
      <c r="ET51" s="64">
        <v>8.1809630357556501E-7</v>
      </c>
      <c r="EU51" s="64">
        <v>1.9088913750096522E-6</v>
      </c>
      <c r="EV51" s="64">
        <v>5.4539753571704331E-7</v>
      </c>
      <c r="EW51" s="64">
        <v>5.4539753571704331E-7</v>
      </c>
      <c r="EX51" s="64">
        <v>5.4539753571704331E-7</v>
      </c>
      <c r="EY51" s="64">
        <v>1.090795071434087E-6</v>
      </c>
      <c r="EZ51" s="64">
        <v>1.090795071434087E-6</v>
      </c>
      <c r="FA51" s="64">
        <v>2.7269876785852171E-7</v>
      </c>
      <c r="FB51" s="64">
        <v>5.4539753571704331E-7</v>
      </c>
      <c r="FC51" s="64">
        <v>5.4539753571704331E-7</v>
      </c>
      <c r="FD51" s="64">
        <v>2.7269876785852171E-7</v>
      </c>
      <c r="FE51" s="64">
        <v>8.1809630357556501E-7</v>
      </c>
      <c r="FF51" s="64">
        <v>1.090795071434087E-6</v>
      </c>
      <c r="FG51" s="64">
        <v>5.4539753571704331E-7</v>
      </c>
      <c r="FH51" s="64">
        <v>2.7269876785852171E-7</v>
      </c>
      <c r="FI51" s="64">
        <v>0</v>
      </c>
      <c r="FJ51" s="64">
        <v>5.4539753571704331E-7</v>
      </c>
      <c r="FK51" s="64">
        <v>5.4539753571704331E-7</v>
      </c>
      <c r="FL51" s="64">
        <v>4.7437489140564524E-6</v>
      </c>
      <c r="FM51" s="64">
        <v>4.7437489140564524E-6</v>
      </c>
      <c r="FN51" s="64">
        <v>4.7437489140564524E-6</v>
      </c>
      <c r="FO51" s="64">
        <v>4.7437489140564524E-6</v>
      </c>
      <c r="FP51" s="64">
        <v>0</v>
      </c>
      <c r="FQ51" s="64">
        <v>9.7031227787518346E-6</v>
      </c>
      <c r="FR51" s="64">
        <v>9.7031227787518346E-6</v>
      </c>
      <c r="FS51" s="64">
        <v>9.7031227787518346E-6</v>
      </c>
      <c r="FT51" s="64">
        <v>9.7031227787518346E-6</v>
      </c>
      <c r="FU51" s="64">
        <v>9.7031227787518346E-6</v>
      </c>
      <c r="FV51" s="64">
        <v>9.7031227787518346E-6</v>
      </c>
      <c r="FW51" s="64">
        <v>9.7031227787518346E-6</v>
      </c>
      <c r="FX51" s="64">
        <v>4.9593738646953814E-6</v>
      </c>
      <c r="FY51" s="64">
        <v>4.9593738646953814E-6</v>
      </c>
      <c r="FZ51" s="64">
        <v>1.1859372285141131E-6</v>
      </c>
      <c r="GA51" s="64">
        <v>1.1859372285141131E-6</v>
      </c>
      <c r="GB51" s="64">
        <v>5.498436241292706E-6</v>
      </c>
      <c r="GC51" s="64">
        <v>6.4687485191678891E-7</v>
      </c>
      <c r="GD51" s="64">
        <v>6.4687485191678891E-7</v>
      </c>
      <c r="GE51" s="64">
        <v>7.5468732723625372E-7</v>
      </c>
      <c r="GF51" s="64">
        <v>2.587499407667156E-6</v>
      </c>
      <c r="GG51" s="64">
        <v>1.832812080430902E-6</v>
      </c>
      <c r="GH51" s="64">
        <v>3.2343742595839451E-7</v>
      </c>
      <c r="GI51" s="64">
        <v>4.3124990127785932E-7</v>
      </c>
      <c r="GJ51" s="64">
        <v>2.1562495063892961E-7</v>
      </c>
      <c r="GK51" s="64">
        <v>4.3124990127785932E-7</v>
      </c>
      <c r="GL51" s="64">
        <v>3.665624160861804E-6</v>
      </c>
      <c r="GM51" s="64">
        <v>1.6171871297919719E-6</v>
      </c>
      <c r="GN51" s="64">
        <v>3.2343742595839451E-7</v>
      </c>
      <c r="GO51" s="64">
        <v>1.078124753194648E-7</v>
      </c>
      <c r="GP51" s="64">
        <v>1.078124753194648E-7</v>
      </c>
      <c r="GQ51" s="64">
        <v>4.3124990127785932E-7</v>
      </c>
      <c r="GR51" s="64">
        <v>4.3124990127785932E-7</v>
      </c>
      <c r="GS51" s="64">
        <v>1.078124753194648E-7</v>
      </c>
      <c r="GT51" s="64">
        <v>1.078124753194648E-7</v>
      </c>
      <c r="GU51" s="64">
        <v>1.078124753194648E-7</v>
      </c>
      <c r="GV51" s="64">
        <v>1.078124753194648E-7</v>
      </c>
      <c r="GW51" s="64">
        <v>0</v>
      </c>
      <c r="GX51" s="64">
        <v>3.2343742595839451E-7</v>
      </c>
      <c r="GY51" s="64">
        <v>3.2343742595839451E-7</v>
      </c>
      <c r="GZ51" s="64">
        <v>3.2343742595839451E-7</v>
      </c>
      <c r="HA51" s="64">
        <v>3.2343742595839451E-7</v>
      </c>
      <c r="HB51" s="64">
        <v>3.2343742595839451E-7</v>
      </c>
      <c r="HC51" s="64">
        <v>3.2343742595839451E-7</v>
      </c>
      <c r="HD51" s="64">
        <v>3.2343742595839451E-7</v>
      </c>
      <c r="HE51" s="64">
        <v>4.3124990127785932E-7</v>
      </c>
      <c r="HF51" s="64">
        <v>4.3124990127785932E-7</v>
      </c>
      <c r="HG51" s="64">
        <v>2.1562495063892961E-7</v>
      </c>
      <c r="HH51" s="64">
        <v>2.1562495063892961E-7</v>
      </c>
      <c r="HI51" s="64">
        <v>6.4687485191678891E-7</v>
      </c>
      <c r="HJ51" s="64">
        <v>2.1562495063892961E-7</v>
      </c>
      <c r="HK51" s="64">
        <v>2.1562495063892961E-7</v>
      </c>
      <c r="HL51" s="64">
        <v>2.1562495063892961E-7</v>
      </c>
      <c r="HM51" s="64">
        <v>5.3906237659732419E-7</v>
      </c>
      <c r="HN51" s="64">
        <v>5.3906237659732419E-7</v>
      </c>
      <c r="HO51" s="64">
        <v>2.1562495063892961E-7</v>
      </c>
      <c r="HP51" s="64">
        <v>3.2343742595839451E-7</v>
      </c>
      <c r="HQ51" s="64">
        <v>3.2343742595839451E-7</v>
      </c>
      <c r="HR51" s="64">
        <v>2.1562495063892961E-7</v>
      </c>
      <c r="HS51" s="64">
        <v>3.2343742595839451E-7</v>
      </c>
      <c r="HT51" s="64">
        <v>8.6249980255571854E-7</v>
      </c>
      <c r="HU51" s="64">
        <v>3.2343742595839451E-7</v>
      </c>
      <c r="HV51" s="64">
        <v>1.078124753194648E-7</v>
      </c>
      <c r="HW51" s="64">
        <v>0</v>
      </c>
      <c r="HX51" s="64">
        <v>2.1562495063892961E-7</v>
      </c>
      <c r="HY51" s="64">
        <v>2.1562495063892961E-7</v>
      </c>
      <c r="HZ51" s="64">
        <v>8.2983963350144775E-6</v>
      </c>
      <c r="IA51" s="64">
        <v>8.2983963350144775E-6</v>
      </c>
      <c r="IB51" s="64">
        <v>8.2983963350144775E-6</v>
      </c>
      <c r="IC51" s="64">
        <v>8.2983963350144775E-6</v>
      </c>
      <c r="ID51" s="64">
        <v>0</v>
      </c>
      <c r="IE51" s="64">
        <v>1.451683286512869E-5</v>
      </c>
      <c r="IF51" s="64">
        <v>1.451683286512869E-5</v>
      </c>
      <c r="IG51" s="64">
        <v>1.451683286512869E-5</v>
      </c>
      <c r="IH51" s="64">
        <v>1.451683286512869E-5</v>
      </c>
      <c r="II51" s="64">
        <v>1.451683286512869E-5</v>
      </c>
      <c r="IJ51" s="64">
        <v>1.451683286512869E-5</v>
      </c>
      <c r="IK51" s="64">
        <v>1.451683286512869E-5</v>
      </c>
      <c r="IL51" s="64">
        <v>7.7194384511762586E-7</v>
      </c>
      <c r="IM51" s="64">
        <v>7.7194384511762586E-7</v>
      </c>
      <c r="IN51" s="64">
        <v>3.0020038421241E-6</v>
      </c>
      <c r="IO51" s="64">
        <v>3.0020038421241E-6</v>
      </c>
      <c r="IP51" s="64">
        <v>2.7446892270848919E-6</v>
      </c>
      <c r="IQ51" s="64">
        <v>4.9318634549181657E-7</v>
      </c>
      <c r="IR51" s="64">
        <v>3.4308615338561149E-7</v>
      </c>
      <c r="IS51" s="64">
        <v>4.2885769173201438E-7</v>
      </c>
      <c r="IT51" s="64">
        <v>5.1462923007841721E-7</v>
      </c>
      <c r="IU51" s="64">
        <v>1.17935865226304E-6</v>
      </c>
      <c r="IV51" s="64">
        <v>3.0020038421240999E-7</v>
      </c>
      <c r="IW51" s="64">
        <v>4.7174346090521582E-7</v>
      </c>
      <c r="IX51" s="64">
        <v>4.5030057631861512E-7</v>
      </c>
      <c r="IY51" s="64">
        <v>4.2885769173201438E-7</v>
      </c>
      <c r="IZ51" s="64">
        <v>2.0799598049002701E-6</v>
      </c>
      <c r="JA51" s="64">
        <v>9.6492980639703228E-7</v>
      </c>
      <c r="JB51" s="64">
        <v>3.2164326879901079E-7</v>
      </c>
      <c r="JC51" s="64">
        <v>1.0721442293300359E-7</v>
      </c>
      <c r="JD51" s="64">
        <v>6.4328653759802151E-8</v>
      </c>
      <c r="JE51" s="64">
        <v>1.3294588443692451E-6</v>
      </c>
      <c r="JF51" s="64">
        <v>1.3294588443692451E-6</v>
      </c>
      <c r="JG51" s="64">
        <v>2.8246868533699781E-5</v>
      </c>
      <c r="JH51" s="64">
        <v>2.8246868533699781E-5</v>
      </c>
      <c r="JI51" s="64">
        <v>2.8246868533699781E-5</v>
      </c>
      <c r="JJ51" s="64">
        <v>2.8246868533699781E-5</v>
      </c>
      <c r="JK51" s="64">
        <v>0</v>
      </c>
      <c r="JL51" s="64">
        <v>2.1325307618190139E-4</v>
      </c>
      <c r="JM51" s="64">
        <v>2.1325307618190139E-4</v>
      </c>
      <c r="JN51" s="64">
        <v>2.1325307618190139E-4</v>
      </c>
      <c r="JO51" s="64">
        <v>2.1325307618190139E-4</v>
      </c>
      <c r="JP51" s="64">
        <v>2.1325307618190139E-4</v>
      </c>
      <c r="JQ51" s="64">
        <v>2.1325307618190139E-4</v>
      </c>
      <c r="JR51" s="64">
        <v>2.1325307618190139E-4</v>
      </c>
      <c r="JS51" s="64">
        <v>4.1184365572035572E-5</v>
      </c>
      <c r="JT51" s="64">
        <v>4.1184365572035572E-5</v>
      </c>
      <c r="JU51" s="64">
        <v>1.37999968408915E-5</v>
      </c>
      <c r="JV51" s="64">
        <v>1.37999968408915E-5</v>
      </c>
      <c r="JW51" s="64">
        <v>1.10399974727132E-4</v>
      </c>
      <c r="JX51" s="64">
        <v>8.5171855502377196E-6</v>
      </c>
      <c r="JY51" s="64">
        <v>1.617187129791972E-5</v>
      </c>
      <c r="JZ51" s="64">
        <v>1.282968456301631E-5</v>
      </c>
      <c r="KA51" s="64">
        <v>2.4689056848157441E-5</v>
      </c>
      <c r="KB51" s="64">
        <v>2.6521868928588349E-5</v>
      </c>
      <c r="KC51" s="64">
        <v>8.9484354515155793E-6</v>
      </c>
      <c r="KD51" s="64">
        <v>9.9187477293907628E-6</v>
      </c>
      <c r="KE51" s="64">
        <v>1.2721872087696851E-5</v>
      </c>
      <c r="KF51" s="64">
        <v>1.067343505662702E-5</v>
      </c>
      <c r="KG51" s="64">
        <v>2.197218247010693E-4</v>
      </c>
      <c r="KH51" s="64">
        <v>3.0510930515408539E-5</v>
      </c>
      <c r="KI51" s="64">
        <v>1.5632808921322401E-5</v>
      </c>
      <c r="KJ51" s="64">
        <v>9.2718728774739749E-6</v>
      </c>
      <c r="KK51" s="64">
        <v>6.7921859451262834E-6</v>
      </c>
      <c r="KL51" s="64">
        <v>6.705935964870712E-5</v>
      </c>
      <c r="KM51" s="64">
        <v>6.705935964870712E-5</v>
      </c>
      <c r="KN51" s="64">
        <v>4.3124990127785932E-7</v>
      </c>
      <c r="KO51" s="64">
        <v>4.3124990127785932E-7</v>
      </c>
      <c r="KP51" s="64">
        <v>4.3124990127785932E-7</v>
      </c>
      <c r="KQ51" s="64">
        <v>4.3124990127785932E-7</v>
      </c>
      <c r="KR51" s="64">
        <v>0</v>
      </c>
      <c r="KS51" s="64">
        <v>6.4687485191678891E-7</v>
      </c>
      <c r="KT51" s="64">
        <v>6.4687485191678891E-7</v>
      </c>
      <c r="KU51" s="64">
        <v>6.4687485191678891E-7</v>
      </c>
      <c r="KV51" s="64">
        <v>6.4687485191678891E-7</v>
      </c>
      <c r="KW51" s="64">
        <v>6.4687485191678891E-7</v>
      </c>
      <c r="KX51" s="64">
        <v>6.4687485191678891E-7</v>
      </c>
      <c r="KY51" s="64">
        <v>6.4687485191678891E-7</v>
      </c>
      <c r="KZ51" s="64">
        <v>5.3906237659732419E-7</v>
      </c>
      <c r="LA51" s="64">
        <v>5.3906237659732419E-7</v>
      </c>
      <c r="LB51" s="64">
        <v>3.2343742595839451E-7</v>
      </c>
      <c r="LC51" s="64">
        <v>3.2343742595839451E-7</v>
      </c>
      <c r="LD51" s="64">
        <v>1.1859372285141131E-6</v>
      </c>
      <c r="LE51" s="64">
        <v>3.2343742595839451E-7</v>
      </c>
      <c r="LF51" s="64">
        <v>4.3124990127785932E-7</v>
      </c>
      <c r="LG51" s="64">
        <v>3.2343742595839451E-7</v>
      </c>
      <c r="LH51" s="64">
        <v>9.7031227787518346E-7</v>
      </c>
      <c r="LI51" s="64">
        <v>7.5468732723625372E-7</v>
      </c>
      <c r="LJ51" s="64">
        <v>6.4687485191678891E-7</v>
      </c>
      <c r="LK51" s="64">
        <v>2.1562495063892961E-7</v>
      </c>
      <c r="LL51" s="64">
        <v>4.3124990127785932E-7</v>
      </c>
      <c r="LM51" s="64">
        <v>3.2343742595839451E-7</v>
      </c>
      <c r="LN51" s="64">
        <v>4.3124990127785932E-7</v>
      </c>
      <c r="LO51" s="64">
        <v>2.803124358306085E-6</v>
      </c>
      <c r="LP51" s="64">
        <v>5.3906237659732419E-7</v>
      </c>
      <c r="LQ51" s="64">
        <v>1.078124753194648E-7</v>
      </c>
      <c r="LR51" s="64">
        <v>0</v>
      </c>
      <c r="LS51" s="64">
        <v>5.3906237659732419E-7</v>
      </c>
      <c r="LT51" s="64">
        <v>5.3906237659732419E-7</v>
      </c>
      <c r="LU51" s="64">
        <v>5.8997650663444258E-9</v>
      </c>
      <c r="LV51" s="64">
        <v>5.8997650663444258E-9</v>
      </c>
      <c r="LW51" s="64">
        <v>5.8997650663444258E-9</v>
      </c>
      <c r="LX51" s="64">
        <v>5.8997650663444258E-9</v>
      </c>
      <c r="LY51" s="64">
        <v>0</v>
      </c>
      <c r="LZ51" s="64">
        <v>1.6519342185764391E-8</v>
      </c>
      <c r="MA51" s="64">
        <v>1.6519342185764391E-8</v>
      </c>
      <c r="MB51" s="64">
        <v>1.6519342185764391E-8</v>
      </c>
      <c r="MC51" s="64">
        <v>1.6519342185764391E-8</v>
      </c>
      <c r="MD51" s="64">
        <v>1.6519342185764391E-8</v>
      </c>
      <c r="ME51" s="64">
        <v>1.6519342185764391E-8</v>
      </c>
      <c r="MF51" s="64">
        <v>1.6519342185764391E-8</v>
      </c>
      <c r="MG51" s="64">
        <v>1.179953013268885E-8</v>
      </c>
      <c r="MH51" s="64">
        <v>1.179953013268885E-8</v>
      </c>
      <c r="MI51" s="64">
        <v>4.7198120530755401E-9</v>
      </c>
      <c r="MJ51" s="64">
        <v>4.7198120530755401E-9</v>
      </c>
      <c r="MK51" s="64">
        <v>2.241910725210882E-8</v>
      </c>
      <c r="ML51" s="64">
        <v>4.7198120530755401E-9</v>
      </c>
      <c r="MM51" s="64">
        <v>3.5398590398066549E-9</v>
      </c>
      <c r="MN51" s="64">
        <v>3.5398590398066549E-9</v>
      </c>
      <c r="MO51" s="64">
        <v>9.4396241061510802E-9</v>
      </c>
      <c r="MP51" s="64">
        <v>9.4396241061510802E-9</v>
      </c>
      <c r="MQ51" s="64">
        <v>3.5398590398066549E-9</v>
      </c>
      <c r="MR51" s="64">
        <v>4.7198120530755401E-9</v>
      </c>
      <c r="MS51" s="64">
        <v>4.7198120530755401E-9</v>
      </c>
      <c r="MT51" s="64">
        <v>3.5398590398066549E-9</v>
      </c>
      <c r="MU51" s="64">
        <v>1.061957711941997E-8</v>
      </c>
      <c r="MV51" s="64">
        <v>1.179953013268885E-8</v>
      </c>
      <c r="MW51" s="64">
        <v>4.7198120530755401E-9</v>
      </c>
      <c r="MX51" s="64">
        <v>1.179953013268885E-9</v>
      </c>
      <c r="MY51" s="64">
        <v>1.179953013268885E-9</v>
      </c>
      <c r="MZ51" s="64">
        <v>4.7198120530755401E-9</v>
      </c>
      <c r="NA51" s="64">
        <v>4.7198120530755401E-9</v>
      </c>
      <c r="NB51" s="64"/>
      <c r="NC51" s="64"/>
      <c r="ND51" s="64"/>
      <c r="NE51" s="64"/>
      <c r="NF51" s="64"/>
      <c r="NG51" s="64"/>
      <c r="NH51" s="64"/>
      <c r="NI51" s="64"/>
      <c r="NJ51" s="64"/>
      <c r="NK51" s="64"/>
      <c r="NL51" s="64"/>
      <c r="NM51" s="64"/>
      <c r="NN51" s="64"/>
      <c r="NO51" s="64"/>
      <c r="NP51" s="64"/>
      <c r="NQ51" s="64"/>
      <c r="NR51" s="64"/>
      <c r="NS51" s="64"/>
      <c r="NT51" s="64"/>
      <c r="NU51" s="64"/>
      <c r="NV51" s="64"/>
      <c r="NW51" s="64"/>
      <c r="NX51" s="64"/>
      <c r="NY51" s="64"/>
      <c r="NZ51" s="64"/>
      <c r="OA51" s="64"/>
      <c r="OB51" s="64"/>
      <c r="OC51" s="64"/>
      <c r="OD51" s="64"/>
      <c r="OE51" s="64"/>
      <c r="OF51" s="64"/>
      <c r="OG51" s="64"/>
      <c r="OH51" s="64"/>
      <c r="OI51" s="64"/>
      <c r="OJ51" s="64"/>
      <c r="OK51" s="64"/>
      <c r="OL51" s="64"/>
      <c r="OM51" s="64"/>
      <c r="ON51" s="64"/>
      <c r="OO51" s="64"/>
      <c r="OP51" s="64"/>
      <c r="OQ51" s="64"/>
      <c r="OR51" s="64"/>
      <c r="OS51" s="64"/>
    </row>
    <row r="52" spans="1:409">
      <c r="A52" s="64" t="s">
        <v>608</v>
      </c>
      <c r="B52" s="64" t="s">
        <v>592</v>
      </c>
      <c r="C52" s="64">
        <v>3.9043783378311231E-4</v>
      </c>
      <c r="D52" s="64">
        <v>4.3807035340170448E-4</v>
      </c>
      <c r="E52" s="64">
        <v>1.6410425203573081E-4</v>
      </c>
      <c r="F52" s="64">
        <v>1.322044357806084E-4</v>
      </c>
      <c r="G52" s="64">
        <v>0</v>
      </c>
      <c r="H52" s="64">
        <v>8.3364233567519424E-4</v>
      </c>
      <c r="I52" s="64">
        <v>4.9862583577031205E-4</v>
      </c>
      <c r="J52" s="64">
        <v>7.3723662577307686E-4</v>
      </c>
      <c r="K52" s="64">
        <v>6.6688661030149391E-4</v>
      </c>
      <c r="L52" s="64">
        <v>2.3891720035439581E-4</v>
      </c>
      <c r="M52" s="64">
        <v>6.1489524115257064E-4</v>
      </c>
      <c r="N52" s="64">
        <v>0.95378805406181644</v>
      </c>
      <c r="O52" s="64">
        <v>1.518656103132475E-4</v>
      </c>
      <c r="P52" s="64">
        <v>3.611018696228187E-4</v>
      </c>
      <c r="Q52" s="64">
        <v>2.41208955351836E-4</v>
      </c>
      <c r="R52" s="64">
        <v>2.7716169931478392E-4</v>
      </c>
      <c r="S52" s="64">
        <v>1.4210999989198931E-3</v>
      </c>
      <c r="T52" s="64">
        <v>1.1004284176151091E-4</v>
      </c>
      <c r="U52" s="64">
        <v>4.462926112839708E-4</v>
      </c>
      <c r="V52" s="64">
        <v>3.6302433318891492E-4</v>
      </c>
      <c r="W52" s="64">
        <v>1.8484279985433469E-3</v>
      </c>
      <c r="X52" s="64">
        <v>7.8436289367028007E-4</v>
      </c>
      <c r="Y52" s="64">
        <v>2.1516489891505299E-4</v>
      </c>
      <c r="Z52" s="64">
        <v>2.241436812864317E-4</v>
      </c>
      <c r="AA52" s="64">
        <v>7.9310405033182474E-4</v>
      </c>
      <c r="AB52" s="64">
        <v>1.3606539907557551E-3</v>
      </c>
      <c r="AC52" s="64">
        <v>1.3067210398900461E-2</v>
      </c>
      <c r="AD52" s="64">
        <v>1.3427575676748309E-3</v>
      </c>
      <c r="AE52" s="64">
        <v>4.7234165355115041E-4</v>
      </c>
      <c r="AF52" s="64">
        <v>1.7741299537661151E-4</v>
      </c>
      <c r="AG52" s="64">
        <v>1.71988707428272E-4</v>
      </c>
      <c r="AH52" s="64">
        <v>1.1369817896204939E-2</v>
      </c>
      <c r="AI52" s="64">
        <v>4.4213142513661822E-3</v>
      </c>
      <c r="AJ52" s="64">
        <v>4.0698458555837823E-6</v>
      </c>
      <c r="AK52" s="64">
        <v>4.0698458555837823E-6</v>
      </c>
      <c r="AL52" s="64">
        <v>4.0698458555837823E-6</v>
      </c>
      <c r="AM52" s="64">
        <v>4.0698458555837823E-6</v>
      </c>
      <c r="AN52" s="64">
        <v>0</v>
      </c>
      <c r="AO52" s="64">
        <v>2.9070327539884159E-6</v>
      </c>
      <c r="AP52" s="64">
        <v>2.9070327539884159E-6</v>
      </c>
      <c r="AQ52" s="64">
        <v>2.9070327539884159E-6</v>
      </c>
      <c r="AR52" s="64">
        <v>2.9070327539884159E-6</v>
      </c>
      <c r="AS52" s="64">
        <v>2.9070327539884159E-6</v>
      </c>
      <c r="AT52" s="64">
        <v>2.9070327539884159E-6</v>
      </c>
      <c r="AU52" s="64">
        <v>2.9070327539884159E-6</v>
      </c>
      <c r="AV52" s="64">
        <v>2.9070327539884159E-6</v>
      </c>
      <c r="AW52" s="64">
        <v>2.9070327539884159E-6</v>
      </c>
      <c r="AX52" s="64">
        <v>2.4709778408901539E-6</v>
      </c>
      <c r="AY52" s="64">
        <v>2.4709778408901539E-6</v>
      </c>
      <c r="AZ52" s="64">
        <v>1.308164739294787E-5</v>
      </c>
      <c r="BA52" s="64">
        <v>2.0349229277918911E-6</v>
      </c>
      <c r="BB52" s="64">
        <v>1.3081647392947871E-6</v>
      </c>
      <c r="BC52" s="64">
        <v>1.4535163769942079E-6</v>
      </c>
      <c r="BD52" s="64">
        <v>2.9070327539884159E-6</v>
      </c>
      <c r="BE52" s="64">
        <v>2.9070327539884159E-6</v>
      </c>
      <c r="BF52" s="64">
        <v>4.3605491309826241E-7</v>
      </c>
      <c r="BG52" s="64">
        <v>1.3081647392947871E-6</v>
      </c>
      <c r="BH52" s="64">
        <v>4.3605491309826241E-7</v>
      </c>
      <c r="BI52" s="64">
        <v>8.7210982619652482E-7</v>
      </c>
      <c r="BJ52" s="64">
        <v>1.3081647392947871E-6</v>
      </c>
      <c r="BK52" s="64">
        <v>1.017461463895946E-6</v>
      </c>
      <c r="BL52" s="64">
        <v>2.9070327539884161E-7</v>
      </c>
      <c r="BM52" s="64">
        <v>0</v>
      </c>
      <c r="BN52" s="64">
        <v>0</v>
      </c>
      <c r="BO52" s="64">
        <v>4.3605491309826241E-7</v>
      </c>
      <c r="BP52" s="64">
        <v>4.3605491309826241E-7</v>
      </c>
      <c r="BQ52" s="64">
        <v>1.9960483364090619E-6</v>
      </c>
      <c r="BR52" s="64">
        <v>1.9960483364090619E-6</v>
      </c>
      <c r="BS52" s="64">
        <v>1.9960483364090619E-6</v>
      </c>
      <c r="BT52" s="64">
        <v>1.9960483364090619E-6</v>
      </c>
      <c r="BU52" s="64">
        <v>0</v>
      </c>
      <c r="BV52" s="64">
        <v>3.4930845887158589E-6</v>
      </c>
      <c r="BW52" s="64">
        <v>3.4930845887158589E-6</v>
      </c>
      <c r="BX52" s="64">
        <v>3.4930845887158589E-6</v>
      </c>
      <c r="BY52" s="64">
        <v>3.4930845887158589E-6</v>
      </c>
      <c r="BZ52" s="64">
        <v>3.4930845887158589E-6</v>
      </c>
      <c r="CA52" s="64">
        <v>3.4930845887158589E-6</v>
      </c>
      <c r="CB52" s="64">
        <v>3.4930845887158589E-6</v>
      </c>
      <c r="CC52" s="64">
        <v>4.4911087569203886E-6</v>
      </c>
      <c r="CD52" s="64">
        <v>4.4911087569203886E-6</v>
      </c>
      <c r="CE52" s="64">
        <v>1.9960483364090619E-6</v>
      </c>
      <c r="CF52" s="64">
        <v>1.9960483364090619E-6</v>
      </c>
      <c r="CG52" s="64">
        <v>7.9841933456362476E-6</v>
      </c>
      <c r="CH52" s="64">
        <v>1.4970362523067971E-6</v>
      </c>
      <c r="CI52" s="64">
        <v>1.9960483364090619E-6</v>
      </c>
      <c r="CJ52" s="64">
        <v>1.4970362523067971E-6</v>
      </c>
      <c r="CK52" s="64">
        <v>3.9920966728181238E-6</v>
      </c>
      <c r="CL52" s="64">
        <v>3.4930845887158589E-6</v>
      </c>
      <c r="CM52" s="64">
        <v>1.4970362523067971E-6</v>
      </c>
      <c r="CN52" s="64">
        <v>1.4970362523067971E-6</v>
      </c>
      <c r="CO52" s="64">
        <v>9.9802416820453095E-7</v>
      </c>
      <c r="CP52" s="64">
        <v>1.4970362523067971E-6</v>
      </c>
      <c r="CQ52" s="64">
        <v>1.9960483364090619E-6</v>
      </c>
      <c r="CR52" s="64">
        <v>5.48913292512492E-6</v>
      </c>
      <c r="CS52" s="64">
        <v>1.4970362523067971E-6</v>
      </c>
      <c r="CT52" s="64">
        <v>4.9901208410226547E-7</v>
      </c>
      <c r="CU52" s="64">
        <v>0</v>
      </c>
      <c r="CV52" s="64">
        <v>1.4970362523067971E-6</v>
      </c>
      <c r="CW52" s="64">
        <v>1.4970362523067971E-6</v>
      </c>
      <c r="CX52" s="64">
        <v>3.608965549921812E-7</v>
      </c>
      <c r="CY52" s="64">
        <v>3.608965549921812E-7</v>
      </c>
      <c r="CZ52" s="64">
        <v>3.608965549921812E-7</v>
      </c>
      <c r="DA52" s="64">
        <v>3.608965549921812E-7</v>
      </c>
      <c r="DB52" s="64">
        <v>0</v>
      </c>
      <c r="DC52" s="64">
        <v>5.4134483248827173E-7</v>
      </c>
      <c r="DD52" s="64">
        <v>5.4134483248827173E-7</v>
      </c>
      <c r="DE52" s="64">
        <v>5.4134483248827173E-7</v>
      </c>
      <c r="DF52" s="64">
        <v>5.4134483248827173E-7</v>
      </c>
      <c r="DG52" s="64">
        <v>5.4134483248827173E-7</v>
      </c>
      <c r="DH52" s="64">
        <v>5.4134483248827173E-7</v>
      </c>
      <c r="DI52" s="64">
        <v>5.4134483248827173E-7</v>
      </c>
      <c r="DJ52" s="64">
        <v>7.217931099843623E-7</v>
      </c>
      <c r="DK52" s="64">
        <v>7.217931099843623E-7</v>
      </c>
      <c r="DL52" s="64">
        <v>5.4134483248827173E-7</v>
      </c>
      <c r="DM52" s="64">
        <v>5.4134483248827173E-7</v>
      </c>
      <c r="DN52" s="64">
        <v>1.804482774960906E-6</v>
      </c>
      <c r="DO52" s="64">
        <v>5.4134483248827173E-7</v>
      </c>
      <c r="DP52" s="64">
        <v>5.4134483248827173E-7</v>
      </c>
      <c r="DQ52" s="64">
        <v>5.4134483248827173E-7</v>
      </c>
      <c r="DR52" s="64">
        <v>1.263137942472634E-6</v>
      </c>
      <c r="DS52" s="64">
        <v>7.217931099843623E-7</v>
      </c>
      <c r="DT52" s="64">
        <v>3.608965549921812E-7</v>
      </c>
      <c r="DU52" s="64">
        <v>7.217931099843623E-7</v>
      </c>
      <c r="DV52" s="64">
        <v>5.4134483248827173E-7</v>
      </c>
      <c r="DW52" s="64">
        <v>3.608965549921812E-7</v>
      </c>
      <c r="DX52" s="64">
        <v>3.608965549921812E-7</v>
      </c>
      <c r="DY52" s="64">
        <v>9.0224138748045298E-7</v>
      </c>
      <c r="DZ52" s="64">
        <v>1.804482774960906E-7</v>
      </c>
      <c r="EA52" s="64">
        <v>0</v>
      </c>
      <c r="EB52" s="64">
        <v>0</v>
      </c>
      <c r="EC52" s="64">
        <v>5.4134483248827173E-7</v>
      </c>
      <c r="ED52" s="64">
        <v>5.4134483248827173E-7</v>
      </c>
      <c r="EE52" s="64">
        <v>3.645945108855753E-8</v>
      </c>
      <c r="EF52" s="64">
        <v>3.645945108855753E-8</v>
      </c>
      <c r="EG52" s="64">
        <v>3.645945108855753E-8</v>
      </c>
      <c r="EH52" s="64">
        <v>3.645945108855753E-8</v>
      </c>
      <c r="EI52" s="64">
        <v>0</v>
      </c>
      <c r="EJ52" s="64">
        <v>1.215315036285251E-7</v>
      </c>
      <c r="EK52" s="64">
        <v>1.215315036285251E-7</v>
      </c>
      <c r="EL52" s="64">
        <v>1.215315036285251E-7</v>
      </c>
      <c r="EM52" s="64">
        <v>1.215315036285251E-7</v>
      </c>
      <c r="EN52" s="64">
        <v>1.215315036285251E-7</v>
      </c>
      <c r="EO52" s="64">
        <v>1.215315036285251E-7</v>
      </c>
      <c r="EP52" s="64">
        <v>1.215315036285251E-7</v>
      </c>
      <c r="EQ52" s="64">
        <v>3.645945108855753E-8</v>
      </c>
      <c r="ER52" s="64">
        <v>3.645945108855753E-8</v>
      </c>
      <c r="ES52" s="64">
        <v>3.645945108855753E-8</v>
      </c>
      <c r="ET52" s="64">
        <v>3.645945108855753E-8</v>
      </c>
      <c r="EU52" s="64">
        <v>8.5072052539967568E-8</v>
      </c>
      <c r="EV52" s="64">
        <v>2.4306300725705019E-8</v>
      </c>
      <c r="EW52" s="64">
        <v>2.4306300725705019E-8</v>
      </c>
      <c r="EX52" s="64">
        <v>2.4306300725705019E-8</v>
      </c>
      <c r="EY52" s="64">
        <v>4.8612601451410038E-8</v>
      </c>
      <c r="EZ52" s="64">
        <v>4.8612601451410038E-8</v>
      </c>
      <c r="FA52" s="64">
        <v>1.2153150362852509E-8</v>
      </c>
      <c r="FB52" s="64">
        <v>2.4306300725705019E-8</v>
      </c>
      <c r="FC52" s="64">
        <v>2.4306300725705019E-8</v>
      </c>
      <c r="FD52" s="64">
        <v>1.2153150362852509E-8</v>
      </c>
      <c r="FE52" s="64">
        <v>3.645945108855753E-8</v>
      </c>
      <c r="FF52" s="64">
        <v>4.8612601451410038E-8</v>
      </c>
      <c r="FG52" s="64">
        <v>2.4306300725705019E-8</v>
      </c>
      <c r="FH52" s="64">
        <v>1.2153150362852509E-8</v>
      </c>
      <c r="FI52" s="64">
        <v>0</v>
      </c>
      <c r="FJ52" s="64">
        <v>2.4306300725705019E-8</v>
      </c>
      <c r="FK52" s="64">
        <v>2.4306300725705019E-8</v>
      </c>
      <c r="FL52" s="64">
        <v>7.9397242098279845E-6</v>
      </c>
      <c r="FM52" s="64">
        <v>7.9397242098279845E-6</v>
      </c>
      <c r="FN52" s="64">
        <v>7.9397242098279845E-6</v>
      </c>
      <c r="FO52" s="64">
        <v>7.9397242098279845E-6</v>
      </c>
      <c r="FP52" s="64">
        <v>0</v>
      </c>
      <c r="FQ52" s="64">
        <v>1.6240344974648149E-5</v>
      </c>
      <c r="FR52" s="64">
        <v>1.6240344974648149E-5</v>
      </c>
      <c r="FS52" s="64">
        <v>1.6240344974648149E-5</v>
      </c>
      <c r="FT52" s="64">
        <v>1.6240344974648149E-5</v>
      </c>
      <c r="FU52" s="64">
        <v>1.6240344974648149E-5</v>
      </c>
      <c r="FV52" s="64">
        <v>1.6240344974648149E-5</v>
      </c>
      <c r="FW52" s="64">
        <v>1.6240344974648149E-5</v>
      </c>
      <c r="FX52" s="64">
        <v>8.300620764820166E-6</v>
      </c>
      <c r="FY52" s="64">
        <v>8.300620764820166E-6</v>
      </c>
      <c r="FZ52" s="64">
        <v>1.9849310524569961E-6</v>
      </c>
      <c r="GA52" s="64">
        <v>1.9849310524569961E-6</v>
      </c>
      <c r="GB52" s="64">
        <v>9.2028621523006191E-6</v>
      </c>
      <c r="GC52" s="64">
        <v>1.082689664976543E-6</v>
      </c>
      <c r="GD52" s="64">
        <v>1.082689664976543E-6</v>
      </c>
      <c r="GE52" s="64">
        <v>1.263137942472634E-6</v>
      </c>
      <c r="GF52" s="64">
        <v>4.3307586599061738E-6</v>
      </c>
      <c r="GG52" s="64">
        <v>3.06762071743354E-6</v>
      </c>
      <c r="GH52" s="64">
        <v>5.4134483248827173E-7</v>
      </c>
      <c r="GI52" s="64">
        <v>7.217931099843623E-7</v>
      </c>
      <c r="GJ52" s="64">
        <v>3.608965549921812E-7</v>
      </c>
      <c r="GK52" s="64">
        <v>7.217931099843623E-7</v>
      </c>
      <c r="GL52" s="64">
        <v>6.1352414348670791E-6</v>
      </c>
      <c r="GM52" s="64">
        <v>2.7067241624413588E-6</v>
      </c>
      <c r="GN52" s="64">
        <v>5.4134483248827173E-7</v>
      </c>
      <c r="GO52" s="64">
        <v>1.804482774960906E-7</v>
      </c>
      <c r="GP52" s="64">
        <v>1.804482774960906E-7</v>
      </c>
      <c r="GQ52" s="64">
        <v>7.217931099843623E-7</v>
      </c>
      <c r="GR52" s="64">
        <v>7.217931099843623E-7</v>
      </c>
      <c r="GS52" s="64">
        <v>1.804482774960906E-7</v>
      </c>
      <c r="GT52" s="64">
        <v>1.804482774960906E-7</v>
      </c>
      <c r="GU52" s="64">
        <v>1.804482774960906E-7</v>
      </c>
      <c r="GV52" s="64">
        <v>1.804482774960906E-7</v>
      </c>
      <c r="GW52" s="64">
        <v>0</v>
      </c>
      <c r="GX52" s="64">
        <v>5.4134483248827173E-7</v>
      </c>
      <c r="GY52" s="64">
        <v>5.4134483248827173E-7</v>
      </c>
      <c r="GZ52" s="64">
        <v>5.4134483248827173E-7</v>
      </c>
      <c r="HA52" s="64">
        <v>5.4134483248827173E-7</v>
      </c>
      <c r="HB52" s="64">
        <v>5.4134483248827173E-7</v>
      </c>
      <c r="HC52" s="64">
        <v>5.4134483248827173E-7</v>
      </c>
      <c r="HD52" s="64">
        <v>5.4134483248827173E-7</v>
      </c>
      <c r="HE52" s="64">
        <v>7.217931099843623E-7</v>
      </c>
      <c r="HF52" s="64">
        <v>7.217931099843623E-7</v>
      </c>
      <c r="HG52" s="64">
        <v>3.608965549921812E-7</v>
      </c>
      <c r="HH52" s="64">
        <v>3.608965549921812E-7</v>
      </c>
      <c r="HI52" s="64">
        <v>1.082689664976543E-6</v>
      </c>
      <c r="HJ52" s="64">
        <v>3.608965549921812E-7</v>
      </c>
      <c r="HK52" s="64">
        <v>3.608965549921812E-7</v>
      </c>
      <c r="HL52" s="64">
        <v>3.608965549921812E-7</v>
      </c>
      <c r="HM52" s="64">
        <v>9.0224138748045298E-7</v>
      </c>
      <c r="HN52" s="64">
        <v>9.0224138748045298E-7</v>
      </c>
      <c r="HO52" s="64">
        <v>3.608965549921812E-7</v>
      </c>
      <c r="HP52" s="64">
        <v>5.4134483248827173E-7</v>
      </c>
      <c r="HQ52" s="64">
        <v>5.4134483248827173E-7</v>
      </c>
      <c r="HR52" s="64">
        <v>3.608965549921812E-7</v>
      </c>
      <c r="HS52" s="64">
        <v>5.4134483248827173E-7</v>
      </c>
      <c r="HT52" s="64">
        <v>1.443586219968725E-6</v>
      </c>
      <c r="HU52" s="64">
        <v>5.4134483248827173E-7</v>
      </c>
      <c r="HV52" s="64">
        <v>1.804482774960906E-7</v>
      </c>
      <c r="HW52" s="64">
        <v>0</v>
      </c>
      <c r="HX52" s="64">
        <v>3.608965549921812E-7</v>
      </c>
      <c r="HY52" s="64">
        <v>3.608965549921812E-7</v>
      </c>
      <c r="HZ52" s="64">
        <v>8.7267941463452783E-6</v>
      </c>
      <c r="IA52" s="64">
        <v>8.7267941463452783E-6</v>
      </c>
      <c r="IB52" s="64">
        <v>8.7267941463452783E-6</v>
      </c>
      <c r="IC52" s="64">
        <v>8.7267941463452783E-6</v>
      </c>
      <c r="ID52" s="64">
        <v>0</v>
      </c>
      <c r="IE52" s="64">
        <v>1.526625229218541E-5</v>
      </c>
      <c r="IF52" s="64">
        <v>1.526625229218541E-5</v>
      </c>
      <c r="IG52" s="64">
        <v>1.526625229218541E-5</v>
      </c>
      <c r="IH52" s="64">
        <v>1.526625229218541E-5</v>
      </c>
      <c r="II52" s="64">
        <v>1.526625229218541E-5</v>
      </c>
      <c r="IJ52" s="64">
        <v>1.526625229218541E-5</v>
      </c>
      <c r="IK52" s="64">
        <v>1.526625229218541E-5</v>
      </c>
      <c r="IL52" s="64">
        <v>8.1179480431118868E-7</v>
      </c>
      <c r="IM52" s="64">
        <v>8.1179480431118868E-7</v>
      </c>
      <c r="IN52" s="64">
        <v>3.1569797945435112E-6</v>
      </c>
      <c r="IO52" s="64">
        <v>3.1569797945435112E-6</v>
      </c>
      <c r="IP52" s="64">
        <v>2.8863815264397822E-6</v>
      </c>
      <c r="IQ52" s="64">
        <v>5.1864668053214837E-7</v>
      </c>
      <c r="IR52" s="64">
        <v>3.6079769080497272E-7</v>
      </c>
      <c r="IS52" s="64">
        <v>4.5099711350621602E-7</v>
      </c>
      <c r="IT52" s="64">
        <v>5.4119653620745916E-7</v>
      </c>
      <c r="IU52" s="64">
        <v>1.2402420621420939E-6</v>
      </c>
      <c r="IV52" s="64">
        <v>3.156979794543511E-7</v>
      </c>
      <c r="IW52" s="64">
        <v>4.9609682485683748E-7</v>
      </c>
      <c r="IX52" s="64">
        <v>4.735469691815267E-7</v>
      </c>
      <c r="IY52" s="64">
        <v>4.5099711350621602E-7</v>
      </c>
      <c r="IZ52" s="64">
        <v>2.1873360005051479E-6</v>
      </c>
      <c r="JA52" s="64">
        <v>1.0147435053889861E-6</v>
      </c>
      <c r="JB52" s="64">
        <v>3.3824783512966199E-7</v>
      </c>
      <c r="JC52" s="64">
        <v>1.12749278376554E-7</v>
      </c>
      <c r="JD52" s="64">
        <v>6.7649567025932395E-8</v>
      </c>
      <c r="JE52" s="64">
        <v>1.3980910518692699E-6</v>
      </c>
      <c r="JF52" s="64">
        <v>1.3980910518692699E-6</v>
      </c>
      <c r="JG52" s="64">
        <v>4.7277448703975737E-5</v>
      </c>
      <c r="JH52" s="64">
        <v>4.7277448703975737E-5</v>
      </c>
      <c r="JI52" s="64">
        <v>4.7277448703975737E-5</v>
      </c>
      <c r="JJ52" s="64">
        <v>4.7277448703975737E-5</v>
      </c>
      <c r="JK52" s="64">
        <v>0</v>
      </c>
      <c r="JL52" s="64">
        <v>3.5692669288726718E-4</v>
      </c>
      <c r="JM52" s="64">
        <v>3.5692669288726718E-4</v>
      </c>
      <c r="JN52" s="64">
        <v>3.5692669288726718E-4</v>
      </c>
      <c r="JO52" s="64">
        <v>3.5692669288726718E-4</v>
      </c>
      <c r="JP52" s="64">
        <v>3.5692669288726718E-4</v>
      </c>
      <c r="JQ52" s="64">
        <v>3.5692669288726718E-4</v>
      </c>
      <c r="JR52" s="64">
        <v>3.5692669288726718E-4</v>
      </c>
      <c r="JS52" s="64">
        <v>6.8931242003506598E-5</v>
      </c>
      <c r="JT52" s="64">
        <v>6.8931242003506598E-5</v>
      </c>
      <c r="JU52" s="64">
        <v>2.309737951949959E-5</v>
      </c>
      <c r="JV52" s="64">
        <v>2.309737951949959E-5</v>
      </c>
      <c r="JW52" s="64">
        <v>1.8477903615599669E-4</v>
      </c>
      <c r="JX52" s="64">
        <v>1.4255413922191149E-5</v>
      </c>
      <c r="JY52" s="64">
        <v>2.7067241624413579E-5</v>
      </c>
      <c r="JZ52" s="64">
        <v>2.1473345022034779E-5</v>
      </c>
      <c r="KA52" s="64">
        <v>4.132265554660474E-5</v>
      </c>
      <c r="KB52" s="64">
        <v>4.4390276264038278E-5</v>
      </c>
      <c r="KC52" s="64">
        <v>1.4977207032175519E-5</v>
      </c>
      <c r="KD52" s="64">
        <v>1.6601241529640329E-5</v>
      </c>
      <c r="KE52" s="64">
        <v>2.1292896744538691E-5</v>
      </c>
      <c r="KF52" s="64">
        <v>1.786437947211297E-5</v>
      </c>
      <c r="KG52" s="64">
        <v>3.677535895370326E-4</v>
      </c>
      <c r="KH52" s="64">
        <v>5.1066862531393628E-5</v>
      </c>
      <c r="KI52" s="64">
        <v>2.6165000236933131E-5</v>
      </c>
      <c r="KJ52" s="64">
        <v>1.5518551864663789E-5</v>
      </c>
      <c r="KK52" s="64">
        <v>1.136824148225371E-5</v>
      </c>
      <c r="KL52" s="64">
        <v>1.1223882860256831E-4</v>
      </c>
      <c r="KM52" s="64">
        <v>1.1223882860256831E-4</v>
      </c>
      <c r="KN52" s="64">
        <v>7.217931099843623E-7</v>
      </c>
      <c r="KO52" s="64">
        <v>7.217931099843623E-7</v>
      </c>
      <c r="KP52" s="64">
        <v>7.217931099843623E-7</v>
      </c>
      <c r="KQ52" s="64">
        <v>7.217931099843623E-7</v>
      </c>
      <c r="KR52" s="64">
        <v>0</v>
      </c>
      <c r="KS52" s="64">
        <v>1.082689664976543E-6</v>
      </c>
      <c r="KT52" s="64">
        <v>1.082689664976543E-6</v>
      </c>
      <c r="KU52" s="64">
        <v>1.082689664976543E-6</v>
      </c>
      <c r="KV52" s="64">
        <v>1.082689664976543E-6</v>
      </c>
      <c r="KW52" s="64">
        <v>1.082689664976543E-6</v>
      </c>
      <c r="KX52" s="64">
        <v>1.082689664976543E-6</v>
      </c>
      <c r="KY52" s="64">
        <v>1.082689664976543E-6</v>
      </c>
      <c r="KZ52" s="64">
        <v>9.0224138748045298E-7</v>
      </c>
      <c r="LA52" s="64">
        <v>9.0224138748045298E-7</v>
      </c>
      <c r="LB52" s="64">
        <v>5.4134483248827173E-7</v>
      </c>
      <c r="LC52" s="64">
        <v>5.4134483248827173E-7</v>
      </c>
      <c r="LD52" s="64">
        <v>1.9849310524569961E-6</v>
      </c>
      <c r="LE52" s="64">
        <v>5.4134483248827173E-7</v>
      </c>
      <c r="LF52" s="64">
        <v>7.217931099843623E-7</v>
      </c>
      <c r="LG52" s="64">
        <v>5.4134483248827173E-7</v>
      </c>
      <c r="LH52" s="64">
        <v>1.624034497464815E-6</v>
      </c>
      <c r="LI52" s="64">
        <v>1.263137942472634E-6</v>
      </c>
      <c r="LJ52" s="64">
        <v>1.082689664976543E-6</v>
      </c>
      <c r="LK52" s="64">
        <v>3.608965549921812E-7</v>
      </c>
      <c r="LL52" s="64">
        <v>7.217931099843623E-7</v>
      </c>
      <c r="LM52" s="64">
        <v>5.4134483248827173E-7</v>
      </c>
      <c r="LN52" s="64">
        <v>7.217931099843623E-7</v>
      </c>
      <c r="LO52" s="64">
        <v>4.6916552148983554E-6</v>
      </c>
      <c r="LP52" s="64">
        <v>9.0224138748045298E-7</v>
      </c>
      <c r="LQ52" s="64">
        <v>1.804482774960906E-7</v>
      </c>
      <c r="LR52" s="64">
        <v>0</v>
      </c>
      <c r="LS52" s="64">
        <v>9.0224138748045298E-7</v>
      </c>
      <c r="LT52" s="64">
        <v>9.0224138748045298E-7</v>
      </c>
      <c r="LU52" s="64">
        <v>2.3997310486168529E-8</v>
      </c>
      <c r="LV52" s="64">
        <v>2.3997310486168529E-8</v>
      </c>
      <c r="LW52" s="64">
        <v>2.3997310486168529E-8</v>
      </c>
      <c r="LX52" s="64">
        <v>2.3997310486168529E-8</v>
      </c>
      <c r="LY52" s="64">
        <v>0</v>
      </c>
      <c r="LZ52" s="64">
        <v>6.7192469361271891E-8</v>
      </c>
      <c r="MA52" s="64">
        <v>6.7192469361271891E-8</v>
      </c>
      <c r="MB52" s="64">
        <v>6.7192469361271891E-8</v>
      </c>
      <c r="MC52" s="64">
        <v>6.7192469361271891E-8</v>
      </c>
      <c r="MD52" s="64">
        <v>6.7192469361271891E-8</v>
      </c>
      <c r="ME52" s="64">
        <v>6.7192469361271891E-8</v>
      </c>
      <c r="MF52" s="64">
        <v>6.7192469361271891E-8</v>
      </c>
      <c r="MG52" s="64">
        <v>4.7994620972337058E-8</v>
      </c>
      <c r="MH52" s="64">
        <v>4.7994620972337058E-8</v>
      </c>
      <c r="MI52" s="64">
        <v>1.919784838893482E-8</v>
      </c>
      <c r="MJ52" s="64">
        <v>1.919784838893482E-8</v>
      </c>
      <c r="MK52" s="64">
        <v>9.1189779847440427E-8</v>
      </c>
      <c r="ML52" s="64">
        <v>1.919784838893482E-8</v>
      </c>
      <c r="MM52" s="64">
        <v>1.439838629170112E-8</v>
      </c>
      <c r="MN52" s="64">
        <v>1.439838629170112E-8</v>
      </c>
      <c r="MO52" s="64">
        <v>3.8395696777869647E-8</v>
      </c>
      <c r="MP52" s="64">
        <v>3.8395696777869647E-8</v>
      </c>
      <c r="MQ52" s="64">
        <v>1.439838629170112E-8</v>
      </c>
      <c r="MR52" s="64">
        <v>1.919784838893482E-8</v>
      </c>
      <c r="MS52" s="64">
        <v>1.919784838893482E-8</v>
      </c>
      <c r="MT52" s="64">
        <v>1.439838629170112E-8</v>
      </c>
      <c r="MU52" s="64">
        <v>4.3195158875103362E-8</v>
      </c>
      <c r="MV52" s="64">
        <v>4.7994620972337058E-8</v>
      </c>
      <c r="MW52" s="64">
        <v>1.919784838893482E-8</v>
      </c>
      <c r="MX52" s="64">
        <v>4.7994620972337059E-9</v>
      </c>
      <c r="MY52" s="64">
        <v>4.7994620972337059E-9</v>
      </c>
      <c r="MZ52" s="64">
        <v>1.919784838893482E-8</v>
      </c>
      <c r="NA52" s="64">
        <v>1.919784838893482E-8</v>
      </c>
      <c r="NB52" s="64"/>
      <c r="NC52" s="64"/>
      <c r="ND52" s="64"/>
      <c r="NE52" s="64"/>
      <c r="NF52" s="64"/>
      <c r="NG52" s="64"/>
      <c r="NH52" s="64"/>
      <c r="NI52" s="64"/>
      <c r="NJ52" s="64"/>
      <c r="NK52" s="64"/>
      <c r="NL52" s="64"/>
      <c r="NM52" s="64"/>
      <c r="NN52" s="64"/>
      <c r="NO52" s="64"/>
      <c r="NP52" s="64"/>
      <c r="NQ52" s="64"/>
      <c r="NR52" s="64"/>
      <c r="NS52" s="64"/>
      <c r="NT52" s="64"/>
      <c r="NU52" s="64"/>
      <c r="NV52" s="64"/>
      <c r="NW52" s="64"/>
      <c r="NX52" s="64"/>
      <c r="NY52" s="64"/>
      <c r="NZ52" s="64"/>
      <c r="OA52" s="64"/>
      <c r="OB52" s="64"/>
      <c r="OC52" s="64"/>
      <c r="OD52" s="64"/>
      <c r="OE52" s="64"/>
      <c r="OF52" s="64"/>
      <c r="OG52" s="64"/>
      <c r="OH52" s="64"/>
      <c r="OI52" s="64"/>
      <c r="OJ52" s="64"/>
      <c r="OK52" s="64"/>
      <c r="OL52" s="64"/>
      <c r="OM52" s="64"/>
      <c r="ON52" s="64"/>
      <c r="OO52" s="64"/>
      <c r="OP52" s="64"/>
      <c r="OQ52" s="64"/>
      <c r="OR52" s="64"/>
      <c r="OS52" s="64"/>
    </row>
    <row r="53" spans="1:409">
      <c r="A53" s="65" t="s">
        <v>609</v>
      </c>
      <c r="B53" s="65" t="s">
        <v>593</v>
      </c>
      <c r="C53" s="65">
        <v>4.0738380681058811E-4</v>
      </c>
      <c r="D53" s="65">
        <v>3.02703224209145E-3</v>
      </c>
      <c r="E53" s="65">
        <v>1.065896081573945E-4</v>
      </c>
      <c r="F53" s="65">
        <v>1.019096435453176E-2</v>
      </c>
      <c r="G53" s="65">
        <v>0</v>
      </c>
      <c r="H53" s="65">
        <v>9.089739625912233E-3</v>
      </c>
      <c r="I53" s="65">
        <v>6.3887751700535357E-3</v>
      </c>
      <c r="J53" s="65">
        <v>6.4862004712917436E-3</v>
      </c>
      <c r="K53" s="65">
        <v>4.9903327811440194E-3</v>
      </c>
      <c r="L53" s="65">
        <v>5.5477961135931789E-3</v>
      </c>
      <c r="M53" s="65">
        <v>5.1440142034802827E-3</v>
      </c>
      <c r="N53" s="65">
        <v>4.56509358584124E-2</v>
      </c>
      <c r="O53" s="65">
        <v>1.1608275645137429</v>
      </c>
      <c r="P53" s="65">
        <v>3.2124050211897559E-3</v>
      </c>
      <c r="Q53" s="65">
        <v>8.7595284875569511E-4</v>
      </c>
      <c r="R53" s="65">
        <v>3.6623590290765199E-3</v>
      </c>
      <c r="S53" s="65">
        <v>4.3041276168213566E-3</v>
      </c>
      <c r="T53" s="65">
        <v>1.1325357208409601E-3</v>
      </c>
      <c r="U53" s="65">
        <v>7.586489852869717E-4</v>
      </c>
      <c r="V53" s="65">
        <v>7.0375025717132216E-4</v>
      </c>
      <c r="W53" s="65">
        <v>6.3480483471792318E-2</v>
      </c>
      <c r="X53" s="65">
        <v>0.13402166435278881</v>
      </c>
      <c r="Y53" s="65">
        <v>3.2227441684699572E-4</v>
      </c>
      <c r="Z53" s="65">
        <v>6.3501039311878479E-4</v>
      </c>
      <c r="AA53" s="65">
        <v>2.359503396872715E-3</v>
      </c>
      <c r="AB53" s="65">
        <v>8.9386367617793651E-3</v>
      </c>
      <c r="AC53" s="65">
        <v>5.8838018343990908E-3</v>
      </c>
      <c r="AD53" s="65">
        <v>3.7194657178274129E-3</v>
      </c>
      <c r="AE53" s="65">
        <v>9.0391950959055041E-4</v>
      </c>
      <c r="AF53" s="65">
        <v>6.0080576560732129E-4</v>
      </c>
      <c r="AG53" s="65">
        <v>4.1187920862164831E-4</v>
      </c>
      <c r="AH53" s="65">
        <v>1.028120650421257E-2</v>
      </c>
      <c r="AI53" s="65">
        <v>2.1762126079280489E-3</v>
      </c>
      <c r="AJ53" s="65">
        <v>1.180954534448341E-5</v>
      </c>
      <c r="AK53" s="65">
        <v>1.180954534448341E-5</v>
      </c>
      <c r="AL53" s="65">
        <v>1.180954534448341E-5</v>
      </c>
      <c r="AM53" s="65">
        <v>1.180954534448341E-5</v>
      </c>
      <c r="AN53" s="65">
        <v>0</v>
      </c>
      <c r="AO53" s="65">
        <v>9.8412877870695109E-6</v>
      </c>
      <c r="AP53" s="65">
        <v>9.8412877870695109E-6</v>
      </c>
      <c r="AQ53" s="65">
        <v>9.8412877870695109E-6</v>
      </c>
      <c r="AR53" s="65">
        <v>9.8412877870695109E-6</v>
      </c>
      <c r="AS53" s="65">
        <v>9.8412877870695109E-6</v>
      </c>
      <c r="AT53" s="65">
        <v>9.8412877870695109E-6</v>
      </c>
      <c r="AU53" s="65">
        <v>9.8412877870695109E-6</v>
      </c>
      <c r="AV53" s="65">
        <v>5.4815972973977175E-4</v>
      </c>
      <c r="AW53" s="65">
        <v>5.4815972973977175E-4</v>
      </c>
      <c r="AX53" s="65">
        <v>1.082541656577646E-5</v>
      </c>
      <c r="AY53" s="65">
        <v>1.082541656577646E-5</v>
      </c>
      <c r="AZ53" s="65">
        <v>4.5269923820519747E-5</v>
      </c>
      <c r="BA53" s="65">
        <v>7.8730302296556087E-6</v>
      </c>
      <c r="BB53" s="65">
        <v>5.9047726722417074E-6</v>
      </c>
      <c r="BC53" s="65">
        <v>8.8571590083625598E-6</v>
      </c>
      <c r="BD53" s="65">
        <v>3.5428636033450239E-5</v>
      </c>
      <c r="BE53" s="65">
        <v>6.1015984279830957E-5</v>
      </c>
      <c r="BF53" s="65">
        <v>4.9206438935347546E-6</v>
      </c>
      <c r="BG53" s="65">
        <v>8.8571590083625598E-6</v>
      </c>
      <c r="BH53" s="65">
        <v>5.9047726722417074E-6</v>
      </c>
      <c r="BI53" s="65">
        <v>7.8730302296556087E-6</v>
      </c>
      <c r="BJ53" s="65">
        <v>1.082541656577646E-5</v>
      </c>
      <c r="BK53" s="65">
        <v>1.082541656577646E-5</v>
      </c>
      <c r="BL53" s="65">
        <v>1.9682575574139022E-6</v>
      </c>
      <c r="BM53" s="65">
        <v>0</v>
      </c>
      <c r="BN53" s="65">
        <v>0</v>
      </c>
      <c r="BO53" s="65">
        <v>5.9047726722417074E-6</v>
      </c>
      <c r="BP53" s="65">
        <v>5.9047726722417074E-6</v>
      </c>
      <c r="BQ53" s="65">
        <v>4.3545117025771619E-7</v>
      </c>
      <c r="BR53" s="65">
        <v>4.3545117025771619E-7</v>
      </c>
      <c r="BS53" s="65">
        <v>4.3545117025771619E-7</v>
      </c>
      <c r="BT53" s="65">
        <v>4.3545117025771619E-7</v>
      </c>
      <c r="BU53" s="65">
        <v>0</v>
      </c>
      <c r="BV53" s="65">
        <v>6.5317675538657441E-7</v>
      </c>
      <c r="BW53" s="65">
        <v>6.5317675538657441E-7</v>
      </c>
      <c r="BX53" s="65">
        <v>6.5317675538657441E-7</v>
      </c>
      <c r="BY53" s="65">
        <v>6.5317675538657441E-7</v>
      </c>
      <c r="BZ53" s="65">
        <v>6.5317675538657441E-7</v>
      </c>
      <c r="CA53" s="65">
        <v>6.5317675538657441E-7</v>
      </c>
      <c r="CB53" s="65">
        <v>6.5317675538657441E-7</v>
      </c>
      <c r="CC53" s="65">
        <v>4.0932410004225321E-5</v>
      </c>
      <c r="CD53" s="65">
        <v>4.0932410004225321E-5</v>
      </c>
      <c r="CE53" s="65">
        <v>1.632941888466436E-6</v>
      </c>
      <c r="CF53" s="65">
        <v>1.632941888466436E-6</v>
      </c>
      <c r="CG53" s="65">
        <v>3.2658837769328721E-6</v>
      </c>
      <c r="CH53" s="65">
        <v>6.5317675538657441E-7</v>
      </c>
      <c r="CI53" s="65">
        <v>5.4431396282214538E-7</v>
      </c>
      <c r="CJ53" s="65">
        <v>6.5317675538657441E-7</v>
      </c>
      <c r="CK53" s="65">
        <v>2.0683930587241522E-6</v>
      </c>
      <c r="CL53" s="65">
        <v>5.660865213350311E-6</v>
      </c>
      <c r="CM53" s="65">
        <v>3.2658837769328721E-7</v>
      </c>
      <c r="CN53" s="65">
        <v>6.5317675538657441E-7</v>
      </c>
      <c r="CO53" s="65">
        <v>5.4431396282214538E-7</v>
      </c>
      <c r="CP53" s="65">
        <v>4.3545117025771619E-7</v>
      </c>
      <c r="CQ53" s="65">
        <v>5.4431396282214538E-7</v>
      </c>
      <c r="CR53" s="65">
        <v>1.088627925644291E-6</v>
      </c>
      <c r="CS53" s="65">
        <v>2.1772558512885809E-7</v>
      </c>
      <c r="CT53" s="65">
        <v>1.088627925644291E-7</v>
      </c>
      <c r="CU53" s="65">
        <v>0</v>
      </c>
      <c r="CV53" s="65">
        <v>4.3545117025771619E-7</v>
      </c>
      <c r="CW53" s="65">
        <v>4.3545117025771619E-7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7.6382738560388994E-7</v>
      </c>
      <c r="DD53" s="65">
        <v>7.6382738560388994E-7</v>
      </c>
      <c r="DE53" s="65">
        <v>7.6382738560388994E-7</v>
      </c>
      <c r="DF53" s="65">
        <v>7.6382738560388994E-7</v>
      </c>
      <c r="DG53" s="65">
        <v>7.6382738560388994E-7</v>
      </c>
      <c r="DH53" s="65">
        <v>7.6382738560388994E-7</v>
      </c>
      <c r="DI53" s="65">
        <v>7.6382738560388994E-7</v>
      </c>
      <c r="DJ53" s="65">
        <v>3.8191369280194501E-6</v>
      </c>
      <c r="DK53" s="65">
        <v>3.8191369280194501E-6</v>
      </c>
      <c r="DL53" s="65">
        <v>7.6382738560388994E-7</v>
      </c>
      <c r="DM53" s="65">
        <v>7.6382738560388994E-7</v>
      </c>
      <c r="DN53" s="65">
        <v>2.2914821568116698E-6</v>
      </c>
      <c r="DO53" s="65">
        <v>7.6382738560388994E-7</v>
      </c>
      <c r="DP53" s="65">
        <v>7.6382738560388994E-7</v>
      </c>
      <c r="DQ53" s="65">
        <v>7.6382738560388994E-7</v>
      </c>
      <c r="DR53" s="65">
        <v>2.2914821568116698E-6</v>
      </c>
      <c r="DS53" s="65">
        <v>1.5276547712077801E-6</v>
      </c>
      <c r="DT53" s="65">
        <v>7.6382738560388994E-7</v>
      </c>
      <c r="DU53" s="65">
        <v>7.6382738560388994E-7</v>
      </c>
      <c r="DV53" s="65">
        <v>7.6382738560388994E-7</v>
      </c>
      <c r="DW53" s="65">
        <v>7.6382738560388994E-7</v>
      </c>
      <c r="DX53" s="65">
        <v>7.6382738560388994E-7</v>
      </c>
      <c r="DY53" s="65">
        <v>7.6382738560388994E-7</v>
      </c>
      <c r="DZ53" s="65">
        <v>0</v>
      </c>
      <c r="EA53" s="65">
        <v>0</v>
      </c>
      <c r="EB53" s="65">
        <v>0</v>
      </c>
      <c r="EC53" s="65">
        <v>7.6382738560388994E-7</v>
      </c>
      <c r="ED53" s="65">
        <v>7.6382738560388994E-7</v>
      </c>
      <c r="EE53" s="65">
        <v>6.4091043994345255E-7</v>
      </c>
      <c r="EF53" s="65">
        <v>6.4091043994345255E-7</v>
      </c>
      <c r="EG53" s="65">
        <v>6.4091043994345255E-7</v>
      </c>
      <c r="EH53" s="65">
        <v>6.4091043994345255E-7</v>
      </c>
      <c r="EI53" s="65">
        <v>0</v>
      </c>
      <c r="EJ53" s="65">
        <v>6.4091043994345255E-7</v>
      </c>
      <c r="EK53" s="65">
        <v>6.4091043994345255E-7</v>
      </c>
      <c r="EL53" s="65">
        <v>6.4091043994345255E-7</v>
      </c>
      <c r="EM53" s="65">
        <v>6.4091043994345255E-7</v>
      </c>
      <c r="EN53" s="65">
        <v>6.4091043994345255E-7</v>
      </c>
      <c r="EO53" s="65">
        <v>6.4091043994345255E-7</v>
      </c>
      <c r="EP53" s="65">
        <v>6.4091043994345255E-7</v>
      </c>
      <c r="EQ53" s="65">
        <v>1.089547747903869E-5</v>
      </c>
      <c r="ER53" s="65">
        <v>1.089547747903869E-5</v>
      </c>
      <c r="ES53" s="65">
        <v>1.9227313198303579E-6</v>
      </c>
      <c r="ET53" s="65">
        <v>1.9227313198303579E-6</v>
      </c>
      <c r="EU53" s="65">
        <v>3.204552199717263E-6</v>
      </c>
      <c r="EV53" s="65">
        <v>6.4091043994345255E-7</v>
      </c>
      <c r="EW53" s="65">
        <v>6.4091043994345255E-7</v>
      </c>
      <c r="EX53" s="65">
        <v>6.4091043994345255E-7</v>
      </c>
      <c r="EY53" s="65">
        <v>2.5636417597738102E-6</v>
      </c>
      <c r="EZ53" s="65">
        <v>3.204552199717263E-6</v>
      </c>
      <c r="FA53" s="65">
        <v>6.4091043994345255E-7</v>
      </c>
      <c r="FB53" s="65">
        <v>6.4091043994345255E-7</v>
      </c>
      <c r="FC53" s="65">
        <v>6.4091043994345255E-7</v>
      </c>
      <c r="FD53" s="65">
        <v>6.4091043994345255E-7</v>
      </c>
      <c r="FE53" s="65">
        <v>6.4091043994345255E-7</v>
      </c>
      <c r="FF53" s="65">
        <v>1.2818208798869051E-6</v>
      </c>
      <c r="FG53" s="65">
        <v>6.4091043994345255E-7</v>
      </c>
      <c r="FH53" s="65">
        <v>0</v>
      </c>
      <c r="FI53" s="65">
        <v>0</v>
      </c>
      <c r="FJ53" s="65">
        <v>6.4091043994345255E-7</v>
      </c>
      <c r="FK53" s="65">
        <v>6.4091043994345255E-7</v>
      </c>
      <c r="FL53" s="65">
        <v>1.752314672913573E-5</v>
      </c>
      <c r="FM53" s="65">
        <v>1.752314672913573E-5</v>
      </c>
      <c r="FN53" s="65">
        <v>1.752314672913573E-5</v>
      </c>
      <c r="FO53" s="65">
        <v>1.752314672913573E-5</v>
      </c>
      <c r="FP53" s="65">
        <v>0</v>
      </c>
      <c r="FQ53" s="65">
        <v>2.628472009370359E-5</v>
      </c>
      <c r="FR53" s="65">
        <v>2.628472009370359E-5</v>
      </c>
      <c r="FS53" s="65">
        <v>2.628472009370359E-5</v>
      </c>
      <c r="FT53" s="65">
        <v>2.628472009370359E-5</v>
      </c>
      <c r="FU53" s="65">
        <v>2.628472009370359E-5</v>
      </c>
      <c r="FV53" s="65">
        <v>2.628472009370359E-5</v>
      </c>
      <c r="FW53" s="65">
        <v>2.628472009370359E-5</v>
      </c>
      <c r="FX53" s="65">
        <v>2.9399946178883279E-4</v>
      </c>
      <c r="FY53" s="65">
        <v>2.9399946178883279E-4</v>
      </c>
      <c r="FZ53" s="65">
        <v>1.6549638577517081E-5</v>
      </c>
      <c r="GA53" s="65">
        <v>1.6549638577517081E-5</v>
      </c>
      <c r="GB53" s="65">
        <v>7.3986619523017528E-5</v>
      </c>
      <c r="GC53" s="65">
        <v>9.7350815161865171E-6</v>
      </c>
      <c r="GD53" s="65">
        <v>1.168209781942382E-5</v>
      </c>
      <c r="GE53" s="65">
        <v>1.265560597104247E-5</v>
      </c>
      <c r="GF53" s="65">
        <v>4.1860850519602022E-5</v>
      </c>
      <c r="GG53" s="65">
        <v>4.9648915732551233E-5</v>
      </c>
      <c r="GH53" s="65">
        <v>6.8145570613305613E-6</v>
      </c>
      <c r="GI53" s="65">
        <v>6.8145570613305613E-6</v>
      </c>
      <c r="GJ53" s="65">
        <v>7.7880652129492127E-6</v>
      </c>
      <c r="GK53" s="65">
        <v>8.7615733645678649E-6</v>
      </c>
      <c r="GL53" s="65">
        <v>2.044367118399168E-5</v>
      </c>
      <c r="GM53" s="65">
        <v>1.752314672913573E-5</v>
      </c>
      <c r="GN53" s="65">
        <v>2.920524454855955E-6</v>
      </c>
      <c r="GO53" s="65">
        <v>2.920524454855955E-6</v>
      </c>
      <c r="GP53" s="65">
        <v>1.9470163032373032E-6</v>
      </c>
      <c r="GQ53" s="65">
        <v>1.0708589667805169E-5</v>
      </c>
      <c r="GR53" s="65">
        <v>1.0708589667805169E-5</v>
      </c>
      <c r="GS53" s="65">
        <v>7.6382738560388994E-7</v>
      </c>
      <c r="GT53" s="65">
        <v>7.6382738560388994E-7</v>
      </c>
      <c r="GU53" s="65">
        <v>7.6382738560388994E-7</v>
      </c>
      <c r="GV53" s="65">
        <v>7.6382738560388994E-7</v>
      </c>
      <c r="GW53" s="65">
        <v>0</v>
      </c>
      <c r="GX53" s="65">
        <v>1.5276547712077801E-6</v>
      </c>
      <c r="GY53" s="65">
        <v>1.5276547712077801E-6</v>
      </c>
      <c r="GZ53" s="65">
        <v>1.5276547712077801E-6</v>
      </c>
      <c r="HA53" s="65">
        <v>1.5276547712077801E-6</v>
      </c>
      <c r="HB53" s="65">
        <v>1.5276547712077801E-6</v>
      </c>
      <c r="HC53" s="65">
        <v>1.5276547712077801E-6</v>
      </c>
      <c r="HD53" s="65">
        <v>1.5276547712077801E-6</v>
      </c>
      <c r="HE53" s="65">
        <v>5.2704089606668408E-5</v>
      </c>
      <c r="HF53" s="65">
        <v>5.2704089606668408E-5</v>
      </c>
      <c r="HG53" s="65">
        <v>3.0553095424155602E-6</v>
      </c>
      <c r="HH53" s="65">
        <v>3.0553095424155602E-6</v>
      </c>
      <c r="HI53" s="65">
        <v>7.6382738560389002E-6</v>
      </c>
      <c r="HJ53" s="65">
        <v>1.5276547712077801E-6</v>
      </c>
      <c r="HK53" s="65">
        <v>1.5276547712077801E-6</v>
      </c>
      <c r="HL53" s="65">
        <v>1.5276547712077801E-6</v>
      </c>
      <c r="HM53" s="65">
        <v>5.34679169922723E-6</v>
      </c>
      <c r="HN53" s="65">
        <v>1.2985065555266129E-5</v>
      </c>
      <c r="HO53" s="65">
        <v>7.6382738560388994E-7</v>
      </c>
      <c r="HP53" s="65">
        <v>1.5276547712077801E-6</v>
      </c>
      <c r="HQ53" s="65">
        <v>2.2914821568116698E-6</v>
      </c>
      <c r="HR53" s="65">
        <v>1.5276547712077801E-6</v>
      </c>
      <c r="HS53" s="65">
        <v>2.2914821568116698E-6</v>
      </c>
      <c r="HT53" s="65">
        <v>3.8191369280194501E-6</v>
      </c>
      <c r="HU53" s="65">
        <v>7.6382738560388994E-7</v>
      </c>
      <c r="HV53" s="65">
        <v>0</v>
      </c>
      <c r="HW53" s="65">
        <v>0</v>
      </c>
      <c r="HX53" s="65">
        <v>2.2914821568116698E-6</v>
      </c>
      <c r="HY53" s="65">
        <v>2.2914821568116698E-6</v>
      </c>
      <c r="HZ53" s="65">
        <v>6.4207897002752543E-6</v>
      </c>
      <c r="IA53" s="65">
        <v>6.4207897002752543E-6</v>
      </c>
      <c r="IB53" s="65">
        <v>6.4207897002752543E-6</v>
      </c>
      <c r="IC53" s="65">
        <v>6.4207897002752543E-6</v>
      </c>
      <c r="ID53" s="65">
        <v>0</v>
      </c>
      <c r="IE53" s="65">
        <v>1.1007068057614719E-5</v>
      </c>
      <c r="IF53" s="65">
        <v>1.1007068057614719E-5</v>
      </c>
      <c r="IG53" s="65">
        <v>1.1007068057614719E-5</v>
      </c>
      <c r="IH53" s="65">
        <v>1.1007068057614719E-5</v>
      </c>
      <c r="II53" s="65">
        <v>1.1007068057614719E-5</v>
      </c>
      <c r="IJ53" s="65">
        <v>1.1007068057614719E-5</v>
      </c>
      <c r="IK53" s="65">
        <v>1.1007068057614719E-5</v>
      </c>
      <c r="IL53" s="65">
        <v>6.1456129988348863E-5</v>
      </c>
      <c r="IM53" s="65">
        <v>6.1456129988348863E-5</v>
      </c>
      <c r="IN53" s="65">
        <v>5.5035340288073614E-6</v>
      </c>
      <c r="IO53" s="65">
        <v>5.5035340288073614E-6</v>
      </c>
      <c r="IP53" s="65">
        <v>9.1725567146789354E-6</v>
      </c>
      <c r="IQ53" s="65">
        <v>1.834511342935787E-6</v>
      </c>
      <c r="IR53" s="65">
        <v>1.834511342935787E-6</v>
      </c>
      <c r="IS53" s="65">
        <v>2.7517670144036799E-6</v>
      </c>
      <c r="IT53" s="65">
        <v>5.5035340288073614E-6</v>
      </c>
      <c r="IU53" s="65">
        <v>1.3758835072018401E-5</v>
      </c>
      <c r="IV53" s="65">
        <v>9.1725567146789339E-7</v>
      </c>
      <c r="IW53" s="65">
        <v>3.669022685871574E-6</v>
      </c>
      <c r="IX53" s="65">
        <v>1.834511342935787E-6</v>
      </c>
      <c r="IY53" s="65">
        <v>1.834511342935787E-6</v>
      </c>
      <c r="IZ53" s="65">
        <v>2.7517670144036799E-6</v>
      </c>
      <c r="JA53" s="65">
        <v>4.5862783573394677E-6</v>
      </c>
      <c r="JB53" s="65">
        <v>9.1725567146789339E-7</v>
      </c>
      <c r="JC53" s="65">
        <v>0</v>
      </c>
      <c r="JD53" s="65">
        <v>0</v>
      </c>
      <c r="JE53" s="65">
        <v>2.7517670144036799E-6</v>
      </c>
      <c r="JF53" s="65">
        <v>2.7517670144036799E-6</v>
      </c>
      <c r="JG53" s="65">
        <v>1.8376650952904869E-5</v>
      </c>
      <c r="JH53" s="65">
        <v>1.8376650952904869E-5</v>
      </c>
      <c r="JI53" s="65">
        <v>1.8376650952904869E-5</v>
      </c>
      <c r="JJ53" s="65">
        <v>1.8376650952904869E-5</v>
      </c>
      <c r="JK53" s="65">
        <v>0</v>
      </c>
      <c r="JL53" s="65">
        <v>6.9831273621038495E-5</v>
      </c>
      <c r="JM53" s="65">
        <v>6.9831273621038495E-5</v>
      </c>
      <c r="JN53" s="65">
        <v>6.9831273621038495E-5</v>
      </c>
      <c r="JO53" s="65">
        <v>6.9831273621038495E-5</v>
      </c>
      <c r="JP53" s="65">
        <v>6.9831273621038495E-5</v>
      </c>
      <c r="JQ53" s="65">
        <v>6.9831273621038495E-5</v>
      </c>
      <c r="JR53" s="65">
        <v>6.9831273621038495E-5</v>
      </c>
      <c r="JS53" s="65">
        <v>1.8202072768852271E-3</v>
      </c>
      <c r="JT53" s="65">
        <v>1.8202072768852271E-3</v>
      </c>
      <c r="JU53" s="65">
        <v>5.8805283049295567E-5</v>
      </c>
      <c r="JV53" s="65">
        <v>5.8805283049295567E-5</v>
      </c>
      <c r="JW53" s="65">
        <v>1.157729010033007E-4</v>
      </c>
      <c r="JX53" s="65">
        <v>2.388964623877633E-5</v>
      </c>
      <c r="JY53" s="65">
        <v>4.1347464644035957E-5</v>
      </c>
      <c r="JZ53" s="65">
        <v>3.8590967001100221E-5</v>
      </c>
      <c r="KA53" s="65">
        <v>8.0030314899900696E-4</v>
      </c>
      <c r="KB53" s="65">
        <v>1.7825351424317719E-4</v>
      </c>
      <c r="KC53" s="65">
        <v>1.8376650952904869E-5</v>
      </c>
      <c r="KD53" s="65">
        <v>2.2051981143485839E-5</v>
      </c>
      <c r="KE53" s="65">
        <v>3.3077971715228757E-5</v>
      </c>
      <c r="KF53" s="65">
        <v>2.572731133406681E-5</v>
      </c>
      <c r="KG53" s="65">
        <v>6.4318278335167024E-5</v>
      </c>
      <c r="KH53" s="65">
        <v>5.1454622668133633E-5</v>
      </c>
      <c r="KI53" s="65">
        <v>2.0214316048195349E-5</v>
      </c>
      <c r="KJ53" s="65">
        <v>1.286365566703341E-5</v>
      </c>
      <c r="KK53" s="65">
        <v>9.1883254764524345E-6</v>
      </c>
      <c r="KL53" s="65">
        <v>3.8590967001100221E-5</v>
      </c>
      <c r="KM53" s="65">
        <v>3.8590967001100221E-5</v>
      </c>
      <c r="KN53" s="65">
        <v>1.5276547712077801E-6</v>
      </c>
      <c r="KO53" s="65">
        <v>1.5276547712077801E-6</v>
      </c>
      <c r="KP53" s="65">
        <v>1.5276547712077801E-6</v>
      </c>
      <c r="KQ53" s="65">
        <v>1.5276547712077801E-6</v>
      </c>
      <c r="KR53" s="65">
        <v>0</v>
      </c>
      <c r="KS53" s="65">
        <v>2.2914821568116698E-6</v>
      </c>
      <c r="KT53" s="65">
        <v>2.2914821568116698E-6</v>
      </c>
      <c r="KU53" s="65">
        <v>2.2914821568116698E-6</v>
      </c>
      <c r="KV53" s="65">
        <v>2.2914821568116698E-6</v>
      </c>
      <c r="KW53" s="65">
        <v>2.2914821568116698E-6</v>
      </c>
      <c r="KX53" s="65">
        <v>2.2914821568116698E-6</v>
      </c>
      <c r="KY53" s="65">
        <v>2.2914821568116698E-6</v>
      </c>
      <c r="KZ53" s="65">
        <v>1.2297620908222629E-4</v>
      </c>
      <c r="LA53" s="65">
        <v>1.2297620908222629E-4</v>
      </c>
      <c r="LB53" s="65">
        <v>3.8191369280194501E-6</v>
      </c>
      <c r="LC53" s="65">
        <v>3.8191369280194501E-6</v>
      </c>
      <c r="LD53" s="65">
        <v>7.6382738560389002E-6</v>
      </c>
      <c r="LE53" s="65">
        <v>2.2914821568116698E-6</v>
      </c>
      <c r="LF53" s="65">
        <v>2.2914821568116698E-6</v>
      </c>
      <c r="LG53" s="65">
        <v>1.5276547712077801E-6</v>
      </c>
      <c r="LH53" s="65">
        <v>7.6382738560389002E-6</v>
      </c>
      <c r="LI53" s="65">
        <v>1.9095684640097249E-5</v>
      </c>
      <c r="LJ53" s="65">
        <v>1.5276547712077801E-6</v>
      </c>
      <c r="LK53" s="65">
        <v>1.5276547712077801E-6</v>
      </c>
      <c r="LL53" s="65">
        <v>4.5829643136233396E-6</v>
      </c>
      <c r="LM53" s="65">
        <v>1.5276547712077801E-6</v>
      </c>
      <c r="LN53" s="65">
        <v>1.5276547712077801E-6</v>
      </c>
      <c r="LO53" s="65">
        <v>5.34679169922723E-6</v>
      </c>
      <c r="LP53" s="65">
        <v>1.5276547712077801E-6</v>
      </c>
      <c r="LQ53" s="65">
        <v>0</v>
      </c>
      <c r="LR53" s="65">
        <v>0</v>
      </c>
      <c r="LS53" s="65">
        <v>1.5276547712077801E-6</v>
      </c>
      <c r="LT53" s="65">
        <v>1.5276547712077801E-6</v>
      </c>
      <c r="LU53" s="65">
        <v>3.2218853860653471E-6</v>
      </c>
      <c r="LV53" s="65">
        <v>3.2218853860653471E-6</v>
      </c>
      <c r="LW53" s="65">
        <v>3.2218853860653471E-6</v>
      </c>
      <c r="LX53" s="65">
        <v>3.2218853860653471E-6</v>
      </c>
      <c r="LY53" s="65">
        <v>0</v>
      </c>
      <c r="LZ53" s="65">
        <v>4.5106395404914836E-6</v>
      </c>
      <c r="MA53" s="65">
        <v>4.5106395404914836E-6</v>
      </c>
      <c r="MB53" s="65">
        <v>4.5106395404914836E-6</v>
      </c>
      <c r="MC53" s="65">
        <v>4.5106395404914836E-6</v>
      </c>
      <c r="MD53" s="65">
        <v>4.5106395404914836E-6</v>
      </c>
      <c r="ME53" s="65">
        <v>4.5106395404914836E-6</v>
      </c>
      <c r="MF53" s="65">
        <v>4.5106395404914836E-6</v>
      </c>
      <c r="MG53" s="65">
        <v>1.159878738983525E-4</v>
      </c>
      <c r="MH53" s="65">
        <v>1.159878738983525E-4</v>
      </c>
      <c r="MI53" s="65">
        <v>5.7993936949176231E-6</v>
      </c>
      <c r="MJ53" s="65">
        <v>5.7993936949176231E-6</v>
      </c>
      <c r="MK53" s="65">
        <v>2.7063837242948908E-5</v>
      </c>
      <c r="ML53" s="65">
        <v>3.2218853860653471E-6</v>
      </c>
      <c r="MM53" s="65">
        <v>2.5775083088522769E-6</v>
      </c>
      <c r="MN53" s="65">
        <v>3.2218853860653471E-6</v>
      </c>
      <c r="MO53" s="65">
        <v>1.288754154426139E-5</v>
      </c>
      <c r="MP53" s="65">
        <v>2.835259139737505E-5</v>
      </c>
      <c r="MQ53" s="65">
        <v>2.5775083088522769E-6</v>
      </c>
      <c r="MR53" s="65">
        <v>3.866262463278416E-6</v>
      </c>
      <c r="MS53" s="65">
        <v>3.866262463278416E-6</v>
      </c>
      <c r="MT53" s="65">
        <v>2.5775083088522769E-6</v>
      </c>
      <c r="MU53" s="65">
        <v>5.7993936949176231E-6</v>
      </c>
      <c r="MV53" s="65">
        <v>6.4437707721306933E-6</v>
      </c>
      <c r="MW53" s="65">
        <v>1.933131231639208E-6</v>
      </c>
      <c r="MX53" s="65">
        <v>6.4437707721306922E-7</v>
      </c>
      <c r="MY53" s="65">
        <v>6.4437707721306922E-7</v>
      </c>
      <c r="MZ53" s="65">
        <v>3.866262463278416E-6</v>
      </c>
      <c r="NA53" s="65">
        <v>3.866262463278416E-6</v>
      </c>
      <c r="NB53" s="65"/>
      <c r="NC53" s="65"/>
      <c r="ND53" s="65"/>
      <c r="NE53" s="65"/>
      <c r="NF53" s="65"/>
      <c r="NG53" s="65"/>
      <c r="NH53" s="65"/>
      <c r="NI53" s="65"/>
      <c r="NJ53" s="65"/>
      <c r="NK53" s="65"/>
      <c r="NL53" s="65"/>
      <c r="NM53" s="65"/>
      <c r="NN53" s="65"/>
      <c r="NO53" s="65"/>
      <c r="NP53" s="65"/>
      <c r="NQ53" s="65"/>
      <c r="NR53" s="65"/>
      <c r="NS53" s="65"/>
      <c r="NT53" s="65"/>
      <c r="NU53" s="65"/>
      <c r="NV53" s="65"/>
      <c r="NW53" s="65"/>
      <c r="NX53" s="65"/>
      <c r="NY53" s="65"/>
      <c r="NZ53" s="65"/>
      <c r="OA53" s="65"/>
      <c r="OB53" s="65"/>
      <c r="OC53" s="65"/>
      <c r="OD53" s="65"/>
      <c r="OE53" s="65"/>
      <c r="OF53" s="65"/>
      <c r="OG53" s="65"/>
      <c r="OH53" s="65"/>
      <c r="OI53" s="65"/>
      <c r="OJ53" s="65"/>
      <c r="OK53" s="65"/>
      <c r="OL53" s="65"/>
      <c r="OM53" s="65"/>
      <c r="ON53" s="65"/>
      <c r="OO53" s="65"/>
      <c r="OP53" s="65"/>
      <c r="OQ53" s="65"/>
      <c r="OR53" s="65"/>
      <c r="OS53" s="65"/>
    </row>
    <row r="54" spans="1:409">
      <c r="A54" s="65" t="s">
        <v>610</v>
      </c>
      <c r="B54" s="65" t="s">
        <v>594</v>
      </c>
      <c r="C54" s="65">
        <v>1.9725132405065351E-5</v>
      </c>
      <c r="D54" s="65">
        <v>6.059539235095599E-5</v>
      </c>
      <c r="E54" s="65">
        <v>9.0220836523652499E-6</v>
      </c>
      <c r="F54" s="65">
        <v>1.6449647064418289E-4</v>
      </c>
      <c r="G54" s="65">
        <v>0</v>
      </c>
      <c r="H54" s="65">
        <v>6.5030708450122322E-4</v>
      </c>
      <c r="I54" s="65">
        <v>1.2061564062267589E-3</v>
      </c>
      <c r="J54" s="65">
        <v>5.2435068008039546E-4</v>
      </c>
      <c r="K54" s="65">
        <v>7.2255264492912085E-4</v>
      </c>
      <c r="L54" s="65">
        <v>5.5187487311427548E-4</v>
      </c>
      <c r="M54" s="65">
        <v>4.8787661671108741E-4</v>
      </c>
      <c r="N54" s="65">
        <v>1.518030118557226E-3</v>
      </c>
      <c r="O54" s="65">
        <v>1.769449573489219E-2</v>
      </c>
      <c r="P54" s="65">
        <v>1.165658477802147</v>
      </c>
      <c r="Q54" s="65">
        <v>3.7625121874321453E-5</v>
      </c>
      <c r="R54" s="65">
        <v>2.393690392356396E-4</v>
      </c>
      <c r="S54" s="65">
        <v>3.7278474142906812E-4</v>
      </c>
      <c r="T54" s="65">
        <v>3.9439187737625657E-5</v>
      </c>
      <c r="U54" s="65">
        <v>5.6634883948530041E-5</v>
      </c>
      <c r="V54" s="65">
        <v>1.9463707464156561E-4</v>
      </c>
      <c r="W54" s="65">
        <v>3.9677735284572878E-2</v>
      </c>
      <c r="X54" s="65">
        <v>2.4882161068273331E-3</v>
      </c>
      <c r="Y54" s="65">
        <v>4.0046814254616277E-5</v>
      </c>
      <c r="Z54" s="65">
        <v>4.8816281458237462E-5</v>
      </c>
      <c r="AA54" s="65">
        <v>1.4003546509577461E-4</v>
      </c>
      <c r="AB54" s="65">
        <v>3.1437480450322822E-4</v>
      </c>
      <c r="AC54" s="65">
        <v>2.377965134041664E-4</v>
      </c>
      <c r="AD54" s="65">
        <v>2.8447903883759088E-4</v>
      </c>
      <c r="AE54" s="65">
        <v>5.1380670802215911E-5</v>
      </c>
      <c r="AF54" s="65">
        <v>3.0109460706007871E-5</v>
      </c>
      <c r="AG54" s="65">
        <v>4.5481640953099373E-5</v>
      </c>
      <c r="AH54" s="65">
        <v>2.3771849174397791E-4</v>
      </c>
      <c r="AI54" s="65">
        <v>2.319710034193106E-4</v>
      </c>
      <c r="AJ54" s="65">
        <v>1.904546555165868E-7</v>
      </c>
      <c r="AK54" s="65">
        <v>1.904546555165868E-7</v>
      </c>
      <c r="AL54" s="65">
        <v>1.904546555165868E-7</v>
      </c>
      <c r="AM54" s="65">
        <v>1.904546555165868E-7</v>
      </c>
      <c r="AN54" s="65">
        <v>0</v>
      </c>
      <c r="AO54" s="65">
        <v>1.5871221293048901E-7</v>
      </c>
      <c r="AP54" s="65">
        <v>1.5871221293048901E-7</v>
      </c>
      <c r="AQ54" s="65">
        <v>1.5871221293048901E-7</v>
      </c>
      <c r="AR54" s="65">
        <v>1.5871221293048901E-7</v>
      </c>
      <c r="AS54" s="65">
        <v>1.5871221293048901E-7</v>
      </c>
      <c r="AT54" s="65">
        <v>1.5871221293048901E-7</v>
      </c>
      <c r="AU54" s="65">
        <v>1.5871221293048901E-7</v>
      </c>
      <c r="AV54" s="65">
        <v>8.8402702602282389E-6</v>
      </c>
      <c r="AW54" s="65">
        <v>8.8402702602282389E-6</v>
      </c>
      <c r="AX54" s="65">
        <v>1.7458343422353791E-7</v>
      </c>
      <c r="AY54" s="65">
        <v>1.7458343422353791E-7</v>
      </c>
      <c r="AZ54" s="65">
        <v>7.3007617948024946E-7</v>
      </c>
      <c r="BA54" s="65">
        <v>1.269697703443912E-7</v>
      </c>
      <c r="BB54" s="65">
        <v>9.5227327758293413E-8</v>
      </c>
      <c r="BC54" s="65">
        <v>1.4284099163744009E-7</v>
      </c>
      <c r="BD54" s="65">
        <v>5.7136396654976048E-7</v>
      </c>
      <c r="BE54" s="65">
        <v>9.8401572016903207E-7</v>
      </c>
      <c r="BF54" s="65">
        <v>7.935610646524452E-8</v>
      </c>
      <c r="BG54" s="65">
        <v>1.4284099163744009E-7</v>
      </c>
      <c r="BH54" s="65">
        <v>9.5227327758293413E-8</v>
      </c>
      <c r="BI54" s="65">
        <v>1.269697703443912E-7</v>
      </c>
      <c r="BJ54" s="65">
        <v>1.7458343422353791E-7</v>
      </c>
      <c r="BK54" s="65">
        <v>1.7458343422353791E-7</v>
      </c>
      <c r="BL54" s="65">
        <v>3.1742442586097813E-8</v>
      </c>
      <c r="BM54" s="65">
        <v>0</v>
      </c>
      <c r="BN54" s="65">
        <v>0</v>
      </c>
      <c r="BO54" s="65">
        <v>9.5227327758293413E-8</v>
      </c>
      <c r="BP54" s="65">
        <v>9.5227327758293413E-8</v>
      </c>
      <c r="BQ54" s="65">
        <v>3.5645488297422841E-6</v>
      </c>
      <c r="BR54" s="65">
        <v>3.5645488297422841E-6</v>
      </c>
      <c r="BS54" s="65">
        <v>3.5645488297422841E-6</v>
      </c>
      <c r="BT54" s="65">
        <v>3.5645488297422841E-6</v>
      </c>
      <c r="BU54" s="65">
        <v>0</v>
      </c>
      <c r="BV54" s="65">
        <v>5.3468232446134266E-6</v>
      </c>
      <c r="BW54" s="65">
        <v>5.3468232446134266E-6</v>
      </c>
      <c r="BX54" s="65">
        <v>5.3468232446134266E-6</v>
      </c>
      <c r="BY54" s="65">
        <v>5.3468232446134266E-6</v>
      </c>
      <c r="BZ54" s="65">
        <v>5.3468232446134266E-6</v>
      </c>
      <c r="CA54" s="65">
        <v>5.3468232446134266E-6</v>
      </c>
      <c r="CB54" s="65">
        <v>5.3468232446134266E-6</v>
      </c>
      <c r="CC54" s="65">
        <v>3.3506758999577471E-4</v>
      </c>
      <c r="CD54" s="65">
        <v>3.3506758999577471E-4</v>
      </c>
      <c r="CE54" s="65">
        <v>1.3367058111533569E-5</v>
      </c>
      <c r="CF54" s="65">
        <v>1.3367058111533569E-5</v>
      </c>
      <c r="CG54" s="65">
        <v>2.6734116223067129E-5</v>
      </c>
      <c r="CH54" s="65">
        <v>5.3468232446134266E-6</v>
      </c>
      <c r="CI54" s="65">
        <v>4.4556860371778553E-6</v>
      </c>
      <c r="CJ54" s="65">
        <v>5.3468232446134266E-6</v>
      </c>
      <c r="CK54" s="65">
        <v>1.6931606941275851E-5</v>
      </c>
      <c r="CL54" s="65">
        <v>4.6339134786649687E-5</v>
      </c>
      <c r="CM54" s="65">
        <v>2.6734116223067129E-6</v>
      </c>
      <c r="CN54" s="65">
        <v>5.3468232446134266E-6</v>
      </c>
      <c r="CO54" s="65">
        <v>4.4556860371778553E-6</v>
      </c>
      <c r="CP54" s="65">
        <v>3.5645488297422841E-6</v>
      </c>
      <c r="CQ54" s="65">
        <v>4.4556860371778553E-6</v>
      </c>
      <c r="CR54" s="65">
        <v>8.9113720743557107E-6</v>
      </c>
      <c r="CS54" s="65">
        <v>1.7822744148711421E-6</v>
      </c>
      <c r="CT54" s="65">
        <v>8.9113720743557092E-7</v>
      </c>
      <c r="CU54" s="65">
        <v>0</v>
      </c>
      <c r="CV54" s="65">
        <v>3.5645488297422841E-6</v>
      </c>
      <c r="CW54" s="65">
        <v>3.5645488297422841E-6</v>
      </c>
      <c r="CX54" s="65">
        <v>0</v>
      </c>
      <c r="CY54" s="65">
        <v>0</v>
      </c>
      <c r="CZ54" s="65">
        <v>0</v>
      </c>
      <c r="DA54" s="65">
        <v>0</v>
      </c>
      <c r="DB54" s="65">
        <v>0</v>
      </c>
      <c r="DC54" s="65">
        <v>2.361726143961101E-7</v>
      </c>
      <c r="DD54" s="65">
        <v>2.361726143961101E-7</v>
      </c>
      <c r="DE54" s="65">
        <v>2.361726143961101E-7</v>
      </c>
      <c r="DF54" s="65">
        <v>2.361726143961101E-7</v>
      </c>
      <c r="DG54" s="65">
        <v>2.361726143961101E-7</v>
      </c>
      <c r="DH54" s="65">
        <v>2.361726143961101E-7</v>
      </c>
      <c r="DI54" s="65">
        <v>2.361726143961101E-7</v>
      </c>
      <c r="DJ54" s="65">
        <v>1.1808630719805509E-6</v>
      </c>
      <c r="DK54" s="65">
        <v>1.1808630719805509E-6</v>
      </c>
      <c r="DL54" s="65">
        <v>2.361726143961101E-7</v>
      </c>
      <c r="DM54" s="65">
        <v>2.361726143961101E-7</v>
      </c>
      <c r="DN54" s="65">
        <v>7.0851784318833026E-7</v>
      </c>
      <c r="DO54" s="65">
        <v>2.361726143961101E-7</v>
      </c>
      <c r="DP54" s="65">
        <v>2.361726143961101E-7</v>
      </c>
      <c r="DQ54" s="65">
        <v>2.361726143961101E-7</v>
      </c>
      <c r="DR54" s="65">
        <v>7.0851784318833026E-7</v>
      </c>
      <c r="DS54" s="65">
        <v>4.7234522879222009E-7</v>
      </c>
      <c r="DT54" s="65">
        <v>2.361726143961101E-7</v>
      </c>
      <c r="DU54" s="65">
        <v>2.361726143961101E-7</v>
      </c>
      <c r="DV54" s="65">
        <v>2.361726143961101E-7</v>
      </c>
      <c r="DW54" s="65">
        <v>2.361726143961101E-7</v>
      </c>
      <c r="DX54" s="65">
        <v>2.361726143961101E-7</v>
      </c>
      <c r="DY54" s="65">
        <v>2.361726143961101E-7</v>
      </c>
      <c r="DZ54" s="65">
        <v>0</v>
      </c>
      <c r="EA54" s="65">
        <v>0</v>
      </c>
      <c r="EB54" s="65">
        <v>0</v>
      </c>
      <c r="EC54" s="65">
        <v>2.361726143961101E-7</v>
      </c>
      <c r="ED54" s="65">
        <v>2.361726143961101E-7</v>
      </c>
      <c r="EE54" s="65">
        <v>3.5908956005654751E-7</v>
      </c>
      <c r="EF54" s="65">
        <v>3.5908956005654751E-7</v>
      </c>
      <c r="EG54" s="65">
        <v>3.5908956005654751E-7</v>
      </c>
      <c r="EH54" s="65">
        <v>3.5908956005654751E-7</v>
      </c>
      <c r="EI54" s="65">
        <v>0</v>
      </c>
      <c r="EJ54" s="65">
        <v>3.5908956005654751E-7</v>
      </c>
      <c r="EK54" s="65">
        <v>3.5908956005654751E-7</v>
      </c>
      <c r="EL54" s="65">
        <v>3.5908956005654751E-7</v>
      </c>
      <c r="EM54" s="65">
        <v>3.5908956005654751E-7</v>
      </c>
      <c r="EN54" s="65">
        <v>3.5908956005654751E-7</v>
      </c>
      <c r="EO54" s="65">
        <v>3.5908956005654751E-7</v>
      </c>
      <c r="EP54" s="65">
        <v>3.5908956005654751E-7</v>
      </c>
      <c r="EQ54" s="65">
        <v>6.1045225209613071E-6</v>
      </c>
      <c r="ER54" s="65">
        <v>6.1045225209613071E-6</v>
      </c>
      <c r="ES54" s="65">
        <v>1.077268680169642E-6</v>
      </c>
      <c r="ET54" s="65">
        <v>1.077268680169642E-6</v>
      </c>
      <c r="EU54" s="65">
        <v>1.795447800282737E-6</v>
      </c>
      <c r="EV54" s="65">
        <v>3.5908956005654751E-7</v>
      </c>
      <c r="EW54" s="65">
        <v>3.5908956005654751E-7</v>
      </c>
      <c r="EX54" s="65">
        <v>3.5908956005654751E-7</v>
      </c>
      <c r="EY54" s="65">
        <v>1.43635824022619E-6</v>
      </c>
      <c r="EZ54" s="65">
        <v>1.795447800282737E-6</v>
      </c>
      <c r="FA54" s="65">
        <v>3.5908956005654751E-7</v>
      </c>
      <c r="FB54" s="65">
        <v>3.5908956005654751E-7</v>
      </c>
      <c r="FC54" s="65">
        <v>3.5908956005654751E-7</v>
      </c>
      <c r="FD54" s="65">
        <v>3.5908956005654751E-7</v>
      </c>
      <c r="FE54" s="65">
        <v>3.5908956005654751E-7</v>
      </c>
      <c r="FF54" s="65">
        <v>7.1817912011309491E-7</v>
      </c>
      <c r="FG54" s="65">
        <v>3.5908956005654751E-7</v>
      </c>
      <c r="FH54" s="65">
        <v>0</v>
      </c>
      <c r="FI54" s="65">
        <v>0</v>
      </c>
      <c r="FJ54" s="65">
        <v>3.5908956005654751E-7</v>
      </c>
      <c r="FK54" s="65">
        <v>3.5908956005654751E-7</v>
      </c>
      <c r="FL54" s="65">
        <v>4.7685327086427011E-7</v>
      </c>
      <c r="FM54" s="65">
        <v>4.7685327086427011E-7</v>
      </c>
      <c r="FN54" s="65">
        <v>4.7685327086427011E-7</v>
      </c>
      <c r="FO54" s="65">
        <v>4.7685327086427011E-7</v>
      </c>
      <c r="FP54" s="65">
        <v>0</v>
      </c>
      <c r="FQ54" s="65">
        <v>7.1527990629640511E-7</v>
      </c>
      <c r="FR54" s="65">
        <v>7.1527990629640511E-7</v>
      </c>
      <c r="FS54" s="65">
        <v>7.1527990629640511E-7</v>
      </c>
      <c r="FT54" s="65">
        <v>7.1527990629640511E-7</v>
      </c>
      <c r="FU54" s="65">
        <v>7.1527990629640511E-7</v>
      </c>
      <c r="FV54" s="65">
        <v>7.1527990629640511E-7</v>
      </c>
      <c r="FW54" s="65">
        <v>7.1527990629640511E-7</v>
      </c>
      <c r="FX54" s="65">
        <v>8.0005382111671989E-6</v>
      </c>
      <c r="FY54" s="65">
        <v>8.0005382111671989E-6</v>
      </c>
      <c r="FZ54" s="65">
        <v>4.5036142248292179E-7</v>
      </c>
      <c r="GA54" s="65">
        <v>4.5036142248292179E-7</v>
      </c>
      <c r="GB54" s="65">
        <v>2.0133804769824739E-6</v>
      </c>
      <c r="GC54" s="65">
        <v>2.6491848381348342E-7</v>
      </c>
      <c r="GD54" s="65">
        <v>3.1790218057618011E-7</v>
      </c>
      <c r="GE54" s="65">
        <v>3.4439402895752842E-7</v>
      </c>
      <c r="GF54" s="65">
        <v>1.139149480397979E-6</v>
      </c>
      <c r="GG54" s="65">
        <v>1.3510842674487649E-6</v>
      </c>
      <c r="GH54" s="65">
        <v>1.854429386694384E-7</v>
      </c>
      <c r="GI54" s="65">
        <v>1.854429386694384E-7</v>
      </c>
      <c r="GJ54" s="65">
        <v>2.1193478705078671E-7</v>
      </c>
      <c r="GK54" s="65">
        <v>2.3842663543213511E-7</v>
      </c>
      <c r="GL54" s="65">
        <v>5.5632881600831511E-7</v>
      </c>
      <c r="GM54" s="65">
        <v>4.7685327086427011E-7</v>
      </c>
      <c r="GN54" s="65">
        <v>7.9475545144045027E-8</v>
      </c>
      <c r="GO54" s="65">
        <v>7.9475545144045027E-8</v>
      </c>
      <c r="GP54" s="65">
        <v>5.2983696762696678E-8</v>
      </c>
      <c r="GQ54" s="65">
        <v>2.9141033219483169E-7</v>
      </c>
      <c r="GR54" s="65">
        <v>2.9141033219483169E-7</v>
      </c>
      <c r="GS54" s="65">
        <v>2.361726143961101E-7</v>
      </c>
      <c r="GT54" s="65">
        <v>2.361726143961101E-7</v>
      </c>
      <c r="GU54" s="65">
        <v>2.361726143961101E-7</v>
      </c>
      <c r="GV54" s="65">
        <v>2.361726143961101E-7</v>
      </c>
      <c r="GW54" s="65">
        <v>0</v>
      </c>
      <c r="GX54" s="65">
        <v>4.7234522879222009E-7</v>
      </c>
      <c r="GY54" s="65">
        <v>4.7234522879222009E-7</v>
      </c>
      <c r="GZ54" s="65">
        <v>4.7234522879222009E-7</v>
      </c>
      <c r="HA54" s="65">
        <v>4.7234522879222009E-7</v>
      </c>
      <c r="HB54" s="65">
        <v>4.7234522879222009E-7</v>
      </c>
      <c r="HC54" s="65">
        <v>4.7234522879222009E-7</v>
      </c>
      <c r="HD54" s="65">
        <v>4.7234522879222009E-7</v>
      </c>
      <c r="HE54" s="65">
        <v>1.6295910393331599E-5</v>
      </c>
      <c r="HF54" s="65">
        <v>1.6295910393331599E-5</v>
      </c>
      <c r="HG54" s="65">
        <v>9.4469045758444028E-7</v>
      </c>
      <c r="HH54" s="65">
        <v>9.4469045758444028E-7</v>
      </c>
      <c r="HI54" s="65">
        <v>2.361726143961101E-6</v>
      </c>
      <c r="HJ54" s="65">
        <v>4.7234522879222009E-7</v>
      </c>
      <c r="HK54" s="65">
        <v>4.7234522879222009E-7</v>
      </c>
      <c r="HL54" s="65">
        <v>4.7234522879222009E-7</v>
      </c>
      <c r="HM54" s="65">
        <v>1.653208300772771E-6</v>
      </c>
      <c r="HN54" s="65">
        <v>4.0149344447338714E-6</v>
      </c>
      <c r="HO54" s="65">
        <v>2.361726143961101E-7</v>
      </c>
      <c r="HP54" s="65">
        <v>4.7234522879222009E-7</v>
      </c>
      <c r="HQ54" s="65">
        <v>7.0851784318833026E-7</v>
      </c>
      <c r="HR54" s="65">
        <v>4.7234522879222009E-7</v>
      </c>
      <c r="HS54" s="65">
        <v>7.0851784318833026E-7</v>
      </c>
      <c r="HT54" s="65">
        <v>1.1808630719805509E-6</v>
      </c>
      <c r="HU54" s="65">
        <v>2.361726143961101E-7</v>
      </c>
      <c r="HV54" s="65">
        <v>0</v>
      </c>
      <c r="HW54" s="65">
        <v>0</v>
      </c>
      <c r="HX54" s="65">
        <v>7.0851784318833026E-7</v>
      </c>
      <c r="HY54" s="65">
        <v>7.0851784318833026E-7</v>
      </c>
      <c r="HZ54" s="65">
        <v>5.7921029972474604E-7</v>
      </c>
      <c r="IA54" s="65">
        <v>5.7921029972474604E-7</v>
      </c>
      <c r="IB54" s="65">
        <v>5.7921029972474604E-7</v>
      </c>
      <c r="IC54" s="65">
        <v>5.7921029972474604E-7</v>
      </c>
      <c r="ID54" s="65">
        <v>0</v>
      </c>
      <c r="IE54" s="65">
        <v>9.9293194238527896E-7</v>
      </c>
      <c r="IF54" s="65">
        <v>9.9293194238527896E-7</v>
      </c>
      <c r="IG54" s="65">
        <v>9.9293194238527896E-7</v>
      </c>
      <c r="IH54" s="65">
        <v>9.9293194238527896E-7</v>
      </c>
      <c r="II54" s="65">
        <v>9.9293194238527896E-7</v>
      </c>
      <c r="IJ54" s="65">
        <v>9.9293194238527896E-7</v>
      </c>
      <c r="IK54" s="65">
        <v>9.9293194238527896E-7</v>
      </c>
      <c r="IL54" s="65">
        <v>5.5438700116511406E-6</v>
      </c>
      <c r="IM54" s="65">
        <v>5.5438700116511406E-6</v>
      </c>
      <c r="IN54" s="65">
        <v>4.9646597119263948E-7</v>
      </c>
      <c r="IO54" s="65">
        <v>4.9646597119263948E-7</v>
      </c>
      <c r="IP54" s="65">
        <v>8.2744328532106583E-7</v>
      </c>
      <c r="IQ54" s="65">
        <v>1.654886570642132E-7</v>
      </c>
      <c r="IR54" s="65">
        <v>1.654886570642132E-7</v>
      </c>
      <c r="IS54" s="65">
        <v>2.4823298559631969E-7</v>
      </c>
      <c r="IT54" s="65">
        <v>4.9646597119263948E-7</v>
      </c>
      <c r="IU54" s="65">
        <v>1.241164927981599E-6</v>
      </c>
      <c r="IV54" s="65">
        <v>8.2744328532106576E-8</v>
      </c>
      <c r="IW54" s="65">
        <v>3.309773141284263E-7</v>
      </c>
      <c r="IX54" s="65">
        <v>1.654886570642132E-7</v>
      </c>
      <c r="IY54" s="65">
        <v>1.654886570642132E-7</v>
      </c>
      <c r="IZ54" s="65">
        <v>2.4823298559631969E-7</v>
      </c>
      <c r="JA54" s="65">
        <v>4.1372164266053292E-7</v>
      </c>
      <c r="JB54" s="65">
        <v>8.2744328532106576E-8</v>
      </c>
      <c r="JC54" s="65">
        <v>0</v>
      </c>
      <c r="JD54" s="65">
        <v>0</v>
      </c>
      <c r="JE54" s="65">
        <v>2.4823298559631969E-7</v>
      </c>
      <c r="JF54" s="65">
        <v>2.4823298559631969E-7</v>
      </c>
      <c r="JG54" s="65">
        <v>1.6233490470951329E-6</v>
      </c>
      <c r="JH54" s="65">
        <v>1.6233490470951329E-6</v>
      </c>
      <c r="JI54" s="65">
        <v>1.6233490470951329E-6</v>
      </c>
      <c r="JJ54" s="65">
        <v>1.6233490470951329E-6</v>
      </c>
      <c r="JK54" s="65">
        <v>0</v>
      </c>
      <c r="JL54" s="65">
        <v>6.168726378961504E-6</v>
      </c>
      <c r="JM54" s="65">
        <v>6.168726378961504E-6</v>
      </c>
      <c r="JN54" s="65">
        <v>6.168726378961504E-6</v>
      </c>
      <c r="JO54" s="65">
        <v>6.168726378961504E-6</v>
      </c>
      <c r="JP54" s="65">
        <v>6.168726378961504E-6</v>
      </c>
      <c r="JQ54" s="65">
        <v>6.168726378961504E-6</v>
      </c>
      <c r="JR54" s="65">
        <v>6.168726378961504E-6</v>
      </c>
      <c r="JS54" s="65">
        <v>1.6079272311477291E-4</v>
      </c>
      <c r="JT54" s="65">
        <v>1.6079272311477291E-4</v>
      </c>
      <c r="JU54" s="65">
        <v>5.1947169507044242E-6</v>
      </c>
      <c r="JV54" s="65">
        <v>5.1947169507044242E-6</v>
      </c>
      <c r="JW54" s="65">
        <v>1.0227098996699339E-5</v>
      </c>
      <c r="JX54" s="65">
        <v>2.1103537612236722E-6</v>
      </c>
      <c r="JY54" s="65">
        <v>3.6525353559640491E-6</v>
      </c>
      <c r="JZ54" s="65">
        <v>3.4090329988997781E-6</v>
      </c>
      <c r="KA54" s="65">
        <v>7.0696851000993024E-5</v>
      </c>
      <c r="KB54" s="65">
        <v>1.5746485756822781E-5</v>
      </c>
      <c r="KC54" s="65">
        <v>1.6233490470951329E-6</v>
      </c>
      <c r="KD54" s="65">
        <v>1.9480188565141592E-6</v>
      </c>
      <c r="KE54" s="65">
        <v>2.922028284771239E-6</v>
      </c>
      <c r="KF54" s="65">
        <v>2.2726886659331861E-6</v>
      </c>
      <c r="KG54" s="65">
        <v>5.6817216648329637E-6</v>
      </c>
      <c r="KH54" s="65">
        <v>4.5453773318663713E-6</v>
      </c>
      <c r="KI54" s="65">
        <v>1.785683951804646E-6</v>
      </c>
      <c r="KJ54" s="65">
        <v>1.136344332966593E-6</v>
      </c>
      <c r="KK54" s="65">
        <v>8.1167452354756637E-7</v>
      </c>
      <c r="KL54" s="65">
        <v>3.4090329988997781E-6</v>
      </c>
      <c r="KM54" s="65">
        <v>3.4090329988997781E-6</v>
      </c>
      <c r="KN54" s="65">
        <v>4.7234522879222009E-7</v>
      </c>
      <c r="KO54" s="65">
        <v>4.7234522879222009E-7</v>
      </c>
      <c r="KP54" s="65">
        <v>4.7234522879222009E-7</v>
      </c>
      <c r="KQ54" s="65">
        <v>4.7234522879222009E-7</v>
      </c>
      <c r="KR54" s="65">
        <v>0</v>
      </c>
      <c r="KS54" s="65">
        <v>7.0851784318833026E-7</v>
      </c>
      <c r="KT54" s="65">
        <v>7.0851784318833026E-7</v>
      </c>
      <c r="KU54" s="65">
        <v>7.0851784318833026E-7</v>
      </c>
      <c r="KV54" s="65">
        <v>7.0851784318833026E-7</v>
      </c>
      <c r="KW54" s="65">
        <v>7.0851784318833026E-7</v>
      </c>
      <c r="KX54" s="65">
        <v>7.0851784318833026E-7</v>
      </c>
      <c r="KY54" s="65">
        <v>7.0851784318833026E-7</v>
      </c>
      <c r="KZ54" s="65">
        <v>3.802379091777373E-5</v>
      </c>
      <c r="LA54" s="65">
        <v>3.802379091777373E-5</v>
      </c>
      <c r="LB54" s="65">
        <v>1.1808630719805509E-6</v>
      </c>
      <c r="LC54" s="65">
        <v>1.1808630719805509E-6</v>
      </c>
      <c r="LD54" s="65">
        <v>2.361726143961101E-6</v>
      </c>
      <c r="LE54" s="65">
        <v>7.0851784318833026E-7</v>
      </c>
      <c r="LF54" s="65">
        <v>7.0851784318833026E-7</v>
      </c>
      <c r="LG54" s="65">
        <v>4.7234522879222009E-7</v>
      </c>
      <c r="LH54" s="65">
        <v>2.361726143961101E-6</v>
      </c>
      <c r="LI54" s="65">
        <v>5.9043153599027523E-6</v>
      </c>
      <c r="LJ54" s="65">
        <v>4.7234522879222009E-7</v>
      </c>
      <c r="LK54" s="65">
        <v>4.7234522879222009E-7</v>
      </c>
      <c r="LL54" s="65">
        <v>1.417035686376661E-6</v>
      </c>
      <c r="LM54" s="65">
        <v>4.7234522879222009E-7</v>
      </c>
      <c r="LN54" s="65">
        <v>4.7234522879222009E-7</v>
      </c>
      <c r="LO54" s="65">
        <v>1.653208300772771E-6</v>
      </c>
      <c r="LP54" s="65">
        <v>4.7234522879222009E-7</v>
      </c>
      <c r="LQ54" s="65">
        <v>0</v>
      </c>
      <c r="LR54" s="65">
        <v>0</v>
      </c>
      <c r="LS54" s="65">
        <v>4.7234522879222009E-7</v>
      </c>
      <c r="LT54" s="65">
        <v>4.7234522879222009E-7</v>
      </c>
      <c r="LU54" s="65">
        <v>1.778114613934654E-6</v>
      </c>
      <c r="LV54" s="65">
        <v>1.778114613934654E-6</v>
      </c>
      <c r="LW54" s="65">
        <v>1.778114613934654E-6</v>
      </c>
      <c r="LX54" s="65">
        <v>1.778114613934654E-6</v>
      </c>
      <c r="LY54" s="65">
        <v>0</v>
      </c>
      <c r="LZ54" s="65">
        <v>2.489360459508515E-6</v>
      </c>
      <c r="MA54" s="65">
        <v>2.489360459508515E-6</v>
      </c>
      <c r="MB54" s="65">
        <v>2.489360459508515E-6</v>
      </c>
      <c r="MC54" s="65">
        <v>2.489360459508515E-6</v>
      </c>
      <c r="MD54" s="65">
        <v>2.489360459508515E-6</v>
      </c>
      <c r="ME54" s="65">
        <v>2.489360459508515E-6</v>
      </c>
      <c r="MF54" s="65">
        <v>2.489360459508515E-6</v>
      </c>
      <c r="MG54" s="65">
        <v>6.4012126101647539E-5</v>
      </c>
      <c r="MH54" s="65">
        <v>6.4012126101647539E-5</v>
      </c>
      <c r="MI54" s="65">
        <v>3.2006063050823771E-6</v>
      </c>
      <c r="MJ54" s="65">
        <v>3.2006063050823771E-6</v>
      </c>
      <c r="MK54" s="65">
        <v>1.4936162757051089E-5</v>
      </c>
      <c r="ML54" s="65">
        <v>1.778114613934654E-6</v>
      </c>
      <c r="MM54" s="65">
        <v>1.4224916911477229E-6</v>
      </c>
      <c r="MN54" s="65">
        <v>1.778114613934654E-6</v>
      </c>
      <c r="MO54" s="65">
        <v>7.112458455738616E-6</v>
      </c>
      <c r="MP54" s="65">
        <v>1.5647408602624948E-5</v>
      </c>
      <c r="MQ54" s="65">
        <v>1.4224916911477229E-6</v>
      </c>
      <c r="MR54" s="65">
        <v>2.133737536721585E-6</v>
      </c>
      <c r="MS54" s="65">
        <v>2.133737536721585E-6</v>
      </c>
      <c r="MT54" s="65">
        <v>1.4224916911477229E-6</v>
      </c>
      <c r="MU54" s="65">
        <v>3.2006063050823771E-6</v>
      </c>
      <c r="MV54" s="65">
        <v>3.556229227869308E-6</v>
      </c>
      <c r="MW54" s="65">
        <v>1.0668687683607921E-6</v>
      </c>
      <c r="MX54" s="65">
        <v>3.5562292278693068E-7</v>
      </c>
      <c r="MY54" s="65">
        <v>3.5562292278693068E-7</v>
      </c>
      <c r="MZ54" s="65">
        <v>2.133737536721585E-6</v>
      </c>
      <c r="NA54" s="65">
        <v>2.133737536721585E-6</v>
      </c>
      <c r="NB54" s="65"/>
      <c r="NC54" s="65"/>
      <c r="ND54" s="65"/>
      <c r="NE54" s="65"/>
      <c r="NF54" s="65"/>
      <c r="NG54" s="65"/>
      <c r="NH54" s="65"/>
      <c r="NI54" s="65"/>
      <c r="NJ54" s="65"/>
      <c r="NK54" s="65"/>
      <c r="NL54" s="65"/>
      <c r="NM54" s="65"/>
      <c r="NN54" s="65"/>
      <c r="NO54" s="65"/>
      <c r="NP54" s="65"/>
      <c r="NQ54" s="65"/>
      <c r="NR54" s="65"/>
      <c r="NS54" s="65"/>
      <c r="NT54" s="65"/>
      <c r="NU54" s="65"/>
      <c r="NV54" s="65"/>
      <c r="NW54" s="65"/>
      <c r="NX54" s="65"/>
      <c r="NY54" s="65"/>
      <c r="NZ54" s="65"/>
      <c r="OA54" s="65"/>
      <c r="OB54" s="65"/>
      <c r="OC54" s="65"/>
      <c r="OD54" s="65"/>
      <c r="OE54" s="65"/>
      <c r="OF54" s="65"/>
      <c r="OG54" s="65"/>
      <c r="OH54" s="65"/>
      <c r="OI54" s="65"/>
      <c r="OJ54" s="65"/>
      <c r="OK54" s="65"/>
      <c r="OL54" s="65"/>
      <c r="OM54" s="65"/>
      <c r="ON54" s="65"/>
      <c r="OO54" s="65"/>
      <c r="OP54" s="65"/>
      <c r="OQ54" s="65"/>
      <c r="OR54" s="65"/>
      <c r="OS54" s="65"/>
    </row>
    <row r="55" spans="1:409">
      <c r="A55" s="64" t="s">
        <v>92</v>
      </c>
      <c r="B55" s="64" t="s">
        <v>595</v>
      </c>
      <c r="C55" s="64">
        <v>1.384591715161131E-2</v>
      </c>
      <c r="D55" s="64">
        <v>1.590381718306827E-2</v>
      </c>
      <c r="E55" s="64">
        <v>1.199377426732222E-2</v>
      </c>
      <c r="F55" s="64">
        <v>4.3554676725373687E-3</v>
      </c>
      <c r="G55" s="64">
        <v>0</v>
      </c>
      <c r="H55" s="64">
        <v>4.7272843021668653E-3</v>
      </c>
      <c r="I55" s="64">
        <v>3.8369486588071241E-3</v>
      </c>
      <c r="J55" s="64">
        <v>3.657444624757793E-3</v>
      </c>
      <c r="K55" s="64">
        <v>4.6465566459789982E-3</v>
      </c>
      <c r="L55" s="64">
        <v>7.6407630346443222E-4</v>
      </c>
      <c r="M55" s="64">
        <v>2.2225312440582179E-3</v>
      </c>
      <c r="N55" s="64">
        <v>1.447243782437212E-3</v>
      </c>
      <c r="O55" s="64">
        <v>1.5476925250604531E-3</v>
      </c>
      <c r="P55" s="64">
        <v>1.3569962642374341E-3</v>
      </c>
      <c r="Q55" s="64">
        <v>1.111160836231597</v>
      </c>
      <c r="R55" s="64">
        <v>3.2651060992713202E-3</v>
      </c>
      <c r="S55" s="64">
        <v>5.228404289831216E-4</v>
      </c>
      <c r="T55" s="64">
        <v>1.3877621347172511E-3</v>
      </c>
      <c r="U55" s="64">
        <v>5.810327040523662E-4</v>
      </c>
      <c r="V55" s="64">
        <v>1.167493317436137E-3</v>
      </c>
      <c r="W55" s="64">
        <v>4.2886356618920589E-2</v>
      </c>
      <c r="X55" s="64">
        <v>0.12721681321724301</v>
      </c>
      <c r="Y55" s="64">
        <v>1.7741031467308511E-4</v>
      </c>
      <c r="Z55" s="64">
        <v>6.266422743532031E-2</v>
      </c>
      <c r="AA55" s="64">
        <v>2.23857358539211E-3</v>
      </c>
      <c r="AB55" s="64">
        <v>9.8921396613029216E-3</v>
      </c>
      <c r="AC55" s="64">
        <v>1.8115403894646491E-3</v>
      </c>
      <c r="AD55" s="64">
        <v>1.7836113252564689E-2</v>
      </c>
      <c r="AE55" s="64">
        <v>7.8784217025117771E-4</v>
      </c>
      <c r="AF55" s="64">
        <v>7.2181743644205679E-4</v>
      </c>
      <c r="AG55" s="64">
        <v>1.8747480807655909E-4</v>
      </c>
      <c r="AH55" s="64">
        <v>2.258349291373364E-3</v>
      </c>
      <c r="AI55" s="64">
        <v>1.478488740829765E-3</v>
      </c>
      <c r="AJ55" s="64">
        <v>2.0386340283873109E-6</v>
      </c>
      <c r="AK55" s="64">
        <v>2.0386340283873109E-6</v>
      </c>
      <c r="AL55" s="64">
        <v>2.0386340283873109E-6</v>
      </c>
      <c r="AM55" s="64">
        <v>2.0386340283873109E-6</v>
      </c>
      <c r="AN55" s="64">
        <v>0</v>
      </c>
      <c r="AO55" s="64">
        <v>4.3037829488176559E-6</v>
      </c>
      <c r="AP55" s="64">
        <v>4.3037829488176559E-6</v>
      </c>
      <c r="AQ55" s="64">
        <v>4.3037829488176559E-6</v>
      </c>
      <c r="AR55" s="64">
        <v>4.3037829488176559E-6</v>
      </c>
      <c r="AS55" s="64">
        <v>4.3037829488176559E-6</v>
      </c>
      <c r="AT55" s="64">
        <v>4.3037829488176559E-6</v>
      </c>
      <c r="AU55" s="64">
        <v>4.3037829488176559E-6</v>
      </c>
      <c r="AV55" s="64">
        <v>2.491663812473379E-6</v>
      </c>
      <c r="AW55" s="64">
        <v>2.491663812473379E-6</v>
      </c>
      <c r="AX55" s="64">
        <v>1.3590893522582069E-6</v>
      </c>
      <c r="AY55" s="64">
        <v>1.3590893522582069E-6</v>
      </c>
      <c r="AZ55" s="64">
        <v>5.8893871931188967E-6</v>
      </c>
      <c r="BA55" s="64">
        <v>1.3590893522582069E-6</v>
      </c>
      <c r="BB55" s="64">
        <v>1.1325744602151729E-6</v>
      </c>
      <c r="BC55" s="64">
        <v>1.1325744602151729E-6</v>
      </c>
      <c r="BD55" s="64">
        <v>4.077268056774621E-6</v>
      </c>
      <c r="BE55" s="64">
        <v>2.9446935965594479E-6</v>
      </c>
      <c r="BF55" s="64">
        <v>4.5302978408606901E-7</v>
      </c>
      <c r="BG55" s="64">
        <v>9.0605956817213803E-7</v>
      </c>
      <c r="BH55" s="64">
        <v>4.5302978408606901E-7</v>
      </c>
      <c r="BI55" s="64">
        <v>1.1325744602151729E-6</v>
      </c>
      <c r="BJ55" s="64">
        <v>1.585604244301242E-6</v>
      </c>
      <c r="BK55" s="64">
        <v>1.3590893522582069E-6</v>
      </c>
      <c r="BL55" s="64">
        <v>2.2651489204303451E-7</v>
      </c>
      <c r="BM55" s="64">
        <v>0</v>
      </c>
      <c r="BN55" s="64">
        <v>0</v>
      </c>
      <c r="BO55" s="64">
        <v>4.5302978408606901E-7</v>
      </c>
      <c r="BP55" s="64">
        <v>4.5302978408606901E-7</v>
      </c>
      <c r="BQ55" s="64">
        <v>2.9910469131721189E-6</v>
      </c>
      <c r="BR55" s="64">
        <v>2.9910469131721189E-6</v>
      </c>
      <c r="BS55" s="64">
        <v>2.9910469131721189E-6</v>
      </c>
      <c r="BT55" s="64">
        <v>2.9910469131721189E-6</v>
      </c>
      <c r="BU55" s="64">
        <v>0</v>
      </c>
      <c r="BV55" s="64">
        <v>5.9820938263442377E-6</v>
      </c>
      <c r="BW55" s="64">
        <v>5.9820938263442377E-6</v>
      </c>
      <c r="BX55" s="64">
        <v>5.9820938263442377E-6</v>
      </c>
      <c r="BY55" s="64">
        <v>5.9820938263442377E-6</v>
      </c>
      <c r="BZ55" s="64">
        <v>5.9820938263442377E-6</v>
      </c>
      <c r="CA55" s="64">
        <v>5.9820938263442377E-6</v>
      </c>
      <c r="CB55" s="64">
        <v>5.9820938263442377E-6</v>
      </c>
      <c r="CC55" s="64">
        <v>4.9850781886201984E-6</v>
      </c>
      <c r="CD55" s="64">
        <v>4.9850781886201984E-6</v>
      </c>
      <c r="CE55" s="64">
        <v>1.9940312754480791E-6</v>
      </c>
      <c r="CF55" s="64">
        <v>1.9940312754480791E-6</v>
      </c>
      <c r="CG55" s="64">
        <v>7.9761251017923164E-6</v>
      </c>
      <c r="CH55" s="64">
        <v>1.9940312754480791E-6</v>
      </c>
      <c r="CI55" s="64">
        <v>2.9910469131721189E-6</v>
      </c>
      <c r="CJ55" s="64">
        <v>1.9940312754480791E-6</v>
      </c>
      <c r="CK55" s="64">
        <v>4.9850781886201984E-6</v>
      </c>
      <c r="CL55" s="64">
        <v>3.9880625508961582E-6</v>
      </c>
      <c r="CM55" s="64">
        <v>1.9940312754480791E-6</v>
      </c>
      <c r="CN55" s="64">
        <v>1.9940312754480791E-6</v>
      </c>
      <c r="CO55" s="64">
        <v>1.9940312754480791E-6</v>
      </c>
      <c r="CP55" s="64">
        <v>2.9910469131721189E-6</v>
      </c>
      <c r="CQ55" s="64">
        <v>1.9940312754480791E-6</v>
      </c>
      <c r="CR55" s="64">
        <v>6.979109464068277E-6</v>
      </c>
      <c r="CS55" s="64">
        <v>1.9940312754480791E-6</v>
      </c>
      <c r="CT55" s="64">
        <v>0</v>
      </c>
      <c r="CU55" s="64">
        <v>0</v>
      </c>
      <c r="CV55" s="64">
        <v>1.9940312754480791E-6</v>
      </c>
      <c r="CW55" s="64">
        <v>1.9940312754480791E-6</v>
      </c>
      <c r="CX55" s="64">
        <v>3.6002518459160903E-7</v>
      </c>
      <c r="CY55" s="64">
        <v>3.6002518459160903E-7</v>
      </c>
      <c r="CZ55" s="64">
        <v>3.6002518459160903E-7</v>
      </c>
      <c r="DA55" s="64">
        <v>3.6002518459160903E-7</v>
      </c>
      <c r="DB55" s="64">
        <v>0</v>
      </c>
      <c r="DC55" s="64">
        <v>3.6002518459160903E-7</v>
      </c>
      <c r="DD55" s="64">
        <v>3.6002518459160903E-7</v>
      </c>
      <c r="DE55" s="64">
        <v>3.6002518459160903E-7</v>
      </c>
      <c r="DF55" s="64">
        <v>3.6002518459160903E-7</v>
      </c>
      <c r="DG55" s="64">
        <v>3.6002518459160903E-7</v>
      </c>
      <c r="DH55" s="64">
        <v>3.6002518459160903E-7</v>
      </c>
      <c r="DI55" s="64">
        <v>3.6002518459160903E-7</v>
      </c>
      <c r="DJ55" s="64">
        <v>7.2005036918321795E-7</v>
      </c>
      <c r="DK55" s="64">
        <v>7.2005036918321795E-7</v>
      </c>
      <c r="DL55" s="64">
        <v>3.6002518459160903E-7</v>
      </c>
      <c r="DM55" s="64">
        <v>3.6002518459160903E-7</v>
      </c>
      <c r="DN55" s="64">
        <v>1.4401007383664361E-6</v>
      </c>
      <c r="DO55" s="64">
        <v>3.6002518459160903E-7</v>
      </c>
      <c r="DP55" s="64">
        <v>3.6002518459160903E-7</v>
      </c>
      <c r="DQ55" s="64">
        <v>3.6002518459160903E-7</v>
      </c>
      <c r="DR55" s="64">
        <v>1.080075553774827E-6</v>
      </c>
      <c r="DS55" s="64">
        <v>7.2005036918321795E-7</v>
      </c>
      <c r="DT55" s="64">
        <v>3.6002518459160903E-7</v>
      </c>
      <c r="DU55" s="64">
        <v>7.2005036918321795E-7</v>
      </c>
      <c r="DV55" s="64">
        <v>3.6002518459160903E-7</v>
      </c>
      <c r="DW55" s="64">
        <v>3.6002518459160903E-7</v>
      </c>
      <c r="DX55" s="64">
        <v>3.6002518459160903E-7</v>
      </c>
      <c r="DY55" s="64">
        <v>1.080075553774827E-6</v>
      </c>
      <c r="DZ55" s="64">
        <v>0</v>
      </c>
      <c r="EA55" s="64">
        <v>0</v>
      </c>
      <c r="EB55" s="64">
        <v>0</v>
      </c>
      <c r="EC55" s="64">
        <v>3.6002518459160903E-7</v>
      </c>
      <c r="ED55" s="64">
        <v>3.6002518459160903E-7</v>
      </c>
      <c r="EE55" s="64">
        <v>9.9803141769404964E-7</v>
      </c>
      <c r="EF55" s="64">
        <v>9.9803141769404964E-7</v>
      </c>
      <c r="EG55" s="64">
        <v>9.9803141769404964E-7</v>
      </c>
      <c r="EH55" s="64">
        <v>9.9803141769404964E-7</v>
      </c>
      <c r="EI55" s="64">
        <v>0</v>
      </c>
      <c r="EJ55" s="64">
        <v>1.9960628353880989E-6</v>
      </c>
      <c r="EK55" s="64">
        <v>1.9960628353880989E-6</v>
      </c>
      <c r="EL55" s="64">
        <v>1.9960628353880989E-6</v>
      </c>
      <c r="EM55" s="64">
        <v>1.9960628353880989E-6</v>
      </c>
      <c r="EN55" s="64">
        <v>1.9960628353880989E-6</v>
      </c>
      <c r="EO55" s="64">
        <v>1.9960628353880989E-6</v>
      </c>
      <c r="EP55" s="64">
        <v>1.9960628353880989E-6</v>
      </c>
      <c r="EQ55" s="64">
        <v>9.9803141769404964E-7</v>
      </c>
      <c r="ER55" s="64">
        <v>9.9803141769404964E-7</v>
      </c>
      <c r="ES55" s="64">
        <v>9.9803141769404964E-7</v>
      </c>
      <c r="ET55" s="64">
        <v>9.9803141769404964E-7</v>
      </c>
      <c r="EU55" s="64">
        <v>2.9940942530821491E-6</v>
      </c>
      <c r="EV55" s="64">
        <v>9.9803141769404964E-7</v>
      </c>
      <c r="EW55" s="64">
        <v>9.9803141769404964E-7</v>
      </c>
      <c r="EX55" s="64">
        <v>9.9803141769404964E-7</v>
      </c>
      <c r="EY55" s="64">
        <v>1.9960628353880989E-6</v>
      </c>
      <c r="EZ55" s="64">
        <v>1.9960628353880989E-6</v>
      </c>
      <c r="FA55" s="64">
        <v>9.9803141769404964E-7</v>
      </c>
      <c r="FB55" s="64">
        <v>9.9803141769404964E-7</v>
      </c>
      <c r="FC55" s="64">
        <v>9.9803141769404964E-7</v>
      </c>
      <c r="FD55" s="64">
        <v>9.9803141769404964E-7</v>
      </c>
      <c r="FE55" s="64">
        <v>9.9803141769404964E-7</v>
      </c>
      <c r="FF55" s="64">
        <v>1.9960628353880989E-6</v>
      </c>
      <c r="FG55" s="64">
        <v>9.9803141769404964E-7</v>
      </c>
      <c r="FH55" s="64">
        <v>0</v>
      </c>
      <c r="FI55" s="64">
        <v>0</v>
      </c>
      <c r="FJ55" s="64">
        <v>9.9803141769404964E-7</v>
      </c>
      <c r="FK55" s="64">
        <v>9.9803141769404964E-7</v>
      </c>
      <c r="FL55" s="64">
        <v>4.4572164078127603E-5</v>
      </c>
      <c r="FM55" s="64">
        <v>4.4572164078127603E-5</v>
      </c>
      <c r="FN55" s="64">
        <v>4.4572164078127603E-5</v>
      </c>
      <c r="FO55" s="64">
        <v>4.4572164078127603E-5</v>
      </c>
      <c r="FP55" s="64">
        <v>0</v>
      </c>
      <c r="FQ55" s="64">
        <v>9.8627767321814259E-5</v>
      </c>
      <c r="FR55" s="64">
        <v>9.8627767321814259E-5</v>
      </c>
      <c r="FS55" s="64">
        <v>9.8627767321814259E-5</v>
      </c>
      <c r="FT55" s="64">
        <v>9.8627767321814259E-5</v>
      </c>
      <c r="FU55" s="64">
        <v>9.8627767321814259E-5</v>
      </c>
      <c r="FV55" s="64">
        <v>9.8627767321814259E-5</v>
      </c>
      <c r="FW55" s="64">
        <v>9.8627767321814259E-5</v>
      </c>
      <c r="FX55" s="64">
        <v>4.1411017689607917E-5</v>
      </c>
      <c r="FY55" s="64">
        <v>4.1411017689607917E-5</v>
      </c>
      <c r="FZ55" s="64">
        <v>5.6900634993354384E-6</v>
      </c>
      <c r="GA55" s="64">
        <v>5.6900634993354384E-6</v>
      </c>
      <c r="GB55" s="64">
        <v>1.138012699867088E-5</v>
      </c>
      <c r="GC55" s="64">
        <v>2.52891711081575E-6</v>
      </c>
      <c r="GD55" s="64">
        <v>3.161146388519688E-6</v>
      </c>
      <c r="GE55" s="64">
        <v>3.161146388519688E-6</v>
      </c>
      <c r="GF55" s="64">
        <v>1.612184658145041E-5</v>
      </c>
      <c r="GG55" s="64">
        <v>7.5867513324472512E-6</v>
      </c>
      <c r="GH55" s="64">
        <v>1.896687833111813E-6</v>
      </c>
      <c r="GI55" s="64">
        <v>2.212802471963782E-6</v>
      </c>
      <c r="GJ55" s="64">
        <v>1.580573194259844E-6</v>
      </c>
      <c r="GK55" s="64">
        <v>2.8450317496677192E-6</v>
      </c>
      <c r="GL55" s="64">
        <v>3.4140380996012627E-5</v>
      </c>
      <c r="GM55" s="64">
        <v>1.043178308211497E-5</v>
      </c>
      <c r="GN55" s="64">
        <v>1.896687833111813E-6</v>
      </c>
      <c r="GO55" s="64">
        <v>3.1611463885196869E-7</v>
      </c>
      <c r="GP55" s="64">
        <v>3.1611463885196869E-7</v>
      </c>
      <c r="GQ55" s="64">
        <v>2.8450317496677192E-6</v>
      </c>
      <c r="GR55" s="64">
        <v>2.8450317496677192E-6</v>
      </c>
      <c r="GS55" s="64">
        <v>3.6002518459160903E-7</v>
      </c>
      <c r="GT55" s="64">
        <v>3.6002518459160903E-7</v>
      </c>
      <c r="GU55" s="64">
        <v>3.6002518459160903E-7</v>
      </c>
      <c r="GV55" s="64">
        <v>3.6002518459160903E-7</v>
      </c>
      <c r="GW55" s="64">
        <v>0</v>
      </c>
      <c r="GX55" s="64">
        <v>7.2005036918321795E-7</v>
      </c>
      <c r="GY55" s="64">
        <v>7.2005036918321795E-7</v>
      </c>
      <c r="GZ55" s="64">
        <v>7.2005036918321795E-7</v>
      </c>
      <c r="HA55" s="64">
        <v>7.2005036918321795E-7</v>
      </c>
      <c r="HB55" s="64">
        <v>7.2005036918321795E-7</v>
      </c>
      <c r="HC55" s="64">
        <v>7.2005036918321795E-7</v>
      </c>
      <c r="HD55" s="64">
        <v>7.2005036918321795E-7</v>
      </c>
      <c r="HE55" s="64">
        <v>1.080075553774827E-6</v>
      </c>
      <c r="HF55" s="64">
        <v>1.080075553774827E-6</v>
      </c>
      <c r="HG55" s="64">
        <v>3.6002518459160903E-7</v>
      </c>
      <c r="HH55" s="64">
        <v>3.6002518459160903E-7</v>
      </c>
      <c r="HI55" s="64">
        <v>1.080075553774827E-6</v>
      </c>
      <c r="HJ55" s="64">
        <v>3.6002518459160903E-7</v>
      </c>
      <c r="HK55" s="64">
        <v>3.6002518459160903E-7</v>
      </c>
      <c r="HL55" s="64">
        <v>3.6002518459160903E-7</v>
      </c>
      <c r="HM55" s="64">
        <v>1.080075553774827E-6</v>
      </c>
      <c r="HN55" s="64">
        <v>1.080075553774827E-6</v>
      </c>
      <c r="HO55" s="64">
        <v>3.6002518459160903E-7</v>
      </c>
      <c r="HP55" s="64">
        <v>7.2005036918321795E-7</v>
      </c>
      <c r="HQ55" s="64">
        <v>7.2005036918321795E-7</v>
      </c>
      <c r="HR55" s="64">
        <v>7.2005036918321795E-7</v>
      </c>
      <c r="HS55" s="64">
        <v>7.2005036918321795E-7</v>
      </c>
      <c r="HT55" s="64">
        <v>1.800125922958045E-6</v>
      </c>
      <c r="HU55" s="64">
        <v>7.2005036918321795E-7</v>
      </c>
      <c r="HV55" s="64">
        <v>0</v>
      </c>
      <c r="HW55" s="64">
        <v>0</v>
      </c>
      <c r="HX55" s="64">
        <v>3.6002518459160903E-7</v>
      </c>
      <c r="HY55" s="64">
        <v>3.6002518459160903E-7</v>
      </c>
      <c r="HZ55" s="64">
        <v>3.382077563656275E-6</v>
      </c>
      <c r="IA55" s="64">
        <v>3.382077563656275E-6</v>
      </c>
      <c r="IB55" s="64">
        <v>3.382077563656275E-6</v>
      </c>
      <c r="IC55" s="64">
        <v>3.382077563656275E-6</v>
      </c>
      <c r="ID55" s="64">
        <v>0</v>
      </c>
      <c r="IE55" s="64">
        <v>7.0459949242839074E-6</v>
      </c>
      <c r="IF55" s="64">
        <v>7.0459949242839074E-6</v>
      </c>
      <c r="IG55" s="64">
        <v>7.0459949242839074E-6</v>
      </c>
      <c r="IH55" s="64">
        <v>7.0459949242839074E-6</v>
      </c>
      <c r="II55" s="64">
        <v>7.0459949242839074E-6</v>
      </c>
      <c r="IJ55" s="64">
        <v>7.0459949242839074E-6</v>
      </c>
      <c r="IK55" s="64">
        <v>7.0459949242839074E-6</v>
      </c>
      <c r="IL55" s="64">
        <v>2.5365581727422061E-6</v>
      </c>
      <c r="IM55" s="64">
        <v>2.5365581727422061E-6</v>
      </c>
      <c r="IN55" s="64">
        <v>3.3538935839591398E-5</v>
      </c>
      <c r="IO55" s="64">
        <v>3.3538935839591398E-5</v>
      </c>
      <c r="IP55" s="64">
        <v>5.9186357363984811E-6</v>
      </c>
      <c r="IQ55" s="64">
        <v>3.1002377666849189E-6</v>
      </c>
      <c r="IR55" s="64">
        <v>1.127359187885425E-6</v>
      </c>
      <c r="IS55" s="64">
        <v>2.25471837577085E-6</v>
      </c>
      <c r="IT55" s="64">
        <v>2.25471837577085E-6</v>
      </c>
      <c r="IU55" s="64">
        <v>6.76415512731255E-6</v>
      </c>
      <c r="IV55" s="64">
        <v>1.127359187885425E-6</v>
      </c>
      <c r="IW55" s="64">
        <v>2.8183979697135631E-6</v>
      </c>
      <c r="IX55" s="64">
        <v>1.9728785787994939E-6</v>
      </c>
      <c r="IY55" s="64">
        <v>1.6910387818281379E-6</v>
      </c>
      <c r="IZ55" s="64">
        <v>1.6910387818281379E-6</v>
      </c>
      <c r="JA55" s="64">
        <v>9.3007133000547566E-6</v>
      </c>
      <c r="JB55" s="64">
        <v>1.4091989848567809E-6</v>
      </c>
      <c r="JC55" s="64">
        <v>2.818397969713563E-7</v>
      </c>
      <c r="JD55" s="64">
        <v>2.818397969713563E-7</v>
      </c>
      <c r="JE55" s="64">
        <v>1.6910387818281379E-6</v>
      </c>
      <c r="JF55" s="64">
        <v>1.6910387818281379E-6</v>
      </c>
      <c r="JG55" s="64">
        <v>6.8242249131687761E-5</v>
      </c>
      <c r="JH55" s="64">
        <v>6.8242249131687761E-5</v>
      </c>
      <c r="JI55" s="64">
        <v>6.8242249131687761E-5</v>
      </c>
      <c r="JJ55" s="64">
        <v>6.8242249131687761E-5</v>
      </c>
      <c r="JK55" s="64">
        <v>0</v>
      </c>
      <c r="JL55" s="64">
        <v>1.372873482531601E-4</v>
      </c>
      <c r="JM55" s="64">
        <v>1.372873482531601E-4</v>
      </c>
      <c r="JN55" s="64">
        <v>1.372873482531601E-4</v>
      </c>
      <c r="JO55" s="64">
        <v>1.372873482531601E-4</v>
      </c>
      <c r="JP55" s="64">
        <v>1.372873482531601E-4</v>
      </c>
      <c r="JQ55" s="64">
        <v>1.372873482531601E-4</v>
      </c>
      <c r="JR55" s="64">
        <v>1.372873482531601E-4</v>
      </c>
      <c r="JS55" s="64">
        <v>2.7698324647567382E-4</v>
      </c>
      <c r="JT55" s="64">
        <v>2.7698324647567382E-4</v>
      </c>
      <c r="JU55" s="64">
        <v>4.4879314428956999E-4</v>
      </c>
      <c r="JV55" s="64">
        <v>4.4879314428956999E-4</v>
      </c>
      <c r="JW55" s="64">
        <v>1.999096474563559E-4</v>
      </c>
      <c r="JX55" s="64">
        <v>7.3059349070395127E-5</v>
      </c>
      <c r="JY55" s="64">
        <v>8.7510648886517239E-5</v>
      </c>
      <c r="JZ55" s="64">
        <v>3.8295944512723601E-4</v>
      </c>
      <c r="KA55" s="64">
        <v>4.9455559370729007E-4</v>
      </c>
      <c r="KB55" s="64">
        <v>1.444327131622427E-3</v>
      </c>
      <c r="KC55" s="64">
        <v>5.8608049254273008E-5</v>
      </c>
      <c r="KD55" s="64">
        <v>4.8010429389116788E-4</v>
      </c>
      <c r="KE55" s="64">
        <v>9.4736298794578281E-5</v>
      </c>
      <c r="KF55" s="64">
        <v>6.4227999182764949E-5</v>
      </c>
      <c r="KG55" s="64">
        <v>1.035676486822085E-4</v>
      </c>
      <c r="KH55" s="64">
        <v>1.4692154813057481E-4</v>
      </c>
      <c r="KI55" s="64">
        <v>7.3059349070395127E-5</v>
      </c>
      <c r="KJ55" s="64">
        <v>4.2551049458581768E-5</v>
      </c>
      <c r="KK55" s="64">
        <v>3.1311149601597907E-5</v>
      </c>
      <c r="KL55" s="64">
        <v>6.6636549152118625E-5</v>
      </c>
      <c r="KM55" s="64">
        <v>6.6636549152118625E-5</v>
      </c>
      <c r="KN55" s="64">
        <v>7.2005036918321795E-7</v>
      </c>
      <c r="KO55" s="64">
        <v>7.2005036918321795E-7</v>
      </c>
      <c r="KP55" s="64">
        <v>7.2005036918321795E-7</v>
      </c>
      <c r="KQ55" s="64">
        <v>7.2005036918321795E-7</v>
      </c>
      <c r="KR55" s="64">
        <v>0</v>
      </c>
      <c r="KS55" s="64">
        <v>1.080075553774827E-6</v>
      </c>
      <c r="KT55" s="64">
        <v>1.080075553774827E-6</v>
      </c>
      <c r="KU55" s="64">
        <v>1.080075553774827E-6</v>
      </c>
      <c r="KV55" s="64">
        <v>1.080075553774827E-6</v>
      </c>
      <c r="KW55" s="64">
        <v>1.080075553774827E-6</v>
      </c>
      <c r="KX55" s="64">
        <v>1.080075553774827E-6</v>
      </c>
      <c r="KY55" s="64">
        <v>1.080075553774827E-6</v>
      </c>
      <c r="KZ55" s="64">
        <v>1.080075553774827E-6</v>
      </c>
      <c r="LA55" s="64">
        <v>1.080075553774827E-6</v>
      </c>
      <c r="LB55" s="64">
        <v>7.2005036918321795E-7</v>
      </c>
      <c r="LC55" s="64">
        <v>7.2005036918321795E-7</v>
      </c>
      <c r="LD55" s="64">
        <v>2.1601511075496539E-6</v>
      </c>
      <c r="LE55" s="64">
        <v>7.2005036918321795E-7</v>
      </c>
      <c r="LF55" s="64">
        <v>1.080075553774827E-6</v>
      </c>
      <c r="LG55" s="64">
        <v>7.2005036918321795E-7</v>
      </c>
      <c r="LH55" s="64">
        <v>1.800125922958045E-6</v>
      </c>
      <c r="LI55" s="64">
        <v>1.4401007383664361E-6</v>
      </c>
      <c r="LJ55" s="64">
        <v>1.080075553774827E-6</v>
      </c>
      <c r="LK55" s="64">
        <v>3.6002518459160903E-7</v>
      </c>
      <c r="LL55" s="64">
        <v>1.080075553774827E-6</v>
      </c>
      <c r="LM55" s="64">
        <v>7.2005036918321795E-7</v>
      </c>
      <c r="LN55" s="64">
        <v>7.2005036918321795E-7</v>
      </c>
      <c r="LO55" s="64">
        <v>5.0403525842825253E-6</v>
      </c>
      <c r="LP55" s="64">
        <v>1.080075553774827E-6</v>
      </c>
      <c r="LQ55" s="64">
        <v>0</v>
      </c>
      <c r="LR55" s="64">
        <v>0</v>
      </c>
      <c r="LS55" s="64">
        <v>1.080075553774827E-6</v>
      </c>
      <c r="LT55" s="64">
        <v>1.080075553774827E-6</v>
      </c>
      <c r="LU55" s="64">
        <v>4.1301982784368697E-6</v>
      </c>
      <c r="LV55" s="64">
        <v>4.1301982784368697E-6</v>
      </c>
      <c r="LW55" s="64">
        <v>4.1301982784368697E-6</v>
      </c>
      <c r="LX55" s="64">
        <v>4.1301982784368697E-6</v>
      </c>
      <c r="LY55" s="64">
        <v>0</v>
      </c>
      <c r="LZ55" s="64">
        <v>1.3078961215050089E-5</v>
      </c>
      <c r="MA55" s="64">
        <v>1.3078961215050089E-5</v>
      </c>
      <c r="MB55" s="64">
        <v>1.3078961215050089E-5</v>
      </c>
      <c r="MC55" s="64">
        <v>1.3078961215050089E-5</v>
      </c>
      <c r="MD55" s="64">
        <v>1.3078961215050089E-5</v>
      </c>
      <c r="ME55" s="64">
        <v>1.3078961215050089E-5</v>
      </c>
      <c r="MF55" s="64">
        <v>1.3078961215050089E-5</v>
      </c>
      <c r="MG55" s="64">
        <v>6.1952974176553054E-6</v>
      </c>
      <c r="MH55" s="64">
        <v>6.1952974176553054E-6</v>
      </c>
      <c r="MI55" s="64">
        <v>2.0650991392184349E-6</v>
      </c>
      <c r="MJ55" s="64">
        <v>2.0650991392184349E-6</v>
      </c>
      <c r="MK55" s="64">
        <v>7.57203017713426E-6</v>
      </c>
      <c r="ML55" s="64">
        <v>1.3767327594789561E-6</v>
      </c>
      <c r="MM55" s="64">
        <v>1.3767327594789561E-6</v>
      </c>
      <c r="MN55" s="64">
        <v>1.3767327594789561E-6</v>
      </c>
      <c r="MO55" s="64">
        <v>3.441831898697392E-6</v>
      </c>
      <c r="MP55" s="64">
        <v>3.441831898697392E-6</v>
      </c>
      <c r="MQ55" s="64">
        <v>1.3767327594789561E-6</v>
      </c>
      <c r="MR55" s="64">
        <v>2.0650991392184349E-6</v>
      </c>
      <c r="MS55" s="64">
        <v>1.3767327594789561E-6</v>
      </c>
      <c r="MT55" s="64">
        <v>2.0650991392184349E-6</v>
      </c>
      <c r="MU55" s="64">
        <v>4.1301982784368697E-6</v>
      </c>
      <c r="MV55" s="64">
        <v>4.1301982784368697E-6</v>
      </c>
      <c r="MW55" s="64">
        <v>1.3767327594789561E-6</v>
      </c>
      <c r="MX55" s="64">
        <v>6.8836637973947825E-7</v>
      </c>
      <c r="MY55" s="64">
        <v>0</v>
      </c>
      <c r="MZ55" s="64">
        <v>1.3767327594789561E-6</v>
      </c>
      <c r="NA55" s="64">
        <v>1.3767327594789561E-6</v>
      </c>
      <c r="NB55" s="64"/>
      <c r="NC55" s="64"/>
      <c r="ND55" s="64"/>
      <c r="NE55" s="64"/>
      <c r="NF55" s="64"/>
      <c r="NG55" s="64"/>
      <c r="NH55" s="64"/>
      <c r="NI55" s="64"/>
      <c r="NJ55" s="64"/>
      <c r="NK55" s="64"/>
      <c r="NL55" s="64"/>
      <c r="NM55" s="64"/>
      <c r="NN55" s="64"/>
      <c r="NO55" s="64"/>
      <c r="NP55" s="64"/>
      <c r="NQ55" s="64"/>
      <c r="NR55" s="64"/>
      <c r="NS55" s="64"/>
      <c r="NT55" s="64"/>
      <c r="NU55" s="64"/>
      <c r="NV55" s="64"/>
      <c r="NW55" s="64"/>
      <c r="NX55" s="64"/>
      <c r="NY55" s="64"/>
      <c r="NZ55" s="64"/>
      <c r="OA55" s="64"/>
      <c r="OB55" s="64"/>
      <c r="OC55" s="64"/>
      <c r="OD55" s="64"/>
      <c r="OE55" s="64"/>
      <c r="OF55" s="64"/>
      <c r="OG55" s="64"/>
      <c r="OH55" s="64"/>
      <c r="OI55" s="64"/>
      <c r="OJ55" s="64"/>
      <c r="OK55" s="64"/>
      <c r="OL55" s="64"/>
      <c r="OM55" s="64"/>
      <c r="ON55" s="64"/>
      <c r="OO55" s="64"/>
      <c r="OP55" s="64"/>
      <c r="OQ55" s="64"/>
      <c r="OR55" s="64"/>
      <c r="OS55" s="64"/>
    </row>
    <row r="56" spans="1:409">
      <c r="A56" s="64" t="s">
        <v>611</v>
      </c>
      <c r="B56" s="64" t="s">
        <v>596</v>
      </c>
      <c r="C56" s="64">
        <v>1.1305913892366241E-2</v>
      </c>
      <c r="D56" s="64">
        <v>6.9427143690846647E-3</v>
      </c>
      <c r="E56" s="64">
        <v>7.8490715654024497E-3</v>
      </c>
      <c r="F56" s="64">
        <v>2.077808382544075E-3</v>
      </c>
      <c r="G56" s="64">
        <v>0</v>
      </c>
      <c r="H56" s="64">
        <v>7.7413486151387406E-3</v>
      </c>
      <c r="I56" s="64">
        <v>6.7999084687418972E-3</v>
      </c>
      <c r="J56" s="64">
        <v>7.6932394400207908E-3</v>
      </c>
      <c r="K56" s="64">
        <v>7.3724167841354169E-3</v>
      </c>
      <c r="L56" s="64">
        <v>2.3951632123106938E-3</v>
      </c>
      <c r="M56" s="64">
        <v>7.5216892597571878E-3</v>
      </c>
      <c r="N56" s="64">
        <v>2.844264058886959E-2</v>
      </c>
      <c r="O56" s="64">
        <v>2.9991375577810208E-3</v>
      </c>
      <c r="P56" s="64">
        <v>9.2368809857103096E-3</v>
      </c>
      <c r="Q56" s="64">
        <v>6.8003716691050703E-3</v>
      </c>
      <c r="R56" s="64">
        <v>1.0988566842247169</v>
      </c>
      <c r="S56" s="64">
        <v>2.9379753744158692E-3</v>
      </c>
      <c r="T56" s="64">
        <v>4.1069154108419187E-2</v>
      </c>
      <c r="U56" s="64">
        <v>4.6794895761596124E-3</v>
      </c>
      <c r="V56" s="64">
        <v>4.4009399044467289E-3</v>
      </c>
      <c r="W56" s="64">
        <v>8.5863501730329833E-2</v>
      </c>
      <c r="X56" s="64">
        <v>2.8115953753571329E-2</v>
      </c>
      <c r="Y56" s="64">
        <v>2.35904486321677E-3</v>
      </c>
      <c r="Z56" s="64">
        <v>7.3801174605794568E-3</v>
      </c>
      <c r="AA56" s="64">
        <v>2.327134918930801E-2</v>
      </c>
      <c r="AB56" s="64">
        <v>4.4690609102202482E-2</v>
      </c>
      <c r="AC56" s="64">
        <v>1.022348592085375E-2</v>
      </c>
      <c r="AD56" s="64">
        <v>1.7255353393508401E-2</v>
      </c>
      <c r="AE56" s="64">
        <v>6.4040958316278571E-3</v>
      </c>
      <c r="AF56" s="64">
        <v>3.2648207885792842E-3</v>
      </c>
      <c r="AG56" s="64">
        <v>2.7077726242760178E-3</v>
      </c>
      <c r="AH56" s="64">
        <v>1.906070098444055E-2</v>
      </c>
      <c r="AI56" s="64">
        <v>1.0701798076794861E-2</v>
      </c>
      <c r="AJ56" s="64">
        <v>6.9613659716126889E-6</v>
      </c>
      <c r="AK56" s="64">
        <v>6.9613659716126889E-6</v>
      </c>
      <c r="AL56" s="64">
        <v>6.9613659716126889E-6</v>
      </c>
      <c r="AM56" s="64">
        <v>6.9613659716126889E-6</v>
      </c>
      <c r="AN56" s="64">
        <v>0</v>
      </c>
      <c r="AO56" s="64">
        <v>1.469621705118235E-5</v>
      </c>
      <c r="AP56" s="64">
        <v>1.469621705118235E-5</v>
      </c>
      <c r="AQ56" s="64">
        <v>1.469621705118235E-5</v>
      </c>
      <c r="AR56" s="64">
        <v>1.469621705118235E-5</v>
      </c>
      <c r="AS56" s="64">
        <v>1.469621705118235E-5</v>
      </c>
      <c r="AT56" s="64">
        <v>1.469621705118235E-5</v>
      </c>
      <c r="AU56" s="64">
        <v>1.469621705118235E-5</v>
      </c>
      <c r="AV56" s="64">
        <v>8.5083361875266194E-6</v>
      </c>
      <c r="AW56" s="64">
        <v>8.5083361875266194E-6</v>
      </c>
      <c r="AX56" s="64">
        <v>4.6409106477417926E-6</v>
      </c>
      <c r="AY56" s="64">
        <v>4.6409106477417926E-6</v>
      </c>
      <c r="AZ56" s="64">
        <v>2.0110612806881098E-5</v>
      </c>
      <c r="BA56" s="64">
        <v>4.6409106477417926E-6</v>
      </c>
      <c r="BB56" s="64">
        <v>3.8674255397848277E-6</v>
      </c>
      <c r="BC56" s="64">
        <v>3.8674255397848277E-6</v>
      </c>
      <c r="BD56" s="64">
        <v>1.3922731943225379E-5</v>
      </c>
      <c r="BE56" s="64">
        <v>1.0055306403440549E-5</v>
      </c>
      <c r="BF56" s="64">
        <v>1.546970215913931E-6</v>
      </c>
      <c r="BG56" s="64">
        <v>3.093940431827862E-6</v>
      </c>
      <c r="BH56" s="64">
        <v>1.546970215913931E-6</v>
      </c>
      <c r="BI56" s="64">
        <v>3.8674255397848277E-6</v>
      </c>
      <c r="BJ56" s="64">
        <v>5.4143957556987583E-6</v>
      </c>
      <c r="BK56" s="64">
        <v>4.6409106477417926E-6</v>
      </c>
      <c r="BL56" s="64">
        <v>7.7348510795696539E-7</v>
      </c>
      <c r="BM56" s="64">
        <v>0</v>
      </c>
      <c r="BN56" s="64">
        <v>0</v>
      </c>
      <c r="BO56" s="64">
        <v>1.546970215913931E-6</v>
      </c>
      <c r="BP56" s="64">
        <v>1.546970215913931E-6</v>
      </c>
      <c r="BQ56" s="64">
        <v>8.9530868278816135E-9</v>
      </c>
      <c r="BR56" s="64">
        <v>8.9530868278816135E-9</v>
      </c>
      <c r="BS56" s="64">
        <v>8.9530868278816135E-9</v>
      </c>
      <c r="BT56" s="64">
        <v>8.9530868278816135E-9</v>
      </c>
      <c r="BU56" s="64">
        <v>0</v>
      </c>
      <c r="BV56" s="64">
        <v>1.790617365576323E-8</v>
      </c>
      <c r="BW56" s="64">
        <v>1.790617365576323E-8</v>
      </c>
      <c r="BX56" s="64">
        <v>1.790617365576323E-8</v>
      </c>
      <c r="BY56" s="64">
        <v>1.790617365576323E-8</v>
      </c>
      <c r="BZ56" s="64">
        <v>1.790617365576323E-8</v>
      </c>
      <c r="CA56" s="64">
        <v>1.790617365576323E-8</v>
      </c>
      <c r="CB56" s="64">
        <v>1.790617365576323E-8</v>
      </c>
      <c r="CC56" s="64">
        <v>1.492181137980269E-8</v>
      </c>
      <c r="CD56" s="64">
        <v>1.492181137980269E-8</v>
      </c>
      <c r="CE56" s="64">
        <v>5.9687245519210751E-9</v>
      </c>
      <c r="CF56" s="64">
        <v>5.9687245519210751E-9</v>
      </c>
      <c r="CG56" s="64">
        <v>2.38748982076843E-8</v>
      </c>
      <c r="CH56" s="64">
        <v>5.9687245519210751E-9</v>
      </c>
      <c r="CI56" s="64">
        <v>8.9530868278816135E-9</v>
      </c>
      <c r="CJ56" s="64">
        <v>5.9687245519210751E-9</v>
      </c>
      <c r="CK56" s="64">
        <v>1.492181137980269E-8</v>
      </c>
      <c r="CL56" s="64">
        <v>1.193744910384215E-8</v>
      </c>
      <c r="CM56" s="64">
        <v>5.9687245519210751E-9</v>
      </c>
      <c r="CN56" s="64">
        <v>5.9687245519210751E-9</v>
      </c>
      <c r="CO56" s="64">
        <v>5.9687245519210751E-9</v>
      </c>
      <c r="CP56" s="64">
        <v>8.9530868278816135E-9</v>
      </c>
      <c r="CQ56" s="64">
        <v>5.9687245519210751E-9</v>
      </c>
      <c r="CR56" s="64">
        <v>2.089053593172376E-8</v>
      </c>
      <c r="CS56" s="64">
        <v>5.9687245519210751E-9</v>
      </c>
      <c r="CT56" s="64">
        <v>0</v>
      </c>
      <c r="CU56" s="64">
        <v>0</v>
      </c>
      <c r="CV56" s="64">
        <v>5.9687245519210751E-9</v>
      </c>
      <c r="CW56" s="64">
        <v>5.9687245519210751E-9</v>
      </c>
      <c r="CX56" s="64">
        <v>6.3997481540839103E-7</v>
      </c>
      <c r="CY56" s="64">
        <v>6.3997481540839103E-7</v>
      </c>
      <c r="CZ56" s="64">
        <v>6.3997481540839103E-7</v>
      </c>
      <c r="DA56" s="64">
        <v>6.3997481540839103E-7</v>
      </c>
      <c r="DB56" s="64">
        <v>0</v>
      </c>
      <c r="DC56" s="64">
        <v>6.3997481540839103E-7</v>
      </c>
      <c r="DD56" s="64">
        <v>6.3997481540839103E-7</v>
      </c>
      <c r="DE56" s="64">
        <v>6.3997481540839103E-7</v>
      </c>
      <c r="DF56" s="64">
        <v>6.3997481540839103E-7</v>
      </c>
      <c r="DG56" s="64">
        <v>6.3997481540839103E-7</v>
      </c>
      <c r="DH56" s="64">
        <v>6.3997481540839103E-7</v>
      </c>
      <c r="DI56" s="64">
        <v>6.3997481540839103E-7</v>
      </c>
      <c r="DJ56" s="64">
        <v>1.2799496308167821E-6</v>
      </c>
      <c r="DK56" s="64">
        <v>1.2799496308167821E-6</v>
      </c>
      <c r="DL56" s="64">
        <v>6.3997481540839103E-7</v>
      </c>
      <c r="DM56" s="64">
        <v>6.3997481540839103E-7</v>
      </c>
      <c r="DN56" s="64">
        <v>2.5598992616335641E-6</v>
      </c>
      <c r="DO56" s="64">
        <v>6.3997481540839103E-7</v>
      </c>
      <c r="DP56" s="64">
        <v>6.3997481540839103E-7</v>
      </c>
      <c r="DQ56" s="64">
        <v>6.3997481540839103E-7</v>
      </c>
      <c r="DR56" s="64">
        <v>1.9199244462251731E-6</v>
      </c>
      <c r="DS56" s="64">
        <v>1.2799496308167821E-6</v>
      </c>
      <c r="DT56" s="64">
        <v>6.3997481540839103E-7</v>
      </c>
      <c r="DU56" s="64">
        <v>1.2799496308167821E-6</v>
      </c>
      <c r="DV56" s="64">
        <v>6.3997481540839103E-7</v>
      </c>
      <c r="DW56" s="64">
        <v>6.3997481540839103E-7</v>
      </c>
      <c r="DX56" s="64">
        <v>6.3997481540839103E-7</v>
      </c>
      <c r="DY56" s="64">
        <v>1.9199244462251731E-6</v>
      </c>
      <c r="DZ56" s="64">
        <v>0</v>
      </c>
      <c r="EA56" s="64">
        <v>0</v>
      </c>
      <c r="EB56" s="64">
        <v>0</v>
      </c>
      <c r="EC56" s="64">
        <v>6.3997481540839103E-7</v>
      </c>
      <c r="ED56" s="64">
        <v>6.3997481540839103E-7</v>
      </c>
      <c r="EE56" s="64">
        <v>1.9685823059503322E-9</v>
      </c>
      <c r="EF56" s="64">
        <v>1.9685823059503322E-9</v>
      </c>
      <c r="EG56" s="64">
        <v>1.9685823059503322E-9</v>
      </c>
      <c r="EH56" s="64">
        <v>1.9685823059503322E-9</v>
      </c>
      <c r="EI56" s="64">
        <v>0</v>
      </c>
      <c r="EJ56" s="64">
        <v>3.9371646119006627E-9</v>
      </c>
      <c r="EK56" s="64">
        <v>3.9371646119006627E-9</v>
      </c>
      <c r="EL56" s="64">
        <v>3.9371646119006627E-9</v>
      </c>
      <c r="EM56" s="64">
        <v>3.9371646119006627E-9</v>
      </c>
      <c r="EN56" s="64">
        <v>3.9371646119006627E-9</v>
      </c>
      <c r="EO56" s="64">
        <v>3.9371646119006627E-9</v>
      </c>
      <c r="EP56" s="64">
        <v>3.9371646119006627E-9</v>
      </c>
      <c r="EQ56" s="64">
        <v>1.9685823059503322E-9</v>
      </c>
      <c r="ER56" s="64">
        <v>1.9685823059503322E-9</v>
      </c>
      <c r="ES56" s="64">
        <v>1.9685823059503322E-9</v>
      </c>
      <c r="ET56" s="64">
        <v>1.9685823059503322E-9</v>
      </c>
      <c r="EU56" s="64">
        <v>5.9057469178509957E-9</v>
      </c>
      <c r="EV56" s="64">
        <v>1.9685823059503322E-9</v>
      </c>
      <c r="EW56" s="64">
        <v>1.9685823059503322E-9</v>
      </c>
      <c r="EX56" s="64">
        <v>1.9685823059503322E-9</v>
      </c>
      <c r="EY56" s="64">
        <v>3.9371646119006627E-9</v>
      </c>
      <c r="EZ56" s="64">
        <v>3.9371646119006627E-9</v>
      </c>
      <c r="FA56" s="64">
        <v>1.9685823059503322E-9</v>
      </c>
      <c r="FB56" s="64">
        <v>1.9685823059503322E-9</v>
      </c>
      <c r="FC56" s="64">
        <v>1.9685823059503322E-9</v>
      </c>
      <c r="FD56" s="64">
        <v>1.9685823059503322E-9</v>
      </c>
      <c r="FE56" s="64">
        <v>1.9685823059503322E-9</v>
      </c>
      <c r="FF56" s="64">
        <v>3.9371646119006627E-9</v>
      </c>
      <c r="FG56" s="64">
        <v>1.9685823059503322E-9</v>
      </c>
      <c r="FH56" s="64">
        <v>0</v>
      </c>
      <c r="FI56" s="64">
        <v>0</v>
      </c>
      <c r="FJ56" s="64">
        <v>1.9685823059503322E-9</v>
      </c>
      <c r="FK56" s="64">
        <v>1.9685823059503322E-9</v>
      </c>
      <c r="FL56" s="64">
        <v>9.6427835921872429E-5</v>
      </c>
      <c r="FM56" s="64">
        <v>9.6427835921872429E-5</v>
      </c>
      <c r="FN56" s="64">
        <v>9.6427835921872429E-5</v>
      </c>
      <c r="FO56" s="64">
        <v>9.6427835921872429E-5</v>
      </c>
      <c r="FP56" s="64">
        <v>0</v>
      </c>
      <c r="FQ56" s="64">
        <v>2.133722326781858E-4</v>
      </c>
      <c r="FR56" s="64">
        <v>2.133722326781858E-4</v>
      </c>
      <c r="FS56" s="64">
        <v>2.133722326781858E-4</v>
      </c>
      <c r="FT56" s="64">
        <v>2.133722326781858E-4</v>
      </c>
      <c r="FU56" s="64">
        <v>2.133722326781858E-4</v>
      </c>
      <c r="FV56" s="64">
        <v>2.133722326781858E-4</v>
      </c>
      <c r="FW56" s="64">
        <v>2.133722326781858E-4</v>
      </c>
      <c r="FX56" s="64">
        <v>8.958898231039211E-5</v>
      </c>
      <c r="FY56" s="64">
        <v>8.958898231039211E-5</v>
      </c>
      <c r="FZ56" s="64">
        <v>1.230993650066456E-5</v>
      </c>
      <c r="GA56" s="64">
        <v>1.230993650066456E-5</v>
      </c>
      <c r="GB56" s="64">
        <v>2.4619873001329131E-5</v>
      </c>
      <c r="GC56" s="64">
        <v>5.4710828891842501E-6</v>
      </c>
      <c r="GD56" s="64">
        <v>6.8388536114803137E-6</v>
      </c>
      <c r="GE56" s="64">
        <v>6.8388536114803137E-6</v>
      </c>
      <c r="GF56" s="64">
        <v>3.48781534185496E-5</v>
      </c>
      <c r="GG56" s="64">
        <v>1.6413248667552749E-5</v>
      </c>
      <c r="GH56" s="64">
        <v>4.1033121668881882E-6</v>
      </c>
      <c r="GI56" s="64">
        <v>4.7871975280362191E-6</v>
      </c>
      <c r="GJ56" s="64">
        <v>3.4194268057401568E-6</v>
      </c>
      <c r="GK56" s="64">
        <v>6.1549682503322819E-6</v>
      </c>
      <c r="GL56" s="64">
        <v>7.3859619003987376E-5</v>
      </c>
      <c r="GM56" s="64">
        <v>2.256821691788504E-5</v>
      </c>
      <c r="GN56" s="64">
        <v>4.1033121668881882E-6</v>
      </c>
      <c r="GO56" s="64">
        <v>6.8388536114803126E-7</v>
      </c>
      <c r="GP56" s="64">
        <v>6.8388536114803126E-7</v>
      </c>
      <c r="GQ56" s="64">
        <v>6.1549682503322819E-6</v>
      </c>
      <c r="GR56" s="64">
        <v>6.1549682503322819E-6</v>
      </c>
      <c r="GS56" s="64">
        <v>6.3997481540839103E-7</v>
      </c>
      <c r="GT56" s="64">
        <v>6.3997481540839103E-7</v>
      </c>
      <c r="GU56" s="64">
        <v>6.3997481540839103E-7</v>
      </c>
      <c r="GV56" s="64">
        <v>6.3997481540839103E-7</v>
      </c>
      <c r="GW56" s="64">
        <v>0</v>
      </c>
      <c r="GX56" s="64">
        <v>1.2799496308167821E-6</v>
      </c>
      <c r="GY56" s="64">
        <v>1.2799496308167821E-6</v>
      </c>
      <c r="GZ56" s="64">
        <v>1.2799496308167821E-6</v>
      </c>
      <c r="HA56" s="64">
        <v>1.2799496308167821E-6</v>
      </c>
      <c r="HB56" s="64">
        <v>1.2799496308167821E-6</v>
      </c>
      <c r="HC56" s="64">
        <v>1.2799496308167821E-6</v>
      </c>
      <c r="HD56" s="64">
        <v>1.2799496308167821E-6</v>
      </c>
      <c r="HE56" s="64">
        <v>1.9199244462251731E-6</v>
      </c>
      <c r="HF56" s="64">
        <v>1.9199244462251731E-6</v>
      </c>
      <c r="HG56" s="64">
        <v>6.3997481540839103E-7</v>
      </c>
      <c r="HH56" s="64">
        <v>6.3997481540839103E-7</v>
      </c>
      <c r="HI56" s="64">
        <v>1.9199244462251731E-6</v>
      </c>
      <c r="HJ56" s="64">
        <v>6.3997481540839103E-7</v>
      </c>
      <c r="HK56" s="64">
        <v>6.3997481540839103E-7</v>
      </c>
      <c r="HL56" s="64">
        <v>6.3997481540839103E-7</v>
      </c>
      <c r="HM56" s="64">
        <v>1.9199244462251731E-6</v>
      </c>
      <c r="HN56" s="64">
        <v>1.9199244462251731E-6</v>
      </c>
      <c r="HO56" s="64">
        <v>6.3997481540839103E-7</v>
      </c>
      <c r="HP56" s="64">
        <v>1.2799496308167821E-6</v>
      </c>
      <c r="HQ56" s="64">
        <v>1.2799496308167821E-6</v>
      </c>
      <c r="HR56" s="64">
        <v>1.2799496308167821E-6</v>
      </c>
      <c r="HS56" s="64">
        <v>1.2799496308167821E-6</v>
      </c>
      <c r="HT56" s="64">
        <v>3.199874077041956E-6</v>
      </c>
      <c r="HU56" s="64">
        <v>1.2799496308167821E-6</v>
      </c>
      <c r="HV56" s="64">
        <v>0</v>
      </c>
      <c r="HW56" s="64">
        <v>0</v>
      </c>
      <c r="HX56" s="64">
        <v>6.3997481540839103E-7</v>
      </c>
      <c r="HY56" s="64">
        <v>6.3997481540839103E-7</v>
      </c>
      <c r="HZ56" s="64">
        <v>8.6179224363437249E-6</v>
      </c>
      <c r="IA56" s="64">
        <v>8.6179224363437249E-6</v>
      </c>
      <c r="IB56" s="64">
        <v>8.6179224363437249E-6</v>
      </c>
      <c r="IC56" s="64">
        <v>8.6179224363437249E-6</v>
      </c>
      <c r="ID56" s="64">
        <v>0</v>
      </c>
      <c r="IE56" s="64">
        <v>1.795400507571609E-5</v>
      </c>
      <c r="IF56" s="64">
        <v>1.795400507571609E-5</v>
      </c>
      <c r="IG56" s="64">
        <v>1.795400507571609E-5</v>
      </c>
      <c r="IH56" s="64">
        <v>1.795400507571609E-5</v>
      </c>
      <c r="II56" s="64">
        <v>1.795400507571609E-5</v>
      </c>
      <c r="IJ56" s="64">
        <v>1.795400507571609E-5</v>
      </c>
      <c r="IK56" s="64">
        <v>1.795400507571609E-5</v>
      </c>
      <c r="IL56" s="64">
        <v>6.4634418272577937E-6</v>
      </c>
      <c r="IM56" s="64">
        <v>6.4634418272577937E-6</v>
      </c>
      <c r="IN56" s="64">
        <v>8.5461064160408608E-5</v>
      </c>
      <c r="IO56" s="64">
        <v>8.5461064160408608E-5</v>
      </c>
      <c r="IP56" s="64">
        <v>1.5081364263601519E-5</v>
      </c>
      <c r="IQ56" s="64">
        <v>7.8997622333150809E-6</v>
      </c>
      <c r="IR56" s="64">
        <v>2.8726408121145748E-6</v>
      </c>
      <c r="IS56" s="64">
        <v>5.7452816242291496E-6</v>
      </c>
      <c r="IT56" s="64">
        <v>5.7452816242291496E-6</v>
      </c>
      <c r="IU56" s="64">
        <v>1.723584487268745E-5</v>
      </c>
      <c r="IV56" s="64">
        <v>2.8726408121145748E-6</v>
      </c>
      <c r="IW56" s="64">
        <v>7.1816020302864377E-6</v>
      </c>
      <c r="IX56" s="64">
        <v>5.0271214212005056E-6</v>
      </c>
      <c r="IY56" s="64">
        <v>4.3089612181718616E-6</v>
      </c>
      <c r="IZ56" s="64">
        <v>4.3089612181718616E-6</v>
      </c>
      <c r="JA56" s="64">
        <v>2.3699286699945239E-5</v>
      </c>
      <c r="JB56" s="64">
        <v>3.5908010151432188E-6</v>
      </c>
      <c r="JC56" s="64">
        <v>7.181602030286437E-7</v>
      </c>
      <c r="JD56" s="64">
        <v>7.181602030286437E-7</v>
      </c>
      <c r="JE56" s="64">
        <v>4.3089612181718616E-6</v>
      </c>
      <c r="JF56" s="64">
        <v>4.3089612181718616E-6</v>
      </c>
      <c r="JG56" s="64">
        <v>1.6757750868312259E-5</v>
      </c>
      <c r="JH56" s="64">
        <v>1.6757750868312259E-5</v>
      </c>
      <c r="JI56" s="64">
        <v>1.6757750868312259E-5</v>
      </c>
      <c r="JJ56" s="64">
        <v>1.6757750868312259E-5</v>
      </c>
      <c r="JK56" s="64">
        <v>0</v>
      </c>
      <c r="JL56" s="64">
        <v>3.3712651746839947E-5</v>
      </c>
      <c r="JM56" s="64">
        <v>3.3712651746839947E-5</v>
      </c>
      <c r="JN56" s="64">
        <v>3.3712651746839947E-5</v>
      </c>
      <c r="JO56" s="64">
        <v>3.3712651746839947E-5</v>
      </c>
      <c r="JP56" s="64">
        <v>3.3712651746839947E-5</v>
      </c>
      <c r="JQ56" s="64">
        <v>3.3712651746839947E-5</v>
      </c>
      <c r="JR56" s="64">
        <v>3.3712651746839947E-5</v>
      </c>
      <c r="JS56" s="64">
        <v>6.8016753524326209E-5</v>
      </c>
      <c r="JT56" s="64">
        <v>6.8016753524326209E-5</v>
      </c>
      <c r="JU56" s="64">
        <v>1.1020685571043E-4</v>
      </c>
      <c r="JV56" s="64">
        <v>1.1020685571043E-4</v>
      </c>
      <c r="JW56" s="64">
        <v>4.9090352543644132E-5</v>
      </c>
      <c r="JX56" s="64">
        <v>1.7940650929604889E-5</v>
      </c>
      <c r="JY56" s="64">
        <v>2.1489351113482771E-5</v>
      </c>
      <c r="JZ56" s="64">
        <v>9.404055487276407E-5</v>
      </c>
      <c r="KA56" s="64">
        <v>1.2144440629271E-4</v>
      </c>
      <c r="KB56" s="64">
        <v>3.5467286837757351E-4</v>
      </c>
      <c r="KC56" s="64">
        <v>1.4391950745727001E-5</v>
      </c>
      <c r="KD56" s="64">
        <v>1.178957061088321E-4</v>
      </c>
      <c r="KE56" s="64">
        <v>2.3263701205421721E-5</v>
      </c>
      <c r="KF56" s="64">
        <v>1.5772000817235061E-5</v>
      </c>
      <c r="KG56" s="64">
        <v>2.5432351317791539E-5</v>
      </c>
      <c r="KH56" s="64">
        <v>3.6078451869425208E-5</v>
      </c>
      <c r="KI56" s="64">
        <v>1.7940650929604889E-5</v>
      </c>
      <c r="KJ56" s="64">
        <v>1.044895054141823E-5</v>
      </c>
      <c r="KK56" s="64">
        <v>7.6888503984020925E-6</v>
      </c>
      <c r="KL56" s="64">
        <v>1.636345084788138E-5</v>
      </c>
      <c r="KM56" s="64">
        <v>1.636345084788138E-5</v>
      </c>
      <c r="KN56" s="64">
        <v>1.2799496308167821E-6</v>
      </c>
      <c r="KO56" s="64">
        <v>1.2799496308167821E-6</v>
      </c>
      <c r="KP56" s="64">
        <v>1.2799496308167821E-6</v>
      </c>
      <c r="KQ56" s="64">
        <v>1.2799496308167821E-6</v>
      </c>
      <c r="KR56" s="64">
        <v>0</v>
      </c>
      <c r="KS56" s="64">
        <v>1.9199244462251731E-6</v>
      </c>
      <c r="KT56" s="64">
        <v>1.9199244462251731E-6</v>
      </c>
      <c r="KU56" s="64">
        <v>1.9199244462251731E-6</v>
      </c>
      <c r="KV56" s="64">
        <v>1.9199244462251731E-6</v>
      </c>
      <c r="KW56" s="64">
        <v>1.9199244462251731E-6</v>
      </c>
      <c r="KX56" s="64">
        <v>1.9199244462251731E-6</v>
      </c>
      <c r="KY56" s="64">
        <v>1.9199244462251731E-6</v>
      </c>
      <c r="KZ56" s="64">
        <v>1.9199244462251731E-6</v>
      </c>
      <c r="LA56" s="64">
        <v>1.9199244462251731E-6</v>
      </c>
      <c r="LB56" s="64">
        <v>1.2799496308167821E-6</v>
      </c>
      <c r="LC56" s="64">
        <v>1.2799496308167821E-6</v>
      </c>
      <c r="LD56" s="64">
        <v>3.8398488924503462E-6</v>
      </c>
      <c r="LE56" s="64">
        <v>1.2799496308167821E-6</v>
      </c>
      <c r="LF56" s="64">
        <v>1.9199244462251731E-6</v>
      </c>
      <c r="LG56" s="64">
        <v>1.2799496308167821E-6</v>
      </c>
      <c r="LH56" s="64">
        <v>3.199874077041956E-6</v>
      </c>
      <c r="LI56" s="64">
        <v>2.5598992616335641E-6</v>
      </c>
      <c r="LJ56" s="64">
        <v>1.9199244462251731E-6</v>
      </c>
      <c r="LK56" s="64">
        <v>6.3997481540839103E-7</v>
      </c>
      <c r="LL56" s="64">
        <v>1.9199244462251731E-6</v>
      </c>
      <c r="LM56" s="64">
        <v>1.2799496308167821E-6</v>
      </c>
      <c r="LN56" s="64">
        <v>1.2799496308167821E-6</v>
      </c>
      <c r="LO56" s="64">
        <v>8.9596474157174753E-6</v>
      </c>
      <c r="LP56" s="64">
        <v>1.9199244462251731E-6</v>
      </c>
      <c r="LQ56" s="64">
        <v>0</v>
      </c>
      <c r="LR56" s="64">
        <v>0</v>
      </c>
      <c r="LS56" s="64">
        <v>1.9199244462251731E-6</v>
      </c>
      <c r="LT56" s="64">
        <v>1.9199244462251731E-6</v>
      </c>
      <c r="LU56" s="64">
        <v>1.86980172156313E-6</v>
      </c>
      <c r="LV56" s="64">
        <v>1.86980172156313E-6</v>
      </c>
      <c r="LW56" s="64">
        <v>1.86980172156313E-6</v>
      </c>
      <c r="LX56" s="64">
        <v>1.86980172156313E-6</v>
      </c>
      <c r="LY56" s="64">
        <v>0</v>
      </c>
      <c r="LZ56" s="64">
        <v>5.9210387849499134E-6</v>
      </c>
      <c r="MA56" s="64">
        <v>5.9210387849499134E-6</v>
      </c>
      <c r="MB56" s="64">
        <v>5.9210387849499134E-6</v>
      </c>
      <c r="MC56" s="64">
        <v>5.9210387849499134E-6</v>
      </c>
      <c r="MD56" s="64">
        <v>5.9210387849499134E-6</v>
      </c>
      <c r="ME56" s="64">
        <v>5.9210387849499134E-6</v>
      </c>
      <c r="MF56" s="64">
        <v>5.9210387849499134E-6</v>
      </c>
      <c r="MG56" s="64">
        <v>2.8047025823446961E-6</v>
      </c>
      <c r="MH56" s="64">
        <v>2.8047025823446961E-6</v>
      </c>
      <c r="MI56" s="64">
        <v>9.3490086078156512E-7</v>
      </c>
      <c r="MJ56" s="64">
        <v>9.3490086078156512E-7</v>
      </c>
      <c r="MK56" s="64">
        <v>3.4279698228657389E-6</v>
      </c>
      <c r="ML56" s="64">
        <v>6.2326724052104341E-7</v>
      </c>
      <c r="MM56" s="64">
        <v>6.2326724052104341E-7</v>
      </c>
      <c r="MN56" s="64">
        <v>6.2326724052104341E-7</v>
      </c>
      <c r="MO56" s="64">
        <v>1.5581681013026091E-6</v>
      </c>
      <c r="MP56" s="64">
        <v>1.5581681013026091E-6</v>
      </c>
      <c r="MQ56" s="64">
        <v>6.2326724052104341E-7</v>
      </c>
      <c r="MR56" s="64">
        <v>9.3490086078156512E-7</v>
      </c>
      <c r="MS56" s="64">
        <v>6.2326724052104341E-7</v>
      </c>
      <c r="MT56" s="64">
        <v>9.3490086078156512E-7</v>
      </c>
      <c r="MU56" s="64">
        <v>1.86980172156313E-6</v>
      </c>
      <c r="MV56" s="64">
        <v>1.86980172156313E-6</v>
      </c>
      <c r="MW56" s="64">
        <v>6.2326724052104341E-7</v>
      </c>
      <c r="MX56" s="64">
        <v>3.1163362026052171E-7</v>
      </c>
      <c r="MY56" s="64">
        <v>0</v>
      </c>
      <c r="MZ56" s="64">
        <v>6.2326724052104341E-7</v>
      </c>
      <c r="NA56" s="64">
        <v>6.2326724052104341E-7</v>
      </c>
      <c r="NB56" s="64"/>
      <c r="NC56" s="64"/>
      <c r="ND56" s="64"/>
      <c r="NE56" s="64"/>
      <c r="NF56" s="64"/>
      <c r="NG56" s="64"/>
      <c r="NH56" s="64"/>
      <c r="NI56" s="64"/>
      <c r="NJ56" s="64"/>
      <c r="NK56" s="64"/>
      <c r="NL56" s="64"/>
      <c r="NM56" s="64"/>
      <c r="NN56" s="64"/>
      <c r="NO56" s="64"/>
      <c r="NP56" s="64"/>
      <c r="NQ56" s="64"/>
      <c r="NR56" s="64"/>
      <c r="NS56" s="64"/>
      <c r="NT56" s="64"/>
      <c r="NU56" s="64"/>
      <c r="NV56" s="64"/>
      <c r="NW56" s="64"/>
      <c r="NX56" s="64"/>
      <c r="NY56" s="64"/>
      <c r="NZ56" s="64"/>
      <c r="OA56" s="64"/>
      <c r="OB56" s="64"/>
      <c r="OC56" s="64"/>
      <c r="OD56" s="64"/>
      <c r="OE56" s="64"/>
      <c r="OF56" s="64"/>
      <c r="OG56" s="64"/>
      <c r="OH56" s="64"/>
      <c r="OI56" s="64"/>
      <c r="OJ56" s="64"/>
      <c r="OK56" s="64"/>
      <c r="OL56" s="64"/>
      <c r="OM56" s="64"/>
      <c r="ON56" s="64"/>
      <c r="OO56" s="64"/>
      <c r="OP56" s="64"/>
      <c r="OQ56" s="64"/>
      <c r="OR56" s="64"/>
      <c r="OS56" s="64"/>
    </row>
    <row r="57" spans="1:409">
      <c r="A57" s="65" t="s">
        <v>93</v>
      </c>
      <c r="B57" s="65" t="s">
        <v>11</v>
      </c>
      <c r="C57" s="65">
        <v>1.956650799166423E-2</v>
      </c>
      <c r="D57" s="65">
        <v>9.9955656587383725E-3</v>
      </c>
      <c r="E57" s="65">
        <v>1.5998372321470049E-2</v>
      </c>
      <c r="F57" s="65">
        <v>1.6795522060061671E-2</v>
      </c>
      <c r="G57" s="65">
        <v>0</v>
      </c>
      <c r="H57" s="65">
        <v>1.848340993717492E-2</v>
      </c>
      <c r="I57" s="65">
        <v>2.3866295880098691E-2</v>
      </c>
      <c r="J57" s="65">
        <v>1.678783259921391E-2</v>
      </c>
      <c r="K57" s="65">
        <v>2.8143740155198781E-2</v>
      </c>
      <c r="L57" s="65">
        <v>9.8810217795951925E-3</v>
      </c>
      <c r="M57" s="65">
        <v>2.3926334938523131E-2</v>
      </c>
      <c r="N57" s="65">
        <v>4.9785044379872148E-2</v>
      </c>
      <c r="O57" s="65">
        <v>2.024263972999877E-2</v>
      </c>
      <c r="P57" s="65">
        <v>6.8968626653248682E-2</v>
      </c>
      <c r="Q57" s="65">
        <v>3.2453780141015673E-2</v>
      </c>
      <c r="R57" s="65">
        <v>5.9832495507653037E-2</v>
      </c>
      <c r="S57" s="65">
        <v>2.493875382760331</v>
      </c>
      <c r="T57" s="65">
        <v>4.7576036631057708E-2</v>
      </c>
      <c r="U57" s="65">
        <v>3.104370384761846E-2</v>
      </c>
      <c r="V57" s="65">
        <v>1.463767532027265E-2</v>
      </c>
      <c r="W57" s="65">
        <v>0.1091539655176731</v>
      </c>
      <c r="X57" s="65">
        <v>6.965730707785607E-2</v>
      </c>
      <c r="Y57" s="65">
        <v>4.6495166469926914E-3</v>
      </c>
      <c r="Z57" s="65">
        <v>4.3247274910836978E-2</v>
      </c>
      <c r="AA57" s="65">
        <v>3.6571889790132872E-2</v>
      </c>
      <c r="AB57" s="65">
        <v>3.623807164510523E-2</v>
      </c>
      <c r="AC57" s="65">
        <v>4.3689764877780549E-2</v>
      </c>
      <c r="AD57" s="65">
        <v>3.0696862798846009E-2</v>
      </c>
      <c r="AE57" s="65">
        <v>4.8823893863439551E-3</v>
      </c>
      <c r="AF57" s="65">
        <v>5.0876930562431576E-3</v>
      </c>
      <c r="AG57" s="65">
        <v>3.7329510700983459E-3</v>
      </c>
      <c r="AH57" s="65">
        <v>4.6923660696824208E-2</v>
      </c>
      <c r="AI57" s="65">
        <v>4.3369922682419293E-2</v>
      </c>
      <c r="AJ57" s="65">
        <v>2.5829999999999998E-3</v>
      </c>
      <c r="AK57" s="65">
        <v>2.5829999999999998E-3</v>
      </c>
      <c r="AL57" s="65">
        <v>2.5829999999999998E-3</v>
      </c>
      <c r="AM57" s="65">
        <v>2.5829999999999998E-3</v>
      </c>
      <c r="AN57" s="65">
        <v>0</v>
      </c>
      <c r="AO57" s="65">
        <v>1.2589999999999999E-3</v>
      </c>
      <c r="AP57" s="65">
        <v>1.2589999999999999E-3</v>
      </c>
      <c r="AQ57" s="65">
        <v>1.2589999999999999E-3</v>
      </c>
      <c r="AR57" s="65">
        <v>1.2589999999999999E-3</v>
      </c>
      <c r="AS57" s="65">
        <v>1.2589999999999999E-3</v>
      </c>
      <c r="AT57" s="65">
        <v>1.2589999999999999E-3</v>
      </c>
      <c r="AU57" s="65">
        <v>1.2589999999999999E-3</v>
      </c>
      <c r="AV57" s="65">
        <v>1.1559999999999999E-3</v>
      </c>
      <c r="AW57" s="65">
        <v>1.1559999999999999E-3</v>
      </c>
      <c r="AX57" s="65">
        <v>1.5709999999999999E-3</v>
      </c>
      <c r="AY57" s="65">
        <v>1.5709999999999999E-3</v>
      </c>
      <c r="AZ57" s="65">
        <v>8.6420000000000004E-3</v>
      </c>
      <c r="BA57" s="65">
        <v>1.237E-3</v>
      </c>
      <c r="BB57" s="65">
        <v>7.1100000000000004E-4</v>
      </c>
      <c r="BC57" s="65">
        <v>8.2899999999999998E-4</v>
      </c>
      <c r="BD57" s="65">
        <v>1.2869999999999999E-3</v>
      </c>
      <c r="BE57" s="65">
        <v>1.5590000000000001E-3</v>
      </c>
      <c r="BF57" s="65">
        <v>1.9900000000000001E-4</v>
      </c>
      <c r="BG57" s="65">
        <v>6.9099999999999999E-4</v>
      </c>
      <c r="BH57" s="65">
        <v>1.5699999999999999E-4</v>
      </c>
      <c r="BI57" s="65">
        <v>4.1899999999999999E-4</v>
      </c>
      <c r="BJ57" s="65">
        <v>4.2700000000000002E-4</v>
      </c>
      <c r="BK57" s="65">
        <v>2.8600000000000001E-4</v>
      </c>
      <c r="BL57" s="65">
        <v>6.3E-5</v>
      </c>
      <c r="BM57" s="65">
        <v>2.6999999999999999E-5</v>
      </c>
      <c r="BN57" s="65">
        <v>1.9000000000000001E-5</v>
      </c>
      <c r="BO57" s="65">
        <v>1.5300000000000001E-4</v>
      </c>
      <c r="BP57" s="65">
        <v>1.5300000000000001E-4</v>
      </c>
      <c r="BQ57" s="65">
        <v>9.0000000000000002E-6</v>
      </c>
      <c r="BR57" s="65">
        <v>9.0000000000000002E-6</v>
      </c>
      <c r="BS57" s="65">
        <v>9.0000000000000002E-6</v>
      </c>
      <c r="BT57" s="65">
        <v>9.0000000000000002E-6</v>
      </c>
      <c r="BU57" s="65">
        <v>0</v>
      </c>
      <c r="BV57" s="65">
        <v>1.7E-5</v>
      </c>
      <c r="BW57" s="65">
        <v>1.7E-5</v>
      </c>
      <c r="BX57" s="65">
        <v>1.7E-5</v>
      </c>
      <c r="BY57" s="65">
        <v>1.7E-5</v>
      </c>
      <c r="BZ57" s="65">
        <v>1.7E-5</v>
      </c>
      <c r="CA57" s="65">
        <v>1.7E-5</v>
      </c>
      <c r="CB57" s="65">
        <v>1.7E-5</v>
      </c>
      <c r="CC57" s="65">
        <v>2.1999999999999999E-5</v>
      </c>
      <c r="CD57" s="65">
        <v>2.1999999999999999E-5</v>
      </c>
      <c r="CE57" s="65">
        <v>1.4E-5</v>
      </c>
      <c r="CF57" s="65">
        <v>1.4E-5</v>
      </c>
      <c r="CG57" s="65">
        <v>4.3000000000000002E-5</v>
      </c>
      <c r="CH57" s="65">
        <v>9.0000000000000002E-6</v>
      </c>
      <c r="CI57" s="65">
        <v>1.4E-5</v>
      </c>
      <c r="CJ57" s="65">
        <v>7.9999999999999996E-6</v>
      </c>
      <c r="CK57" s="65">
        <v>1.9000000000000001E-5</v>
      </c>
      <c r="CL57" s="65">
        <v>1.8E-5</v>
      </c>
      <c r="CM57" s="65">
        <v>7.9999999999999996E-6</v>
      </c>
      <c r="CN57" s="65">
        <v>6.9999999999999999E-6</v>
      </c>
      <c r="CO57" s="65">
        <v>5.0000000000000004E-6</v>
      </c>
      <c r="CP57" s="65">
        <v>9.0000000000000002E-6</v>
      </c>
      <c r="CQ57" s="65">
        <v>6.9999999999999999E-6</v>
      </c>
      <c r="CR57" s="65">
        <v>1.9000000000000001E-5</v>
      </c>
      <c r="CS57" s="65">
        <v>5.0000000000000004E-6</v>
      </c>
      <c r="CT57" s="65">
        <v>9.9999999999999995E-7</v>
      </c>
      <c r="CU57" s="65">
        <v>9.9999999999999995E-7</v>
      </c>
      <c r="CV57" s="65">
        <v>6.0000000000000002E-6</v>
      </c>
      <c r="CW57" s="65">
        <v>6.0000000000000002E-6</v>
      </c>
      <c r="CX57" s="65">
        <v>1.5E-5</v>
      </c>
      <c r="CY57" s="65">
        <v>1.5E-5</v>
      </c>
      <c r="CZ57" s="65">
        <v>1.5E-5</v>
      </c>
      <c r="DA57" s="65">
        <v>1.5E-5</v>
      </c>
      <c r="DB57" s="65">
        <v>0</v>
      </c>
      <c r="DC57" s="65">
        <v>2.6999999999999999E-5</v>
      </c>
      <c r="DD57" s="65">
        <v>2.6999999999999999E-5</v>
      </c>
      <c r="DE57" s="65">
        <v>2.6999999999999999E-5</v>
      </c>
      <c r="DF57" s="65">
        <v>2.6999999999999999E-5</v>
      </c>
      <c r="DG57" s="65">
        <v>2.6999999999999999E-5</v>
      </c>
      <c r="DH57" s="65">
        <v>2.6999999999999999E-5</v>
      </c>
      <c r="DI57" s="65">
        <v>2.6999999999999999E-5</v>
      </c>
      <c r="DJ57" s="65">
        <v>1.8E-5</v>
      </c>
      <c r="DK57" s="65">
        <v>1.8E-5</v>
      </c>
      <c r="DL57" s="65">
        <v>1.7E-5</v>
      </c>
      <c r="DM57" s="65">
        <v>1.7E-5</v>
      </c>
      <c r="DN57" s="65">
        <v>5.3000000000000001E-5</v>
      </c>
      <c r="DO57" s="65">
        <v>1.2999999999999999E-5</v>
      </c>
      <c r="DP57" s="65">
        <v>1.7E-5</v>
      </c>
      <c r="DQ57" s="65">
        <v>1.4E-5</v>
      </c>
      <c r="DR57" s="65">
        <v>2.5000000000000001E-5</v>
      </c>
      <c r="DS57" s="65">
        <v>1.8E-5</v>
      </c>
      <c r="DT57" s="65">
        <v>1.2E-5</v>
      </c>
      <c r="DU57" s="65">
        <v>1.2999999999999999E-5</v>
      </c>
      <c r="DV57" s="65">
        <v>7.9999999999999996E-6</v>
      </c>
      <c r="DW57" s="65">
        <v>6.9999999999999999E-6</v>
      </c>
      <c r="DX57" s="65">
        <v>1.2E-5</v>
      </c>
      <c r="DY57" s="65">
        <v>1.2999999999999999E-5</v>
      </c>
      <c r="DZ57" s="65">
        <v>9.9999999999999995E-7</v>
      </c>
      <c r="EA57" s="65">
        <v>9.9999999999999995E-7</v>
      </c>
      <c r="EB57" s="65">
        <v>9.9999999999999995E-7</v>
      </c>
      <c r="EC57" s="65">
        <v>6.9999999999999999E-6</v>
      </c>
      <c r="ED57" s="65">
        <v>6.9999999999999999E-6</v>
      </c>
      <c r="EE57" s="65">
        <v>1.2E-5</v>
      </c>
      <c r="EF57" s="65">
        <v>1.2E-5</v>
      </c>
      <c r="EG57" s="65">
        <v>1.2E-5</v>
      </c>
      <c r="EH57" s="65">
        <v>1.2E-5</v>
      </c>
      <c r="EI57" s="65">
        <v>0</v>
      </c>
      <c r="EJ57" s="65">
        <v>1.2999999999999999E-5</v>
      </c>
      <c r="EK57" s="65">
        <v>1.2999999999999999E-5</v>
      </c>
      <c r="EL57" s="65">
        <v>1.2999999999999999E-5</v>
      </c>
      <c r="EM57" s="65">
        <v>1.2999999999999999E-5</v>
      </c>
      <c r="EN57" s="65">
        <v>1.2999999999999999E-5</v>
      </c>
      <c r="EO57" s="65">
        <v>1.2999999999999999E-5</v>
      </c>
      <c r="EP57" s="65">
        <v>1.2999999999999999E-5</v>
      </c>
      <c r="EQ57" s="65">
        <v>2.3E-5</v>
      </c>
      <c r="ER57" s="65">
        <v>2.3E-5</v>
      </c>
      <c r="ES57" s="65">
        <v>1.4E-5</v>
      </c>
      <c r="ET57" s="65">
        <v>1.4E-5</v>
      </c>
      <c r="EU57" s="65">
        <v>7.4999999999999993E-5</v>
      </c>
      <c r="EV57" s="65">
        <v>1.0000000000000001E-5</v>
      </c>
      <c r="EW57" s="65">
        <v>1.2E-5</v>
      </c>
      <c r="EX57" s="65">
        <v>1.0000000000000001E-5</v>
      </c>
      <c r="EY57" s="65">
        <v>1.5999999999999999E-5</v>
      </c>
      <c r="EZ57" s="65">
        <v>1.5999999999999999E-5</v>
      </c>
      <c r="FA57" s="65">
        <v>3.9999999999999998E-6</v>
      </c>
      <c r="FB57" s="65">
        <v>6.9999999999999999E-6</v>
      </c>
      <c r="FC57" s="65">
        <v>3.9999999999999998E-6</v>
      </c>
      <c r="FD57" s="65">
        <v>3.9999999999999998E-6</v>
      </c>
      <c r="FE57" s="65">
        <v>3.9999999999999998E-6</v>
      </c>
      <c r="FF57" s="65">
        <v>7.9999999999999996E-6</v>
      </c>
      <c r="FG57" s="65">
        <v>3.9999999999999998E-6</v>
      </c>
      <c r="FH57" s="65">
        <v>1.9999999999999999E-6</v>
      </c>
      <c r="FI57" s="65">
        <v>9.9999999999999995E-7</v>
      </c>
      <c r="FJ57" s="65">
        <v>5.0000000000000004E-6</v>
      </c>
      <c r="FK57" s="65">
        <v>5.0000000000000004E-6</v>
      </c>
      <c r="FL57" s="65">
        <v>4.5100000000000001E-4</v>
      </c>
      <c r="FM57" s="65">
        <v>4.5100000000000001E-4</v>
      </c>
      <c r="FN57" s="65">
        <v>4.5100000000000001E-4</v>
      </c>
      <c r="FO57" s="65">
        <v>4.5100000000000001E-4</v>
      </c>
      <c r="FP57" s="65">
        <v>0</v>
      </c>
      <c r="FQ57" s="65">
        <v>4.4499999999999997E-4</v>
      </c>
      <c r="FR57" s="65">
        <v>4.4499999999999997E-4</v>
      </c>
      <c r="FS57" s="65">
        <v>4.4499999999999997E-4</v>
      </c>
      <c r="FT57" s="65">
        <v>4.4499999999999997E-4</v>
      </c>
      <c r="FU57" s="65">
        <v>4.4499999999999997E-4</v>
      </c>
      <c r="FV57" s="65">
        <v>4.4499999999999997E-4</v>
      </c>
      <c r="FW57" s="65">
        <v>4.4499999999999997E-4</v>
      </c>
      <c r="FX57" s="65">
        <v>5.4900000000000001E-4</v>
      </c>
      <c r="FY57" s="65">
        <v>5.4900000000000001E-4</v>
      </c>
      <c r="FZ57" s="65">
        <v>4.2000000000000002E-4</v>
      </c>
      <c r="GA57" s="65">
        <v>4.2000000000000002E-4</v>
      </c>
      <c r="GB57" s="65">
        <v>3.153E-3</v>
      </c>
      <c r="GC57" s="65">
        <v>2.0599999999999999E-4</v>
      </c>
      <c r="GD57" s="65">
        <v>1.6100000000000001E-4</v>
      </c>
      <c r="GE57" s="65">
        <v>2.1800000000000001E-4</v>
      </c>
      <c r="GF57" s="65">
        <v>5.8299999999999997E-4</v>
      </c>
      <c r="GG57" s="65">
        <v>4.6299999999999998E-4</v>
      </c>
      <c r="GH57" s="65">
        <v>8.0000000000000007E-5</v>
      </c>
      <c r="GI57" s="65">
        <v>1.5200000000000001E-4</v>
      </c>
      <c r="GJ57" s="65">
        <v>5.5000000000000002E-5</v>
      </c>
      <c r="GK57" s="65">
        <v>1.15E-4</v>
      </c>
      <c r="GL57" s="65">
        <v>2.0699999999999999E-4</v>
      </c>
      <c r="GM57" s="65">
        <v>1.9599999999999999E-4</v>
      </c>
      <c r="GN57" s="65">
        <v>4.0000000000000003E-5</v>
      </c>
      <c r="GO57" s="65">
        <v>3.6999999999999998E-5</v>
      </c>
      <c r="GP57" s="65">
        <v>2.6999999999999999E-5</v>
      </c>
      <c r="GQ57" s="65">
        <v>8.2999999999999998E-5</v>
      </c>
      <c r="GR57" s="65">
        <v>8.2999999999999998E-5</v>
      </c>
      <c r="GS57" s="65">
        <v>3.0000000000000001E-6</v>
      </c>
      <c r="GT57" s="65">
        <v>3.0000000000000001E-6</v>
      </c>
      <c r="GU57" s="65">
        <v>3.0000000000000001E-6</v>
      </c>
      <c r="GV57" s="65">
        <v>3.0000000000000001E-6</v>
      </c>
      <c r="GW57" s="65">
        <v>0</v>
      </c>
      <c r="GX57" s="65">
        <v>6.9999999999999999E-6</v>
      </c>
      <c r="GY57" s="65">
        <v>6.9999999999999999E-6</v>
      </c>
      <c r="GZ57" s="65">
        <v>6.9999999999999999E-6</v>
      </c>
      <c r="HA57" s="65">
        <v>6.9999999999999999E-6</v>
      </c>
      <c r="HB57" s="65">
        <v>6.9999999999999999E-6</v>
      </c>
      <c r="HC57" s="65">
        <v>6.9999999999999999E-6</v>
      </c>
      <c r="HD57" s="65">
        <v>6.9999999999999999E-6</v>
      </c>
      <c r="HE57" s="65">
        <v>1.1E-5</v>
      </c>
      <c r="HF57" s="65">
        <v>1.1E-5</v>
      </c>
      <c r="HG57" s="65">
        <v>6.9999999999999999E-6</v>
      </c>
      <c r="HH57" s="65">
        <v>6.9999999999999999E-6</v>
      </c>
      <c r="HI57" s="65">
        <v>1.8E-5</v>
      </c>
      <c r="HJ57" s="65">
        <v>5.0000000000000004E-6</v>
      </c>
      <c r="HK57" s="65">
        <v>6.9999999999999999E-6</v>
      </c>
      <c r="HL57" s="65">
        <v>6.0000000000000002E-6</v>
      </c>
      <c r="HM57" s="65">
        <v>1.2999999999999999E-5</v>
      </c>
      <c r="HN57" s="65">
        <v>1.2999999999999999E-5</v>
      </c>
      <c r="HO57" s="65">
        <v>5.0000000000000004E-6</v>
      </c>
      <c r="HP57" s="65">
        <v>6.9999999999999999E-6</v>
      </c>
      <c r="HQ57" s="65">
        <v>5.0000000000000004E-6</v>
      </c>
      <c r="HR57" s="65">
        <v>3.9999999999999998E-6</v>
      </c>
      <c r="HS57" s="65">
        <v>6.0000000000000002E-6</v>
      </c>
      <c r="HT57" s="65">
        <v>1.2999999999999999E-5</v>
      </c>
      <c r="HU57" s="65">
        <v>5.0000000000000004E-6</v>
      </c>
      <c r="HV57" s="65">
        <v>9.9999999999999995E-7</v>
      </c>
      <c r="HW57" s="65">
        <v>9.9999999999999995E-7</v>
      </c>
      <c r="HX57" s="65">
        <v>3.9999999999999998E-6</v>
      </c>
      <c r="HY57" s="65">
        <v>3.9999999999999998E-6</v>
      </c>
      <c r="HZ57" s="65">
        <v>3.4E-5</v>
      </c>
      <c r="IA57" s="65">
        <v>3.4E-5</v>
      </c>
      <c r="IB57" s="65">
        <v>3.4E-5</v>
      </c>
      <c r="IC57" s="65">
        <v>3.4E-5</v>
      </c>
      <c r="ID57" s="65">
        <v>0</v>
      </c>
      <c r="IE57" s="65">
        <v>5.3000000000000001E-5</v>
      </c>
      <c r="IF57" s="65">
        <v>5.3000000000000001E-5</v>
      </c>
      <c r="IG57" s="65">
        <v>5.3000000000000001E-5</v>
      </c>
      <c r="IH57" s="65">
        <v>5.3000000000000001E-5</v>
      </c>
      <c r="II57" s="65">
        <v>5.3000000000000001E-5</v>
      </c>
      <c r="IJ57" s="65">
        <v>5.3000000000000001E-5</v>
      </c>
      <c r="IK57" s="65">
        <v>5.3000000000000001E-5</v>
      </c>
      <c r="IL57" s="65">
        <v>3.4999999999999997E-5</v>
      </c>
      <c r="IM57" s="65">
        <v>3.4999999999999997E-5</v>
      </c>
      <c r="IN57" s="65">
        <v>4.8999999999999998E-5</v>
      </c>
      <c r="IO57" s="65">
        <v>4.8999999999999998E-5</v>
      </c>
      <c r="IP57" s="65">
        <v>1.3899999999999999E-4</v>
      </c>
      <c r="IQ57" s="65">
        <v>2.4000000000000001E-5</v>
      </c>
      <c r="IR57" s="65">
        <v>2.0000000000000002E-5</v>
      </c>
      <c r="IS57" s="65">
        <v>2.4000000000000001E-5</v>
      </c>
      <c r="IT57" s="65">
        <v>3.4E-5</v>
      </c>
      <c r="IU57" s="65">
        <v>4.8000000000000001E-5</v>
      </c>
      <c r="IV57" s="65">
        <v>1.5999999999999999E-5</v>
      </c>
      <c r="IW57" s="65">
        <v>2.0999999999999999E-5</v>
      </c>
      <c r="IX57" s="65">
        <v>1.0000000000000001E-5</v>
      </c>
      <c r="IY57" s="65">
        <v>1.7E-5</v>
      </c>
      <c r="IZ57" s="65">
        <v>1.4E-5</v>
      </c>
      <c r="JA57" s="65">
        <v>3.1999999999999999E-5</v>
      </c>
      <c r="JB57" s="65">
        <v>7.9999999999999996E-6</v>
      </c>
      <c r="JC57" s="65">
        <v>9.9999999999999995E-7</v>
      </c>
      <c r="JD57" s="65">
        <v>9.9999999999999995E-7</v>
      </c>
      <c r="JE57" s="65">
        <v>1.2999999999999999E-5</v>
      </c>
      <c r="JF57" s="65">
        <v>1.2999999999999999E-5</v>
      </c>
      <c r="JG57" s="65">
        <v>6.1499999999999999E-4</v>
      </c>
      <c r="JH57" s="65">
        <v>6.1499999999999999E-4</v>
      </c>
      <c r="JI57" s="65">
        <v>6.1499999999999999E-4</v>
      </c>
      <c r="JJ57" s="65">
        <v>6.1499999999999999E-4</v>
      </c>
      <c r="JK57" s="65">
        <v>0</v>
      </c>
      <c r="JL57" s="65">
        <v>7.4899999999999999E-4</v>
      </c>
      <c r="JM57" s="65">
        <v>7.4899999999999999E-4</v>
      </c>
      <c r="JN57" s="65">
        <v>7.4899999999999999E-4</v>
      </c>
      <c r="JO57" s="65">
        <v>7.4899999999999999E-4</v>
      </c>
      <c r="JP57" s="65">
        <v>7.4899999999999999E-4</v>
      </c>
      <c r="JQ57" s="65">
        <v>7.4899999999999999E-4</v>
      </c>
      <c r="JR57" s="65">
        <v>7.4899999999999999E-4</v>
      </c>
      <c r="JS57" s="65">
        <v>1.1640000000000001E-3</v>
      </c>
      <c r="JT57" s="65">
        <v>1.1640000000000001E-3</v>
      </c>
      <c r="JU57" s="65">
        <v>5.3300000000000005E-4</v>
      </c>
      <c r="JV57" s="65">
        <v>5.3300000000000005E-4</v>
      </c>
      <c r="JW57" s="65">
        <v>3.2160000000000001E-3</v>
      </c>
      <c r="JX57" s="65">
        <v>6.3400000000000001E-4</v>
      </c>
      <c r="JY57" s="65">
        <v>1.0870000000000001E-3</v>
      </c>
      <c r="JZ57" s="65">
        <v>5.44E-4</v>
      </c>
      <c r="KA57" s="65">
        <v>1.1379999999999999E-3</v>
      </c>
      <c r="KB57" s="65">
        <v>8.3799999999999999E-4</v>
      </c>
      <c r="KC57" s="65">
        <v>3.0899999999999998E-4</v>
      </c>
      <c r="KD57" s="65">
        <v>5.6499999999999996E-4</v>
      </c>
      <c r="KE57" s="65">
        <v>2.7700000000000001E-4</v>
      </c>
      <c r="KF57" s="65">
        <v>6.7900000000000002E-4</v>
      </c>
      <c r="KG57" s="65">
        <v>4.8700000000000002E-4</v>
      </c>
      <c r="KH57" s="65">
        <v>4.6799999999999999E-4</v>
      </c>
      <c r="KI57" s="65">
        <v>1.37E-4</v>
      </c>
      <c r="KJ57" s="65">
        <v>1.15E-4</v>
      </c>
      <c r="KK57" s="65">
        <v>8.3999999999999995E-5</v>
      </c>
      <c r="KL57" s="65">
        <v>2.1900000000000001E-4</v>
      </c>
      <c r="KM57" s="65">
        <v>2.1900000000000001E-4</v>
      </c>
      <c r="KN57" s="65">
        <v>6.9999999999999999E-6</v>
      </c>
      <c r="KO57" s="65">
        <v>6.9999999999999999E-6</v>
      </c>
      <c r="KP57" s="65">
        <v>6.9999999999999999E-6</v>
      </c>
      <c r="KQ57" s="65">
        <v>6.9999999999999999E-6</v>
      </c>
      <c r="KR57" s="65">
        <v>0</v>
      </c>
      <c r="KS57" s="65">
        <v>1.0000000000000001E-5</v>
      </c>
      <c r="KT57" s="65">
        <v>1.0000000000000001E-5</v>
      </c>
      <c r="KU57" s="65">
        <v>1.0000000000000001E-5</v>
      </c>
      <c r="KV57" s="65">
        <v>1.0000000000000001E-5</v>
      </c>
      <c r="KW57" s="65">
        <v>1.0000000000000001E-5</v>
      </c>
      <c r="KX57" s="65">
        <v>1.0000000000000001E-5</v>
      </c>
      <c r="KY57" s="65">
        <v>1.0000000000000001E-5</v>
      </c>
      <c r="KZ57" s="65">
        <v>1.0000000000000001E-5</v>
      </c>
      <c r="LA57" s="65">
        <v>1.0000000000000001E-5</v>
      </c>
      <c r="LB57" s="65">
        <v>1.1E-5</v>
      </c>
      <c r="LC57" s="65">
        <v>1.1E-5</v>
      </c>
      <c r="LD57" s="65">
        <v>2.5999999999999998E-5</v>
      </c>
      <c r="LE57" s="65">
        <v>6.9999999999999999E-6</v>
      </c>
      <c r="LF57" s="65">
        <v>1.2999999999999999E-5</v>
      </c>
      <c r="LG57" s="65">
        <v>7.9999999999999996E-6</v>
      </c>
      <c r="LH57" s="65">
        <v>2.0000000000000002E-5</v>
      </c>
      <c r="LI57" s="65">
        <v>1.5E-5</v>
      </c>
      <c r="LJ57" s="65">
        <v>1.0000000000000001E-5</v>
      </c>
      <c r="LK57" s="65">
        <v>3.9999999999999998E-6</v>
      </c>
      <c r="LL57" s="65">
        <v>6.9999999999999999E-6</v>
      </c>
      <c r="LM57" s="65">
        <v>6.0000000000000002E-6</v>
      </c>
      <c r="LN57" s="65">
        <v>6.0000000000000002E-6</v>
      </c>
      <c r="LO57" s="65">
        <v>4.0000000000000003E-5</v>
      </c>
      <c r="LP57" s="65">
        <v>7.9999999999999996E-6</v>
      </c>
      <c r="LQ57" s="65">
        <v>9.9999999999999995E-7</v>
      </c>
      <c r="LR57" s="65">
        <v>9.9999999999999995E-7</v>
      </c>
      <c r="LS57" s="65">
        <v>7.9999999999999996E-6</v>
      </c>
      <c r="LT57" s="65">
        <v>7.9999999999999996E-6</v>
      </c>
      <c r="LU57" s="65">
        <v>3.0000000000000001E-5</v>
      </c>
      <c r="LV57" s="65">
        <v>3.0000000000000001E-5</v>
      </c>
      <c r="LW57" s="65">
        <v>3.0000000000000001E-5</v>
      </c>
      <c r="LX57" s="65">
        <v>3.0000000000000001E-5</v>
      </c>
      <c r="LY57" s="65">
        <v>0</v>
      </c>
      <c r="LZ57" s="65">
        <v>4.1999999999999998E-5</v>
      </c>
      <c r="MA57" s="65">
        <v>4.1999999999999998E-5</v>
      </c>
      <c r="MB57" s="65">
        <v>4.1999999999999998E-5</v>
      </c>
      <c r="MC57" s="65">
        <v>4.1999999999999998E-5</v>
      </c>
      <c r="MD57" s="65">
        <v>4.1999999999999998E-5</v>
      </c>
      <c r="ME57" s="65">
        <v>4.1999999999999998E-5</v>
      </c>
      <c r="MF57" s="65">
        <v>4.1999999999999998E-5</v>
      </c>
      <c r="MG57" s="65">
        <v>1.1E-4</v>
      </c>
      <c r="MH57" s="65">
        <v>1.1E-4</v>
      </c>
      <c r="MI57" s="65">
        <v>3.4999999999999997E-5</v>
      </c>
      <c r="MJ57" s="65">
        <v>3.4999999999999997E-5</v>
      </c>
      <c r="MK57" s="65">
        <v>2.3499999999999999E-4</v>
      </c>
      <c r="ML57" s="65">
        <v>2.9E-5</v>
      </c>
      <c r="MM57" s="65">
        <v>2.6999999999999999E-5</v>
      </c>
      <c r="MN57" s="65">
        <v>2.0999999999999999E-5</v>
      </c>
      <c r="MO57" s="65">
        <v>4.0000000000000003E-5</v>
      </c>
      <c r="MP57" s="65">
        <v>5.3000000000000001E-5</v>
      </c>
      <c r="MQ57" s="65">
        <v>1.1E-5</v>
      </c>
      <c r="MR57" s="65">
        <v>1.7E-5</v>
      </c>
      <c r="MS57" s="65">
        <v>9.0000000000000002E-6</v>
      </c>
      <c r="MT57" s="65">
        <v>9.0000000000000002E-6</v>
      </c>
      <c r="MU57" s="65">
        <v>1.5999999999999999E-5</v>
      </c>
      <c r="MV57" s="65">
        <v>2.0000000000000002E-5</v>
      </c>
      <c r="MW57" s="65">
        <v>6.9999999999999999E-6</v>
      </c>
      <c r="MX57" s="65">
        <v>3.0000000000000001E-6</v>
      </c>
      <c r="MY57" s="65">
        <v>1.9999999999999999E-6</v>
      </c>
      <c r="MZ57" s="65">
        <v>9.0000000000000002E-6</v>
      </c>
      <c r="NA57" s="65">
        <v>9.0000000000000002E-6</v>
      </c>
      <c r="NB57" s="65"/>
      <c r="NC57" s="65"/>
      <c r="ND57" s="65"/>
      <c r="NE57" s="65"/>
      <c r="NF57" s="65"/>
      <c r="NG57" s="65"/>
      <c r="NH57" s="65"/>
      <c r="NI57" s="65"/>
      <c r="NJ57" s="65"/>
      <c r="NK57" s="65"/>
      <c r="NL57" s="65"/>
      <c r="NM57" s="65"/>
      <c r="NN57" s="65"/>
      <c r="NO57" s="65"/>
      <c r="NP57" s="65"/>
      <c r="NQ57" s="65"/>
      <c r="NR57" s="65"/>
      <c r="NS57" s="65"/>
      <c r="NT57" s="65"/>
      <c r="NU57" s="65"/>
      <c r="NV57" s="65"/>
      <c r="NW57" s="65"/>
      <c r="NX57" s="65"/>
      <c r="NY57" s="65"/>
      <c r="NZ57" s="65"/>
      <c r="OA57" s="65"/>
      <c r="OB57" s="65"/>
      <c r="OC57" s="65"/>
      <c r="OD57" s="65"/>
      <c r="OE57" s="65"/>
      <c r="OF57" s="65"/>
      <c r="OG57" s="65"/>
      <c r="OH57" s="65"/>
      <c r="OI57" s="65"/>
      <c r="OJ57" s="65"/>
      <c r="OK57" s="65"/>
      <c r="OL57" s="65"/>
      <c r="OM57" s="65"/>
      <c r="ON57" s="65"/>
      <c r="OO57" s="65"/>
      <c r="OP57" s="65"/>
      <c r="OQ57" s="65"/>
      <c r="OR57" s="65"/>
      <c r="OS57" s="65"/>
    </row>
    <row r="58" spans="1:409">
      <c r="A58" s="64" t="s">
        <v>94</v>
      </c>
      <c r="B58" s="64" t="s">
        <v>12</v>
      </c>
      <c r="C58" s="64">
        <v>5.3972703378521772E-4</v>
      </c>
      <c r="D58" s="64">
        <v>6.0688014362331589E-4</v>
      </c>
      <c r="E58" s="64">
        <v>8.1339388707272579E-3</v>
      </c>
      <c r="F58" s="64">
        <v>2.2538515449569441E-4</v>
      </c>
      <c r="G58" s="64">
        <v>0</v>
      </c>
      <c r="H58" s="64">
        <v>4.3349477699278498E-4</v>
      </c>
      <c r="I58" s="64">
        <v>2.6926866388420051E-4</v>
      </c>
      <c r="J58" s="64">
        <v>5.5737994098942233E-4</v>
      </c>
      <c r="K58" s="64">
        <v>4.21998399143011E-4</v>
      </c>
      <c r="L58" s="64">
        <v>5.6124533231760446E-4</v>
      </c>
      <c r="M58" s="64">
        <v>5.0040835935023504E-4</v>
      </c>
      <c r="N58" s="64">
        <v>1.367810606935034E-3</v>
      </c>
      <c r="O58" s="64">
        <v>1.092654166038672E-4</v>
      </c>
      <c r="P58" s="64">
        <v>1.4077122999797361E-4</v>
      </c>
      <c r="Q58" s="64">
        <v>1.7413862680803051E-3</v>
      </c>
      <c r="R58" s="64">
        <v>5.1692893529333914E-4</v>
      </c>
      <c r="S58" s="64">
        <v>5.2585578496088126E-3</v>
      </c>
      <c r="T58" s="64">
        <v>1.019019452485715</v>
      </c>
      <c r="U58" s="64">
        <v>4.8677549616118592E-4</v>
      </c>
      <c r="V58" s="64">
        <v>4.539853976401549E-3</v>
      </c>
      <c r="W58" s="64">
        <v>1.205527862554117E-2</v>
      </c>
      <c r="X58" s="64">
        <v>5.1419923090600282E-3</v>
      </c>
      <c r="Y58" s="64">
        <v>4.0293556824161109E-4</v>
      </c>
      <c r="Z58" s="64">
        <v>8.6019100046656222E-2</v>
      </c>
      <c r="AA58" s="64">
        <v>1.3968383007181269E-3</v>
      </c>
      <c r="AB58" s="64">
        <v>1.6004700092058499E-3</v>
      </c>
      <c r="AC58" s="64">
        <v>1.646249969213074E-3</v>
      </c>
      <c r="AD58" s="64">
        <v>1.440857735129822E-2</v>
      </c>
      <c r="AE58" s="64">
        <v>5.2416518136615185E-4</v>
      </c>
      <c r="AF58" s="64">
        <v>4.7469455786635598E-4</v>
      </c>
      <c r="AG58" s="64">
        <v>3.475932718372266E-4</v>
      </c>
      <c r="AH58" s="64">
        <v>2.0699428607577849E-3</v>
      </c>
      <c r="AI58" s="64">
        <v>1.7034465361023361E-3</v>
      </c>
      <c r="AJ58" s="64">
        <v>6.0000000000000002E-6</v>
      </c>
      <c r="AK58" s="64">
        <v>6.0000000000000002E-6</v>
      </c>
      <c r="AL58" s="64">
        <v>6.0000000000000002E-6</v>
      </c>
      <c r="AM58" s="64">
        <v>6.0000000000000002E-6</v>
      </c>
      <c r="AN58" s="64">
        <v>0</v>
      </c>
      <c r="AO58" s="64">
        <v>3.9999999999999998E-6</v>
      </c>
      <c r="AP58" s="64">
        <v>3.9999999999999998E-6</v>
      </c>
      <c r="AQ58" s="64">
        <v>3.9999999999999998E-6</v>
      </c>
      <c r="AR58" s="64">
        <v>3.9999999999999998E-6</v>
      </c>
      <c r="AS58" s="64">
        <v>3.9999999999999998E-6</v>
      </c>
      <c r="AT58" s="64">
        <v>3.9999999999999998E-6</v>
      </c>
      <c r="AU58" s="64">
        <v>3.9999999999999998E-6</v>
      </c>
      <c r="AV58" s="64">
        <v>3.0000000000000001E-6</v>
      </c>
      <c r="AW58" s="64">
        <v>3.0000000000000001E-6</v>
      </c>
      <c r="AX58" s="64">
        <v>3.9999999999999998E-6</v>
      </c>
      <c r="AY58" s="64">
        <v>3.9999999999999998E-6</v>
      </c>
      <c r="AZ58" s="64">
        <v>2.0000000000000002E-5</v>
      </c>
      <c r="BA58" s="64">
        <v>3.9999999999999998E-6</v>
      </c>
      <c r="BB58" s="64">
        <v>3.0000000000000001E-6</v>
      </c>
      <c r="BC58" s="64">
        <v>3.0000000000000001E-6</v>
      </c>
      <c r="BD58" s="64">
        <v>6.0000000000000002E-6</v>
      </c>
      <c r="BE58" s="64">
        <v>5.0000000000000004E-6</v>
      </c>
      <c r="BF58" s="64">
        <v>9.9999999999999995E-7</v>
      </c>
      <c r="BG58" s="64">
        <v>1.9999999999999999E-6</v>
      </c>
      <c r="BH58" s="64">
        <v>9.9999999999999995E-7</v>
      </c>
      <c r="BI58" s="64">
        <v>1.9999999999999999E-6</v>
      </c>
      <c r="BJ58" s="64">
        <v>9.9999999999999995E-7</v>
      </c>
      <c r="BK58" s="64">
        <v>9.9999999999999995E-7</v>
      </c>
      <c r="BL58" s="64">
        <v>0</v>
      </c>
      <c r="BM58" s="64">
        <v>0</v>
      </c>
      <c r="BN58" s="64">
        <v>0</v>
      </c>
      <c r="BO58" s="64">
        <v>9.9999999999999995E-7</v>
      </c>
      <c r="BP58" s="64">
        <v>9.9999999999999995E-7</v>
      </c>
      <c r="BQ58" s="64">
        <v>0</v>
      </c>
      <c r="BR58" s="64">
        <v>0</v>
      </c>
      <c r="BS58" s="64">
        <v>0</v>
      </c>
      <c r="BT58" s="64">
        <v>0</v>
      </c>
      <c r="BU58" s="64">
        <v>0</v>
      </c>
      <c r="BV58" s="64">
        <v>0</v>
      </c>
      <c r="BW58" s="64">
        <v>0</v>
      </c>
      <c r="BX58" s="64">
        <v>0</v>
      </c>
      <c r="BY58" s="64">
        <v>0</v>
      </c>
      <c r="BZ58" s="64">
        <v>0</v>
      </c>
      <c r="CA58" s="64">
        <v>0</v>
      </c>
      <c r="CB58" s="64">
        <v>0</v>
      </c>
      <c r="CC58" s="64">
        <v>0</v>
      </c>
      <c r="CD58" s="64">
        <v>0</v>
      </c>
      <c r="CE58" s="64">
        <v>0</v>
      </c>
      <c r="CF58" s="64">
        <v>0</v>
      </c>
      <c r="CG58" s="64">
        <v>9.9999999999999995E-7</v>
      </c>
      <c r="CH58" s="64">
        <v>0</v>
      </c>
      <c r="CI58" s="64">
        <v>0</v>
      </c>
      <c r="CJ58" s="64">
        <v>0</v>
      </c>
      <c r="CK58" s="64">
        <v>9.9999999999999995E-7</v>
      </c>
      <c r="CL58" s="64">
        <v>9.9999999999999995E-7</v>
      </c>
      <c r="CM58" s="64">
        <v>0</v>
      </c>
      <c r="CN58" s="64">
        <v>0</v>
      </c>
      <c r="CO58" s="64">
        <v>0</v>
      </c>
      <c r="CP58" s="64">
        <v>0</v>
      </c>
      <c r="CQ58" s="64">
        <v>0</v>
      </c>
      <c r="CR58" s="64">
        <v>9.9999999999999995E-7</v>
      </c>
      <c r="CS58" s="64">
        <v>0</v>
      </c>
      <c r="CT58" s="64">
        <v>0</v>
      </c>
      <c r="CU58" s="64">
        <v>0</v>
      </c>
      <c r="CV58" s="64">
        <v>0</v>
      </c>
      <c r="CW58" s="64">
        <v>0</v>
      </c>
      <c r="CX58" s="64">
        <v>0</v>
      </c>
      <c r="CY58" s="64">
        <v>0</v>
      </c>
      <c r="CZ58" s="64">
        <v>0</v>
      </c>
      <c r="DA58" s="64">
        <v>0</v>
      </c>
      <c r="DB58" s="64">
        <v>0</v>
      </c>
      <c r="DC58" s="64">
        <v>0</v>
      </c>
      <c r="DD58" s="64">
        <v>0</v>
      </c>
      <c r="DE58" s="64">
        <v>0</v>
      </c>
      <c r="DF58" s="64">
        <v>0</v>
      </c>
      <c r="DG58" s="64">
        <v>0</v>
      </c>
      <c r="DH58" s="64">
        <v>0</v>
      </c>
      <c r="DI58" s="64">
        <v>0</v>
      </c>
      <c r="DJ58" s="64">
        <v>0</v>
      </c>
      <c r="DK58" s="64">
        <v>0</v>
      </c>
      <c r="DL58" s="64">
        <v>0</v>
      </c>
      <c r="DM58" s="64">
        <v>0</v>
      </c>
      <c r="DN58" s="64">
        <v>9.9999999999999995E-7</v>
      </c>
      <c r="DO58" s="64">
        <v>0</v>
      </c>
      <c r="DP58" s="64">
        <v>0</v>
      </c>
      <c r="DQ58" s="64">
        <v>0</v>
      </c>
      <c r="DR58" s="64">
        <v>0</v>
      </c>
      <c r="DS58" s="64">
        <v>0</v>
      </c>
      <c r="DT58" s="64">
        <v>0</v>
      </c>
      <c r="DU58" s="64">
        <v>0</v>
      </c>
      <c r="DV58" s="64">
        <v>0</v>
      </c>
      <c r="DW58" s="64">
        <v>0</v>
      </c>
      <c r="DX58" s="64">
        <v>0</v>
      </c>
      <c r="DY58" s="64">
        <v>0</v>
      </c>
      <c r="DZ58" s="64">
        <v>0</v>
      </c>
      <c r="EA58" s="64">
        <v>0</v>
      </c>
      <c r="EB58" s="64">
        <v>0</v>
      </c>
      <c r="EC58" s="64">
        <v>0</v>
      </c>
      <c r="ED58" s="64">
        <v>0</v>
      </c>
      <c r="EE58" s="64">
        <v>0</v>
      </c>
      <c r="EF58" s="64">
        <v>0</v>
      </c>
      <c r="EG58" s="64">
        <v>0</v>
      </c>
      <c r="EH58" s="64">
        <v>0</v>
      </c>
      <c r="EI58" s="64">
        <v>0</v>
      </c>
      <c r="EJ58" s="64">
        <v>0</v>
      </c>
      <c r="EK58" s="64">
        <v>0</v>
      </c>
      <c r="EL58" s="64">
        <v>0</v>
      </c>
      <c r="EM58" s="64">
        <v>0</v>
      </c>
      <c r="EN58" s="64">
        <v>0</v>
      </c>
      <c r="EO58" s="64">
        <v>0</v>
      </c>
      <c r="EP58" s="64">
        <v>0</v>
      </c>
      <c r="EQ58" s="64">
        <v>0</v>
      </c>
      <c r="ER58" s="64">
        <v>0</v>
      </c>
      <c r="ES58" s="64">
        <v>0</v>
      </c>
      <c r="ET58" s="64">
        <v>0</v>
      </c>
      <c r="EU58" s="64">
        <v>0</v>
      </c>
      <c r="EV58" s="64">
        <v>0</v>
      </c>
      <c r="EW58" s="64">
        <v>0</v>
      </c>
      <c r="EX58" s="64">
        <v>0</v>
      </c>
      <c r="EY58" s="64">
        <v>0</v>
      </c>
      <c r="EZ58" s="64">
        <v>0</v>
      </c>
      <c r="FA58" s="64">
        <v>0</v>
      </c>
      <c r="FB58" s="64">
        <v>0</v>
      </c>
      <c r="FC58" s="64">
        <v>0</v>
      </c>
      <c r="FD58" s="64">
        <v>0</v>
      </c>
      <c r="FE58" s="64">
        <v>0</v>
      </c>
      <c r="FF58" s="64">
        <v>0</v>
      </c>
      <c r="FG58" s="64">
        <v>0</v>
      </c>
      <c r="FH58" s="64">
        <v>0</v>
      </c>
      <c r="FI58" s="64">
        <v>0</v>
      </c>
      <c r="FJ58" s="64">
        <v>0</v>
      </c>
      <c r="FK58" s="64">
        <v>0</v>
      </c>
      <c r="FL58" s="64">
        <v>6.0000000000000002E-6</v>
      </c>
      <c r="FM58" s="64">
        <v>6.0000000000000002E-6</v>
      </c>
      <c r="FN58" s="64">
        <v>6.0000000000000002E-6</v>
      </c>
      <c r="FO58" s="64">
        <v>6.0000000000000002E-6</v>
      </c>
      <c r="FP58" s="64">
        <v>0</v>
      </c>
      <c r="FQ58" s="64">
        <v>1.1E-5</v>
      </c>
      <c r="FR58" s="64">
        <v>1.1E-5</v>
      </c>
      <c r="FS58" s="64">
        <v>1.1E-5</v>
      </c>
      <c r="FT58" s="64">
        <v>1.1E-5</v>
      </c>
      <c r="FU58" s="64">
        <v>1.1E-5</v>
      </c>
      <c r="FV58" s="64">
        <v>1.1E-5</v>
      </c>
      <c r="FW58" s="64">
        <v>1.1E-5</v>
      </c>
      <c r="FX58" s="64">
        <v>6.0000000000000002E-6</v>
      </c>
      <c r="FY58" s="64">
        <v>6.0000000000000002E-6</v>
      </c>
      <c r="FZ58" s="64">
        <v>1.9999999999999999E-6</v>
      </c>
      <c r="GA58" s="64">
        <v>1.9999999999999999E-6</v>
      </c>
      <c r="GB58" s="64">
        <v>9.0000000000000002E-6</v>
      </c>
      <c r="GC58" s="64">
        <v>9.9999999999999995E-7</v>
      </c>
      <c r="GD58" s="64">
        <v>9.9999999999999995E-7</v>
      </c>
      <c r="GE58" s="64">
        <v>1.9999999999999999E-6</v>
      </c>
      <c r="GF58" s="64">
        <v>1.5999999999999999E-5</v>
      </c>
      <c r="GG58" s="64">
        <v>3.0000000000000001E-6</v>
      </c>
      <c r="GH58" s="64">
        <v>9.9999999999999995E-7</v>
      </c>
      <c r="GI58" s="64">
        <v>1.9999999999999999E-6</v>
      </c>
      <c r="GJ58" s="64">
        <v>9.9999999999999995E-7</v>
      </c>
      <c r="GK58" s="64">
        <v>9.9999999999999995E-7</v>
      </c>
      <c r="GL58" s="64">
        <v>3.9999999999999998E-6</v>
      </c>
      <c r="GM58" s="64">
        <v>6.9999999999999999E-6</v>
      </c>
      <c r="GN58" s="64">
        <v>9.9999999999999995E-7</v>
      </c>
      <c r="GO58" s="64">
        <v>0</v>
      </c>
      <c r="GP58" s="64">
        <v>0</v>
      </c>
      <c r="GQ58" s="64">
        <v>9.9999999999999995E-7</v>
      </c>
      <c r="GR58" s="64">
        <v>9.9999999999999995E-7</v>
      </c>
      <c r="GS58" s="64">
        <v>0</v>
      </c>
      <c r="GT58" s="64">
        <v>0</v>
      </c>
      <c r="GU58" s="64">
        <v>0</v>
      </c>
      <c r="GV58" s="64">
        <v>0</v>
      </c>
      <c r="GW58" s="64">
        <v>0</v>
      </c>
      <c r="GX58" s="64">
        <v>0</v>
      </c>
      <c r="GY58" s="64">
        <v>0</v>
      </c>
      <c r="GZ58" s="64">
        <v>0</v>
      </c>
      <c r="HA58" s="64">
        <v>0</v>
      </c>
      <c r="HB58" s="64">
        <v>0</v>
      </c>
      <c r="HC58" s="64">
        <v>0</v>
      </c>
      <c r="HD58" s="64">
        <v>0</v>
      </c>
      <c r="HE58" s="64">
        <v>0</v>
      </c>
      <c r="HF58" s="64">
        <v>0</v>
      </c>
      <c r="HG58" s="64">
        <v>0</v>
      </c>
      <c r="HH58" s="64">
        <v>0</v>
      </c>
      <c r="HI58" s="64">
        <v>0</v>
      </c>
      <c r="HJ58" s="64">
        <v>0</v>
      </c>
      <c r="HK58" s="64">
        <v>0</v>
      </c>
      <c r="HL58" s="64">
        <v>0</v>
      </c>
      <c r="HM58" s="64">
        <v>0</v>
      </c>
      <c r="HN58" s="64">
        <v>0</v>
      </c>
      <c r="HO58" s="64">
        <v>0</v>
      </c>
      <c r="HP58" s="64">
        <v>0</v>
      </c>
      <c r="HQ58" s="64">
        <v>0</v>
      </c>
      <c r="HR58" s="64">
        <v>0</v>
      </c>
      <c r="HS58" s="64">
        <v>0</v>
      </c>
      <c r="HT58" s="64">
        <v>9.9999999999999995E-7</v>
      </c>
      <c r="HU58" s="64">
        <v>0</v>
      </c>
      <c r="HV58" s="64">
        <v>0</v>
      </c>
      <c r="HW58" s="64">
        <v>0</v>
      </c>
      <c r="HX58" s="64">
        <v>0</v>
      </c>
      <c r="HY58" s="64">
        <v>0</v>
      </c>
      <c r="HZ58" s="64">
        <v>9.9999999999999995E-7</v>
      </c>
      <c r="IA58" s="64">
        <v>9.9999999999999995E-7</v>
      </c>
      <c r="IB58" s="64">
        <v>9.9999999999999995E-7</v>
      </c>
      <c r="IC58" s="64">
        <v>9.9999999999999995E-7</v>
      </c>
      <c r="ID58" s="64">
        <v>0</v>
      </c>
      <c r="IE58" s="64">
        <v>9.9999999999999995E-7</v>
      </c>
      <c r="IF58" s="64">
        <v>9.9999999999999995E-7</v>
      </c>
      <c r="IG58" s="64">
        <v>9.9999999999999995E-7</v>
      </c>
      <c r="IH58" s="64">
        <v>9.9999999999999995E-7</v>
      </c>
      <c r="II58" s="64">
        <v>9.9999999999999995E-7</v>
      </c>
      <c r="IJ58" s="64">
        <v>9.9999999999999995E-7</v>
      </c>
      <c r="IK58" s="64">
        <v>9.9999999999999995E-7</v>
      </c>
      <c r="IL58" s="64">
        <v>9.9999999999999995E-7</v>
      </c>
      <c r="IM58" s="64">
        <v>9.9999999999999995E-7</v>
      </c>
      <c r="IN58" s="64">
        <v>9.9999999999999995E-7</v>
      </c>
      <c r="IO58" s="64">
        <v>9.9999999999999995E-7</v>
      </c>
      <c r="IP58" s="64">
        <v>1.9999999999999999E-6</v>
      </c>
      <c r="IQ58" s="64">
        <v>6.0000000000000002E-6</v>
      </c>
      <c r="IR58" s="64">
        <v>9.9999999999999995E-7</v>
      </c>
      <c r="IS58" s="64">
        <v>9.9999999999999995E-7</v>
      </c>
      <c r="IT58" s="64">
        <v>9.9999999999999995E-7</v>
      </c>
      <c r="IU58" s="64">
        <v>9.9999999999999995E-7</v>
      </c>
      <c r="IV58" s="64">
        <v>0</v>
      </c>
      <c r="IW58" s="64">
        <v>1.9999999999999999E-6</v>
      </c>
      <c r="IX58" s="64">
        <v>0</v>
      </c>
      <c r="IY58" s="64">
        <v>0</v>
      </c>
      <c r="IZ58" s="64">
        <v>0</v>
      </c>
      <c r="JA58" s="64">
        <v>1.9999999999999999E-6</v>
      </c>
      <c r="JB58" s="64">
        <v>0</v>
      </c>
      <c r="JC58" s="64">
        <v>0</v>
      </c>
      <c r="JD58" s="64">
        <v>0</v>
      </c>
      <c r="JE58" s="64">
        <v>0</v>
      </c>
      <c r="JF58" s="64">
        <v>0</v>
      </c>
      <c r="JG58" s="64">
        <v>6.9999999999999999E-6</v>
      </c>
      <c r="JH58" s="64">
        <v>6.9999999999999999E-6</v>
      </c>
      <c r="JI58" s="64">
        <v>6.9999999999999999E-6</v>
      </c>
      <c r="JJ58" s="64">
        <v>6.9999999999999999E-6</v>
      </c>
      <c r="JK58" s="64">
        <v>0</v>
      </c>
      <c r="JL58" s="64">
        <v>1.5999999999999999E-5</v>
      </c>
      <c r="JM58" s="64">
        <v>1.5999999999999999E-5</v>
      </c>
      <c r="JN58" s="64">
        <v>1.5999999999999999E-5</v>
      </c>
      <c r="JO58" s="64">
        <v>1.5999999999999999E-5</v>
      </c>
      <c r="JP58" s="64">
        <v>1.5999999999999999E-5</v>
      </c>
      <c r="JQ58" s="64">
        <v>1.5999999999999999E-5</v>
      </c>
      <c r="JR58" s="64">
        <v>1.5999999999999999E-5</v>
      </c>
      <c r="JS58" s="64">
        <v>1.9000000000000001E-5</v>
      </c>
      <c r="JT58" s="64">
        <v>1.9000000000000001E-5</v>
      </c>
      <c r="JU58" s="64">
        <v>1.5999999999999999E-5</v>
      </c>
      <c r="JV58" s="64">
        <v>1.5999999999999999E-5</v>
      </c>
      <c r="JW58" s="64">
        <v>4.1E-5</v>
      </c>
      <c r="JX58" s="64">
        <v>3.6999999999999998E-5</v>
      </c>
      <c r="JY58" s="64">
        <v>2.1999999999999999E-5</v>
      </c>
      <c r="JZ58" s="64">
        <v>2.0000000000000002E-5</v>
      </c>
      <c r="KA58" s="64">
        <v>7.8999999999999996E-5</v>
      </c>
      <c r="KB58" s="64">
        <v>2.4000000000000001E-5</v>
      </c>
      <c r="KC58" s="64">
        <v>1.1E-5</v>
      </c>
      <c r="KD58" s="64">
        <v>1.1E-4</v>
      </c>
      <c r="KE58" s="64">
        <v>1.1E-5</v>
      </c>
      <c r="KF58" s="64">
        <v>1.9000000000000001E-5</v>
      </c>
      <c r="KG58" s="64">
        <v>1.8E-5</v>
      </c>
      <c r="KH58" s="64">
        <v>3.1999999999999999E-5</v>
      </c>
      <c r="KI58" s="64">
        <v>7.9999999999999996E-6</v>
      </c>
      <c r="KJ58" s="64">
        <v>7.9999999999999996E-6</v>
      </c>
      <c r="KK58" s="64">
        <v>6.0000000000000002E-6</v>
      </c>
      <c r="KL58" s="64">
        <v>7.9999999999999996E-6</v>
      </c>
      <c r="KM58" s="64">
        <v>7.9999999999999996E-6</v>
      </c>
      <c r="KN58" s="64">
        <v>0</v>
      </c>
      <c r="KO58" s="64">
        <v>0</v>
      </c>
      <c r="KP58" s="64">
        <v>0</v>
      </c>
      <c r="KQ58" s="64">
        <v>0</v>
      </c>
      <c r="KR58" s="64">
        <v>0</v>
      </c>
      <c r="KS58" s="64">
        <v>0</v>
      </c>
      <c r="KT58" s="64">
        <v>0</v>
      </c>
      <c r="KU58" s="64">
        <v>0</v>
      </c>
      <c r="KV58" s="64">
        <v>0</v>
      </c>
      <c r="KW58" s="64">
        <v>0</v>
      </c>
      <c r="KX58" s="64">
        <v>0</v>
      </c>
      <c r="KY58" s="64">
        <v>0</v>
      </c>
      <c r="KZ58" s="64">
        <v>0</v>
      </c>
      <c r="LA58" s="64">
        <v>0</v>
      </c>
      <c r="LB58" s="64">
        <v>0</v>
      </c>
      <c r="LC58" s="64">
        <v>0</v>
      </c>
      <c r="LD58" s="64">
        <v>9.9999999999999995E-7</v>
      </c>
      <c r="LE58" s="64">
        <v>0</v>
      </c>
      <c r="LF58" s="64">
        <v>0</v>
      </c>
      <c r="LG58" s="64">
        <v>0</v>
      </c>
      <c r="LH58" s="64">
        <v>9.9999999999999995E-7</v>
      </c>
      <c r="LI58" s="64">
        <v>9.9999999999999995E-7</v>
      </c>
      <c r="LJ58" s="64">
        <v>0</v>
      </c>
      <c r="LK58" s="64">
        <v>0</v>
      </c>
      <c r="LL58" s="64">
        <v>0</v>
      </c>
      <c r="LM58" s="64">
        <v>0</v>
      </c>
      <c r="LN58" s="64">
        <v>0</v>
      </c>
      <c r="LO58" s="64">
        <v>1.9999999999999999E-6</v>
      </c>
      <c r="LP58" s="64">
        <v>0</v>
      </c>
      <c r="LQ58" s="64">
        <v>0</v>
      </c>
      <c r="LR58" s="64">
        <v>0</v>
      </c>
      <c r="LS58" s="64">
        <v>0</v>
      </c>
      <c r="LT58" s="64">
        <v>0</v>
      </c>
      <c r="LU58" s="64">
        <v>0</v>
      </c>
      <c r="LV58" s="64">
        <v>0</v>
      </c>
      <c r="LW58" s="64">
        <v>0</v>
      </c>
      <c r="LX58" s="64">
        <v>0</v>
      </c>
      <c r="LY58" s="64">
        <v>0</v>
      </c>
      <c r="LZ58" s="64">
        <v>9.9999999999999995E-7</v>
      </c>
      <c r="MA58" s="64">
        <v>9.9999999999999995E-7</v>
      </c>
      <c r="MB58" s="64">
        <v>9.9999999999999995E-7</v>
      </c>
      <c r="MC58" s="64">
        <v>9.9999999999999995E-7</v>
      </c>
      <c r="MD58" s="64">
        <v>9.9999999999999995E-7</v>
      </c>
      <c r="ME58" s="64">
        <v>9.9999999999999995E-7</v>
      </c>
      <c r="MF58" s="64">
        <v>9.9999999999999995E-7</v>
      </c>
      <c r="MG58" s="64">
        <v>9.9999999999999995E-7</v>
      </c>
      <c r="MH58" s="64">
        <v>9.9999999999999995E-7</v>
      </c>
      <c r="MI58" s="64">
        <v>0</v>
      </c>
      <c r="MJ58" s="64">
        <v>0</v>
      </c>
      <c r="MK58" s="64">
        <v>9.9999999999999995E-7</v>
      </c>
      <c r="ML58" s="64">
        <v>0</v>
      </c>
      <c r="MM58" s="64">
        <v>0</v>
      </c>
      <c r="MN58" s="64">
        <v>0</v>
      </c>
      <c r="MO58" s="64">
        <v>9.9999999999999995E-7</v>
      </c>
      <c r="MP58" s="64">
        <v>9.9999999999999995E-7</v>
      </c>
      <c r="MQ58" s="64">
        <v>0</v>
      </c>
      <c r="MR58" s="64">
        <v>0</v>
      </c>
      <c r="MS58" s="64">
        <v>0</v>
      </c>
      <c r="MT58" s="64">
        <v>0</v>
      </c>
      <c r="MU58" s="64">
        <v>0</v>
      </c>
      <c r="MV58" s="64">
        <v>9.9999999999999995E-7</v>
      </c>
      <c r="MW58" s="64">
        <v>0</v>
      </c>
      <c r="MX58" s="64">
        <v>0</v>
      </c>
      <c r="MY58" s="64">
        <v>0</v>
      </c>
      <c r="MZ58" s="64">
        <v>0</v>
      </c>
      <c r="NA58" s="64">
        <v>0</v>
      </c>
      <c r="NB58" s="64"/>
      <c r="NC58" s="64"/>
      <c r="ND58" s="64"/>
      <c r="NE58" s="64"/>
      <c r="NF58" s="64"/>
      <c r="NG58" s="64"/>
      <c r="NH58" s="64"/>
      <c r="NI58" s="64"/>
      <c r="NJ58" s="64"/>
      <c r="NK58" s="64"/>
      <c r="NL58" s="64"/>
      <c r="NM58" s="64"/>
      <c r="NN58" s="64"/>
      <c r="NO58" s="64"/>
      <c r="NP58" s="64"/>
      <c r="NQ58" s="64"/>
      <c r="NR58" s="64"/>
      <c r="NS58" s="64"/>
      <c r="NT58" s="64"/>
      <c r="NU58" s="64"/>
      <c r="NV58" s="64"/>
      <c r="NW58" s="64"/>
      <c r="NX58" s="64"/>
      <c r="NY58" s="64"/>
      <c r="NZ58" s="64"/>
      <c r="OA58" s="64"/>
      <c r="OB58" s="64"/>
      <c r="OC58" s="64"/>
      <c r="OD58" s="64"/>
      <c r="OE58" s="64"/>
      <c r="OF58" s="64"/>
      <c r="OG58" s="64"/>
      <c r="OH58" s="64"/>
      <c r="OI58" s="64"/>
      <c r="OJ58" s="64"/>
      <c r="OK58" s="64"/>
      <c r="OL58" s="64"/>
      <c r="OM58" s="64"/>
      <c r="ON58" s="64"/>
      <c r="OO58" s="64"/>
      <c r="OP58" s="64"/>
      <c r="OQ58" s="64"/>
      <c r="OR58" s="64"/>
      <c r="OS58" s="64"/>
    </row>
    <row r="59" spans="1:409">
      <c r="A59" s="65" t="s">
        <v>95</v>
      </c>
      <c r="B59" s="65" t="s">
        <v>13</v>
      </c>
      <c r="C59" s="65">
        <v>6.4674566354763101E-4</v>
      </c>
      <c r="D59" s="65">
        <v>5.9579956037884797E-4</v>
      </c>
      <c r="E59" s="65">
        <v>6.9069117968729272E-4</v>
      </c>
      <c r="F59" s="65">
        <v>2.8134800070211789E-4</v>
      </c>
      <c r="G59" s="65">
        <v>0</v>
      </c>
      <c r="H59" s="65">
        <v>4.592890086773957E-4</v>
      </c>
      <c r="I59" s="65">
        <v>4.1300835497739158E-4</v>
      </c>
      <c r="J59" s="65">
        <v>3.668279161795674E-4</v>
      </c>
      <c r="K59" s="65">
        <v>5.0296390825944524E-4</v>
      </c>
      <c r="L59" s="65">
        <v>1.577572817948966E-4</v>
      </c>
      <c r="M59" s="65">
        <v>3.5633428252040072E-4</v>
      </c>
      <c r="N59" s="65">
        <v>1.4309067621586309E-3</v>
      </c>
      <c r="O59" s="65">
        <v>1.6372484996810921E-4</v>
      </c>
      <c r="P59" s="65">
        <v>3.759627909689064E-4</v>
      </c>
      <c r="Q59" s="65">
        <v>5.6050848340524187E-4</v>
      </c>
      <c r="R59" s="65">
        <v>1.489329849484574E-3</v>
      </c>
      <c r="S59" s="65">
        <v>1.2331218359112779E-2</v>
      </c>
      <c r="T59" s="65">
        <v>3.473585157421226E-4</v>
      </c>
      <c r="U59" s="65">
        <v>1.0227738779922191</v>
      </c>
      <c r="V59" s="65">
        <v>1.233309827342584E-2</v>
      </c>
      <c r="W59" s="65">
        <v>0.1792093452168104</v>
      </c>
      <c r="X59" s="65">
        <v>5.3339158156442412E-2</v>
      </c>
      <c r="Y59" s="65">
        <v>2.4282399719540411E-4</v>
      </c>
      <c r="Z59" s="65">
        <v>9.3015845541406222E-3</v>
      </c>
      <c r="AA59" s="65">
        <v>1.626807720547132E-3</v>
      </c>
      <c r="AB59" s="65">
        <v>3.6166814118690472E-3</v>
      </c>
      <c r="AC59" s="65">
        <v>1.3633557360435431E-3</v>
      </c>
      <c r="AD59" s="65">
        <v>1.261157686066019E-2</v>
      </c>
      <c r="AE59" s="65">
        <v>1.8943552984713029E-3</v>
      </c>
      <c r="AF59" s="65">
        <v>2.6175024757055942E-4</v>
      </c>
      <c r="AG59" s="65">
        <v>1.9377201988489859E-4</v>
      </c>
      <c r="AH59" s="65">
        <v>1.473815254033708E-3</v>
      </c>
      <c r="AI59" s="65">
        <v>1.4655063288489081E-3</v>
      </c>
      <c r="AJ59" s="65">
        <v>1.5E-5</v>
      </c>
      <c r="AK59" s="65">
        <v>1.5E-5</v>
      </c>
      <c r="AL59" s="65">
        <v>1.5E-5</v>
      </c>
      <c r="AM59" s="65">
        <v>1.5E-5</v>
      </c>
      <c r="AN59" s="65">
        <v>0</v>
      </c>
      <c r="AO59" s="65">
        <v>1.2E-5</v>
      </c>
      <c r="AP59" s="65">
        <v>1.2E-5</v>
      </c>
      <c r="AQ59" s="65">
        <v>1.2E-5</v>
      </c>
      <c r="AR59" s="65">
        <v>1.2E-5</v>
      </c>
      <c r="AS59" s="65">
        <v>1.2E-5</v>
      </c>
      <c r="AT59" s="65">
        <v>1.2E-5</v>
      </c>
      <c r="AU59" s="65">
        <v>1.2E-5</v>
      </c>
      <c r="AV59" s="65">
        <v>9.0000000000000002E-6</v>
      </c>
      <c r="AW59" s="65">
        <v>9.0000000000000002E-6</v>
      </c>
      <c r="AX59" s="65">
        <v>1.5999999999999999E-5</v>
      </c>
      <c r="AY59" s="65">
        <v>1.5999999999999999E-5</v>
      </c>
      <c r="AZ59" s="65">
        <v>5.5000000000000002E-5</v>
      </c>
      <c r="BA59" s="65">
        <v>1.7E-5</v>
      </c>
      <c r="BB59" s="65">
        <v>7.3999999999999996E-5</v>
      </c>
      <c r="BC59" s="65">
        <v>1.3200000000000001E-4</v>
      </c>
      <c r="BD59" s="65">
        <v>1.4799999999999999E-4</v>
      </c>
      <c r="BE59" s="65">
        <v>9.0000000000000006E-5</v>
      </c>
      <c r="BF59" s="65">
        <v>9.0000000000000002E-6</v>
      </c>
      <c r="BG59" s="65">
        <v>3.1999999999999999E-5</v>
      </c>
      <c r="BH59" s="65">
        <v>3.9999999999999998E-6</v>
      </c>
      <c r="BI59" s="65">
        <v>7.9999999999999996E-6</v>
      </c>
      <c r="BJ59" s="65">
        <v>6.0000000000000002E-6</v>
      </c>
      <c r="BK59" s="65">
        <v>9.0000000000000002E-6</v>
      </c>
      <c r="BL59" s="65">
        <v>1.9999999999999999E-6</v>
      </c>
      <c r="BM59" s="65">
        <v>0</v>
      </c>
      <c r="BN59" s="65">
        <v>0</v>
      </c>
      <c r="BO59" s="65">
        <v>3.0000000000000001E-6</v>
      </c>
      <c r="BP59" s="65">
        <v>3.0000000000000001E-6</v>
      </c>
      <c r="BQ59" s="65">
        <v>9.9999999999999995E-7</v>
      </c>
      <c r="BR59" s="65">
        <v>9.9999999999999995E-7</v>
      </c>
      <c r="BS59" s="65">
        <v>9.9999999999999995E-7</v>
      </c>
      <c r="BT59" s="65">
        <v>9.9999999999999995E-7</v>
      </c>
      <c r="BU59" s="65">
        <v>0</v>
      </c>
      <c r="BV59" s="65">
        <v>9.9999999999999995E-7</v>
      </c>
      <c r="BW59" s="65">
        <v>9.9999999999999995E-7</v>
      </c>
      <c r="BX59" s="65">
        <v>9.9999999999999995E-7</v>
      </c>
      <c r="BY59" s="65">
        <v>9.9999999999999995E-7</v>
      </c>
      <c r="BZ59" s="65">
        <v>9.9999999999999995E-7</v>
      </c>
      <c r="CA59" s="65">
        <v>9.9999999999999995E-7</v>
      </c>
      <c r="CB59" s="65">
        <v>9.9999999999999995E-7</v>
      </c>
      <c r="CC59" s="65">
        <v>9.9999999999999995E-7</v>
      </c>
      <c r="CD59" s="65">
        <v>9.9999999999999995E-7</v>
      </c>
      <c r="CE59" s="65">
        <v>9.9999999999999995E-7</v>
      </c>
      <c r="CF59" s="65">
        <v>9.9999999999999995E-7</v>
      </c>
      <c r="CG59" s="65">
        <v>3.9999999999999998E-6</v>
      </c>
      <c r="CH59" s="65">
        <v>1.9999999999999999E-6</v>
      </c>
      <c r="CI59" s="65">
        <v>2.4000000000000001E-5</v>
      </c>
      <c r="CJ59" s="65">
        <v>1.1E-5</v>
      </c>
      <c r="CK59" s="65">
        <v>1.0000000000000001E-5</v>
      </c>
      <c r="CL59" s="65">
        <v>6.9999999999999999E-6</v>
      </c>
      <c r="CM59" s="65">
        <v>9.9999999999999995E-7</v>
      </c>
      <c r="CN59" s="65">
        <v>1.9999999999999999E-6</v>
      </c>
      <c r="CO59" s="65">
        <v>9.9999999999999995E-7</v>
      </c>
      <c r="CP59" s="65">
        <v>9.9999999999999995E-7</v>
      </c>
      <c r="CQ59" s="65">
        <v>9.9999999999999995E-7</v>
      </c>
      <c r="CR59" s="65">
        <v>1.9999999999999999E-6</v>
      </c>
      <c r="CS59" s="65">
        <v>0</v>
      </c>
      <c r="CT59" s="65">
        <v>0</v>
      </c>
      <c r="CU59" s="65">
        <v>0</v>
      </c>
      <c r="CV59" s="65">
        <v>0</v>
      </c>
      <c r="CW59" s="65">
        <v>0</v>
      </c>
      <c r="CX59" s="65">
        <v>0</v>
      </c>
      <c r="CY59" s="65">
        <v>0</v>
      </c>
      <c r="CZ59" s="65">
        <v>0</v>
      </c>
      <c r="DA59" s="65">
        <v>0</v>
      </c>
      <c r="DB59" s="65">
        <v>0</v>
      </c>
      <c r="DC59" s="65">
        <v>0</v>
      </c>
      <c r="DD59" s="65">
        <v>0</v>
      </c>
      <c r="DE59" s="65">
        <v>0</v>
      </c>
      <c r="DF59" s="65">
        <v>0</v>
      </c>
      <c r="DG59" s="65">
        <v>0</v>
      </c>
      <c r="DH59" s="65">
        <v>0</v>
      </c>
      <c r="DI59" s="65">
        <v>0</v>
      </c>
      <c r="DJ59" s="65">
        <v>0</v>
      </c>
      <c r="DK59" s="65">
        <v>0</v>
      </c>
      <c r="DL59" s="65">
        <v>0</v>
      </c>
      <c r="DM59" s="65">
        <v>0</v>
      </c>
      <c r="DN59" s="65">
        <v>9.9999999999999995E-7</v>
      </c>
      <c r="DO59" s="65">
        <v>0</v>
      </c>
      <c r="DP59" s="65">
        <v>9.9999999999999995E-7</v>
      </c>
      <c r="DQ59" s="65">
        <v>9.9999999999999995E-7</v>
      </c>
      <c r="DR59" s="65">
        <v>1.9999999999999999E-6</v>
      </c>
      <c r="DS59" s="65">
        <v>9.9999999999999995E-7</v>
      </c>
      <c r="DT59" s="65">
        <v>0</v>
      </c>
      <c r="DU59" s="65">
        <v>0</v>
      </c>
      <c r="DV59" s="65">
        <v>0</v>
      </c>
      <c r="DW59" s="65">
        <v>0</v>
      </c>
      <c r="DX59" s="65">
        <v>0</v>
      </c>
      <c r="DY59" s="65">
        <v>0</v>
      </c>
      <c r="DZ59" s="65">
        <v>0</v>
      </c>
      <c r="EA59" s="65">
        <v>0</v>
      </c>
      <c r="EB59" s="65">
        <v>0</v>
      </c>
      <c r="EC59" s="65">
        <v>0</v>
      </c>
      <c r="ED59" s="65">
        <v>0</v>
      </c>
      <c r="EE59" s="65">
        <v>0</v>
      </c>
      <c r="EF59" s="65">
        <v>0</v>
      </c>
      <c r="EG59" s="65">
        <v>0</v>
      </c>
      <c r="EH59" s="65">
        <v>0</v>
      </c>
      <c r="EI59" s="65">
        <v>0</v>
      </c>
      <c r="EJ59" s="65">
        <v>9.9999999999999995E-7</v>
      </c>
      <c r="EK59" s="65">
        <v>9.9999999999999995E-7</v>
      </c>
      <c r="EL59" s="65">
        <v>9.9999999999999995E-7</v>
      </c>
      <c r="EM59" s="65">
        <v>9.9999999999999995E-7</v>
      </c>
      <c r="EN59" s="65">
        <v>9.9999999999999995E-7</v>
      </c>
      <c r="EO59" s="65">
        <v>9.9999999999999995E-7</v>
      </c>
      <c r="EP59" s="65">
        <v>9.9999999999999995E-7</v>
      </c>
      <c r="EQ59" s="65">
        <v>0</v>
      </c>
      <c r="ER59" s="65">
        <v>0</v>
      </c>
      <c r="ES59" s="65">
        <v>9.9999999999999995E-7</v>
      </c>
      <c r="ET59" s="65">
        <v>9.9999999999999995E-7</v>
      </c>
      <c r="EU59" s="65">
        <v>9.9999999999999995E-7</v>
      </c>
      <c r="EV59" s="65">
        <v>9.9999999999999995E-7</v>
      </c>
      <c r="EW59" s="65">
        <v>7.9999999999999996E-6</v>
      </c>
      <c r="EX59" s="65">
        <v>3.9999999999999998E-6</v>
      </c>
      <c r="EY59" s="65">
        <v>3.9999999999999998E-6</v>
      </c>
      <c r="EZ59" s="65">
        <v>1.9999999999999999E-6</v>
      </c>
      <c r="FA59" s="65">
        <v>0</v>
      </c>
      <c r="FB59" s="65">
        <v>9.9999999999999995E-7</v>
      </c>
      <c r="FC59" s="65">
        <v>0</v>
      </c>
      <c r="FD59" s="65">
        <v>0</v>
      </c>
      <c r="FE59" s="65">
        <v>0</v>
      </c>
      <c r="FF59" s="65">
        <v>9.9999999999999995E-7</v>
      </c>
      <c r="FG59" s="65">
        <v>0</v>
      </c>
      <c r="FH59" s="65">
        <v>0</v>
      </c>
      <c r="FI59" s="65">
        <v>0</v>
      </c>
      <c r="FJ59" s="65">
        <v>0</v>
      </c>
      <c r="FK59" s="65">
        <v>0</v>
      </c>
      <c r="FL59" s="65">
        <v>1.1E-5</v>
      </c>
      <c r="FM59" s="65">
        <v>1.1E-5</v>
      </c>
      <c r="FN59" s="65">
        <v>1.1E-5</v>
      </c>
      <c r="FO59" s="65">
        <v>1.1E-5</v>
      </c>
      <c r="FP59" s="65">
        <v>0</v>
      </c>
      <c r="FQ59" s="65">
        <v>1.5999999999999999E-5</v>
      </c>
      <c r="FR59" s="65">
        <v>1.5999999999999999E-5</v>
      </c>
      <c r="FS59" s="65">
        <v>1.5999999999999999E-5</v>
      </c>
      <c r="FT59" s="65">
        <v>1.5999999999999999E-5</v>
      </c>
      <c r="FU59" s="65">
        <v>1.5999999999999999E-5</v>
      </c>
      <c r="FV59" s="65">
        <v>1.5999999999999999E-5</v>
      </c>
      <c r="FW59" s="65">
        <v>1.5999999999999999E-5</v>
      </c>
      <c r="FX59" s="65">
        <v>1.1E-5</v>
      </c>
      <c r="FY59" s="65">
        <v>1.1E-5</v>
      </c>
      <c r="FZ59" s="65">
        <v>1.2999999999999999E-5</v>
      </c>
      <c r="GA59" s="65">
        <v>1.2999999999999999E-5</v>
      </c>
      <c r="GB59" s="65">
        <v>3.1000000000000001E-5</v>
      </c>
      <c r="GC59" s="65">
        <v>9.0000000000000002E-6</v>
      </c>
      <c r="GD59" s="65">
        <v>3.0000000000000001E-5</v>
      </c>
      <c r="GE59" s="65">
        <v>4.0000000000000003E-5</v>
      </c>
      <c r="GF59" s="65">
        <v>2.5099999999999998E-4</v>
      </c>
      <c r="GG59" s="65">
        <v>3.6000000000000001E-5</v>
      </c>
      <c r="GH59" s="65">
        <v>9.0000000000000002E-6</v>
      </c>
      <c r="GI59" s="65">
        <v>2.4000000000000001E-5</v>
      </c>
      <c r="GJ59" s="65">
        <v>6.0000000000000002E-6</v>
      </c>
      <c r="GK59" s="65">
        <v>1.1E-5</v>
      </c>
      <c r="GL59" s="65">
        <v>1.1E-5</v>
      </c>
      <c r="GM59" s="65">
        <v>9.7E-5</v>
      </c>
      <c r="GN59" s="65">
        <v>6.9999999999999999E-6</v>
      </c>
      <c r="GO59" s="65">
        <v>1.9999999999999999E-6</v>
      </c>
      <c r="GP59" s="65">
        <v>1.9999999999999999E-6</v>
      </c>
      <c r="GQ59" s="65">
        <v>9.0000000000000002E-6</v>
      </c>
      <c r="GR59" s="65">
        <v>9.0000000000000002E-6</v>
      </c>
      <c r="GS59" s="65">
        <v>0</v>
      </c>
      <c r="GT59" s="65">
        <v>0</v>
      </c>
      <c r="GU59" s="65">
        <v>0</v>
      </c>
      <c r="GV59" s="65">
        <v>0</v>
      </c>
      <c r="GW59" s="65">
        <v>0</v>
      </c>
      <c r="GX59" s="65">
        <v>0</v>
      </c>
      <c r="GY59" s="65">
        <v>0</v>
      </c>
      <c r="GZ59" s="65">
        <v>0</v>
      </c>
      <c r="HA59" s="65">
        <v>0</v>
      </c>
      <c r="HB59" s="65">
        <v>0</v>
      </c>
      <c r="HC59" s="65">
        <v>0</v>
      </c>
      <c r="HD59" s="65">
        <v>0</v>
      </c>
      <c r="HE59" s="65">
        <v>9.9999999999999995E-7</v>
      </c>
      <c r="HF59" s="65">
        <v>9.9999999999999995E-7</v>
      </c>
      <c r="HG59" s="65">
        <v>9.9999999999999995E-7</v>
      </c>
      <c r="HH59" s="65">
        <v>9.9999999999999995E-7</v>
      </c>
      <c r="HI59" s="65">
        <v>9.9999999999999995E-7</v>
      </c>
      <c r="HJ59" s="65">
        <v>9.9999999999999995E-7</v>
      </c>
      <c r="HK59" s="65">
        <v>3.0000000000000001E-6</v>
      </c>
      <c r="HL59" s="65">
        <v>6.0000000000000002E-6</v>
      </c>
      <c r="HM59" s="65">
        <v>5.0000000000000004E-6</v>
      </c>
      <c r="HN59" s="65">
        <v>7.9999999999999996E-6</v>
      </c>
      <c r="HO59" s="65">
        <v>0</v>
      </c>
      <c r="HP59" s="65">
        <v>1.9999999999999999E-6</v>
      </c>
      <c r="HQ59" s="65">
        <v>0</v>
      </c>
      <c r="HR59" s="65">
        <v>0</v>
      </c>
      <c r="HS59" s="65">
        <v>0</v>
      </c>
      <c r="HT59" s="65">
        <v>9.9999999999999995E-7</v>
      </c>
      <c r="HU59" s="65">
        <v>0</v>
      </c>
      <c r="HV59" s="65">
        <v>0</v>
      </c>
      <c r="HW59" s="65">
        <v>0</v>
      </c>
      <c r="HX59" s="65">
        <v>0</v>
      </c>
      <c r="HY59" s="65">
        <v>0</v>
      </c>
      <c r="HZ59" s="65">
        <v>9.9999999999999995E-7</v>
      </c>
      <c r="IA59" s="65">
        <v>9.9999999999999995E-7</v>
      </c>
      <c r="IB59" s="65">
        <v>9.9999999999999995E-7</v>
      </c>
      <c r="IC59" s="65">
        <v>9.9999999999999995E-7</v>
      </c>
      <c r="ID59" s="65">
        <v>0</v>
      </c>
      <c r="IE59" s="65">
        <v>9.9999999999999995E-7</v>
      </c>
      <c r="IF59" s="65">
        <v>9.9999999999999995E-7</v>
      </c>
      <c r="IG59" s="65">
        <v>9.9999999999999995E-7</v>
      </c>
      <c r="IH59" s="65">
        <v>9.9999999999999995E-7</v>
      </c>
      <c r="II59" s="65">
        <v>9.9999999999999995E-7</v>
      </c>
      <c r="IJ59" s="65">
        <v>9.9999999999999995E-7</v>
      </c>
      <c r="IK59" s="65">
        <v>9.9999999999999995E-7</v>
      </c>
      <c r="IL59" s="65">
        <v>9.9999999999999995E-7</v>
      </c>
      <c r="IM59" s="65">
        <v>9.9999999999999995E-7</v>
      </c>
      <c r="IN59" s="65">
        <v>9.9999999999999995E-7</v>
      </c>
      <c r="IO59" s="65">
        <v>9.9999999999999995E-7</v>
      </c>
      <c r="IP59" s="65">
        <v>1.9999999999999999E-6</v>
      </c>
      <c r="IQ59" s="65">
        <v>9.9999999999999995E-7</v>
      </c>
      <c r="IR59" s="65">
        <v>3.0000000000000001E-6</v>
      </c>
      <c r="IS59" s="65">
        <v>5.0000000000000004E-6</v>
      </c>
      <c r="IT59" s="65">
        <v>6.0000000000000002E-6</v>
      </c>
      <c r="IU59" s="65">
        <v>3.9999999999999998E-6</v>
      </c>
      <c r="IV59" s="65">
        <v>9.9999999999999995E-7</v>
      </c>
      <c r="IW59" s="65">
        <v>9.9999999999999995E-7</v>
      </c>
      <c r="IX59" s="65">
        <v>0</v>
      </c>
      <c r="IY59" s="65">
        <v>9.9999999999999995E-7</v>
      </c>
      <c r="IZ59" s="65">
        <v>0</v>
      </c>
      <c r="JA59" s="65">
        <v>1.9999999999999999E-6</v>
      </c>
      <c r="JB59" s="65">
        <v>0</v>
      </c>
      <c r="JC59" s="65">
        <v>0</v>
      </c>
      <c r="JD59" s="65">
        <v>0</v>
      </c>
      <c r="JE59" s="65">
        <v>0</v>
      </c>
      <c r="JF59" s="65">
        <v>0</v>
      </c>
      <c r="JG59" s="65">
        <v>9.0000000000000002E-6</v>
      </c>
      <c r="JH59" s="65">
        <v>9.0000000000000002E-6</v>
      </c>
      <c r="JI59" s="65">
        <v>9.0000000000000002E-6</v>
      </c>
      <c r="JJ59" s="65">
        <v>9.0000000000000002E-6</v>
      </c>
      <c r="JK59" s="65">
        <v>0</v>
      </c>
      <c r="JL59" s="65">
        <v>1.4E-5</v>
      </c>
      <c r="JM59" s="65">
        <v>1.4E-5</v>
      </c>
      <c r="JN59" s="65">
        <v>1.4E-5</v>
      </c>
      <c r="JO59" s="65">
        <v>1.4E-5</v>
      </c>
      <c r="JP59" s="65">
        <v>1.4E-5</v>
      </c>
      <c r="JQ59" s="65">
        <v>1.4E-5</v>
      </c>
      <c r="JR59" s="65">
        <v>1.4E-5</v>
      </c>
      <c r="JS59" s="65">
        <v>1.9000000000000001E-5</v>
      </c>
      <c r="JT59" s="65">
        <v>1.9000000000000001E-5</v>
      </c>
      <c r="JU59" s="65">
        <v>1.4E-5</v>
      </c>
      <c r="JV59" s="65">
        <v>1.4E-5</v>
      </c>
      <c r="JW59" s="65">
        <v>5.5000000000000002E-5</v>
      </c>
      <c r="JX59" s="65">
        <v>2.5000000000000001E-5</v>
      </c>
      <c r="JY59" s="65">
        <v>5.1E-5</v>
      </c>
      <c r="JZ59" s="65">
        <v>2.3E-5</v>
      </c>
      <c r="KA59" s="65">
        <v>4.6E-5</v>
      </c>
      <c r="KB59" s="65">
        <v>1.6000000000000001E-4</v>
      </c>
      <c r="KC59" s="65">
        <v>1.1E-5</v>
      </c>
      <c r="KD59" s="65">
        <v>5.0000000000000002E-5</v>
      </c>
      <c r="KE59" s="65">
        <v>1.2E-5</v>
      </c>
      <c r="KF59" s="65">
        <v>1.4E-5</v>
      </c>
      <c r="KG59" s="65">
        <v>1.0000000000000001E-5</v>
      </c>
      <c r="KH59" s="65">
        <v>2.6999999999999999E-5</v>
      </c>
      <c r="KI59" s="65">
        <v>7.9999999999999996E-6</v>
      </c>
      <c r="KJ59" s="65">
        <v>6.0000000000000002E-6</v>
      </c>
      <c r="KK59" s="65">
        <v>3.9999999999999998E-6</v>
      </c>
      <c r="KL59" s="65">
        <v>6.9999999999999999E-6</v>
      </c>
      <c r="KM59" s="65">
        <v>6.9999999999999999E-6</v>
      </c>
      <c r="KN59" s="65">
        <v>1.9999999999999999E-6</v>
      </c>
      <c r="KO59" s="65">
        <v>1.9999999999999999E-6</v>
      </c>
      <c r="KP59" s="65">
        <v>1.9999999999999999E-6</v>
      </c>
      <c r="KQ59" s="65">
        <v>1.9999999999999999E-6</v>
      </c>
      <c r="KR59" s="65">
        <v>0</v>
      </c>
      <c r="KS59" s="65">
        <v>1.9999999999999999E-6</v>
      </c>
      <c r="KT59" s="65">
        <v>1.9999999999999999E-6</v>
      </c>
      <c r="KU59" s="65">
        <v>1.9999999999999999E-6</v>
      </c>
      <c r="KV59" s="65">
        <v>1.9999999999999999E-6</v>
      </c>
      <c r="KW59" s="65">
        <v>1.9999999999999999E-6</v>
      </c>
      <c r="KX59" s="65">
        <v>1.9999999999999999E-6</v>
      </c>
      <c r="KY59" s="65">
        <v>1.9999999999999999E-6</v>
      </c>
      <c r="KZ59" s="65">
        <v>9.9999999999999995E-7</v>
      </c>
      <c r="LA59" s="65">
        <v>9.9999999999999995E-7</v>
      </c>
      <c r="LB59" s="65">
        <v>1.9999999999999999E-6</v>
      </c>
      <c r="LC59" s="65">
        <v>1.9999999999999999E-6</v>
      </c>
      <c r="LD59" s="65">
        <v>6.9999999999999999E-6</v>
      </c>
      <c r="LE59" s="65">
        <v>3.0000000000000001E-6</v>
      </c>
      <c r="LF59" s="65">
        <v>8.7999999999999998E-5</v>
      </c>
      <c r="LG59" s="65">
        <v>3.8000000000000002E-5</v>
      </c>
      <c r="LH59" s="65">
        <v>4.6999999999999997E-5</v>
      </c>
      <c r="LI59" s="65">
        <v>2.0999999999999999E-5</v>
      </c>
      <c r="LJ59" s="65">
        <v>3.0000000000000001E-6</v>
      </c>
      <c r="LK59" s="65">
        <v>3.9999999999999998E-6</v>
      </c>
      <c r="LL59" s="65">
        <v>9.9999999999999995E-7</v>
      </c>
      <c r="LM59" s="65">
        <v>1.9999999999999999E-6</v>
      </c>
      <c r="LN59" s="65">
        <v>9.9999999999999995E-7</v>
      </c>
      <c r="LO59" s="65">
        <v>3.0000000000000001E-6</v>
      </c>
      <c r="LP59" s="65">
        <v>9.9999999999999995E-7</v>
      </c>
      <c r="LQ59" s="65">
        <v>0</v>
      </c>
      <c r="LR59" s="65">
        <v>0</v>
      </c>
      <c r="LS59" s="65">
        <v>9.9999999999999995E-7</v>
      </c>
      <c r="LT59" s="65">
        <v>9.9999999999999995E-7</v>
      </c>
      <c r="LU59" s="65">
        <v>9.9999999999999995E-7</v>
      </c>
      <c r="LV59" s="65">
        <v>9.9999999999999995E-7</v>
      </c>
      <c r="LW59" s="65">
        <v>9.9999999999999995E-7</v>
      </c>
      <c r="LX59" s="65">
        <v>9.9999999999999995E-7</v>
      </c>
      <c r="LY59" s="65">
        <v>0</v>
      </c>
      <c r="LZ59" s="65">
        <v>1.9999999999999999E-6</v>
      </c>
      <c r="MA59" s="65">
        <v>1.9999999999999999E-6</v>
      </c>
      <c r="MB59" s="65">
        <v>1.9999999999999999E-6</v>
      </c>
      <c r="MC59" s="65">
        <v>1.9999999999999999E-6</v>
      </c>
      <c r="MD59" s="65">
        <v>1.9999999999999999E-6</v>
      </c>
      <c r="ME59" s="65">
        <v>1.9999999999999999E-6</v>
      </c>
      <c r="MF59" s="65">
        <v>1.9999999999999999E-6</v>
      </c>
      <c r="MG59" s="65">
        <v>1.9999999999999999E-6</v>
      </c>
      <c r="MH59" s="65">
        <v>1.9999999999999999E-6</v>
      </c>
      <c r="MI59" s="65">
        <v>1.9999999999999999E-6</v>
      </c>
      <c r="MJ59" s="65">
        <v>1.9999999999999999E-6</v>
      </c>
      <c r="MK59" s="65">
        <v>5.0000000000000004E-6</v>
      </c>
      <c r="ML59" s="65">
        <v>1.9999999999999999E-6</v>
      </c>
      <c r="MM59" s="65">
        <v>1.4E-5</v>
      </c>
      <c r="MN59" s="65">
        <v>1.8E-5</v>
      </c>
      <c r="MO59" s="65">
        <v>2.4000000000000001E-5</v>
      </c>
      <c r="MP59" s="65">
        <v>1.4E-5</v>
      </c>
      <c r="MQ59" s="65">
        <v>1.9999999999999999E-6</v>
      </c>
      <c r="MR59" s="65">
        <v>5.0000000000000004E-6</v>
      </c>
      <c r="MS59" s="65">
        <v>9.9999999999999995E-7</v>
      </c>
      <c r="MT59" s="65">
        <v>9.9999999999999995E-7</v>
      </c>
      <c r="MU59" s="65">
        <v>9.9999999999999995E-7</v>
      </c>
      <c r="MV59" s="65">
        <v>1.9999999999999999E-6</v>
      </c>
      <c r="MW59" s="65">
        <v>9.9999999999999995E-7</v>
      </c>
      <c r="MX59" s="65">
        <v>0</v>
      </c>
      <c r="MY59" s="65">
        <v>0</v>
      </c>
      <c r="MZ59" s="65">
        <v>9.9999999999999995E-7</v>
      </c>
      <c r="NA59" s="65">
        <v>9.9999999999999995E-7</v>
      </c>
      <c r="NB59" s="65"/>
      <c r="NC59" s="65"/>
      <c r="ND59" s="65"/>
      <c r="NE59" s="65"/>
      <c r="NF59" s="65"/>
      <c r="NG59" s="65"/>
      <c r="NH59" s="65"/>
      <c r="NI59" s="65"/>
      <c r="NJ59" s="65"/>
      <c r="NK59" s="65"/>
      <c r="NL59" s="65"/>
      <c r="NM59" s="65"/>
      <c r="NN59" s="65"/>
      <c r="NO59" s="65"/>
      <c r="NP59" s="65"/>
      <c r="NQ59" s="65"/>
      <c r="NR59" s="65"/>
      <c r="NS59" s="65"/>
      <c r="NT59" s="65"/>
      <c r="NU59" s="65"/>
      <c r="NV59" s="65"/>
      <c r="NW59" s="65"/>
      <c r="NX59" s="65"/>
      <c r="NY59" s="65"/>
      <c r="NZ59" s="65"/>
      <c r="OA59" s="65"/>
      <c r="OB59" s="65"/>
      <c r="OC59" s="65"/>
      <c r="OD59" s="65"/>
      <c r="OE59" s="65"/>
      <c r="OF59" s="65"/>
      <c r="OG59" s="65"/>
      <c r="OH59" s="65"/>
      <c r="OI59" s="65"/>
      <c r="OJ59" s="65"/>
      <c r="OK59" s="65"/>
      <c r="OL59" s="65"/>
      <c r="OM59" s="65"/>
      <c r="ON59" s="65"/>
      <c r="OO59" s="65"/>
      <c r="OP59" s="65"/>
      <c r="OQ59" s="65"/>
      <c r="OR59" s="65"/>
      <c r="OS59" s="65"/>
    </row>
    <row r="60" spans="1:409">
      <c r="A60" s="64" t="s">
        <v>96</v>
      </c>
      <c r="B60" s="64" t="s">
        <v>14</v>
      </c>
      <c r="C60" s="64">
        <v>6.1327858981327405E-4</v>
      </c>
      <c r="D60" s="64">
        <v>7.7347813164977677E-4</v>
      </c>
      <c r="E60" s="64">
        <v>3.9053134183029639E-4</v>
      </c>
      <c r="F60" s="64">
        <v>6.0070883275309276E-4</v>
      </c>
      <c r="G60" s="64">
        <v>0</v>
      </c>
      <c r="H60" s="64">
        <v>5.5874381254768018E-4</v>
      </c>
      <c r="I60" s="64">
        <v>3.3595170110688329E-4</v>
      </c>
      <c r="J60" s="64">
        <v>4.9310273695480885E-4</v>
      </c>
      <c r="K60" s="64">
        <v>4.6188068959077258E-4</v>
      </c>
      <c r="L60" s="64">
        <v>1.632992241842659E-4</v>
      </c>
      <c r="M60" s="64">
        <v>3.888570363800666E-4</v>
      </c>
      <c r="N60" s="64">
        <v>5.4076963010679321E-4</v>
      </c>
      <c r="O60" s="64">
        <v>4.0171580349116729E-4</v>
      </c>
      <c r="P60" s="64">
        <v>6.4863211578879934E-4</v>
      </c>
      <c r="Q60" s="64">
        <v>1.0139034960891049E-3</v>
      </c>
      <c r="R60" s="64">
        <v>1.8004767725481119E-3</v>
      </c>
      <c r="S60" s="64">
        <v>2.8064340165771969E-2</v>
      </c>
      <c r="T60" s="64">
        <v>7.0046601144090406E-3</v>
      </c>
      <c r="U60" s="64">
        <v>1.1831811192542349E-3</v>
      </c>
      <c r="V60" s="64">
        <v>1.082626193863137</v>
      </c>
      <c r="W60" s="64">
        <v>0.1002892495658239</v>
      </c>
      <c r="X60" s="64">
        <v>7.9690810259345726E-2</v>
      </c>
      <c r="Y60" s="64">
        <v>1.2990809971584691E-3</v>
      </c>
      <c r="Z60" s="64">
        <v>9.2056447802303983E-3</v>
      </c>
      <c r="AA60" s="64">
        <v>6.2715522208492596E-3</v>
      </c>
      <c r="AB60" s="64">
        <v>9.3839415389028423E-3</v>
      </c>
      <c r="AC60" s="64">
        <v>3.5450913990796701E-3</v>
      </c>
      <c r="AD60" s="64">
        <v>7.8385452530434028E-3</v>
      </c>
      <c r="AE60" s="64">
        <v>7.159507602313588E-4</v>
      </c>
      <c r="AF60" s="64">
        <v>7.1968138256736343E-4</v>
      </c>
      <c r="AG60" s="64">
        <v>5.2899752134035112E-4</v>
      </c>
      <c r="AH60" s="64">
        <v>4.8745068269167571E-3</v>
      </c>
      <c r="AI60" s="64">
        <v>2.6277840775933859E-3</v>
      </c>
      <c r="AJ60" s="64">
        <v>4.1E-5</v>
      </c>
      <c r="AK60" s="64">
        <v>4.1E-5</v>
      </c>
      <c r="AL60" s="64">
        <v>4.1E-5</v>
      </c>
      <c r="AM60" s="64">
        <v>4.1E-5</v>
      </c>
      <c r="AN60" s="64">
        <v>0</v>
      </c>
      <c r="AO60" s="64">
        <v>4.1E-5</v>
      </c>
      <c r="AP60" s="64">
        <v>4.1E-5</v>
      </c>
      <c r="AQ60" s="64">
        <v>4.1E-5</v>
      </c>
      <c r="AR60" s="64">
        <v>4.1E-5</v>
      </c>
      <c r="AS60" s="64">
        <v>4.1E-5</v>
      </c>
      <c r="AT60" s="64">
        <v>4.1E-5</v>
      </c>
      <c r="AU60" s="64">
        <v>4.1E-5</v>
      </c>
      <c r="AV60" s="64">
        <v>2.1999999999999999E-5</v>
      </c>
      <c r="AW60" s="64">
        <v>2.1999999999999999E-5</v>
      </c>
      <c r="AX60" s="64">
        <v>3.6999999999999998E-5</v>
      </c>
      <c r="AY60" s="64">
        <v>3.6999999999999998E-5</v>
      </c>
      <c r="AZ60" s="64">
        <v>1.35E-4</v>
      </c>
      <c r="BA60" s="64">
        <v>3.1000000000000001E-5</v>
      </c>
      <c r="BB60" s="64">
        <v>4.5000000000000003E-5</v>
      </c>
      <c r="BC60" s="64">
        <v>1.47E-4</v>
      </c>
      <c r="BD60" s="64">
        <v>1.5100000000000001E-4</v>
      </c>
      <c r="BE60" s="64">
        <v>1.45E-4</v>
      </c>
      <c r="BF60" s="64">
        <v>2.1999999999999999E-5</v>
      </c>
      <c r="BG60" s="64">
        <v>8.2999999999999998E-5</v>
      </c>
      <c r="BH60" s="64">
        <v>7.9999999999999996E-6</v>
      </c>
      <c r="BI60" s="64">
        <v>2.0000000000000002E-5</v>
      </c>
      <c r="BJ60" s="64">
        <v>2.4000000000000001E-5</v>
      </c>
      <c r="BK60" s="64">
        <v>1.4E-5</v>
      </c>
      <c r="BL60" s="64">
        <v>3.9999999999999998E-6</v>
      </c>
      <c r="BM60" s="64">
        <v>9.9999999999999995E-7</v>
      </c>
      <c r="BN60" s="64">
        <v>9.9999999999999995E-7</v>
      </c>
      <c r="BO60" s="64">
        <v>6.9999999999999999E-6</v>
      </c>
      <c r="BP60" s="64">
        <v>6.9999999999999999E-6</v>
      </c>
      <c r="BQ60" s="64">
        <v>9.9999999999999995E-7</v>
      </c>
      <c r="BR60" s="64">
        <v>9.9999999999999995E-7</v>
      </c>
      <c r="BS60" s="64">
        <v>9.9999999999999995E-7</v>
      </c>
      <c r="BT60" s="64">
        <v>9.9999999999999995E-7</v>
      </c>
      <c r="BU60" s="64">
        <v>0</v>
      </c>
      <c r="BV60" s="64">
        <v>9.9999999999999995E-7</v>
      </c>
      <c r="BW60" s="64">
        <v>9.9999999999999995E-7</v>
      </c>
      <c r="BX60" s="64">
        <v>9.9999999999999995E-7</v>
      </c>
      <c r="BY60" s="64">
        <v>9.9999999999999995E-7</v>
      </c>
      <c r="BZ60" s="64">
        <v>9.9999999999999995E-7</v>
      </c>
      <c r="CA60" s="64">
        <v>9.9999999999999995E-7</v>
      </c>
      <c r="CB60" s="64">
        <v>9.9999999999999995E-7</v>
      </c>
      <c r="CC60" s="64">
        <v>9.9999999999999995E-7</v>
      </c>
      <c r="CD60" s="64">
        <v>9.9999999999999995E-7</v>
      </c>
      <c r="CE60" s="64">
        <v>9.9999999999999995E-7</v>
      </c>
      <c r="CF60" s="64">
        <v>9.9999999999999995E-7</v>
      </c>
      <c r="CG60" s="64">
        <v>3.0000000000000001E-6</v>
      </c>
      <c r="CH60" s="64">
        <v>9.9999999999999995E-7</v>
      </c>
      <c r="CI60" s="64">
        <v>9.9999999999999995E-7</v>
      </c>
      <c r="CJ60" s="64">
        <v>9.9999999999999995E-7</v>
      </c>
      <c r="CK60" s="64">
        <v>1.9999999999999999E-6</v>
      </c>
      <c r="CL60" s="64">
        <v>9.9999999999999995E-7</v>
      </c>
      <c r="CM60" s="64">
        <v>9.9999999999999995E-7</v>
      </c>
      <c r="CN60" s="64">
        <v>9.9999999999999995E-7</v>
      </c>
      <c r="CO60" s="64">
        <v>0</v>
      </c>
      <c r="CP60" s="64">
        <v>9.9999999999999995E-7</v>
      </c>
      <c r="CQ60" s="64">
        <v>0</v>
      </c>
      <c r="CR60" s="64">
        <v>1.9999999999999999E-6</v>
      </c>
      <c r="CS60" s="64">
        <v>0</v>
      </c>
      <c r="CT60" s="64">
        <v>0</v>
      </c>
      <c r="CU60" s="64">
        <v>0</v>
      </c>
      <c r="CV60" s="64">
        <v>0</v>
      </c>
      <c r="CW60" s="64">
        <v>0</v>
      </c>
      <c r="CX60" s="64">
        <v>0</v>
      </c>
      <c r="CY60" s="64">
        <v>0</v>
      </c>
      <c r="CZ60" s="64">
        <v>0</v>
      </c>
      <c r="DA60" s="64">
        <v>0</v>
      </c>
      <c r="DB60" s="64">
        <v>0</v>
      </c>
      <c r="DC60" s="64">
        <v>9.9999999999999995E-7</v>
      </c>
      <c r="DD60" s="64">
        <v>9.9999999999999995E-7</v>
      </c>
      <c r="DE60" s="64">
        <v>9.9999999999999995E-7</v>
      </c>
      <c r="DF60" s="64">
        <v>9.9999999999999995E-7</v>
      </c>
      <c r="DG60" s="64">
        <v>9.9999999999999995E-7</v>
      </c>
      <c r="DH60" s="64">
        <v>9.9999999999999995E-7</v>
      </c>
      <c r="DI60" s="64">
        <v>9.9999999999999995E-7</v>
      </c>
      <c r="DJ60" s="64">
        <v>9.9999999999999995E-7</v>
      </c>
      <c r="DK60" s="64">
        <v>9.9999999999999995E-7</v>
      </c>
      <c r="DL60" s="64">
        <v>9.9999999999999995E-7</v>
      </c>
      <c r="DM60" s="64">
        <v>9.9999999999999995E-7</v>
      </c>
      <c r="DN60" s="64">
        <v>1.9999999999999999E-6</v>
      </c>
      <c r="DO60" s="64">
        <v>9.9999999999999995E-7</v>
      </c>
      <c r="DP60" s="64">
        <v>9.9999999999999995E-7</v>
      </c>
      <c r="DQ60" s="64">
        <v>9.9999999999999995E-7</v>
      </c>
      <c r="DR60" s="64">
        <v>9.9999999999999995E-7</v>
      </c>
      <c r="DS60" s="64">
        <v>9.9999999999999995E-7</v>
      </c>
      <c r="DT60" s="64">
        <v>9.9999999999999995E-7</v>
      </c>
      <c r="DU60" s="64">
        <v>9.9999999999999995E-7</v>
      </c>
      <c r="DV60" s="64">
        <v>0</v>
      </c>
      <c r="DW60" s="64">
        <v>0</v>
      </c>
      <c r="DX60" s="64">
        <v>0</v>
      </c>
      <c r="DY60" s="64">
        <v>9.9999999999999995E-7</v>
      </c>
      <c r="DZ60" s="64">
        <v>0</v>
      </c>
      <c r="EA60" s="64">
        <v>0</v>
      </c>
      <c r="EB60" s="64">
        <v>0</v>
      </c>
      <c r="EC60" s="64">
        <v>0</v>
      </c>
      <c r="ED60" s="64">
        <v>0</v>
      </c>
      <c r="EE60" s="64">
        <v>0</v>
      </c>
      <c r="EF60" s="64">
        <v>0</v>
      </c>
      <c r="EG60" s="64">
        <v>0</v>
      </c>
      <c r="EH60" s="64">
        <v>0</v>
      </c>
      <c r="EI60" s="64">
        <v>0</v>
      </c>
      <c r="EJ60" s="64">
        <v>0</v>
      </c>
      <c r="EK60" s="64">
        <v>0</v>
      </c>
      <c r="EL60" s="64">
        <v>0</v>
      </c>
      <c r="EM60" s="64">
        <v>0</v>
      </c>
      <c r="EN60" s="64">
        <v>0</v>
      </c>
      <c r="EO60" s="64">
        <v>0</v>
      </c>
      <c r="EP60" s="64">
        <v>0</v>
      </c>
      <c r="EQ60" s="64">
        <v>9.9999999999999995E-7</v>
      </c>
      <c r="ER60" s="64">
        <v>9.9999999999999995E-7</v>
      </c>
      <c r="ES60" s="64">
        <v>0</v>
      </c>
      <c r="ET60" s="64">
        <v>0</v>
      </c>
      <c r="EU60" s="64">
        <v>9.9999999999999995E-7</v>
      </c>
      <c r="EV60" s="64">
        <v>0</v>
      </c>
      <c r="EW60" s="64">
        <v>9.9999999999999995E-7</v>
      </c>
      <c r="EX60" s="64">
        <v>0</v>
      </c>
      <c r="EY60" s="64">
        <v>9.9999999999999995E-7</v>
      </c>
      <c r="EZ60" s="64">
        <v>9.9999999999999995E-7</v>
      </c>
      <c r="FA60" s="64">
        <v>0</v>
      </c>
      <c r="FB60" s="64">
        <v>0</v>
      </c>
      <c r="FC60" s="64">
        <v>0</v>
      </c>
      <c r="FD60" s="64">
        <v>0</v>
      </c>
      <c r="FE60" s="64">
        <v>0</v>
      </c>
      <c r="FF60" s="64">
        <v>9.9999999999999995E-7</v>
      </c>
      <c r="FG60" s="64">
        <v>0</v>
      </c>
      <c r="FH60" s="64">
        <v>0</v>
      </c>
      <c r="FI60" s="64">
        <v>0</v>
      </c>
      <c r="FJ60" s="64">
        <v>0</v>
      </c>
      <c r="FK60" s="64">
        <v>0</v>
      </c>
      <c r="FL60" s="64">
        <v>1.7E-5</v>
      </c>
      <c r="FM60" s="64">
        <v>1.7E-5</v>
      </c>
      <c r="FN60" s="64">
        <v>1.7E-5</v>
      </c>
      <c r="FO60" s="64">
        <v>1.7E-5</v>
      </c>
      <c r="FP60" s="64">
        <v>0</v>
      </c>
      <c r="FQ60" s="64">
        <v>2.5000000000000001E-5</v>
      </c>
      <c r="FR60" s="64">
        <v>2.5000000000000001E-5</v>
      </c>
      <c r="FS60" s="64">
        <v>2.5000000000000001E-5</v>
      </c>
      <c r="FT60" s="64">
        <v>2.5000000000000001E-5</v>
      </c>
      <c r="FU60" s="64">
        <v>2.5000000000000001E-5</v>
      </c>
      <c r="FV60" s="64">
        <v>2.5000000000000001E-5</v>
      </c>
      <c r="FW60" s="64">
        <v>2.5000000000000001E-5</v>
      </c>
      <c r="FX60" s="64">
        <v>2.1999999999999999E-5</v>
      </c>
      <c r="FY60" s="64">
        <v>2.1999999999999999E-5</v>
      </c>
      <c r="FZ60" s="64">
        <v>1.9000000000000001E-5</v>
      </c>
      <c r="GA60" s="64">
        <v>1.9000000000000001E-5</v>
      </c>
      <c r="GB60" s="64">
        <v>7.6000000000000004E-5</v>
      </c>
      <c r="GC60" s="64">
        <v>1.2999999999999999E-5</v>
      </c>
      <c r="GD60" s="64">
        <v>1.8E-5</v>
      </c>
      <c r="GE60" s="64">
        <v>3.4999999999999997E-5</v>
      </c>
      <c r="GF60" s="64">
        <v>2.14E-4</v>
      </c>
      <c r="GG60" s="64">
        <v>7.1000000000000005E-5</v>
      </c>
      <c r="GH60" s="64">
        <v>1.2999999999999999E-5</v>
      </c>
      <c r="GI60" s="64">
        <v>4.0000000000000003E-5</v>
      </c>
      <c r="GJ60" s="64">
        <v>6.0000000000000002E-6</v>
      </c>
      <c r="GK60" s="64">
        <v>1.7E-5</v>
      </c>
      <c r="GL60" s="64">
        <v>1.4E-5</v>
      </c>
      <c r="GM60" s="64">
        <v>5.3000000000000001E-5</v>
      </c>
      <c r="GN60" s="64">
        <v>5.0000000000000004E-6</v>
      </c>
      <c r="GO60" s="64">
        <v>6.9999999999999999E-6</v>
      </c>
      <c r="GP60" s="64">
        <v>5.0000000000000004E-6</v>
      </c>
      <c r="GQ60" s="64">
        <v>6.9999999999999999E-6</v>
      </c>
      <c r="GR60" s="64">
        <v>6.9999999999999999E-6</v>
      </c>
      <c r="GS60" s="64">
        <v>0</v>
      </c>
      <c r="GT60" s="64">
        <v>0</v>
      </c>
      <c r="GU60" s="64">
        <v>0</v>
      </c>
      <c r="GV60" s="64">
        <v>0</v>
      </c>
      <c r="GW60" s="64">
        <v>0</v>
      </c>
      <c r="GX60" s="64">
        <v>0</v>
      </c>
      <c r="GY60" s="64">
        <v>0</v>
      </c>
      <c r="GZ60" s="64">
        <v>0</v>
      </c>
      <c r="HA60" s="64">
        <v>0</v>
      </c>
      <c r="HB60" s="64">
        <v>0</v>
      </c>
      <c r="HC60" s="64">
        <v>0</v>
      </c>
      <c r="HD60" s="64">
        <v>0</v>
      </c>
      <c r="HE60" s="64">
        <v>9.9999999999999995E-7</v>
      </c>
      <c r="HF60" s="64">
        <v>9.9999999999999995E-7</v>
      </c>
      <c r="HG60" s="64">
        <v>0</v>
      </c>
      <c r="HH60" s="64">
        <v>0</v>
      </c>
      <c r="HI60" s="64">
        <v>9.9999999999999995E-7</v>
      </c>
      <c r="HJ60" s="64">
        <v>0</v>
      </c>
      <c r="HK60" s="64">
        <v>0</v>
      </c>
      <c r="HL60" s="64">
        <v>0</v>
      </c>
      <c r="HM60" s="64">
        <v>9.9999999999999995E-7</v>
      </c>
      <c r="HN60" s="64">
        <v>9.9999999999999995E-7</v>
      </c>
      <c r="HO60" s="64">
        <v>0</v>
      </c>
      <c r="HP60" s="64">
        <v>9.9999999999999995E-7</v>
      </c>
      <c r="HQ60" s="64">
        <v>0</v>
      </c>
      <c r="HR60" s="64">
        <v>0</v>
      </c>
      <c r="HS60" s="64">
        <v>0</v>
      </c>
      <c r="HT60" s="64">
        <v>9.9999999999999995E-7</v>
      </c>
      <c r="HU60" s="64">
        <v>0</v>
      </c>
      <c r="HV60" s="64">
        <v>0</v>
      </c>
      <c r="HW60" s="64">
        <v>0</v>
      </c>
      <c r="HX60" s="64">
        <v>0</v>
      </c>
      <c r="HY60" s="64">
        <v>0</v>
      </c>
      <c r="HZ60" s="64">
        <v>9.9999999999999995E-7</v>
      </c>
      <c r="IA60" s="64">
        <v>9.9999999999999995E-7</v>
      </c>
      <c r="IB60" s="64">
        <v>9.9999999999999995E-7</v>
      </c>
      <c r="IC60" s="64">
        <v>9.9999999999999995E-7</v>
      </c>
      <c r="ID60" s="64">
        <v>0</v>
      </c>
      <c r="IE60" s="64">
        <v>1.9999999999999999E-6</v>
      </c>
      <c r="IF60" s="64">
        <v>1.9999999999999999E-6</v>
      </c>
      <c r="IG60" s="64">
        <v>1.9999999999999999E-6</v>
      </c>
      <c r="IH60" s="64">
        <v>1.9999999999999999E-6</v>
      </c>
      <c r="II60" s="64">
        <v>1.9999999999999999E-6</v>
      </c>
      <c r="IJ60" s="64">
        <v>1.9999999999999999E-6</v>
      </c>
      <c r="IK60" s="64">
        <v>1.9999999999999999E-6</v>
      </c>
      <c r="IL60" s="64">
        <v>9.9999999999999995E-7</v>
      </c>
      <c r="IM60" s="64">
        <v>9.9999999999999995E-7</v>
      </c>
      <c r="IN60" s="64">
        <v>1.9999999999999999E-6</v>
      </c>
      <c r="IO60" s="64">
        <v>1.9999999999999999E-6</v>
      </c>
      <c r="IP60" s="64">
        <v>3.9999999999999998E-6</v>
      </c>
      <c r="IQ60" s="64">
        <v>9.9999999999999995E-7</v>
      </c>
      <c r="IR60" s="64">
        <v>9.9999999999999995E-7</v>
      </c>
      <c r="IS60" s="64">
        <v>3.0000000000000001E-6</v>
      </c>
      <c r="IT60" s="64">
        <v>1.9999999999999999E-6</v>
      </c>
      <c r="IU60" s="64">
        <v>3.0000000000000001E-6</v>
      </c>
      <c r="IV60" s="64">
        <v>9.9999999999999995E-7</v>
      </c>
      <c r="IW60" s="64">
        <v>1.9999999999999999E-6</v>
      </c>
      <c r="IX60" s="64">
        <v>9.9999999999999995E-7</v>
      </c>
      <c r="IY60" s="64">
        <v>9.9999999999999995E-7</v>
      </c>
      <c r="IZ60" s="64">
        <v>9.9999999999999995E-7</v>
      </c>
      <c r="JA60" s="64">
        <v>3.0000000000000001E-6</v>
      </c>
      <c r="JB60" s="64">
        <v>9.9999999999999995E-7</v>
      </c>
      <c r="JC60" s="64">
        <v>0</v>
      </c>
      <c r="JD60" s="64">
        <v>0</v>
      </c>
      <c r="JE60" s="64">
        <v>9.9999999999999995E-7</v>
      </c>
      <c r="JF60" s="64">
        <v>9.9999999999999995E-7</v>
      </c>
      <c r="JG60" s="64">
        <v>2.3E-5</v>
      </c>
      <c r="JH60" s="64">
        <v>2.3E-5</v>
      </c>
      <c r="JI60" s="64">
        <v>2.3E-5</v>
      </c>
      <c r="JJ60" s="64">
        <v>2.3E-5</v>
      </c>
      <c r="JK60" s="64">
        <v>0</v>
      </c>
      <c r="JL60" s="64">
        <v>3.6000000000000001E-5</v>
      </c>
      <c r="JM60" s="64">
        <v>3.6000000000000001E-5</v>
      </c>
      <c r="JN60" s="64">
        <v>3.6000000000000001E-5</v>
      </c>
      <c r="JO60" s="64">
        <v>3.6000000000000001E-5</v>
      </c>
      <c r="JP60" s="64">
        <v>3.6000000000000001E-5</v>
      </c>
      <c r="JQ60" s="64">
        <v>3.6000000000000001E-5</v>
      </c>
      <c r="JR60" s="64">
        <v>3.6000000000000001E-5</v>
      </c>
      <c r="JS60" s="64">
        <v>4.1E-5</v>
      </c>
      <c r="JT60" s="64">
        <v>4.1E-5</v>
      </c>
      <c r="JU60" s="64">
        <v>3.1999999999999999E-5</v>
      </c>
      <c r="JV60" s="64">
        <v>3.1999999999999999E-5</v>
      </c>
      <c r="JW60" s="64">
        <v>8.7000000000000001E-5</v>
      </c>
      <c r="JX60" s="64">
        <v>3.6999999999999998E-5</v>
      </c>
      <c r="JY60" s="64">
        <v>9.8999999999999994E-5</v>
      </c>
      <c r="JZ60" s="64">
        <v>1.37E-4</v>
      </c>
      <c r="KA60" s="64">
        <v>1.8799999999999999E-4</v>
      </c>
      <c r="KB60" s="64">
        <v>1.9599999999999999E-4</v>
      </c>
      <c r="KC60" s="64">
        <v>2.8E-5</v>
      </c>
      <c r="KD60" s="64">
        <v>6.4999999999999994E-5</v>
      </c>
      <c r="KE60" s="64">
        <v>3.8999999999999999E-5</v>
      </c>
      <c r="KF60" s="64">
        <v>9.1000000000000003E-5</v>
      </c>
      <c r="KG60" s="64">
        <v>2.4000000000000001E-5</v>
      </c>
      <c r="KH60" s="64">
        <v>4.3000000000000002E-5</v>
      </c>
      <c r="KI60" s="64">
        <v>1.5E-5</v>
      </c>
      <c r="KJ60" s="64">
        <v>1.1E-5</v>
      </c>
      <c r="KK60" s="64">
        <v>7.9999999999999996E-6</v>
      </c>
      <c r="KL60" s="64">
        <v>1.7E-5</v>
      </c>
      <c r="KM60" s="64">
        <v>1.7E-5</v>
      </c>
      <c r="KN60" s="64">
        <v>0</v>
      </c>
      <c r="KO60" s="64">
        <v>0</v>
      </c>
      <c r="KP60" s="64">
        <v>0</v>
      </c>
      <c r="KQ60" s="64">
        <v>0</v>
      </c>
      <c r="KR60" s="64">
        <v>0</v>
      </c>
      <c r="KS60" s="64">
        <v>9.9999999999999995E-7</v>
      </c>
      <c r="KT60" s="64">
        <v>9.9999999999999995E-7</v>
      </c>
      <c r="KU60" s="64">
        <v>9.9999999999999995E-7</v>
      </c>
      <c r="KV60" s="64">
        <v>9.9999999999999995E-7</v>
      </c>
      <c r="KW60" s="64">
        <v>9.9999999999999995E-7</v>
      </c>
      <c r="KX60" s="64">
        <v>9.9999999999999995E-7</v>
      </c>
      <c r="KY60" s="64">
        <v>9.9999999999999995E-7</v>
      </c>
      <c r="KZ60" s="64">
        <v>0</v>
      </c>
      <c r="LA60" s="64">
        <v>0</v>
      </c>
      <c r="LB60" s="64">
        <v>9.9999999999999995E-7</v>
      </c>
      <c r="LC60" s="64">
        <v>9.9999999999999995E-7</v>
      </c>
      <c r="LD60" s="64">
        <v>1.9999999999999999E-6</v>
      </c>
      <c r="LE60" s="64">
        <v>9.9999999999999995E-7</v>
      </c>
      <c r="LF60" s="64">
        <v>9.9999999999999995E-7</v>
      </c>
      <c r="LG60" s="64">
        <v>9.9999999999999995E-7</v>
      </c>
      <c r="LH60" s="64">
        <v>1.9999999999999999E-6</v>
      </c>
      <c r="LI60" s="64">
        <v>9.9999999999999995E-7</v>
      </c>
      <c r="LJ60" s="64">
        <v>9.9999999999999995E-7</v>
      </c>
      <c r="LK60" s="64">
        <v>0</v>
      </c>
      <c r="LL60" s="64">
        <v>9.9999999999999995E-7</v>
      </c>
      <c r="LM60" s="64">
        <v>9.9999999999999995E-7</v>
      </c>
      <c r="LN60" s="64">
        <v>0</v>
      </c>
      <c r="LO60" s="64">
        <v>3.0000000000000001E-6</v>
      </c>
      <c r="LP60" s="64">
        <v>9.9999999999999995E-7</v>
      </c>
      <c r="LQ60" s="64">
        <v>0</v>
      </c>
      <c r="LR60" s="64">
        <v>0</v>
      </c>
      <c r="LS60" s="64">
        <v>9.9999999999999995E-7</v>
      </c>
      <c r="LT60" s="64">
        <v>9.9999999999999995E-7</v>
      </c>
      <c r="LU60" s="64">
        <v>9.9999999999999995E-7</v>
      </c>
      <c r="LV60" s="64">
        <v>9.9999999999999995E-7</v>
      </c>
      <c r="LW60" s="64">
        <v>9.9999999999999995E-7</v>
      </c>
      <c r="LX60" s="64">
        <v>9.9999999999999995E-7</v>
      </c>
      <c r="LY60" s="64">
        <v>0</v>
      </c>
      <c r="LZ60" s="64">
        <v>9.9999999999999995E-7</v>
      </c>
      <c r="MA60" s="64">
        <v>9.9999999999999995E-7</v>
      </c>
      <c r="MB60" s="64">
        <v>9.9999999999999995E-7</v>
      </c>
      <c r="MC60" s="64">
        <v>9.9999999999999995E-7</v>
      </c>
      <c r="MD60" s="64">
        <v>9.9999999999999995E-7</v>
      </c>
      <c r="ME60" s="64">
        <v>9.9999999999999995E-7</v>
      </c>
      <c r="MF60" s="64">
        <v>9.9999999999999995E-7</v>
      </c>
      <c r="MG60" s="64">
        <v>1.9999999999999999E-6</v>
      </c>
      <c r="MH60" s="64">
        <v>1.9999999999999999E-6</v>
      </c>
      <c r="MI60" s="64">
        <v>9.9999999999999995E-7</v>
      </c>
      <c r="MJ60" s="64">
        <v>9.9999999999999995E-7</v>
      </c>
      <c r="MK60" s="64">
        <v>3.9999999999999998E-6</v>
      </c>
      <c r="ML60" s="64">
        <v>9.9999999999999995E-7</v>
      </c>
      <c r="MM60" s="64">
        <v>9.9999999999999995E-7</v>
      </c>
      <c r="MN60" s="64">
        <v>9.9999999999999995E-7</v>
      </c>
      <c r="MO60" s="64">
        <v>1.9999999999999999E-6</v>
      </c>
      <c r="MP60" s="64">
        <v>1.9999999999999999E-6</v>
      </c>
      <c r="MQ60" s="64">
        <v>9.9999999999999995E-7</v>
      </c>
      <c r="MR60" s="64">
        <v>9.9999999999999995E-7</v>
      </c>
      <c r="MS60" s="64">
        <v>9.9999999999999995E-7</v>
      </c>
      <c r="MT60" s="64">
        <v>9.9999999999999995E-7</v>
      </c>
      <c r="MU60" s="64">
        <v>9.9999999999999995E-7</v>
      </c>
      <c r="MV60" s="64">
        <v>9.9999999999999995E-7</v>
      </c>
      <c r="MW60" s="64">
        <v>9.9999999999999995E-7</v>
      </c>
      <c r="MX60" s="64">
        <v>0</v>
      </c>
      <c r="MY60" s="64">
        <v>0</v>
      </c>
      <c r="MZ60" s="64">
        <v>9.9999999999999995E-7</v>
      </c>
      <c r="NA60" s="64">
        <v>9.9999999999999995E-7</v>
      </c>
    </row>
    <row r="61" spans="1:409" ht="19" customHeight="1">
      <c r="A61" s="65" t="s">
        <v>97</v>
      </c>
      <c r="B61" s="65" t="s">
        <v>15</v>
      </c>
      <c r="C61" s="65">
        <v>4.9749491802586856E-4</v>
      </c>
      <c r="D61" s="65">
        <v>6.3122612839324496E-4</v>
      </c>
      <c r="E61" s="65">
        <v>4.572272077984488E-4</v>
      </c>
      <c r="F61" s="65">
        <v>1.4684765833525699E-4</v>
      </c>
      <c r="G61" s="65">
        <v>0</v>
      </c>
      <c r="H61" s="65">
        <v>9.7152578078747742E-4</v>
      </c>
      <c r="I61" s="65">
        <v>5.2052015998017528E-4</v>
      </c>
      <c r="J61" s="65">
        <v>9.3872998968283895E-4</v>
      </c>
      <c r="K61" s="65">
        <v>7.6929203710179449E-4</v>
      </c>
      <c r="L61" s="65">
        <v>2.2470943382519329E-4</v>
      </c>
      <c r="M61" s="65">
        <v>6.5703897631585139E-4</v>
      </c>
      <c r="N61" s="65">
        <v>7.8348148295982148E-4</v>
      </c>
      <c r="O61" s="65">
        <v>5.5360899156857066E-4</v>
      </c>
      <c r="P61" s="65">
        <v>4.9699467570715934E-4</v>
      </c>
      <c r="Q61" s="65">
        <v>1.0836247566700669E-3</v>
      </c>
      <c r="R61" s="65">
        <v>1.3202658469253061E-3</v>
      </c>
      <c r="S61" s="65">
        <v>3.357701301724754E-2</v>
      </c>
      <c r="T61" s="65">
        <v>1.153197341048548E-3</v>
      </c>
      <c r="U61" s="65">
        <v>3.0073542753116609E-3</v>
      </c>
      <c r="V61" s="65">
        <v>8.3330452964454654E-2</v>
      </c>
      <c r="W61" s="65">
        <v>2.4738413998178821</v>
      </c>
      <c r="X61" s="65">
        <v>0.22565901515804329</v>
      </c>
      <c r="Y61" s="65">
        <v>1.460592218842881E-3</v>
      </c>
      <c r="Z61" s="65">
        <v>3.660793659672461E-3</v>
      </c>
      <c r="AA61" s="65">
        <v>8.329768277099232E-3</v>
      </c>
      <c r="AB61" s="65">
        <v>2.4964862447207518E-2</v>
      </c>
      <c r="AC61" s="65">
        <v>7.8391434496019128E-3</v>
      </c>
      <c r="AD61" s="65">
        <v>7.7929588045945977E-2</v>
      </c>
      <c r="AE61" s="65">
        <v>3.2420996366720532E-3</v>
      </c>
      <c r="AF61" s="65">
        <v>1.2058398487327659E-3</v>
      </c>
      <c r="AG61" s="65">
        <v>8.7674429810066486E-4</v>
      </c>
      <c r="AH61" s="65">
        <v>5.8404118483085443E-3</v>
      </c>
      <c r="AI61" s="65">
        <v>8.0151025490981243E-3</v>
      </c>
      <c r="AJ61" s="65">
        <v>3.0000000000000001E-5</v>
      </c>
      <c r="AK61" s="65">
        <v>3.0000000000000001E-5</v>
      </c>
      <c r="AL61" s="65">
        <v>3.0000000000000001E-5</v>
      </c>
      <c r="AM61" s="65">
        <v>3.0000000000000001E-5</v>
      </c>
      <c r="AN61" s="65">
        <v>0</v>
      </c>
      <c r="AO61" s="65">
        <v>2.0999999999999999E-5</v>
      </c>
      <c r="AP61" s="65">
        <v>2.0999999999999999E-5</v>
      </c>
      <c r="AQ61" s="65">
        <v>2.0999999999999999E-5</v>
      </c>
      <c r="AR61" s="65">
        <v>2.0999999999999999E-5</v>
      </c>
      <c r="AS61" s="65">
        <v>2.0999999999999999E-5</v>
      </c>
      <c r="AT61" s="65">
        <v>2.0999999999999999E-5</v>
      </c>
      <c r="AU61" s="65">
        <v>2.0999999999999999E-5</v>
      </c>
      <c r="AV61" s="65">
        <v>1.8E-5</v>
      </c>
      <c r="AW61" s="65">
        <v>1.8E-5</v>
      </c>
      <c r="AX61" s="65">
        <v>3.0000000000000001E-5</v>
      </c>
      <c r="AY61" s="65">
        <v>3.0000000000000001E-5</v>
      </c>
      <c r="AZ61" s="65">
        <v>1.03E-4</v>
      </c>
      <c r="BA61" s="65">
        <v>2.4000000000000001E-5</v>
      </c>
      <c r="BB61" s="65">
        <v>2.4000000000000001E-5</v>
      </c>
      <c r="BC61" s="65">
        <v>2.8E-5</v>
      </c>
      <c r="BD61" s="65">
        <v>2.6200000000000003E-4</v>
      </c>
      <c r="BE61" s="65">
        <v>1.15E-4</v>
      </c>
      <c r="BF61" s="65">
        <v>1.9000000000000001E-5</v>
      </c>
      <c r="BG61" s="65">
        <v>3.0000000000000001E-5</v>
      </c>
      <c r="BH61" s="65">
        <v>1.0000000000000001E-5</v>
      </c>
      <c r="BI61" s="65">
        <v>1.9000000000000001E-5</v>
      </c>
      <c r="BJ61" s="65">
        <v>1.0000000000000001E-5</v>
      </c>
      <c r="BK61" s="65">
        <v>2.9E-5</v>
      </c>
      <c r="BL61" s="65">
        <v>3.9999999999999998E-6</v>
      </c>
      <c r="BM61" s="65">
        <v>9.9999999999999995E-7</v>
      </c>
      <c r="BN61" s="65">
        <v>9.9999999999999995E-7</v>
      </c>
      <c r="BO61" s="65">
        <v>7.9999999999999996E-6</v>
      </c>
      <c r="BP61" s="65">
        <v>7.9999999999999996E-6</v>
      </c>
      <c r="BQ61" s="65">
        <v>9.9999999999999995E-7</v>
      </c>
      <c r="BR61" s="65">
        <v>9.9999999999999995E-7</v>
      </c>
      <c r="BS61" s="65">
        <v>9.9999999999999995E-7</v>
      </c>
      <c r="BT61" s="65">
        <v>9.9999999999999995E-7</v>
      </c>
      <c r="BU61" s="65">
        <v>0</v>
      </c>
      <c r="BV61" s="65">
        <v>1.9999999999999999E-6</v>
      </c>
      <c r="BW61" s="65">
        <v>1.9999999999999999E-6</v>
      </c>
      <c r="BX61" s="65">
        <v>1.9999999999999999E-6</v>
      </c>
      <c r="BY61" s="65">
        <v>1.9999999999999999E-6</v>
      </c>
      <c r="BZ61" s="65">
        <v>1.9999999999999999E-6</v>
      </c>
      <c r="CA61" s="65">
        <v>1.9999999999999999E-6</v>
      </c>
      <c r="CB61" s="65">
        <v>1.9999999999999999E-6</v>
      </c>
      <c r="CC61" s="65">
        <v>9.9999999999999995E-7</v>
      </c>
      <c r="CD61" s="65">
        <v>9.9999999999999995E-7</v>
      </c>
      <c r="CE61" s="65">
        <v>9.9999999999999995E-7</v>
      </c>
      <c r="CF61" s="65">
        <v>9.9999999999999995E-7</v>
      </c>
      <c r="CG61" s="65">
        <v>3.9999999999999998E-6</v>
      </c>
      <c r="CH61" s="65">
        <v>9.9999999999999995E-7</v>
      </c>
      <c r="CI61" s="65">
        <v>1.9999999999999999E-6</v>
      </c>
      <c r="CJ61" s="65">
        <v>1.9999999999999999E-6</v>
      </c>
      <c r="CK61" s="65">
        <v>6.0000000000000002E-6</v>
      </c>
      <c r="CL61" s="65">
        <v>3.9999999999999998E-6</v>
      </c>
      <c r="CM61" s="65">
        <v>9.9999999999999995E-7</v>
      </c>
      <c r="CN61" s="65">
        <v>1.9999999999999999E-6</v>
      </c>
      <c r="CO61" s="65">
        <v>9.9999999999999995E-7</v>
      </c>
      <c r="CP61" s="65">
        <v>1.9999999999999999E-6</v>
      </c>
      <c r="CQ61" s="65">
        <v>9.9999999999999995E-7</v>
      </c>
      <c r="CR61" s="65">
        <v>6.0000000000000002E-6</v>
      </c>
      <c r="CS61" s="65">
        <v>9.9999999999999995E-7</v>
      </c>
      <c r="CT61" s="65">
        <v>0</v>
      </c>
      <c r="CU61" s="65">
        <v>0</v>
      </c>
      <c r="CV61" s="65">
        <v>9.9999999999999995E-7</v>
      </c>
      <c r="CW61" s="65">
        <v>9.9999999999999995E-7</v>
      </c>
      <c r="CX61" s="65">
        <v>0</v>
      </c>
      <c r="CY61" s="65">
        <v>0</v>
      </c>
      <c r="CZ61" s="65">
        <v>0</v>
      </c>
      <c r="DA61" s="65">
        <v>0</v>
      </c>
      <c r="DB61" s="65">
        <v>0</v>
      </c>
      <c r="DC61" s="65">
        <v>9.9999999999999995E-7</v>
      </c>
      <c r="DD61" s="65">
        <v>9.9999999999999995E-7</v>
      </c>
      <c r="DE61" s="65">
        <v>9.9999999999999995E-7</v>
      </c>
      <c r="DF61" s="65">
        <v>9.9999999999999995E-7</v>
      </c>
      <c r="DG61" s="65">
        <v>9.9999999999999995E-7</v>
      </c>
      <c r="DH61" s="65">
        <v>9.9999999999999995E-7</v>
      </c>
      <c r="DI61" s="65">
        <v>9.9999999999999995E-7</v>
      </c>
      <c r="DJ61" s="65">
        <v>9.9999999999999995E-7</v>
      </c>
      <c r="DK61" s="65">
        <v>9.9999999999999995E-7</v>
      </c>
      <c r="DL61" s="65">
        <v>9.9999999999999995E-7</v>
      </c>
      <c r="DM61" s="65">
        <v>9.9999999999999995E-7</v>
      </c>
      <c r="DN61" s="65">
        <v>1.9999999999999999E-6</v>
      </c>
      <c r="DO61" s="65">
        <v>9.9999999999999995E-7</v>
      </c>
      <c r="DP61" s="65">
        <v>9.9999999999999995E-7</v>
      </c>
      <c r="DQ61" s="65">
        <v>9.9999999999999995E-7</v>
      </c>
      <c r="DR61" s="65">
        <v>3.9999999999999998E-6</v>
      </c>
      <c r="DS61" s="65">
        <v>9.9999999999999995E-7</v>
      </c>
      <c r="DT61" s="65">
        <v>9.9999999999999995E-7</v>
      </c>
      <c r="DU61" s="65">
        <v>9.9999999999999995E-7</v>
      </c>
      <c r="DV61" s="65">
        <v>9.9999999999999995E-7</v>
      </c>
      <c r="DW61" s="65">
        <v>9.9999999999999995E-7</v>
      </c>
      <c r="DX61" s="65">
        <v>9.9999999999999995E-7</v>
      </c>
      <c r="DY61" s="65">
        <v>1.9999999999999999E-6</v>
      </c>
      <c r="DZ61" s="65">
        <v>0</v>
      </c>
      <c r="EA61" s="65">
        <v>0</v>
      </c>
      <c r="EB61" s="65">
        <v>0</v>
      </c>
      <c r="EC61" s="65">
        <v>9.9999999999999995E-7</v>
      </c>
      <c r="ED61" s="65">
        <v>9.9999999999999995E-7</v>
      </c>
      <c r="EE61" s="65">
        <v>9.9999999999999995E-7</v>
      </c>
      <c r="EF61" s="65">
        <v>9.9999999999999995E-7</v>
      </c>
      <c r="EG61" s="65">
        <v>9.9999999999999995E-7</v>
      </c>
      <c r="EH61" s="65">
        <v>9.9999999999999995E-7</v>
      </c>
      <c r="EI61" s="65">
        <v>0</v>
      </c>
      <c r="EJ61" s="65">
        <v>9.9999999999999995E-7</v>
      </c>
      <c r="EK61" s="65">
        <v>9.9999999999999995E-7</v>
      </c>
      <c r="EL61" s="65">
        <v>9.9999999999999995E-7</v>
      </c>
      <c r="EM61" s="65">
        <v>9.9999999999999995E-7</v>
      </c>
      <c r="EN61" s="65">
        <v>9.9999999999999995E-7</v>
      </c>
      <c r="EO61" s="65">
        <v>9.9999999999999995E-7</v>
      </c>
      <c r="EP61" s="65">
        <v>9.9999999999999995E-7</v>
      </c>
      <c r="EQ61" s="65">
        <v>9.9999999999999995E-7</v>
      </c>
      <c r="ER61" s="65">
        <v>9.9999999999999995E-7</v>
      </c>
      <c r="ES61" s="65">
        <v>9.9999999999999995E-7</v>
      </c>
      <c r="ET61" s="65">
        <v>9.9999999999999995E-7</v>
      </c>
      <c r="EU61" s="65">
        <v>1.9999999999999999E-6</v>
      </c>
      <c r="EV61" s="65">
        <v>9.9999999999999995E-7</v>
      </c>
      <c r="EW61" s="65">
        <v>9.9999999999999995E-7</v>
      </c>
      <c r="EX61" s="65">
        <v>9.9999999999999995E-7</v>
      </c>
      <c r="EY61" s="65">
        <v>3.0000000000000001E-6</v>
      </c>
      <c r="EZ61" s="65">
        <v>1.9999999999999999E-6</v>
      </c>
      <c r="FA61" s="65">
        <v>0</v>
      </c>
      <c r="FB61" s="65">
        <v>9.9999999999999995E-7</v>
      </c>
      <c r="FC61" s="65">
        <v>9.9999999999999995E-7</v>
      </c>
      <c r="FD61" s="65">
        <v>0</v>
      </c>
      <c r="FE61" s="65">
        <v>9.9999999999999995E-7</v>
      </c>
      <c r="FF61" s="65">
        <v>9.9999999999999995E-7</v>
      </c>
      <c r="FG61" s="65">
        <v>9.9999999999999995E-7</v>
      </c>
      <c r="FH61" s="65">
        <v>0</v>
      </c>
      <c r="FI61" s="65">
        <v>0</v>
      </c>
      <c r="FJ61" s="65">
        <v>9.9999999999999995E-7</v>
      </c>
      <c r="FK61" s="65">
        <v>9.9999999999999995E-7</v>
      </c>
      <c r="FL61" s="65">
        <v>4.3000000000000002E-5</v>
      </c>
      <c r="FM61" s="65">
        <v>4.3000000000000002E-5</v>
      </c>
      <c r="FN61" s="65">
        <v>4.3000000000000002E-5</v>
      </c>
      <c r="FO61" s="65">
        <v>4.3000000000000002E-5</v>
      </c>
      <c r="FP61" s="65">
        <v>0</v>
      </c>
      <c r="FQ61" s="65">
        <v>5.1E-5</v>
      </c>
      <c r="FR61" s="65">
        <v>5.1E-5</v>
      </c>
      <c r="FS61" s="65">
        <v>5.1E-5</v>
      </c>
      <c r="FT61" s="65">
        <v>5.1E-5</v>
      </c>
      <c r="FU61" s="65">
        <v>5.1E-5</v>
      </c>
      <c r="FV61" s="65">
        <v>5.1E-5</v>
      </c>
      <c r="FW61" s="65">
        <v>5.1E-5</v>
      </c>
      <c r="FX61" s="65">
        <v>4.0000000000000003E-5</v>
      </c>
      <c r="FY61" s="65">
        <v>4.0000000000000003E-5</v>
      </c>
      <c r="FZ61" s="65">
        <v>7.1000000000000005E-5</v>
      </c>
      <c r="GA61" s="65">
        <v>7.1000000000000005E-5</v>
      </c>
      <c r="GB61" s="65">
        <v>1.2E-4</v>
      </c>
      <c r="GC61" s="65">
        <v>4.3000000000000002E-5</v>
      </c>
      <c r="GD61" s="65">
        <v>5.7000000000000003E-5</v>
      </c>
      <c r="GE61" s="65">
        <v>6.7999999999999999E-5</v>
      </c>
      <c r="GF61" s="65">
        <v>1.539E-3</v>
      </c>
      <c r="GG61" s="65">
        <v>1.5699999999999999E-4</v>
      </c>
      <c r="GH61" s="65">
        <v>4.8000000000000001E-5</v>
      </c>
      <c r="GI61" s="65">
        <v>1.08E-4</v>
      </c>
      <c r="GJ61" s="65">
        <v>3.6999999999999998E-5</v>
      </c>
      <c r="GK61" s="65">
        <v>6.0999999999999999E-5</v>
      </c>
      <c r="GL61" s="65">
        <v>5.1999999999999997E-5</v>
      </c>
      <c r="GM61" s="65">
        <v>6.5200000000000002E-4</v>
      </c>
      <c r="GN61" s="65">
        <v>4.6999999999999997E-5</v>
      </c>
      <c r="GO61" s="65">
        <v>1.0000000000000001E-5</v>
      </c>
      <c r="GP61" s="65">
        <v>6.9999999999999999E-6</v>
      </c>
      <c r="GQ61" s="65">
        <v>5.7000000000000003E-5</v>
      </c>
      <c r="GR61" s="65">
        <v>5.7000000000000003E-5</v>
      </c>
      <c r="GS61" s="65">
        <v>0</v>
      </c>
      <c r="GT61" s="65">
        <v>0</v>
      </c>
      <c r="GU61" s="65">
        <v>0</v>
      </c>
      <c r="GV61" s="65">
        <v>0</v>
      </c>
      <c r="GW61" s="65">
        <v>0</v>
      </c>
      <c r="GX61" s="65">
        <v>9.9999999999999995E-7</v>
      </c>
      <c r="GY61" s="65">
        <v>9.9999999999999995E-7</v>
      </c>
      <c r="GZ61" s="65">
        <v>9.9999999999999995E-7</v>
      </c>
      <c r="HA61" s="65">
        <v>9.9999999999999995E-7</v>
      </c>
      <c r="HB61" s="65">
        <v>9.9999999999999995E-7</v>
      </c>
      <c r="HC61" s="65">
        <v>9.9999999999999995E-7</v>
      </c>
      <c r="HD61" s="65">
        <v>9.9999999999999995E-7</v>
      </c>
      <c r="HE61" s="65">
        <v>9.9999999999999995E-7</v>
      </c>
      <c r="HF61" s="65">
        <v>9.9999999999999995E-7</v>
      </c>
      <c r="HG61" s="65">
        <v>9.9999999999999995E-7</v>
      </c>
      <c r="HH61" s="65">
        <v>9.9999999999999995E-7</v>
      </c>
      <c r="HI61" s="65">
        <v>1.9999999999999999E-6</v>
      </c>
      <c r="HJ61" s="65">
        <v>9.9999999999999995E-7</v>
      </c>
      <c r="HK61" s="65">
        <v>9.9999999999999995E-7</v>
      </c>
      <c r="HL61" s="65">
        <v>9.9999999999999995E-7</v>
      </c>
      <c r="HM61" s="65">
        <v>3.0000000000000001E-6</v>
      </c>
      <c r="HN61" s="65">
        <v>1.9999999999999999E-6</v>
      </c>
      <c r="HO61" s="65">
        <v>9.9999999999999995E-7</v>
      </c>
      <c r="HP61" s="65">
        <v>9.9999999999999995E-7</v>
      </c>
      <c r="HQ61" s="65">
        <v>9.9999999999999995E-7</v>
      </c>
      <c r="HR61" s="65">
        <v>9.9999999999999995E-7</v>
      </c>
      <c r="HS61" s="65">
        <v>9.9999999999999995E-7</v>
      </c>
      <c r="HT61" s="65">
        <v>3.0000000000000001E-6</v>
      </c>
      <c r="HU61" s="65">
        <v>9.9999999999999995E-7</v>
      </c>
      <c r="HV61" s="65">
        <v>0</v>
      </c>
      <c r="HW61" s="65">
        <v>0</v>
      </c>
      <c r="HX61" s="65">
        <v>9.9999999999999995E-7</v>
      </c>
      <c r="HY61" s="65">
        <v>9.9999999999999995E-7</v>
      </c>
      <c r="HZ61" s="65">
        <v>9.9999999999999995E-7</v>
      </c>
      <c r="IA61" s="65">
        <v>9.9999999999999995E-7</v>
      </c>
      <c r="IB61" s="65">
        <v>9.9999999999999995E-7</v>
      </c>
      <c r="IC61" s="65">
        <v>9.9999999999999995E-7</v>
      </c>
      <c r="ID61" s="65">
        <v>0</v>
      </c>
      <c r="IE61" s="65">
        <v>1.9999999999999999E-6</v>
      </c>
      <c r="IF61" s="65">
        <v>1.9999999999999999E-6</v>
      </c>
      <c r="IG61" s="65">
        <v>1.9999999999999999E-6</v>
      </c>
      <c r="IH61" s="65">
        <v>1.9999999999999999E-6</v>
      </c>
      <c r="II61" s="65">
        <v>1.9999999999999999E-6</v>
      </c>
      <c r="IJ61" s="65">
        <v>1.9999999999999999E-6</v>
      </c>
      <c r="IK61" s="65">
        <v>1.9999999999999999E-6</v>
      </c>
      <c r="IL61" s="65">
        <v>1.9999999999999999E-6</v>
      </c>
      <c r="IM61" s="65">
        <v>1.9999999999999999E-6</v>
      </c>
      <c r="IN61" s="65">
        <v>1.9999999999999999E-6</v>
      </c>
      <c r="IO61" s="65">
        <v>1.9999999999999999E-6</v>
      </c>
      <c r="IP61" s="65">
        <v>5.0000000000000004E-6</v>
      </c>
      <c r="IQ61" s="65">
        <v>1.9999999999999999E-6</v>
      </c>
      <c r="IR61" s="65">
        <v>9.9999999999999995E-7</v>
      </c>
      <c r="IS61" s="65">
        <v>1.9999999999999999E-6</v>
      </c>
      <c r="IT61" s="65">
        <v>3.9999999999999998E-6</v>
      </c>
      <c r="IU61" s="65">
        <v>3.9999999999999998E-6</v>
      </c>
      <c r="IV61" s="65">
        <v>9.9999999999999995E-7</v>
      </c>
      <c r="IW61" s="65">
        <v>1.9999999999999999E-6</v>
      </c>
      <c r="IX61" s="65">
        <v>1.9999999999999999E-6</v>
      </c>
      <c r="IY61" s="65">
        <v>3.0000000000000001E-6</v>
      </c>
      <c r="IZ61" s="65">
        <v>9.9999999999999995E-7</v>
      </c>
      <c r="JA61" s="65">
        <v>1.0000000000000001E-5</v>
      </c>
      <c r="JB61" s="65">
        <v>1.9999999999999999E-6</v>
      </c>
      <c r="JC61" s="65">
        <v>0</v>
      </c>
      <c r="JD61" s="65">
        <v>0</v>
      </c>
      <c r="JE61" s="65">
        <v>9.9999999999999995E-7</v>
      </c>
      <c r="JF61" s="65">
        <v>9.9999999999999995E-7</v>
      </c>
      <c r="JG61" s="65">
        <v>2.4000000000000001E-5</v>
      </c>
      <c r="JH61" s="65">
        <v>2.4000000000000001E-5</v>
      </c>
      <c r="JI61" s="65">
        <v>2.4000000000000001E-5</v>
      </c>
      <c r="JJ61" s="65">
        <v>2.4000000000000001E-5</v>
      </c>
      <c r="JK61" s="65">
        <v>0</v>
      </c>
      <c r="JL61" s="65">
        <v>3.6000000000000001E-5</v>
      </c>
      <c r="JM61" s="65">
        <v>3.6000000000000001E-5</v>
      </c>
      <c r="JN61" s="65">
        <v>3.6000000000000001E-5</v>
      </c>
      <c r="JO61" s="65">
        <v>3.6000000000000001E-5</v>
      </c>
      <c r="JP61" s="65">
        <v>3.6000000000000001E-5</v>
      </c>
      <c r="JQ61" s="65">
        <v>3.6000000000000001E-5</v>
      </c>
      <c r="JR61" s="65">
        <v>3.6000000000000001E-5</v>
      </c>
      <c r="JS61" s="65">
        <v>3.8000000000000002E-5</v>
      </c>
      <c r="JT61" s="65">
        <v>3.8000000000000002E-5</v>
      </c>
      <c r="JU61" s="65">
        <v>3.1999999999999999E-5</v>
      </c>
      <c r="JV61" s="65">
        <v>3.1999999999999999E-5</v>
      </c>
      <c r="JW61" s="65">
        <v>8.1000000000000004E-5</v>
      </c>
      <c r="JX61" s="65">
        <v>3.1999999999999999E-5</v>
      </c>
      <c r="JY61" s="65">
        <v>5.7000000000000003E-5</v>
      </c>
      <c r="JZ61" s="65">
        <v>4.8000000000000001E-5</v>
      </c>
      <c r="KA61" s="65">
        <v>1.6799999999999999E-4</v>
      </c>
      <c r="KB61" s="65">
        <v>1.0900000000000001E-4</v>
      </c>
      <c r="KC61" s="65">
        <v>2.1999999999999999E-5</v>
      </c>
      <c r="KD61" s="65">
        <v>4.6999999999999997E-5</v>
      </c>
      <c r="KE61" s="65">
        <v>5.5999999999999999E-5</v>
      </c>
      <c r="KF61" s="65">
        <v>4.1999999999999998E-5</v>
      </c>
      <c r="KG61" s="65">
        <v>2.5999999999999998E-5</v>
      </c>
      <c r="KH61" s="65">
        <v>1.3100000000000001E-4</v>
      </c>
      <c r="KI61" s="65">
        <v>3.3000000000000003E-5</v>
      </c>
      <c r="KJ61" s="65">
        <v>2.8E-5</v>
      </c>
      <c r="KK61" s="65">
        <v>2.0000000000000002E-5</v>
      </c>
      <c r="KL61" s="65">
        <v>2.0000000000000002E-5</v>
      </c>
      <c r="KM61" s="65">
        <v>2.0000000000000002E-5</v>
      </c>
      <c r="KN61" s="65">
        <v>9.9999999999999995E-7</v>
      </c>
      <c r="KO61" s="65">
        <v>9.9999999999999995E-7</v>
      </c>
      <c r="KP61" s="65">
        <v>9.9999999999999995E-7</v>
      </c>
      <c r="KQ61" s="65">
        <v>9.9999999999999995E-7</v>
      </c>
      <c r="KR61" s="65">
        <v>0</v>
      </c>
      <c r="KS61" s="65">
        <v>9.9999999999999995E-7</v>
      </c>
      <c r="KT61" s="65">
        <v>9.9999999999999995E-7</v>
      </c>
      <c r="KU61" s="65">
        <v>9.9999999999999995E-7</v>
      </c>
      <c r="KV61" s="65">
        <v>9.9999999999999995E-7</v>
      </c>
      <c r="KW61" s="65">
        <v>9.9999999999999995E-7</v>
      </c>
      <c r="KX61" s="65">
        <v>9.9999999999999995E-7</v>
      </c>
      <c r="KY61" s="65">
        <v>9.9999999999999995E-7</v>
      </c>
      <c r="KZ61" s="65">
        <v>9.9999999999999995E-7</v>
      </c>
      <c r="LA61" s="65">
        <v>9.9999999999999995E-7</v>
      </c>
      <c r="LB61" s="65">
        <v>9.9999999999999995E-7</v>
      </c>
      <c r="LC61" s="65">
        <v>9.9999999999999995E-7</v>
      </c>
      <c r="LD61" s="65">
        <v>3.0000000000000001E-6</v>
      </c>
      <c r="LE61" s="65">
        <v>9.9999999999999995E-7</v>
      </c>
      <c r="LF61" s="65">
        <v>9.9999999999999995E-7</v>
      </c>
      <c r="LG61" s="65">
        <v>9.9999999999999995E-7</v>
      </c>
      <c r="LH61" s="65">
        <v>3.0000000000000001E-6</v>
      </c>
      <c r="LI61" s="65">
        <v>1.9999999999999999E-6</v>
      </c>
      <c r="LJ61" s="65">
        <v>1.9999999999999999E-6</v>
      </c>
      <c r="LK61" s="65">
        <v>9.9999999999999995E-7</v>
      </c>
      <c r="LL61" s="65">
        <v>9.9999999999999995E-7</v>
      </c>
      <c r="LM61" s="65">
        <v>9.9999999999999995E-7</v>
      </c>
      <c r="LN61" s="65">
        <v>9.9999999999999995E-7</v>
      </c>
      <c r="LO61" s="65">
        <v>6.9999999999999999E-6</v>
      </c>
      <c r="LP61" s="65">
        <v>9.9999999999999995E-7</v>
      </c>
      <c r="LQ61" s="65">
        <v>0</v>
      </c>
      <c r="LR61" s="65">
        <v>0</v>
      </c>
      <c r="LS61" s="65">
        <v>9.9999999999999995E-7</v>
      </c>
      <c r="LT61" s="65">
        <v>9.9999999999999995E-7</v>
      </c>
      <c r="LU61" s="65">
        <v>9.9999999999999995E-7</v>
      </c>
      <c r="LV61" s="65">
        <v>9.9999999999999995E-7</v>
      </c>
      <c r="LW61" s="65">
        <v>9.9999999999999995E-7</v>
      </c>
      <c r="LX61" s="65">
        <v>9.9999999999999995E-7</v>
      </c>
      <c r="LY61" s="65">
        <v>0</v>
      </c>
      <c r="LZ61" s="65">
        <v>1.9999999999999999E-6</v>
      </c>
      <c r="MA61" s="65">
        <v>1.9999999999999999E-6</v>
      </c>
      <c r="MB61" s="65">
        <v>1.9999999999999999E-6</v>
      </c>
      <c r="MC61" s="65">
        <v>1.9999999999999999E-6</v>
      </c>
      <c r="MD61" s="65">
        <v>1.9999999999999999E-6</v>
      </c>
      <c r="ME61" s="65">
        <v>1.9999999999999999E-6</v>
      </c>
      <c r="MF61" s="65">
        <v>1.9999999999999999E-6</v>
      </c>
      <c r="MG61" s="65">
        <v>1.9999999999999999E-6</v>
      </c>
      <c r="MH61" s="65">
        <v>1.9999999999999999E-6</v>
      </c>
      <c r="MI61" s="65">
        <v>1.9999999999999999E-6</v>
      </c>
      <c r="MJ61" s="65">
        <v>1.9999999999999999E-6</v>
      </c>
      <c r="MK61" s="65">
        <v>6.0000000000000002E-6</v>
      </c>
      <c r="ML61" s="65">
        <v>9.9999999999999995E-7</v>
      </c>
      <c r="MM61" s="65">
        <v>1.9999999999999999E-6</v>
      </c>
      <c r="MN61" s="65">
        <v>9.9999999999999995E-7</v>
      </c>
      <c r="MO61" s="65">
        <v>3.9999999999999998E-6</v>
      </c>
      <c r="MP61" s="65">
        <v>3.0000000000000001E-6</v>
      </c>
      <c r="MQ61" s="65">
        <v>9.9999999999999995E-7</v>
      </c>
      <c r="MR61" s="65">
        <v>1.9999999999999999E-6</v>
      </c>
      <c r="MS61" s="65">
        <v>9.9999999999999995E-7</v>
      </c>
      <c r="MT61" s="65">
        <v>9.9999999999999995E-7</v>
      </c>
      <c r="MU61" s="65">
        <v>9.9999999999999995E-7</v>
      </c>
      <c r="MV61" s="65">
        <v>3.9999999999999998E-6</v>
      </c>
      <c r="MW61" s="65">
        <v>9.9999999999999995E-7</v>
      </c>
      <c r="MX61" s="65">
        <v>0</v>
      </c>
      <c r="MY61" s="65">
        <v>0</v>
      </c>
      <c r="MZ61" s="65">
        <v>9.9999999999999995E-7</v>
      </c>
      <c r="NA61" s="65">
        <v>9.9999999999999995E-7</v>
      </c>
      <c r="NB61" s="66"/>
      <c r="NC61" s="66"/>
      <c r="ND61" s="66"/>
      <c r="NE61" s="66"/>
      <c r="NF61" s="66"/>
      <c r="NG61" s="66"/>
      <c r="NH61" s="66"/>
      <c r="NI61" s="66"/>
      <c r="NJ61" s="66"/>
      <c r="NK61" s="66"/>
      <c r="NL61" s="66"/>
      <c r="NM61" s="66"/>
      <c r="NN61" s="66"/>
      <c r="NO61" s="66"/>
      <c r="NP61" s="66"/>
      <c r="NQ61" s="66"/>
      <c r="NR61" s="66"/>
      <c r="NS61" s="66"/>
      <c r="NT61" s="66"/>
      <c r="NU61" s="66"/>
      <c r="NV61" s="66"/>
      <c r="NW61" s="66"/>
      <c r="NX61" s="66"/>
      <c r="NY61" s="66"/>
      <c r="NZ61" s="66"/>
      <c r="OA61" s="66"/>
      <c r="OB61" s="66"/>
      <c r="OC61" s="66"/>
      <c r="OD61" s="66"/>
      <c r="OE61" s="66"/>
      <c r="OF61" s="66"/>
      <c r="OG61" s="66"/>
      <c r="OH61" s="66"/>
      <c r="OI61" s="66"/>
      <c r="OJ61" s="66"/>
      <c r="OK61" s="66"/>
      <c r="OL61" s="66"/>
      <c r="OM61" s="66"/>
      <c r="ON61" s="66"/>
      <c r="OO61" s="66"/>
      <c r="OP61" s="66"/>
      <c r="OQ61" s="66"/>
      <c r="OR61" s="66"/>
      <c r="OS61" s="66"/>
    </row>
    <row r="62" spans="1:409">
      <c r="A62" s="64" t="s">
        <v>98</v>
      </c>
      <c r="B62" s="64" t="s">
        <v>16</v>
      </c>
      <c r="C62" s="64">
        <v>6.3353622422910607E-4</v>
      </c>
      <c r="D62" s="64">
        <v>1.0802000943648379E-3</v>
      </c>
      <c r="E62" s="64">
        <v>7.1307228137167252E-5</v>
      </c>
      <c r="F62" s="64">
        <v>2.7758670842491429E-4</v>
      </c>
      <c r="G62" s="64">
        <v>0</v>
      </c>
      <c r="H62" s="64">
        <v>4.3265636293543682E-4</v>
      </c>
      <c r="I62" s="64">
        <v>2.0677349065389441E-4</v>
      </c>
      <c r="J62" s="64">
        <v>3.3603878053681951E-4</v>
      </c>
      <c r="K62" s="64">
        <v>3.0290183886408698E-4</v>
      </c>
      <c r="L62" s="64">
        <v>7.9307549816568472E-5</v>
      </c>
      <c r="M62" s="64">
        <v>2.045019567601252E-4</v>
      </c>
      <c r="N62" s="64">
        <v>2.3436128745120269E-4</v>
      </c>
      <c r="O62" s="64">
        <v>2.923913200251312E-4</v>
      </c>
      <c r="P62" s="64">
        <v>1.931537245720187E-4</v>
      </c>
      <c r="Q62" s="64">
        <v>1.2378194470951171E-4</v>
      </c>
      <c r="R62" s="64">
        <v>3.6600230697679369E-4</v>
      </c>
      <c r="S62" s="64">
        <v>1.3469139738213651E-3</v>
      </c>
      <c r="T62" s="64">
        <v>1.6052814026232669E-4</v>
      </c>
      <c r="U62" s="64">
        <v>6.4235956244054543E-3</v>
      </c>
      <c r="V62" s="64">
        <v>6.2867198200293982E-3</v>
      </c>
      <c r="W62" s="64">
        <v>2.99323864095099E-2</v>
      </c>
      <c r="X62" s="64">
        <v>2.4959865390073599</v>
      </c>
      <c r="Y62" s="64">
        <v>1.6583098471647209E-3</v>
      </c>
      <c r="Z62" s="64">
        <v>4.1602859665207303E-3</v>
      </c>
      <c r="AA62" s="64">
        <v>1.2981604971406911E-2</v>
      </c>
      <c r="AB62" s="64">
        <v>0.1034146128696978</v>
      </c>
      <c r="AC62" s="64">
        <v>7.4589738568973463E-3</v>
      </c>
      <c r="AD62" s="64">
        <v>3.6167814648078229E-2</v>
      </c>
      <c r="AE62" s="64">
        <v>7.1231046214696144E-3</v>
      </c>
      <c r="AF62" s="64">
        <v>2.7457246293897111E-3</v>
      </c>
      <c r="AG62" s="64">
        <v>2.006533205960268E-3</v>
      </c>
      <c r="AH62" s="64">
        <v>1.1879957779344469E-2</v>
      </c>
      <c r="AI62" s="64">
        <v>7.0435761840600764E-3</v>
      </c>
      <c r="AJ62" s="64">
        <v>5.0000000000000004E-6</v>
      </c>
      <c r="AK62" s="64">
        <v>5.0000000000000004E-6</v>
      </c>
      <c r="AL62" s="64">
        <v>5.0000000000000004E-6</v>
      </c>
      <c r="AM62" s="64">
        <v>5.0000000000000004E-6</v>
      </c>
      <c r="AN62" s="64">
        <v>0</v>
      </c>
      <c r="AO62" s="64">
        <v>5.0000000000000004E-6</v>
      </c>
      <c r="AP62" s="64">
        <v>5.0000000000000004E-6</v>
      </c>
      <c r="AQ62" s="64">
        <v>5.0000000000000004E-6</v>
      </c>
      <c r="AR62" s="64">
        <v>5.0000000000000004E-6</v>
      </c>
      <c r="AS62" s="64">
        <v>5.0000000000000004E-6</v>
      </c>
      <c r="AT62" s="64">
        <v>5.0000000000000004E-6</v>
      </c>
      <c r="AU62" s="64">
        <v>5.0000000000000004E-6</v>
      </c>
      <c r="AV62" s="64">
        <v>2.3E-5</v>
      </c>
      <c r="AW62" s="64">
        <v>2.3E-5</v>
      </c>
      <c r="AX62" s="64">
        <v>7.9999999999999996E-6</v>
      </c>
      <c r="AY62" s="64">
        <v>7.9999999999999996E-6</v>
      </c>
      <c r="AZ62" s="64">
        <v>2.0000000000000002E-5</v>
      </c>
      <c r="BA62" s="64">
        <v>9.0000000000000002E-6</v>
      </c>
      <c r="BB62" s="64">
        <v>7.9999999999999996E-6</v>
      </c>
      <c r="BC62" s="64">
        <v>7.9999999999999996E-6</v>
      </c>
      <c r="BD62" s="64">
        <v>2.5999999999999998E-5</v>
      </c>
      <c r="BE62" s="64">
        <v>6.6000000000000005E-5</v>
      </c>
      <c r="BF62" s="64">
        <v>3.0000000000000001E-6</v>
      </c>
      <c r="BG62" s="64">
        <v>6.9999999999999999E-6</v>
      </c>
      <c r="BH62" s="64">
        <v>3.0000000000000001E-6</v>
      </c>
      <c r="BI62" s="64">
        <v>6.0000000000000002E-6</v>
      </c>
      <c r="BJ62" s="64">
        <v>3.0000000000000001E-6</v>
      </c>
      <c r="BK62" s="64">
        <v>6.9999999999999999E-6</v>
      </c>
      <c r="BL62" s="64">
        <v>1.9999999999999999E-6</v>
      </c>
      <c r="BM62" s="64">
        <v>0</v>
      </c>
      <c r="BN62" s="64">
        <v>0</v>
      </c>
      <c r="BO62" s="64">
        <v>6.0000000000000002E-6</v>
      </c>
      <c r="BP62" s="64">
        <v>6.0000000000000002E-6</v>
      </c>
      <c r="BQ62" s="64">
        <v>9.9999999999999995E-7</v>
      </c>
      <c r="BR62" s="64">
        <v>9.9999999999999995E-7</v>
      </c>
      <c r="BS62" s="64">
        <v>9.9999999999999995E-7</v>
      </c>
      <c r="BT62" s="64">
        <v>9.9999999999999995E-7</v>
      </c>
      <c r="BU62" s="64">
        <v>0</v>
      </c>
      <c r="BV62" s="64">
        <v>1.9999999999999999E-6</v>
      </c>
      <c r="BW62" s="64">
        <v>1.9999999999999999E-6</v>
      </c>
      <c r="BX62" s="64">
        <v>1.9999999999999999E-6</v>
      </c>
      <c r="BY62" s="64">
        <v>1.9999999999999999E-6</v>
      </c>
      <c r="BZ62" s="64">
        <v>1.9999999999999999E-6</v>
      </c>
      <c r="CA62" s="64">
        <v>1.9999999999999999E-6</v>
      </c>
      <c r="CB62" s="64">
        <v>1.9999999999999999E-6</v>
      </c>
      <c r="CC62" s="64">
        <v>1.9999999999999999E-6</v>
      </c>
      <c r="CD62" s="64">
        <v>1.9999999999999999E-6</v>
      </c>
      <c r="CE62" s="64">
        <v>1.9999999999999999E-6</v>
      </c>
      <c r="CF62" s="64">
        <v>1.9999999999999999E-6</v>
      </c>
      <c r="CG62" s="64">
        <v>5.0000000000000004E-6</v>
      </c>
      <c r="CH62" s="64">
        <v>1.9999999999999999E-6</v>
      </c>
      <c r="CI62" s="64">
        <v>1.9999999999999999E-6</v>
      </c>
      <c r="CJ62" s="64">
        <v>1.9999999999999999E-6</v>
      </c>
      <c r="CK62" s="64">
        <v>3.9999999999999998E-6</v>
      </c>
      <c r="CL62" s="64">
        <v>3.0000000000000001E-6</v>
      </c>
      <c r="CM62" s="64">
        <v>1.9999999999999999E-6</v>
      </c>
      <c r="CN62" s="64">
        <v>9.9999999999999995E-7</v>
      </c>
      <c r="CO62" s="64">
        <v>9.9999999999999995E-7</v>
      </c>
      <c r="CP62" s="64">
        <v>3.9999999999999998E-6</v>
      </c>
      <c r="CQ62" s="64">
        <v>9.9999999999999995E-7</v>
      </c>
      <c r="CR62" s="64">
        <v>5.0000000000000004E-6</v>
      </c>
      <c r="CS62" s="64">
        <v>9.9999999999999995E-7</v>
      </c>
      <c r="CT62" s="64">
        <v>0</v>
      </c>
      <c r="CU62" s="64">
        <v>0</v>
      </c>
      <c r="CV62" s="64">
        <v>9.9999999999999995E-7</v>
      </c>
      <c r="CW62" s="64">
        <v>9.9999999999999995E-7</v>
      </c>
      <c r="CX62" s="64">
        <v>0</v>
      </c>
      <c r="CY62" s="64">
        <v>0</v>
      </c>
      <c r="CZ62" s="64">
        <v>0</v>
      </c>
      <c r="DA62" s="64">
        <v>0</v>
      </c>
      <c r="DB62" s="64">
        <v>0</v>
      </c>
      <c r="DC62" s="64">
        <v>9.9999999999999995E-7</v>
      </c>
      <c r="DD62" s="64">
        <v>9.9999999999999995E-7</v>
      </c>
      <c r="DE62" s="64">
        <v>9.9999999999999995E-7</v>
      </c>
      <c r="DF62" s="64">
        <v>9.9999999999999995E-7</v>
      </c>
      <c r="DG62" s="64">
        <v>9.9999999999999995E-7</v>
      </c>
      <c r="DH62" s="64">
        <v>9.9999999999999995E-7</v>
      </c>
      <c r="DI62" s="64">
        <v>9.9999999999999995E-7</v>
      </c>
      <c r="DJ62" s="64">
        <v>9.9999999999999995E-7</v>
      </c>
      <c r="DK62" s="64">
        <v>9.9999999999999995E-7</v>
      </c>
      <c r="DL62" s="64">
        <v>9.9999999999999995E-7</v>
      </c>
      <c r="DM62" s="64">
        <v>9.9999999999999995E-7</v>
      </c>
      <c r="DN62" s="64">
        <v>1.9999999999999999E-6</v>
      </c>
      <c r="DO62" s="64">
        <v>9.9999999999999995E-7</v>
      </c>
      <c r="DP62" s="64">
        <v>9.9999999999999995E-7</v>
      </c>
      <c r="DQ62" s="64">
        <v>9.9999999999999995E-7</v>
      </c>
      <c r="DR62" s="64">
        <v>1.9999999999999999E-6</v>
      </c>
      <c r="DS62" s="64">
        <v>9.9999999999999995E-7</v>
      </c>
      <c r="DT62" s="64">
        <v>9.9999999999999995E-7</v>
      </c>
      <c r="DU62" s="64">
        <v>9.9999999999999995E-7</v>
      </c>
      <c r="DV62" s="64">
        <v>9.9999999999999995E-7</v>
      </c>
      <c r="DW62" s="64">
        <v>9.9999999999999995E-7</v>
      </c>
      <c r="DX62" s="64">
        <v>9.9999999999999995E-7</v>
      </c>
      <c r="DY62" s="64">
        <v>1.9999999999999999E-6</v>
      </c>
      <c r="DZ62" s="64">
        <v>0</v>
      </c>
      <c r="EA62" s="64">
        <v>0</v>
      </c>
      <c r="EB62" s="64">
        <v>0</v>
      </c>
      <c r="EC62" s="64">
        <v>9.9999999999999995E-7</v>
      </c>
      <c r="ED62" s="64">
        <v>9.9999999999999995E-7</v>
      </c>
      <c r="EE62" s="64">
        <v>0</v>
      </c>
      <c r="EF62" s="64">
        <v>0</v>
      </c>
      <c r="EG62" s="64">
        <v>0</v>
      </c>
      <c r="EH62" s="64">
        <v>0</v>
      </c>
      <c r="EI62" s="64">
        <v>0</v>
      </c>
      <c r="EJ62" s="64">
        <v>9.9999999999999995E-7</v>
      </c>
      <c r="EK62" s="64">
        <v>9.9999999999999995E-7</v>
      </c>
      <c r="EL62" s="64">
        <v>9.9999999999999995E-7</v>
      </c>
      <c r="EM62" s="64">
        <v>9.9999999999999995E-7</v>
      </c>
      <c r="EN62" s="64">
        <v>9.9999999999999995E-7</v>
      </c>
      <c r="EO62" s="64">
        <v>9.9999999999999995E-7</v>
      </c>
      <c r="EP62" s="64">
        <v>9.9999999999999995E-7</v>
      </c>
      <c r="EQ62" s="64">
        <v>9.9999999999999995E-7</v>
      </c>
      <c r="ER62" s="64">
        <v>9.9999999999999995E-7</v>
      </c>
      <c r="ES62" s="64">
        <v>9.9999999999999995E-7</v>
      </c>
      <c r="ET62" s="64">
        <v>9.9999999999999995E-7</v>
      </c>
      <c r="EU62" s="64">
        <v>1.9999999999999999E-6</v>
      </c>
      <c r="EV62" s="64">
        <v>9.9999999999999995E-7</v>
      </c>
      <c r="EW62" s="64">
        <v>9.9999999999999995E-7</v>
      </c>
      <c r="EX62" s="64">
        <v>9.9999999999999995E-7</v>
      </c>
      <c r="EY62" s="64">
        <v>9.9999999999999995E-7</v>
      </c>
      <c r="EZ62" s="64">
        <v>1.9999999999999999E-6</v>
      </c>
      <c r="FA62" s="64">
        <v>0</v>
      </c>
      <c r="FB62" s="64">
        <v>9.9999999999999995E-7</v>
      </c>
      <c r="FC62" s="64">
        <v>9.9999999999999995E-7</v>
      </c>
      <c r="FD62" s="64">
        <v>0</v>
      </c>
      <c r="FE62" s="64">
        <v>9.9999999999999995E-7</v>
      </c>
      <c r="FF62" s="64">
        <v>9.9999999999999995E-7</v>
      </c>
      <c r="FG62" s="64">
        <v>9.9999999999999995E-7</v>
      </c>
      <c r="FH62" s="64">
        <v>0</v>
      </c>
      <c r="FI62" s="64">
        <v>0</v>
      </c>
      <c r="FJ62" s="64">
        <v>9.9999999999999995E-7</v>
      </c>
      <c r="FK62" s="64">
        <v>9.9999999999999995E-7</v>
      </c>
      <c r="FL62" s="64">
        <v>7.9999999999999996E-6</v>
      </c>
      <c r="FM62" s="64">
        <v>7.9999999999999996E-6</v>
      </c>
      <c r="FN62" s="64">
        <v>7.9999999999999996E-6</v>
      </c>
      <c r="FO62" s="64">
        <v>7.9999999999999996E-6</v>
      </c>
      <c r="FP62" s="64">
        <v>0</v>
      </c>
      <c r="FQ62" s="64">
        <v>1.4E-5</v>
      </c>
      <c r="FR62" s="64">
        <v>1.4E-5</v>
      </c>
      <c r="FS62" s="64">
        <v>1.4E-5</v>
      </c>
      <c r="FT62" s="64">
        <v>1.4E-5</v>
      </c>
      <c r="FU62" s="64">
        <v>1.4E-5</v>
      </c>
      <c r="FV62" s="64">
        <v>1.4E-5</v>
      </c>
      <c r="FW62" s="64">
        <v>1.4E-5</v>
      </c>
      <c r="FX62" s="64">
        <v>1.5999999999999999E-5</v>
      </c>
      <c r="FY62" s="64">
        <v>1.5999999999999999E-5</v>
      </c>
      <c r="FZ62" s="64">
        <v>9.0000000000000002E-6</v>
      </c>
      <c r="GA62" s="64">
        <v>9.0000000000000002E-6</v>
      </c>
      <c r="GB62" s="64">
        <v>1.4E-5</v>
      </c>
      <c r="GC62" s="64">
        <v>5.0000000000000004E-6</v>
      </c>
      <c r="GD62" s="64">
        <v>6.0000000000000002E-6</v>
      </c>
      <c r="GE62" s="64">
        <v>5.0000000000000004E-6</v>
      </c>
      <c r="GF62" s="64">
        <v>8.3999999999999995E-5</v>
      </c>
      <c r="GG62" s="64">
        <v>2.5999999999999998E-5</v>
      </c>
      <c r="GH62" s="64">
        <v>6.9999999999999999E-6</v>
      </c>
      <c r="GI62" s="64">
        <v>1.7E-5</v>
      </c>
      <c r="GJ62" s="64">
        <v>3.0000000000000001E-6</v>
      </c>
      <c r="GK62" s="64">
        <v>9.0000000000000002E-6</v>
      </c>
      <c r="GL62" s="64">
        <v>7.9999999999999996E-6</v>
      </c>
      <c r="GM62" s="64">
        <v>2.0999999999999999E-5</v>
      </c>
      <c r="GN62" s="64">
        <v>3.0000000000000001E-6</v>
      </c>
      <c r="GO62" s="64">
        <v>9.9999999999999995E-7</v>
      </c>
      <c r="GP62" s="64">
        <v>9.9999999999999995E-7</v>
      </c>
      <c r="GQ62" s="64">
        <v>5.0000000000000004E-6</v>
      </c>
      <c r="GR62" s="64">
        <v>5.0000000000000004E-6</v>
      </c>
      <c r="GS62" s="64">
        <v>0</v>
      </c>
      <c r="GT62" s="64">
        <v>0</v>
      </c>
      <c r="GU62" s="64">
        <v>0</v>
      </c>
      <c r="GV62" s="64">
        <v>0</v>
      </c>
      <c r="GW62" s="64">
        <v>0</v>
      </c>
      <c r="GX62" s="64">
        <v>9.9999999999999995E-7</v>
      </c>
      <c r="GY62" s="64">
        <v>9.9999999999999995E-7</v>
      </c>
      <c r="GZ62" s="64">
        <v>9.9999999999999995E-7</v>
      </c>
      <c r="HA62" s="64">
        <v>9.9999999999999995E-7</v>
      </c>
      <c r="HB62" s="64">
        <v>9.9999999999999995E-7</v>
      </c>
      <c r="HC62" s="64">
        <v>9.9999999999999995E-7</v>
      </c>
      <c r="HD62" s="64">
        <v>9.9999999999999995E-7</v>
      </c>
      <c r="HE62" s="64">
        <v>9.9999999999999995E-7</v>
      </c>
      <c r="HF62" s="64">
        <v>9.9999999999999995E-7</v>
      </c>
      <c r="HG62" s="64">
        <v>9.9999999999999995E-7</v>
      </c>
      <c r="HH62" s="64">
        <v>9.9999999999999995E-7</v>
      </c>
      <c r="HI62" s="64">
        <v>1.9999999999999999E-6</v>
      </c>
      <c r="HJ62" s="64">
        <v>9.9999999999999995E-7</v>
      </c>
      <c r="HK62" s="64">
        <v>9.9999999999999995E-7</v>
      </c>
      <c r="HL62" s="64">
        <v>9.9999999999999995E-7</v>
      </c>
      <c r="HM62" s="64">
        <v>1.9999999999999999E-6</v>
      </c>
      <c r="HN62" s="64">
        <v>1.9999999999999999E-6</v>
      </c>
      <c r="HO62" s="64">
        <v>9.9999999999999995E-7</v>
      </c>
      <c r="HP62" s="64">
        <v>9.9999999999999995E-7</v>
      </c>
      <c r="HQ62" s="64">
        <v>9.9999999999999995E-7</v>
      </c>
      <c r="HR62" s="64">
        <v>9.9999999999999995E-7</v>
      </c>
      <c r="HS62" s="64">
        <v>9.9999999999999995E-7</v>
      </c>
      <c r="HT62" s="64">
        <v>3.0000000000000001E-6</v>
      </c>
      <c r="HU62" s="64">
        <v>9.9999999999999995E-7</v>
      </c>
      <c r="HV62" s="64">
        <v>0</v>
      </c>
      <c r="HW62" s="64">
        <v>0</v>
      </c>
      <c r="HX62" s="64">
        <v>9.9999999999999995E-7</v>
      </c>
      <c r="HY62" s="64">
        <v>9.9999999999999995E-7</v>
      </c>
      <c r="HZ62" s="64">
        <v>1.9999999999999999E-6</v>
      </c>
      <c r="IA62" s="64">
        <v>1.9999999999999999E-6</v>
      </c>
      <c r="IB62" s="64">
        <v>1.9999999999999999E-6</v>
      </c>
      <c r="IC62" s="64">
        <v>1.9999999999999999E-6</v>
      </c>
      <c r="ID62" s="64">
        <v>0</v>
      </c>
      <c r="IE62" s="64">
        <v>1.9999999999999999E-6</v>
      </c>
      <c r="IF62" s="64">
        <v>1.9999999999999999E-6</v>
      </c>
      <c r="IG62" s="64">
        <v>1.9999999999999999E-6</v>
      </c>
      <c r="IH62" s="64">
        <v>1.9999999999999999E-6</v>
      </c>
      <c r="II62" s="64">
        <v>1.9999999999999999E-6</v>
      </c>
      <c r="IJ62" s="64">
        <v>1.9999999999999999E-6</v>
      </c>
      <c r="IK62" s="64">
        <v>1.9999999999999999E-6</v>
      </c>
      <c r="IL62" s="64">
        <v>3.9999999999999998E-6</v>
      </c>
      <c r="IM62" s="64">
        <v>3.9999999999999998E-6</v>
      </c>
      <c r="IN62" s="64">
        <v>3.0000000000000001E-6</v>
      </c>
      <c r="IO62" s="64">
        <v>3.0000000000000001E-6</v>
      </c>
      <c r="IP62" s="64">
        <v>6.0000000000000002E-6</v>
      </c>
      <c r="IQ62" s="64">
        <v>3.0000000000000001E-6</v>
      </c>
      <c r="IR62" s="64">
        <v>1.9999999999999999E-6</v>
      </c>
      <c r="IS62" s="64">
        <v>3.0000000000000001E-6</v>
      </c>
      <c r="IT62" s="64">
        <v>3.9999999999999998E-6</v>
      </c>
      <c r="IU62" s="64">
        <v>7.9999999999999996E-6</v>
      </c>
      <c r="IV62" s="64">
        <v>1.9999999999999999E-6</v>
      </c>
      <c r="IW62" s="64">
        <v>3.0000000000000001E-6</v>
      </c>
      <c r="IX62" s="64">
        <v>3.9999999999999998E-6</v>
      </c>
      <c r="IY62" s="64">
        <v>6.9999999999999999E-6</v>
      </c>
      <c r="IZ62" s="64">
        <v>9.9999999999999995E-7</v>
      </c>
      <c r="JA62" s="64">
        <v>1.0000000000000001E-5</v>
      </c>
      <c r="JB62" s="64">
        <v>1.9999999999999999E-6</v>
      </c>
      <c r="JC62" s="64">
        <v>0</v>
      </c>
      <c r="JD62" s="64">
        <v>0</v>
      </c>
      <c r="JE62" s="64">
        <v>1.9999999999999999E-6</v>
      </c>
      <c r="JF62" s="64">
        <v>1.9999999999999999E-6</v>
      </c>
      <c r="JG62" s="64">
        <v>3.4E-5</v>
      </c>
      <c r="JH62" s="64">
        <v>3.4E-5</v>
      </c>
      <c r="JI62" s="64">
        <v>3.4E-5</v>
      </c>
      <c r="JJ62" s="64">
        <v>3.4E-5</v>
      </c>
      <c r="JK62" s="64">
        <v>0</v>
      </c>
      <c r="JL62" s="64">
        <v>4.8000000000000001E-5</v>
      </c>
      <c r="JM62" s="64">
        <v>4.8000000000000001E-5</v>
      </c>
      <c r="JN62" s="64">
        <v>4.8000000000000001E-5</v>
      </c>
      <c r="JO62" s="64">
        <v>4.8000000000000001E-5</v>
      </c>
      <c r="JP62" s="64">
        <v>4.8000000000000001E-5</v>
      </c>
      <c r="JQ62" s="64">
        <v>4.8000000000000001E-5</v>
      </c>
      <c r="JR62" s="64">
        <v>4.8000000000000001E-5</v>
      </c>
      <c r="JS62" s="64">
        <v>4.1999999999999998E-5</v>
      </c>
      <c r="JT62" s="64">
        <v>4.1999999999999998E-5</v>
      </c>
      <c r="JU62" s="64">
        <v>5.1999999999999997E-5</v>
      </c>
      <c r="JV62" s="64">
        <v>5.1999999999999997E-5</v>
      </c>
      <c r="JW62" s="64">
        <v>6.3E-5</v>
      </c>
      <c r="JX62" s="64">
        <v>4.0000000000000003E-5</v>
      </c>
      <c r="JY62" s="64">
        <v>6.6000000000000005E-5</v>
      </c>
      <c r="JZ62" s="64">
        <v>4.5000000000000003E-5</v>
      </c>
      <c r="KA62" s="64">
        <v>1.2999999999999999E-4</v>
      </c>
      <c r="KB62" s="64">
        <v>2.22E-4</v>
      </c>
      <c r="KC62" s="64">
        <v>2.5000000000000001E-5</v>
      </c>
      <c r="KD62" s="64">
        <v>3.0000000000000001E-5</v>
      </c>
      <c r="KE62" s="64">
        <v>1.47E-4</v>
      </c>
      <c r="KF62" s="64">
        <v>4.8999999999999998E-5</v>
      </c>
      <c r="KG62" s="64">
        <v>3.6999999999999998E-5</v>
      </c>
      <c r="KH62" s="64">
        <v>1.2E-4</v>
      </c>
      <c r="KI62" s="64">
        <v>3.1999999999999999E-5</v>
      </c>
      <c r="KJ62" s="64">
        <v>2.5000000000000001E-5</v>
      </c>
      <c r="KK62" s="64">
        <v>1.8E-5</v>
      </c>
      <c r="KL62" s="64">
        <v>2.0000000000000002E-5</v>
      </c>
      <c r="KM62" s="64">
        <v>2.0000000000000002E-5</v>
      </c>
      <c r="KN62" s="64">
        <v>9.9999999999999995E-7</v>
      </c>
      <c r="KO62" s="64">
        <v>9.9999999999999995E-7</v>
      </c>
      <c r="KP62" s="64">
        <v>9.9999999999999995E-7</v>
      </c>
      <c r="KQ62" s="64">
        <v>9.9999999999999995E-7</v>
      </c>
      <c r="KR62" s="64">
        <v>0</v>
      </c>
      <c r="KS62" s="64">
        <v>1.9999999999999999E-6</v>
      </c>
      <c r="KT62" s="64">
        <v>1.9999999999999999E-6</v>
      </c>
      <c r="KU62" s="64">
        <v>1.9999999999999999E-6</v>
      </c>
      <c r="KV62" s="64">
        <v>1.9999999999999999E-6</v>
      </c>
      <c r="KW62" s="64">
        <v>1.9999999999999999E-6</v>
      </c>
      <c r="KX62" s="64">
        <v>1.9999999999999999E-6</v>
      </c>
      <c r="KY62" s="64">
        <v>1.9999999999999999E-6</v>
      </c>
      <c r="KZ62" s="64">
        <v>9.9999999999999995E-7</v>
      </c>
      <c r="LA62" s="64">
        <v>9.9999999999999995E-7</v>
      </c>
      <c r="LB62" s="64">
        <v>9.9999999999999995E-7</v>
      </c>
      <c r="LC62" s="64">
        <v>9.9999999999999995E-7</v>
      </c>
      <c r="LD62" s="64">
        <v>3.9999999999999998E-6</v>
      </c>
      <c r="LE62" s="64">
        <v>9.9999999999999995E-7</v>
      </c>
      <c r="LF62" s="64">
        <v>1.9999999999999999E-6</v>
      </c>
      <c r="LG62" s="64">
        <v>9.9999999999999995E-7</v>
      </c>
      <c r="LH62" s="64">
        <v>3.9999999999999998E-6</v>
      </c>
      <c r="LI62" s="64">
        <v>3.0000000000000001E-6</v>
      </c>
      <c r="LJ62" s="64">
        <v>1.9999999999999999E-6</v>
      </c>
      <c r="LK62" s="64">
        <v>9.9999999999999995E-7</v>
      </c>
      <c r="LL62" s="64">
        <v>1.9999999999999999E-6</v>
      </c>
      <c r="LM62" s="64">
        <v>1.9999999999999999E-6</v>
      </c>
      <c r="LN62" s="64">
        <v>9.9999999999999995E-7</v>
      </c>
      <c r="LO62" s="64">
        <v>7.9999999999999996E-6</v>
      </c>
      <c r="LP62" s="64">
        <v>1.9999999999999999E-6</v>
      </c>
      <c r="LQ62" s="64">
        <v>0</v>
      </c>
      <c r="LR62" s="64">
        <v>0</v>
      </c>
      <c r="LS62" s="64">
        <v>1.9999999999999999E-6</v>
      </c>
      <c r="LT62" s="64">
        <v>1.9999999999999999E-6</v>
      </c>
      <c r="LU62" s="64">
        <v>9.9999999999999995E-7</v>
      </c>
      <c r="LV62" s="64">
        <v>9.9999999999999995E-7</v>
      </c>
      <c r="LW62" s="64">
        <v>9.9999999999999995E-7</v>
      </c>
      <c r="LX62" s="64">
        <v>9.9999999999999995E-7</v>
      </c>
      <c r="LY62" s="64">
        <v>0</v>
      </c>
      <c r="LZ62" s="64">
        <v>1.9999999999999999E-6</v>
      </c>
      <c r="MA62" s="64">
        <v>1.9999999999999999E-6</v>
      </c>
      <c r="MB62" s="64">
        <v>1.9999999999999999E-6</v>
      </c>
      <c r="MC62" s="64">
        <v>1.9999999999999999E-6</v>
      </c>
      <c r="MD62" s="64">
        <v>1.9999999999999999E-6</v>
      </c>
      <c r="ME62" s="64">
        <v>1.9999999999999999E-6</v>
      </c>
      <c r="MF62" s="64">
        <v>1.9999999999999999E-6</v>
      </c>
      <c r="MG62" s="64">
        <v>1.9999999999999999E-6</v>
      </c>
      <c r="MH62" s="64">
        <v>1.9999999999999999E-6</v>
      </c>
      <c r="MI62" s="64">
        <v>1.9999999999999999E-6</v>
      </c>
      <c r="MJ62" s="64">
        <v>1.9999999999999999E-6</v>
      </c>
      <c r="MK62" s="64">
        <v>5.0000000000000004E-6</v>
      </c>
      <c r="ML62" s="64">
        <v>1.9999999999999999E-6</v>
      </c>
      <c r="MM62" s="64">
        <v>1.9999999999999999E-6</v>
      </c>
      <c r="MN62" s="64">
        <v>1.9999999999999999E-6</v>
      </c>
      <c r="MO62" s="64">
        <v>3.9999999999999998E-6</v>
      </c>
      <c r="MP62" s="64">
        <v>3.9999999999999998E-6</v>
      </c>
      <c r="MQ62" s="64">
        <v>1.9999999999999999E-6</v>
      </c>
      <c r="MR62" s="64">
        <v>1.9999999999999999E-6</v>
      </c>
      <c r="MS62" s="64">
        <v>1.9999999999999999E-6</v>
      </c>
      <c r="MT62" s="64">
        <v>3.0000000000000001E-6</v>
      </c>
      <c r="MU62" s="64">
        <v>1.9999999999999999E-6</v>
      </c>
      <c r="MV62" s="64">
        <v>3.9999999999999998E-6</v>
      </c>
      <c r="MW62" s="64">
        <v>9.9999999999999995E-7</v>
      </c>
      <c r="MX62" s="64">
        <v>0</v>
      </c>
      <c r="MY62" s="64">
        <v>0</v>
      </c>
      <c r="MZ62" s="64">
        <v>9.9999999999999995E-7</v>
      </c>
      <c r="NA62" s="64">
        <v>9.9999999999999995E-7</v>
      </c>
      <c r="NB62" s="64"/>
      <c r="NC62" s="64"/>
      <c r="ND62" s="64"/>
      <c r="NE62" s="64"/>
      <c r="NF62" s="64"/>
      <c r="NG62" s="64"/>
      <c r="NH62" s="64"/>
      <c r="NI62" s="64"/>
      <c r="NJ62" s="64"/>
      <c r="NK62" s="64"/>
      <c r="NL62" s="64"/>
      <c r="NM62" s="64"/>
      <c r="NN62" s="64"/>
      <c r="NO62" s="64"/>
      <c r="NP62" s="64"/>
      <c r="NQ62" s="64"/>
      <c r="NR62" s="64"/>
      <c r="NS62" s="64"/>
      <c r="NT62" s="64"/>
      <c r="NU62" s="64"/>
      <c r="NV62" s="64"/>
      <c r="NW62" s="64"/>
      <c r="NX62" s="64"/>
      <c r="NY62" s="64"/>
      <c r="NZ62" s="64"/>
      <c r="OA62" s="64"/>
      <c r="OB62" s="64"/>
      <c r="OC62" s="64"/>
      <c r="OD62" s="64"/>
      <c r="OE62" s="64"/>
      <c r="OF62" s="64"/>
      <c r="OG62" s="64"/>
      <c r="OH62" s="64"/>
      <c r="OI62" s="64"/>
      <c r="OJ62" s="64"/>
      <c r="OK62" s="64"/>
      <c r="OL62" s="64"/>
      <c r="OM62" s="64"/>
      <c r="ON62" s="64"/>
      <c r="OO62" s="64"/>
      <c r="OP62" s="64"/>
      <c r="OQ62" s="64"/>
      <c r="OR62" s="64"/>
      <c r="OS62" s="64"/>
    </row>
    <row r="63" spans="1:409">
      <c r="A63" s="65" t="s">
        <v>99</v>
      </c>
      <c r="B63" s="65" t="s">
        <v>17</v>
      </c>
      <c r="C63" s="65">
        <v>5.7129570594476311E-3</v>
      </c>
      <c r="D63" s="65">
        <v>1.051082291152221E-2</v>
      </c>
      <c r="E63" s="65">
        <v>3.4227073271225501E-3</v>
      </c>
      <c r="F63" s="65">
        <v>3.395636157999028E-3</v>
      </c>
      <c r="G63" s="65">
        <v>0</v>
      </c>
      <c r="H63" s="65">
        <v>7.1969809473338394E-3</v>
      </c>
      <c r="I63" s="65">
        <v>6.1671295676402763E-3</v>
      </c>
      <c r="J63" s="65">
        <v>1.337259850893757E-2</v>
      </c>
      <c r="K63" s="65">
        <v>9.7518656849921604E-3</v>
      </c>
      <c r="L63" s="65">
        <v>6.3993004434828539E-3</v>
      </c>
      <c r="M63" s="65">
        <v>7.4797366816548227E-3</v>
      </c>
      <c r="N63" s="65">
        <v>1.9468662233656561E-2</v>
      </c>
      <c r="O63" s="65">
        <v>2.140159314033006E-2</v>
      </c>
      <c r="P63" s="65">
        <v>8.0876767307742521E-3</v>
      </c>
      <c r="Q63" s="65">
        <v>1.661377225354746E-2</v>
      </c>
      <c r="R63" s="65">
        <v>1.634760627534259E-2</v>
      </c>
      <c r="S63" s="65">
        <v>4.0255797688009527E-2</v>
      </c>
      <c r="T63" s="65">
        <v>2.690162693323014E-2</v>
      </c>
      <c r="U63" s="65">
        <v>1.441765833723048E-2</v>
      </c>
      <c r="V63" s="65">
        <v>2.2872004317717031E-2</v>
      </c>
      <c r="W63" s="65">
        <v>6.7425072051630966E-2</v>
      </c>
      <c r="X63" s="65">
        <v>5.0356024557885813E-2</v>
      </c>
      <c r="Y63" s="65">
        <v>1.098160056156678</v>
      </c>
      <c r="Z63" s="65">
        <v>6.9779838415279681E-3</v>
      </c>
      <c r="AA63" s="65">
        <v>5.5525354291095272E-2</v>
      </c>
      <c r="AB63" s="65">
        <v>6.0033054370708168E-2</v>
      </c>
      <c r="AC63" s="65">
        <v>5.6104922824236091E-2</v>
      </c>
      <c r="AD63" s="65">
        <v>3.9299623517281973E-2</v>
      </c>
      <c r="AE63" s="65">
        <v>1.330155891368609E-2</v>
      </c>
      <c r="AF63" s="65">
        <v>2.2170727085045031E-2</v>
      </c>
      <c r="AG63" s="65">
        <v>1.627282016575558E-2</v>
      </c>
      <c r="AH63" s="65">
        <v>7.3760932168053073E-2</v>
      </c>
      <c r="AI63" s="65">
        <v>1.998526907145326E-2</v>
      </c>
      <c r="AJ63" s="65">
        <v>5.3999999999999998E-5</v>
      </c>
      <c r="AK63" s="65">
        <v>5.3999999999999998E-5</v>
      </c>
      <c r="AL63" s="65">
        <v>5.3999999999999998E-5</v>
      </c>
      <c r="AM63" s="65">
        <v>5.3999999999999998E-5</v>
      </c>
      <c r="AN63" s="65">
        <v>0</v>
      </c>
      <c r="AO63" s="65">
        <v>3.4999999999999997E-5</v>
      </c>
      <c r="AP63" s="65">
        <v>3.4999999999999997E-5</v>
      </c>
      <c r="AQ63" s="65">
        <v>3.4999999999999997E-5</v>
      </c>
      <c r="AR63" s="65">
        <v>3.4999999999999997E-5</v>
      </c>
      <c r="AS63" s="65">
        <v>3.4999999999999997E-5</v>
      </c>
      <c r="AT63" s="65">
        <v>3.4999999999999997E-5</v>
      </c>
      <c r="AU63" s="65">
        <v>3.4999999999999997E-5</v>
      </c>
      <c r="AV63" s="65">
        <v>3.6999999999999998E-5</v>
      </c>
      <c r="AW63" s="65">
        <v>3.6999999999999998E-5</v>
      </c>
      <c r="AX63" s="65">
        <v>3.8999999999999999E-5</v>
      </c>
      <c r="AY63" s="65">
        <v>3.8999999999999999E-5</v>
      </c>
      <c r="AZ63" s="65">
        <v>1.6899999999999999E-4</v>
      </c>
      <c r="BA63" s="65">
        <v>3.8000000000000002E-5</v>
      </c>
      <c r="BB63" s="65">
        <v>2.9E-5</v>
      </c>
      <c r="BC63" s="65">
        <v>3.0000000000000001E-5</v>
      </c>
      <c r="BD63" s="65">
        <v>5.1E-5</v>
      </c>
      <c r="BE63" s="65">
        <v>4.6999999999999997E-5</v>
      </c>
      <c r="BF63" s="65">
        <v>5.3000000000000001E-5</v>
      </c>
      <c r="BG63" s="65">
        <v>2.0000000000000002E-5</v>
      </c>
      <c r="BH63" s="65">
        <v>7.9999999999999996E-6</v>
      </c>
      <c r="BI63" s="65">
        <v>1.5E-5</v>
      </c>
      <c r="BJ63" s="65">
        <v>1.5999999999999999E-5</v>
      </c>
      <c r="BK63" s="65">
        <v>1.9000000000000001E-5</v>
      </c>
      <c r="BL63" s="65">
        <v>5.0000000000000004E-6</v>
      </c>
      <c r="BM63" s="65">
        <v>9.9999999999999995E-7</v>
      </c>
      <c r="BN63" s="65">
        <v>9.9999999999999995E-7</v>
      </c>
      <c r="BO63" s="65">
        <v>7.9999999999999996E-6</v>
      </c>
      <c r="BP63" s="65">
        <v>7.9999999999999996E-6</v>
      </c>
      <c r="BQ63" s="65">
        <v>3.9999999999999998E-6</v>
      </c>
      <c r="BR63" s="65">
        <v>3.9999999999999998E-6</v>
      </c>
      <c r="BS63" s="65">
        <v>3.9999999999999998E-6</v>
      </c>
      <c r="BT63" s="65">
        <v>3.9999999999999998E-6</v>
      </c>
      <c r="BU63" s="65">
        <v>0</v>
      </c>
      <c r="BV63" s="65">
        <v>6.0000000000000002E-6</v>
      </c>
      <c r="BW63" s="65">
        <v>6.0000000000000002E-6</v>
      </c>
      <c r="BX63" s="65">
        <v>6.0000000000000002E-6</v>
      </c>
      <c r="BY63" s="65">
        <v>6.0000000000000002E-6</v>
      </c>
      <c r="BZ63" s="65">
        <v>6.0000000000000002E-6</v>
      </c>
      <c r="CA63" s="65">
        <v>6.0000000000000002E-6</v>
      </c>
      <c r="CB63" s="65">
        <v>6.0000000000000002E-6</v>
      </c>
      <c r="CC63" s="65">
        <v>1.1E-5</v>
      </c>
      <c r="CD63" s="65">
        <v>1.1E-5</v>
      </c>
      <c r="CE63" s="65">
        <v>6.0000000000000002E-6</v>
      </c>
      <c r="CF63" s="65">
        <v>6.0000000000000002E-6</v>
      </c>
      <c r="CG63" s="65">
        <v>1.8E-5</v>
      </c>
      <c r="CH63" s="65">
        <v>5.0000000000000004E-6</v>
      </c>
      <c r="CI63" s="65">
        <v>1.1E-5</v>
      </c>
      <c r="CJ63" s="65">
        <v>6.0000000000000002E-6</v>
      </c>
      <c r="CK63" s="65">
        <v>1.2E-5</v>
      </c>
      <c r="CL63" s="65">
        <v>1.1E-5</v>
      </c>
      <c r="CM63" s="65">
        <v>6.0000000000000002E-6</v>
      </c>
      <c r="CN63" s="65">
        <v>3.9999999999999998E-6</v>
      </c>
      <c r="CO63" s="65">
        <v>3.9999999999999998E-6</v>
      </c>
      <c r="CP63" s="65">
        <v>6.0000000000000002E-6</v>
      </c>
      <c r="CQ63" s="65">
        <v>5.0000000000000004E-6</v>
      </c>
      <c r="CR63" s="65">
        <v>1.5999999999999999E-5</v>
      </c>
      <c r="CS63" s="65">
        <v>5.0000000000000004E-6</v>
      </c>
      <c r="CT63" s="65">
        <v>9.9999999999999995E-7</v>
      </c>
      <c r="CU63" s="65">
        <v>9.9999999999999995E-7</v>
      </c>
      <c r="CV63" s="65">
        <v>3.9999999999999998E-6</v>
      </c>
      <c r="CW63" s="65">
        <v>3.9999999999999998E-6</v>
      </c>
      <c r="CX63" s="65">
        <v>9.9999999999999995E-7</v>
      </c>
      <c r="CY63" s="65">
        <v>9.9999999999999995E-7</v>
      </c>
      <c r="CZ63" s="65">
        <v>9.9999999999999995E-7</v>
      </c>
      <c r="DA63" s="65">
        <v>9.9999999999999995E-7</v>
      </c>
      <c r="DB63" s="65">
        <v>0</v>
      </c>
      <c r="DC63" s="65">
        <v>3.0000000000000001E-6</v>
      </c>
      <c r="DD63" s="65">
        <v>3.0000000000000001E-6</v>
      </c>
      <c r="DE63" s="65">
        <v>3.0000000000000001E-6</v>
      </c>
      <c r="DF63" s="65">
        <v>3.0000000000000001E-6</v>
      </c>
      <c r="DG63" s="65">
        <v>3.0000000000000001E-6</v>
      </c>
      <c r="DH63" s="65">
        <v>3.0000000000000001E-6</v>
      </c>
      <c r="DI63" s="65">
        <v>3.0000000000000001E-6</v>
      </c>
      <c r="DJ63" s="65">
        <v>3.9999999999999998E-6</v>
      </c>
      <c r="DK63" s="65">
        <v>3.9999999999999998E-6</v>
      </c>
      <c r="DL63" s="65">
        <v>3.0000000000000001E-6</v>
      </c>
      <c r="DM63" s="65">
        <v>3.0000000000000001E-6</v>
      </c>
      <c r="DN63" s="65">
        <v>7.9999999999999996E-6</v>
      </c>
      <c r="DO63" s="65">
        <v>3.0000000000000001E-6</v>
      </c>
      <c r="DP63" s="65">
        <v>3.0000000000000001E-6</v>
      </c>
      <c r="DQ63" s="65">
        <v>3.0000000000000001E-6</v>
      </c>
      <c r="DR63" s="65">
        <v>7.9999999999999996E-6</v>
      </c>
      <c r="DS63" s="65">
        <v>5.0000000000000004E-6</v>
      </c>
      <c r="DT63" s="65">
        <v>3.0000000000000001E-6</v>
      </c>
      <c r="DU63" s="65">
        <v>5.0000000000000004E-6</v>
      </c>
      <c r="DV63" s="65">
        <v>3.9999999999999998E-6</v>
      </c>
      <c r="DW63" s="65">
        <v>3.0000000000000001E-6</v>
      </c>
      <c r="DX63" s="65">
        <v>1.9999999999999999E-6</v>
      </c>
      <c r="DY63" s="65">
        <v>6.9999999999999999E-6</v>
      </c>
      <c r="DZ63" s="65">
        <v>9.9999999999999995E-7</v>
      </c>
      <c r="EA63" s="65">
        <v>0</v>
      </c>
      <c r="EB63" s="65">
        <v>0</v>
      </c>
      <c r="EC63" s="65">
        <v>3.0000000000000001E-6</v>
      </c>
      <c r="ED63" s="65">
        <v>3.0000000000000001E-6</v>
      </c>
      <c r="EE63" s="65">
        <v>1.9999999999999999E-6</v>
      </c>
      <c r="EF63" s="65">
        <v>1.9999999999999999E-6</v>
      </c>
      <c r="EG63" s="65">
        <v>1.9999999999999999E-6</v>
      </c>
      <c r="EH63" s="65">
        <v>1.9999999999999999E-6</v>
      </c>
      <c r="EI63" s="65">
        <v>0</v>
      </c>
      <c r="EJ63" s="65">
        <v>1.9999999999999999E-6</v>
      </c>
      <c r="EK63" s="65">
        <v>1.9999999999999999E-6</v>
      </c>
      <c r="EL63" s="65">
        <v>1.9999999999999999E-6</v>
      </c>
      <c r="EM63" s="65">
        <v>1.9999999999999999E-6</v>
      </c>
      <c r="EN63" s="65">
        <v>1.9999999999999999E-6</v>
      </c>
      <c r="EO63" s="65">
        <v>1.9999999999999999E-6</v>
      </c>
      <c r="EP63" s="65">
        <v>1.9999999999999999E-6</v>
      </c>
      <c r="EQ63" s="65">
        <v>3.0000000000000001E-6</v>
      </c>
      <c r="ER63" s="65">
        <v>3.0000000000000001E-6</v>
      </c>
      <c r="ES63" s="65">
        <v>1.9999999999999999E-6</v>
      </c>
      <c r="ET63" s="65">
        <v>1.9999999999999999E-6</v>
      </c>
      <c r="EU63" s="65">
        <v>6.9999999999999999E-6</v>
      </c>
      <c r="EV63" s="65">
        <v>1.9999999999999999E-6</v>
      </c>
      <c r="EW63" s="65">
        <v>3.0000000000000001E-6</v>
      </c>
      <c r="EX63" s="65">
        <v>3.0000000000000001E-6</v>
      </c>
      <c r="EY63" s="65">
        <v>5.0000000000000004E-6</v>
      </c>
      <c r="EZ63" s="65">
        <v>3.9999999999999998E-6</v>
      </c>
      <c r="FA63" s="65">
        <v>1.9999999999999999E-6</v>
      </c>
      <c r="FB63" s="65">
        <v>1.9999999999999999E-6</v>
      </c>
      <c r="FC63" s="65">
        <v>1.9999999999999999E-6</v>
      </c>
      <c r="FD63" s="65">
        <v>1.9999999999999999E-6</v>
      </c>
      <c r="FE63" s="65">
        <v>1.9999999999999999E-6</v>
      </c>
      <c r="FF63" s="65">
        <v>5.0000000000000004E-6</v>
      </c>
      <c r="FG63" s="65">
        <v>3.0000000000000001E-6</v>
      </c>
      <c r="FH63" s="65">
        <v>9.9999999999999995E-7</v>
      </c>
      <c r="FI63" s="65">
        <v>9.9999999999999995E-7</v>
      </c>
      <c r="FJ63" s="65">
        <v>3.0000000000000001E-6</v>
      </c>
      <c r="FK63" s="65">
        <v>3.0000000000000001E-6</v>
      </c>
      <c r="FL63" s="65">
        <v>5.3000000000000001E-5</v>
      </c>
      <c r="FM63" s="65">
        <v>5.3000000000000001E-5</v>
      </c>
      <c r="FN63" s="65">
        <v>5.3000000000000001E-5</v>
      </c>
      <c r="FO63" s="65">
        <v>5.3000000000000001E-5</v>
      </c>
      <c r="FP63" s="65">
        <v>0</v>
      </c>
      <c r="FQ63" s="65">
        <v>1.03E-4</v>
      </c>
      <c r="FR63" s="65">
        <v>1.03E-4</v>
      </c>
      <c r="FS63" s="65">
        <v>1.03E-4</v>
      </c>
      <c r="FT63" s="65">
        <v>1.03E-4</v>
      </c>
      <c r="FU63" s="65">
        <v>1.03E-4</v>
      </c>
      <c r="FV63" s="65">
        <v>1.03E-4</v>
      </c>
      <c r="FW63" s="65">
        <v>1.03E-4</v>
      </c>
      <c r="FX63" s="65">
        <v>5.8999999999999998E-5</v>
      </c>
      <c r="FY63" s="65">
        <v>5.8999999999999998E-5</v>
      </c>
      <c r="FZ63" s="65">
        <v>2.3E-5</v>
      </c>
      <c r="GA63" s="65">
        <v>2.3E-5</v>
      </c>
      <c r="GB63" s="65">
        <v>8.7000000000000001E-5</v>
      </c>
      <c r="GC63" s="65">
        <v>2.3E-5</v>
      </c>
      <c r="GD63" s="65">
        <v>2.5999999999999998E-5</v>
      </c>
      <c r="GE63" s="65">
        <v>1.9000000000000001E-5</v>
      </c>
      <c r="GF63" s="65">
        <v>8.5000000000000006E-5</v>
      </c>
      <c r="GG63" s="65">
        <v>4.1E-5</v>
      </c>
      <c r="GH63" s="65">
        <v>5.8999999999999998E-5</v>
      </c>
      <c r="GI63" s="65">
        <v>1.5999999999999999E-5</v>
      </c>
      <c r="GJ63" s="65">
        <v>1.0000000000000001E-5</v>
      </c>
      <c r="GK63" s="65">
        <v>1.8E-5</v>
      </c>
      <c r="GL63" s="65">
        <v>4.5000000000000003E-5</v>
      </c>
      <c r="GM63" s="65">
        <v>4.8000000000000001E-5</v>
      </c>
      <c r="GN63" s="65">
        <v>7.9999999999999996E-6</v>
      </c>
      <c r="GO63" s="65">
        <v>1.9999999999999999E-6</v>
      </c>
      <c r="GP63" s="65">
        <v>1.9999999999999999E-6</v>
      </c>
      <c r="GQ63" s="65">
        <v>1.1E-5</v>
      </c>
      <c r="GR63" s="65">
        <v>1.1E-5</v>
      </c>
      <c r="GS63" s="65">
        <v>9.9999999999999995E-7</v>
      </c>
      <c r="GT63" s="65">
        <v>9.9999999999999995E-7</v>
      </c>
      <c r="GU63" s="65">
        <v>9.9999999999999995E-7</v>
      </c>
      <c r="GV63" s="65">
        <v>9.9999999999999995E-7</v>
      </c>
      <c r="GW63" s="65">
        <v>0</v>
      </c>
      <c r="GX63" s="65">
        <v>3.0000000000000001E-6</v>
      </c>
      <c r="GY63" s="65">
        <v>3.0000000000000001E-6</v>
      </c>
      <c r="GZ63" s="65">
        <v>3.0000000000000001E-6</v>
      </c>
      <c r="HA63" s="65">
        <v>3.0000000000000001E-6</v>
      </c>
      <c r="HB63" s="65">
        <v>3.0000000000000001E-6</v>
      </c>
      <c r="HC63" s="65">
        <v>3.0000000000000001E-6</v>
      </c>
      <c r="HD63" s="65">
        <v>3.0000000000000001E-6</v>
      </c>
      <c r="HE63" s="65">
        <v>5.0000000000000004E-6</v>
      </c>
      <c r="HF63" s="65">
        <v>5.0000000000000004E-6</v>
      </c>
      <c r="HG63" s="65">
        <v>3.0000000000000001E-6</v>
      </c>
      <c r="HH63" s="65">
        <v>3.0000000000000001E-6</v>
      </c>
      <c r="HI63" s="65">
        <v>7.9999999999999996E-6</v>
      </c>
      <c r="HJ63" s="65">
        <v>3.0000000000000001E-6</v>
      </c>
      <c r="HK63" s="65">
        <v>3.0000000000000001E-6</v>
      </c>
      <c r="HL63" s="65">
        <v>3.0000000000000001E-6</v>
      </c>
      <c r="HM63" s="65">
        <v>7.9999999999999996E-6</v>
      </c>
      <c r="HN63" s="65">
        <v>9.0000000000000002E-6</v>
      </c>
      <c r="HO63" s="65">
        <v>3.0000000000000001E-6</v>
      </c>
      <c r="HP63" s="65">
        <v>5.0000000000000004E-6</v>
      </c>
      <c r="HQ63" s="65">
        <v>3.9999999999999998E-6</v>
      </c>
      <c r="HR63" s="65">
        <v>3.0000000000000001E-6</v>
      </c>
      <c r="HS63" s="65">
        <v>3.9999999999999998E-6</v>
      </c>
      <c r="HT63" s="65">
        <v>1.2E-5</v>
      </c>
      <c r="HU63" s="65">
        <v>3.9999999999999998E-6</v>
      </c>
      <c r="HV63" s="65">
        <v>9.9999999999999995E-7</v>
      </c>
      <c r="HW63" s="65">
        <v>9.9999999999999995E-7</v>
      </c>
      <c r="HX63" s="65">
        <v>3.0000000000000001E-6</v>
      </c>
      <c r="HY63" s="65">
        <v>3.0000000000000001E-6</v>
      </c>
      <c r="HZ63" s="65">
        <v>6.9999999999999999E-6</v>
      </c>
      <c r="IA63" s="65">
        <v>6.9999999999999999E-6</v>
      </c>
      <c r="IB63" s="65">
        <v>6.9999999999999999E-6</v>
      </c>
      <c r="IC63" s="65">
        <v>6.9999999999999999E-6</v>
      </c>
      <c r="ID63" s="65">
        <v>0</v>
      </c>
      <c r="IE63" s="65">
        <v>1.2999999999999999E-5</v>
      </c>
      <c r="IF63" s="65">
        <v>1.2999999999999999E-5</v>
      </c>
      <c r="IG63" s="65">
        <v>1.2999999999999999E-5</v>
      </c>
      <c r="IH63" s="65">
        <v>1.2999999999999999E-5</v>
      </c>
      <c r="II63" s="65">
        <v>1.2999999999999999E-5</v>
      </c>
      <c r="IJ63" s="65">
        <v>1.2999999999999999E-5</v>
      </c>
      <c r="IK63" s="65">
        <v>1.2999999999999999E-5</v>
      </c>
      <c r="IL63" s="65">
        <v>6.9999999999999999E-6</v>
      </c>
      <c r="IM63" s="65">
        <v>6.9999999999999999E-6</v>
      </c>
      <c r="IN63" s="65">
        <v>9.0000000000000002E-6</v>
      </c>
      <c r="IO63" s="65">
        <v>9.0000000000000002E-6</v>
      </c>
      <c r="IP63" s="65">
        <v>1.5E-5</v>
      </c>
      <c r="IQ63" s="65">
        <v>6.9999999999999999E-6</v>
      </c>
      <c r="IR63" s="65">
        <v>3.9999999999999998E-6</v>
      </c>
      <c r="IS63" s="65">
        <v>5.0000000000000004E-6</v>
      </c>
      <c r="IT63" s="65">
        <v>7.9999999999999996E-6</v>
      </c>
      <c r="IU63" s="65">
        <v>1.0000000000000001E-5</v>
      </c>
      <c r="IV63" s="65">
        <v>3.9999999999999998E-6</v>
      </c>
      <c r="IW63" s="65">
        <v>6.0000000000000002E-6</v>
      </c>
      <c r="IX63" s="65">
        <v>5.0000000000000004E-6</v>
      </c>
      <c r="IY63" s="65">
        <v>7.9999999999999996E-6</v>
      </c>
      <c r="IZ63" s="65">
        <v>3.9999999999999998E-6</v>
      </c>
      <c r="JA63" s="65">
        <v>1.7E-5</v>
      </c>
      <c r="JB63" s="65">
        <v>5.0000000000000004E-6</v>
      </c>
      <c r="JC63" s="65">
        <v>0</v>
      </c>
      <c r="JD63" s="65">
        <v>0</v>
      </c>
      <c r="JE63" s="65">
        <v>3.9999999999999998E-6</v>
      </c>
      <c r="JF63" s="65">
        <v>3.9999999999999998E-6</v>
      </c>
      <c r="JG63" s="65">
        <v>7.4999999999999993E-5</v>
      </c>
      <c r="JH63" s="65">
        <v>7.4999999999999993E-5</v>
      </c>
      <c r="JI63" s="65">
        <v>7.4999999999999993E-5</v>
      </c>
      <c r="JJ63" s="65">
        <v>7.4999999999999993E-5</v>
      </c>
      <c r="JK63" s="65">
        <v>0</v>
      </c>
      <c r="JL63" s="65">
        <v>1.45E-4</v>
      </c>
      <c r="JM63" s="65">
        <v>1.45E-4</v>
      </c>
      <c r="JN63" s="65">
        <v>1.45E-4</v>
      </c>
      <c r="JO63" s="65">
        <v>1.45E-4</v>
      </c>
      <c r="JP63" s="65">
        <v>1.45E-4</v>
      </c>
      <c r="JQ63" s="65">
        <v>1.45E-4</v>
      </c>
      <c r="JR63" s="65">
        <v>1.45E-4</v>
      </c>
      <c r="JS63" s="65">
        <v>2.0599999999999999E-4</v>
      </c>
      <c r="JT63" s="65">
        <v>2.0599999999999999E-4</v>
      </c>
      <c r="JU63" s="65">
        <v>1.06E-4</v>
      </c>
      <c r="JV63" s="65">
        <v>1.06E-4</v>
      </c>
      <c r="JW63" s="65">
        <v>2.81E-4</v>
      </c>
      <c r="JX63" s="65">
        <v>8.5000000000000006E-5</v>
      </c>
      <c r="JY63" s="65">
        <v>1.5899999999999999E-4</v>
      </c>
      <c r="JZ63" s="65">
        <v>1.0900000000000001E-4</v>
      </c>
      <c r="KA63" s="65">
        <v>2.04E-4</v>
      </c>
      <c r="KB63" s="65">
        <v>1.8699999999999999E-4</v>
      </c>
      <c r="KC63" s="65">
        <v>6.5499999999999998E-4</v>
      </c>
      <c r="KD63" s="65">
        <v>7.4999999999999993E-5</v>
      </c>
      <c r="KE63" s="65">
        <v>1.4100000000000001E-4</v>
      </c>
      <c r="KF63" s="65">
        <v>9.8999999999999994E-5</v>
      </c>
      <c r="KG63" s="65">
        <v>1.16E-4</v>
      </c>
      <c r="KH63" s="65">
        <v>2.2900000000000001E-4</v>
      </c>
      <c r="KI63" s="65">
        <v>9.1000000000000003E-5</v>
      </c>
      <c r="KJ63" s="65">
        <v>1.1900000000000001E-4</v>
      </c>
      <c r="KK63" s="65">
        <v>8.7000000000000001E-5</v>
      </c>
      <c r="KL63" s="65">
        <v>6.3999999999999997E-5</v>
      </c>
      <c r="KM63" s="65">
        <v>6.3999999999999997E-5</v>
      </c>
      <c r="KN63" s="65">
        <v>3.9999999999999998E-6</v>
      </c>
      <c r="KO63" s="65">
        <v>3.9999999999999998E-6</v>
      </c>
      <c r="KP63" s="65">
        <v>3.9999999999999998E-6</v>
      </c>
      <c r="KQ63" s="65">
        <v>3.9999999999999998E-6</v>
      </c>
      <c r="KR63" s="65">
        <v>0</v>
      </c>
      <c r="KS63" s="65">
        <v>6.0000000000000002E-6</v>
      </c>
      <c r="KT63" s="65">
        <v>6.0000000000000002E-6</v>
      </c>
      <c r="KU63" s="65">
        <v>6.0000000000000002E-6</v>
      </c>
      <c r="KV63" s="65">
        <v>6.0000000000000002E-6</v>
      </c>
      <c r="KW63" s="65">
        <v>6.0000000000000002E-6</v>
      </c>
      <c r="KX63" s="65">
        <v>6.0000000000000002E-6</v>
      </c>
      <c r="KY63" s="65">
        <v>6.0000000000000002E-6</v>
      </c>
      <c r="KZ63" s="65">
        <v>6.9999999999999999E-6</v>
      </c>
      <c r="LA63" s="65">
        <v>6.9999999999999999E-6</v>
      </c>
      <c r="LB63" s="65">
        <v>5.0000000000000004E-6</v>
      </c>
      <c r="LC63" s="65">
        <v>5.0000000000000004E-6</v>
      </c>
      <c r="LD63" s="65">
        <v>1.4E-5</v>
      </c>
      <c r="LE63" s="65">
        <v>5.0000000000000004E-6</v>
      </c>
      <c r="LF63" s="65">
        <v>6.9999999999999999E-6</v>
      </c>
      <c r="LG63" s="65">
        <v>5.0000000000000004E-6</v>
      </c>
      <c r="LH63" s="65">
        <v>1.4E-5</v>
      </c>
      <c r="LI63" s="65">
        <v>1.0000000000000001E-5</v>
      </c>
      <c r="LJ63" s="65">
        <v>1.0000000000000001E-5</v>
      </c>
      <c r="LK63" s="65">
        <v>3.0000000000000001E-6</v>
      </c>
      <c r="LL63" s="65">
        <v>6.0000000000000002E-6</v>
      </c>
      <c r="LM63" s="65">
        <v>3.9999999999999998E-6</v>
      </c>
      <c r="LN63" s="65">
        <v>5.0000000000000004E-6</v>
      </c>
      <c r="LO63" s="65">
        <v>3.6000000000000001E-5</v>
      </c>
      <c r="LP63" s="65">
        <v>6.9999999999999999E-6</v>
      </c>
      <c r="LQ63" s="65">
        <v>9.9999999999999995E-7</v>
      </c>
      <c r="LR63" s="65">
        <v>9.9999999999999995E-7</v>
      </c>
      <c r="LS63" s="65">
        <v>6.9999999999999999E-6</v>
      </c>
      <c r="LT63" s="65">
        <v>6.9999999999999999E-6</v>
      </c>
      <c r="LU63" s="65">
        <v>5.0000000000000004E-6</v>
      </c>
      <c r="LV63" s="65">
        <v>5.0000000000000004E-6</v>
      </c>
      <c r="LW63" s="65">
        <v>5.0000000000000004E-6</v>
      </c>
      <c r="LX63" s="65">
        <v>5.0000000000000004E-6</v>
      </c>
      <c r="LY63" s="65">
        <v>0</v>
      </c>
      <c r="LZ63" s="65">
        <v>1.1E-5</v>
      </c>
      <c r="MA63" s="65">
        <v>1.1E-5</v>
      </c>
      <c r="MB63" s="65">
        <v>1.1E-5</v>
      </c>
      <c r="MC63" s="65">
        <v>1.1E-5</v>
      </c>
      <c r="MD63" s="65">
        <v>1.1E-5</v>
      </c>
      <c r="ME63" s="65">
        <v>1.1E-5</v>
      </c>
      <c r="MF63" s="65">
        <v>1.1E-5</v>
      </c>
      <c r="MG63" s="65">
        <v>1.0000000000000001E-5</v>
      </c>
      <c r="MH63" s="65">
        <v>1.0000000000000001E-5</v>
      </c>
      <c r="MI63" s="65">
        <v>6.0000000000000002E-6</v>
      </c>
      <c r="MJ63" s="65">
        <v>6.0000000000000002E-6</v>
      </c>
      <c r="MK63" s="65">
        <v>2.1999999999999999E-5</v>
      </c>
      <c r="ML63" s="65">
        <v>5.0000000000000004E-6</v>
      </c>
      <c r="MM63" s="65">
        <v>1.1E-5</v>
      </c>
      <c r="MN63" s="65">
        <v>6.0000000000000002E-6</v>
      </c>
      <c r="MO63" s="65">
        <v>1.2999999999999999E-5</v>
      </c>
      <c r="MP63" s="65">
        <v>1.2999999999999999E-5</v>
      </c>
      <c r="MQ63" s="65">
        <v>6.0000000000000002E-6</v>
      </c>
      <c r="MR63" s="65">
        <v>6.0000000000000002E-6</v>
      </c>
      <c r="MS63" s="65">
        <v>5.0000000000000004E-6</v>
      </c>
      <c r="MT63" s="65">
        <v>5.0000000000000004E-6</v>
      </c>
      <c r="MU63" s="65">
        <v>6.9999999999999999E-6</v>
      </c>
      <c r="MV63" s="65">
        <v>1.4E-5</v>
      </c>
      <c r="MW63" s="65">
        <v>6.0000000000000002E-6</v>
      </c>
      <c r="MX63" s="65">
        <v>9.9999999999999995E-7</v>
      </c>
      <c r="MY63" s="65">
        <v>9.9999999999999995E-7</v>
      </c>
      <c r="MZ63" s="65">
        <v>5.0000000000000004E-6</v>
      </c>
      <c r="NA63" s="65">
        <v>5.0000000000000004E-6</v>
      </c>
      <c r="NB63" s="65"/>
      <c r="NC63" s="65"/>
      <c r="ND63" s="65"/>
      <c r="NE63" s="65"/>
      <c r="NF63" s="65"/>
      <c r="NG63" s="65"/>
      <c r="NH63" s="65"/>
      <c r="NI63" s="65"/>
      <c r="NJ63" s="65"/>
      <c r="NK63" s="65"/>
      <c r="NL63" s="65"/>
      <c r="NM63" s="65"/>
      <c r="NN63" s="65"/>
      <c r="NO63" s="65"/>
      <c r="NP63" s="65"/>
      <c r="NQ63" s="65"/>
      <c r="NR63" s="65"/>
      <c r="NS63" s="65"/>
      <c r="NT63" s="65"/>
      <c r="NU63" s="65"/>
      <c r="NV63" s="65"/>
      <c r="NW63" s="65"/>
      <c r="NX63" s="65"/>
      <c r="NY63" s="65"/>
      <c r="NZ63" s="65"/>
      <c r="OA63" s="65"/>
      <c r="OB63" s="65"/>
      <c r="OC63" s="65"/>
      <c r="OD63" s="65"/>
      <c r="OE63" s="65"/>
      <c r="OF63" s="65"/>
      <c r="OG63" s="65"/>
      <c r="OH63" s="65"/>
      <c r="OI63" s="65"/>
      <c r="OJ63" s="65"/>
      <c r="OK63" s="65"/>
      <c r="OL63" s="65"/>
      <c r="OM63" s="65"/>
      <c r="ON63" s="65"/>
      <c r="OO63" s="65"/>
      <c r="OP63" s="65"/>
      <c r="OQ63" s="65"/>
      <c r="OR63" s="65"/>
      <c r="OS63" s="65"/>
    </row>
    <row r="64" spans="1:409">
      <c r="A64" s="64" t="s">
        <v>100</v>
      </c>
      <c r="B64" s="64" t="s">
        <v>18</v>
      </c>
      <c r="C64" s="64">
        <v>7.5905842055550802E-4</v>
      </c>
      <c r="D64" s="64">
        <v>8.5539984974767106E-4</v>
      </c>
      <c r="E64" s="64">
        <v>5.7130080764037717E-4</v>
      </c>
      <c r="F64" s="64">
        <v>3.057462389188853E-4</v>
      </c>
      <c r="G64" s="64">
        <v>0</v>
      </c>
      <c r="H64" s="64">
        <v>3.0766304597709698E-4</v>
      </c>
      <c r="I64" s="64">
        <v>1.5833317669398849E-4</v>
      </c>
      <c r="J64" s="64">
        <v>3.5186289503119639E-4</v>
      </c>
      <c r="K64" s="64">
        <v>2.902990166359167E-4</v>
      </c>
      <c r="L64" s="64">
        <v>1.441446496219789E-4</v>
      </c>
      <c r="M64" s="64">
        <v>2.3242217470514659E-4</v>
      </c>
      <c r="N64" s="64">
        <v>2.5557655055945537E-4</v>
      </c>
      <c r="O64" s="64">
        <v>2.27788889603892E-4</v>
      </c>
      <c r="P64" s="64">
        <v>2.781638500173131E-4</v>
      </c>
      <c r="Q64" s="64">
        <v>4.5748324464511749E-4</v>
      </c>
      <c r="R64" s="64">
        <v>5.0891055704059703E-4</v>
      </c>
      <c r="S64" s="64">
        <v>1.8287640143603849E-3</v>
      </c>
      <c r="T64" s="64">
        <v>2.6023633041313962E-4</v>
      </c>
      <c r="U64" s="64">
        <v>2.8217220140462061E-3</v>
      </c>
      <c r="V64" s="64">
        <v>2.4164770500421501E-2</v>
      </c>
      <c r="W64" s="64">
        <v>3.5265552988341747E-2</v>
      </c>
      <c r="X64" s="64">
        <v>1.9278312968328271E-2</v>
      </c>
      <c r="Y64" s="64">
        <v>8.5620599123037476E-4</v>
      </c>
      <c r="Z64" s="64">
        <v>1.0317086616512561</v>
      </c>
      <c r="AA64" s="64">
        <v>1.198205695683305E-2</v>
      </c>
      <c r="AB64" s="64">
        <v>1.1489202141359961E-2</v>
      </c>
      <c r="AC64" s="64">
        <v>3.4273208965952418E-3</v>
      </c>
      <c r="AD64" s="64">
        <v>0.16192065485839299</v>
      </c>
      <c r="AE64" s="64">
        <v>4.5867864171439373E-3</v>
      </c>
      <c r="AF64" s="64">
        <v>4.3954560411663913E-3</v>
      </c>
      <c r="AG64" s="64">
        <v>3.196765127844664E-3</v>
      </c>
      <c r="AH64" s="64">
        <v>6.2735571174549727E-3</v>
      </c>
      <c r="AI64" s="64">
        <v>4.8756345727410076E-3</v>
      </c>
      <c r="AJ64" s="64">
        <v>3.0000000000000001E-6</v>
      </c>
      <c r="AK64" s="64">
        <v>3.0000000000000001E-6</v>
      </c>
      <c r="AL64" s="64">
        <v>3.0000000000000001E-6</v>
      </c>
      <c r="AM64" s="64">
        <v>3.0000000000000001E-6</v>
      </c>
      <c r="AN64" s="64">
        <v>0</v>
      </c>
      <c r="AO64" s="64">
        <v>3.0000000000000001E-6</v>
      </c>
      <c r="AP64" s="64">
        <v>3.0000000000000001E-6</v>
      </c>
      <c r="AQ64" s="64">
        <v>3.0000000000000001E-6</v>
      </c>
      <c r="AR64" s="64">
        <v>3.0000000000000001E-6</v>
      </c>
      <c r="AS64" s="64">
        <v>3.0000000000000001E-6</v>
      </c>
      <c r="AT64" s="64">
        <v>3.0000000000000001E-6</v>
      </c>
      <c r="AU64" s="64">
        <v>3.0000000000000001E-6</v>
      </c>
      <c r="AV64" s="64">
        <v>1.9999999999999999E-6</v>
      </c>
      <c r="AW64" s="64">
        <v>1.9999999999999999E-6</v>
      </c>
      <c r="AX64" s="64">
        <v>3.0000000000000001E-6</v>
      </c>
      <c r="AY64" s="64">
        <v>3.0000000000000001E-6</v>
      </c>
      <c r="AZ64" s="64">
        <v>9.0000000000000002E-6</v>
      </c>
      <c r="BA64" s="64">
        <v>1.9999999999999999E-6</v>
      </c>
      <c r="BB64" s="64">
        <v>3.0000000000000001E-6</v>
      </c>
      <c r="BC64" s="64">
        <v>5.0000000000000004E-6</v>
      </c>
      <c r="BD64" s="64">
        <v>1.1E-5</v>
      </c>
      <c r="BE64" s="64">
        <v>7.9999999999999996E-6</v>
      </c>
      <c r="BF64" s="64">
        <v>9.9999999999999995E-7</v>
      </c>
      <c r="BG64" s="64">
        <v>3.0000000000000001E-6</v>
      </c>
      <c r="BH64" s="64">
        <v>9.9999999999999995E-7</v>
      </c>
      <c r="BI64" s="64">
        <v>1.9999999999999999E-6</v>
      </c>
      <c r="BJ64" s="64">
        <v>9.9999999999999995E-7</v>
      </c>
      <c r="BK64" s="64">
        <v>3.0000000000000001E-6</v>
      </c>
      <c r="BL64" s="64">
        <v>9.9999999999999995E-7</v>
      </c>
      <c r="BM64" s="64">
        <v>0</v>
      </c>
      <c r="BN64" s="64">
        <v>0</v>
      </c>
      <c r="BO64" s="64">
        <v>9.9999999999999995E-7</v>
      </c>
      <c r="BP64" s="64">
        <v>9.9999999999999995E-7</v>
      </c>
      <c r="BQ64" s="64">
        <v>9.9999999999999995E-7</v>
      </c>
      <c r="BR64" s="64">
        <v>9.9999999999999995E-7</v>
      </c>
      <c r="BS64" s="64">
        <v>9.9999999999999995E-7</v>
      </c>
      <c r="BT64" s="64">
        <v>9.9999999999999995E-7</v>
      </c>
      <c r="BU64" s="64">
        <v>0</v>
      </c>
      <c r="BV64" s="64">
        <v>1.9999999999999999E-6</v>
      </c>
      <c r="BW64" s="64">
        <v>1.9999999999999999E-6</v>
      </c>
      <c r="BX64" s="64">
        <v>1.9999999999999999E-6</v>
      </c>
      <c r="BY64" s="64">
        <v>1.9999999999999999E-6</v>
      </c>
      <c r="BZ64" s="64">
        <v>1.9999999999999999E-6</v>
      </c>
      <c r="CA64" s="64">
        <v>1.9999999999999999E-6</v>
      </c>
      <c r="CB64" s="64">
        <v>1.9999999999999999E-6</v>
      </c>
      <c r="CC64" s="64">
        <v>9.9999999999999995E-7</v>
      </c>
      <c r="CD64" s="64">
        <v>9.9999999999999995E-7</v>
      </c>
      <c r="CE64" s="64">
        <v>9.9999999999999995E-7</v>
      </c>
      <c r="CF64" s="64">
        <v>9.9999999999999995E-7</v>
      </c>
      <c r="CG64" s="64">
        <v>3.9999999999999998E-6</v>
      </c>
      <c r="CH64" s="64">
        <v>9.9999999999999995E-7</v>
      </c>
      <c r="CI64" s="64">
        <v>1.9999999999999999E-6</v>
      </c>
      <c r="CJ64" s="64">
        <v>9.9999999999999995E-7</v>
      </c>
      <c r="CK64" s="64">
        <v>3.0000000000000001E-6</v>
      </c>
      <c r="CL64" s="64">
        <v>3.0000000000000001E-6</v>
      </c>
      <c r="CM64" s="64">
        <v>9.9999999999999995E-7</v>
      </c>
      <c r="CN64" s="64">
        <v>9.9999999999999995E-7</v>
      </c>
      <c r="CO64" s="64">
        <v>9.9999999999999995E-7</v>
      </c>
      <c r="CP64" s="64">
        <v>1.9999999999999999E-6</v>
      </c>
      <c r="CQ64" s="64">
        <v>9.9999999999999995E-7</v>
      </c>
      <c r="CR64" s="64">
        <v>7.9999999999999996E-6</v>
      </c>
      <c r="CS64" s="64">
        <v>1.9999999999999999E-6</v>
      </c>
      <c r="CT64" s="64">
        <v>0</v>
      </c>
      <c r="CU64" s="64">
        <v>0</v>
      </c>
      <c r="CV64" s="64">
        <v>9.9999999999999995E-7</v>
      </c>
      <c r="CW64" s="64">
        <v>9.9999999999999995E-7</v>
      </c>
      <c r="CX64" s="64">
        <v>0</v>
      </c>
      <c r="CY64" s="64">
        <v>0</v>
      </c>
      <c r="CZ64" s="64">
        <v>0</v>
      </c>
      <c r="DA64" s="64">
        <v>0</v>
      </c>
      <c r="DB64" s="64">
        <v>0</v>
      </c>
      <c r="DC64" s="64">
        <v>0</v>
      </c>
      <c r="DD64" s="64">
        <v>0</v>
      </c>
      <c r="DE64" s="64">
        <v>0</v>
      </c>
      <c r="DF64" s="64">
        <v>0</v>
      </c>
      <c r="DG64" s="64">
        <v>0</v>
      </c>
      <c r="DH64" s="64">
        <v>0</v>
      </c>
      <c r="DI64" s="64">
        <v>0</v>
      </c>
      <c r="DJ64" s="64">
        <v>9.9999999999999995E-7</v>
      </c>
      <c r="DK64" s="64">
        <v>9.9999999999999995E-7</v>
      </c>
      <c r="DL64" s="64">
        <v>0</v>
      </c>
      <c r="DM64" s="64">
        <v>0</v>
      </c>
      <c r="DN64" s="64">
        <v>9.9999999999999995E-7</v>
      </c>
      <c r="DO64" s="64">
        <v>9.9999999999999995E-7</v>
      </c>
      <c r="DP64" s="64">
        <v>9.9999999999999995E-7</v>
      </c>
      <c r="DQ64" s="64">
        <v>9.9999999999999995E-7</v>
      </c>
      <c r="DR64" s="64">
        <v>9.9999999999999995E-7</v>
      </c>
      <c r="DS64" s="64">
        <v>9.9999999999999995E-7</v>
      </c>
      <c r="DT64" s="64">
        <v>0</v>
      </c>
      <c r="DU64" s="64">
        <v>9.9999999999999995E-7</v>
      </c>
      <c r="DV64" s="64">
        <v>9.9999999999999995E-7</v>
      </c>
      <c r="DW64" s="64">
        <v>0</v>
      </c>
      <c r="DX64" s="64">
        <v>0</v>
      </c>
      <c r="DY64" s="64">
        <v>9.9999999999999995E-7</v>
      </c>
      <c r="DZ64" s="64">
        <v>0</v>
      </c>
      <c r="EA64" s="64">
        <v>0</v>
      </c>
      <c r="EB64" s="64">
        <v>0</v>
      </c>
      <c r="EC64" s="64">
        <v>9.9999999999999995E-7</v>
      </c>
      <c r="ED64" s="64">
        <v>9.9999999999999995E-7</v>
      </c>
      <c r="EE64" s="64">
        <v>0</v>
      </c>
      <c r="EF64" s="64">
        <v>0</v>
      </c>
      <c r="EG64" s="64">
        <v>0</v>
      </c>
      <c r="EH64" s="64">
        <v>0</v>
      </c>
      <c r="EI64" s="64">
        <v>0</v>
      </c>
      <c r="EJ64" s="64">
        <v>0</v>
      </c>
      <c r="EK64" s="64">
        <v>0</v>
      </c>
      <c r="EL64" s="64">
        <v>0</v>
      </c>
      <c r="EM64" s="64">
        <v>0</v>
      </c>
      <c r="EN64" s="64">
        <v>0</v>
      </c>
      <c r="EO64" s="64">
        <v>0</v>
      </c>
      <c r="EP64" s="64">
        <v>0</v>
      </c>
      <c r="EQ64" s="64">
        <v>0</v>
      </c>
      <c r="ER64" s="64">
        <v>0</v>
      </c>
      <c r="ES64" s="64">
        <v>0</v>
      </c>
      <c r="ET64" s="64">
        <v>0</v>
      </c>
      <c r="EU64" s="64">
        <v>9.9999999999999995E-7</v>
      </c>
      <c r="EV64" s="64">
        <v>0</v>
      </c>
      <c r="EW64" s="64">
        <v>9.9999999999999995E-7</v>
      </c>
      <c r="EX64" s="64">
        <v>0</v>
      </c>
      <c r="EY64" s="64">
        <v>9.9999999999999995E-7</v>
      </c>
      <c r="EZ64" s="64">
        <v>9.9999999999999995E-7</v>
      </c>
      <c r="FA64" s="64">
        <v>0</v>
      </c>
      <c r="FB64" s="64">
        <v>0</v>
      </c>
      <c r="FC64" s="64">
        <v>0</v>
      </c>
      <c r="FD64" s="64">
        <v>0</v>
      </c>
      <c r="FE64" s="64">
        <v>0</v>
      </c>
      <c r="FF64" s="64">
        <v>9.9999999999999995E-7</v>
      </c>
      <c r="FG64" s="64">
        <v>0</v>
      </c>
      <c r="FH64" s="64">
        <v>0</v>
      </c>
      <c r="FI64" s="64">
        <v>0</v>
      </c>
      <c r="FJ64" s="64">
        <v>0</v>
      </c>
      <c r="FK64" s="64">
        <v>0</v>
      </c>
      <c r="FL64" s="64">
        <v>6.9999999999999999E-6</v>
      </c>
      <c r="FM64" s="64">
        <v>6.9999999999999999E-6</v>
      </c>
      <c r="FN64" s="64">
        <v>6.9999999999999999E-6</v>
      </c>
      <c r="FO64" s="64">
        <v>6.9999999999999999E-6</v>
      </c>
      <c r="FP64" s="64">
        <v>0</v>
      </c>
      <c r="FQ64" s="64">
        <v>1.2E-5</v>
      </c>
      <c r="FR64" s="64">
        <v>1.2E-5</v>
      </c>
      <c r="FS64" s="64">
        <v>1.2E-5</v>
      </c>
      <c r="FT64" s="64">
        <v>1.2E-5</v>
      </c>
      <c r="FU64" s="64">
        <v>1.2E-5</v>
      </c>
      <c r="FV64" s="64">
        <v>1.2E-5</v>
      </c>
      <c r="FW64" s="64">
        <v>1.2E-5</v>
      </c>
      <c r="FX64" s="64">
        <v>6.0000000000000002E-6</v>
      </c>
      <c r="FY64" s="64">
        <v>6.0000000000000002E-6</v>
      </c>
      <c r="FZ64" s="64">
        <v>3.0000000000000001E-6</v>
      </c>
      <c r="GA64" s="64">
        <v>3.0000000000000001E-6</v>
      </c>
      <c r="GB64" s="64">
        <v>7.9999999999999996E-6</v>
      </c>
      <c r="GC64" s="64">
        <v>1.9999999999999999E-6</v>
      </c>
      <c r="GD64" s="64">
        <v>3.0000000000000001E-6</v>
      </c>
      <c r="GE64" s="64">
        <v>3.0000000000000001E-6</v>
      </c>
      <c r="GF64" s="64">
        <v>4.0000000000000003E-5</v>
      </c>
      <c r="GG64" s="64">
        <v>6.9999999999999999E-6</v>
      </c>
      <c r="GH64" s="64">
        <v>1.9999999999999999E-6</v>
      </c>
      <c r="GI64" s="64">
        <v>3.9999999999999998E-6</v>
      </c>
      <c r="GJ64" s="64">
        <v>1.9999999999999999E-6</v>
      </c>
      <c r="GK64" s="64">
        <v>3.0000000000000001E-6</v>
      </c>
      <c r="GL64" s="64">
        <v>6.0000000000000002E-6</v>
      </c>
      <c r="GM64" s="64">
        <v>2.0999999999999999E-5</v>
      </c>
      <c r="GN64" s="64">
        <v>3.0000000000000001E-6</v>
      </c>
      <c r="GO64" s="64">
        <v>9.9999999999999995E-7</v>
      </c>
      <c r="GP64" s="64">
        <v>0</v>
      </c>
      <c r="GQ64" s="64">
        <v>1.9999999999999999E-6</v>
      </c>
      <c r="GR64" s="64">
        <v>1.9999999999999999E-6</v>
      </c>
      <c r="GS64" s="64">
        <v>0</v>
      </c>
      <c r="GT64" s="64">
        <v>0</v>
      </c>
      <c r="GU64" s="64">
        <v>0</v>
      </c>
      <c r="GV64" s="64">
        <v>0</v>
      </c>
      <c r="GW64" s="64">
        <v>0</v>
      </c>
      <c r="GX64" s="64">
        <v>9.9999999999999995E-7</v>
      </c>
      <c r="GY64" s="64">
        <v>9.9999999999999995E-7</v>
      </c>
      <c r="GZ64" s="64">
        <v>9.9999999999999995E-7</v>
      </c>
      <c r="HA64" s="64">
        <v>9.9999999999999995E-7</v>
      </c>
      <c r="HB64" s="64">
        <v>9.9999999999999995E-7</v>
      </c>
      <c r="HC64" s="64">
        <v>9.9999999999999995E-7</v>
      </c>
      <c r="HD64" s="64">
        <v>9.9999999999999995E-7</v>
      </c>
      <c r="HE64" s="64">
        <v>9.9999999999999995E-7</v>
      </c>
      <c r="HF64" s="64">
        <v>9.9999999999999995E-7</v>
      </c>
      <c r="HG64" s="64">
        <v>9.9999999999999995E-7</v>
      </c>
      <c r="HH64" s="64">
        <v>9.9999999999999995E-7</v>
      </c>
      <c r="HI64" s="64">
        <v>1.9999999999999999E-6</v>
      </c>
      <c r="HJ64" s="64">
        <v>9.9999999999999995E-7</v>
      </c>
      <c r="HK64" s="64">
        <v>9.9999999999999995E-7</v>
      </c>
      <c r="HL64" s="64">
        <v>9.9999999999999995E-7</v>
      </c>
      <c r="HM64" s="64">
        <v>1.9999999999999999E-6</v>
      </c>
      <c r="HN64" s="64">
        <v>1.9999999999999999E-6</v>
      </c>
      <c r="HO64" s="64">
        <v>9.9999999999999995E-7</v>
      </c>
      <c r="HP64" s="64">
        <v>9.9999999999999995E-7</v>
      </c>
      <c r="HQ64" s="64">
        <v>9.9999999999999995E-7</v>
      </c>
      <c r="HR64" s="64">
        <v>9.9999999999999995E-7</v>
      </c>
      <c r="HS64" s="64">
        <v>9.9999999999999995E-7</v>
      </c>
      <c r="HT64" s="64">
        <v>3.9999999999999998E-6</v>
      </c>
      <c r="HU64" s="64">
        <v>9.9999999999999995E-7</v>
      </c>
      <c r="HV64" s="64">
        <v>0</v>
      </c>
      <c r="HW64" s="64">
        <v>0</v>
      </c>
      <c r="HX64" s="64">
        <v>9.9999999999999995E-7</v>
      </c>
      <c r="HY64" s="64">
        <v>9.9999999999999995E-7</v>
      </c>
      <c r="HZ64" s="64">
        <v>9.9999999999999995E-7</v>
      </c>
      <c r="IA64" s="64">
        <v>9.9999999999999995E-7</v>
      </c>
      <c r="IB64" s="64">
        <v>9.9999999999999995E-7</v>
      </c>
      <c r="IC64" s="64">
        <v>9.9999999999999995E-7</v>
      </c>
      <c r="ID64" s="64">
        <v>0</v>
      </c>
      <c r="IE64" s="64">
        <v>9.9999999999999995E-7</v>
      </c>
      <c r="IF64" s="64">
        <v>9.9999999999999995E-7</v>
      </c>
      <c r="IG64" s="64">
        <v>9.9999999999999995E-7</v>
      </c>
      <c r="IH64" s="64">
        <v>9.9999999999999995E-7</v>
      </c>
      <c r="II64" s="64">
        <v>9.9999999999999995E-7</v>
      </c>
      <c r="IJ64" s="64">
        <v>9.9999999999999995E-7</v>
      </c>
      <c r="IK64" s="64">
        <v>9.9999999999999995E-7</v>
      </c>
      <c r="IL64" s="64">
        <v>9.9999999999999995E-7</v>
      </c>
      <c r="IM64" s="64">
        <v>9.9999999999999995E-7</v>
      </c>
      <c r="IN64" s="64">
        <v>9.9999999999999995E-7</v>
      </c>
      <c r="IO64" s="64">
        <v>9.9999999999999995E-7</v>
      </c>
      <c r="IP64" s="64">
        <v>3.0000000000000001E-6</v>
      </c>
      <c r="IQ64" s="64">
        <v>9.9999999999999995E-7</v>
      </c>
      <c r="IR64" s="64">
        <v>9.9999999999999995E-7</v>
      </c>
      <c r="IS64" s="64">
        <v>9.9999999999999995E-7</v>
      </c>
      <c r="IT64" s="64">
        <v>1.9999999999999999E-6</v>
      </c>
      <c r="IU64" s="64">
        <v>1.9999999999999999E-6</v>
      </c>
      <c r="IV64" s="64">
        <v>9.9999999999999995E-7</v>
      </c>
      <c r="IW64" s="64">
        <v>9.9999999999999995E-7</v>
      </c>
      <c r="IX64" s="64">
        <v>9.9999999999999995E-7</v>
      </c>
      <c r="IY64" s="64">
        <v>1.9999999999999999E-6</v>
      </c>
      <c r="IZ64" s="64">
        <v>9.9999999999999995E-7</v>
      </c>
      <c r="JA64" s="64">
        <v>1.2999999999999999E-5</v>
      </c>
      <c r="JB64" s="64">
        <v>1.9999999999999999E-6</v>
      </c>
      <c r="JC64" s="64">
        <v>0</v>
      </c>
      <c r="JD64" s="64">
        <v>0</v>
      </c>
      <c r="JE64" s="64">
        <v>9.9999999999999995E-7</v>
      </c>
      <c r="JF64" s="64">
        <v>9.9999999999999995E-7</v>
      </c>
      <c r="JG64" s="64">
        <v>1.5E-5</v>
      </c>
      <c r="JH64" s="64">
        <v>1.5E-5</v>
      </c>
      <c r="JI64" s="64">
        <v>1.5E-5</v>
      </c>
      <c r="JJ64" s="64">
        <v>1.5E-5</v>
      </c>
      <c r="JK64" s="64">
        <v>0</v>
      </c>
      <c r="JL64" s="64">
        <v>2.5999999999999998E-5</v>
      </c>
      <c r="JM64" s="64">
        <v>2.5999999999999998E-5</v>
      </c>
      <c r="JN64" s="64">
        <v>2.5999999999999998E-5</v>
      </c>
      <c r="JO64" s="64">
        <v>2.5999999999999998E-5</v>
      </c>
      <c r="JP64" s="64">
        <v>2.5999999999999998E-5</v>
      </c>
      <c r="JQ64" s="64">
        <v>2.5999999999999998E-5</v>
      </c>
      <c r="JR64" s="64">
        <v>2.5999999999999998E-5</v>
      </c>
      <c r="JS64" s="64">
        <v>2.8E-5</v>
      </c>
      <c r="JT64" s="64">
        <v>2.8E-5</v>
      </c>
      <c r="JU64" s="64">
        <v>2.3E-5</v>
      </c>
      <c r="JV64" s="64">
        <v>2.3E-5</v>
      </c>
      <c r="JW64" s="64">
        <v>4.1E-5</v>
      </c>
      <c r="JX64" s="64">
        <v>2.5000000000000001E-5</v>
      </c>
      <c r="JY64" s="64">
        <v>3.6000000000000001E-5</v>
      </c>
      <c r="JZ64" s="64">
        <v>2.5000000000000001E-5</v>
      </c>
      <c r="KA64" s="64">
        <v>7.4999999999999993E-5</v>
      </c>
      <c r="KB64" s="64">
        <v>4.6999999999999997E-5</v>
      </c>
      <c r="KC64" s="64">
        <v>1.5999999999999999E-5</v>
      </c>
      <c r="KD64" s="64">
        <v>2.0000000000000002E-5</v>
      </c>
      <c r="KE64" s="64">
        <v>4.1E-5</v>
      </c>
      <c r="KF64" s="64">
        <v>2.4000000000000001E-5</v>
      </c>
      <c r="KG64" s="64">
        <v>2.0999999999999999E-5</v>
      </c>
      <c r="KH64" s="64">
        <v>1.9900000000000001E-4</v>
      </c>
      <c r="KI64" s="64">
        <v>4.6999999999999997E-5</v>
      </c>
      <c r="KJ64" s="64">
        <v>4.1999999999999998E-5</v>
      </c>
      <c r="KK64" s="64">
        <v>3.0000000000000001E-5</v>
      </c>
      <c r="KL64" s="64">
        <v>2.0000000000000002E-5</v>
      </c>
      <c r="KM64" s="64">
        <v>2.0000000000000002E-5</v>
      </c>
      <c r="KN64" s="64">
        <v>9.9999999999999995E-7</v>
      </c>
      <c r="KO64" s="64">
        <v>9.9999999999999995E-7</v>
      </c>
      <c r="KP64" s="64">
        <v>9.9999999999999995E-7</v>
      </c>
      <c r="KQ64" s="64">
        <v>9.9999999999999995E-7</v>
      </c>
      <c r="KR64" s="64">
        <v>0</v>
      </c>
      <c r="KS64" s="64">
        <v>9.9999999999999995E-7</v>
      </c>
      <c r="KT64" s="64">
        <v>9.9999999999999995E-7</v>
      </c>
      <c r="KU64" s="64">
        <v>9.9999999999999995E-7</v>
      </c>
      <c r="KV64" s="64">
        <v>9.9999999999999995E-7</v>
      </c>
      <c r="KW64" s="64">
        <v>9.9999999999999995E-7</v>
      </c>
      <c r="KX64" s="64">
        <v>9.9999999999999995E-7</v>
      </c>
      <c r="KY64" s="64">
        <v>9.9999999999999995E-7</v>
      </c>
      <c r="KZ64" s="64">
        <v>9.9999999999999995E-7</v>
      </c>
      <c r="LA64" s="64">
        <v>9.9999999999999995E-7</v>
      </c>
      <c r="LB64" s="64">
        <v>9.9999999999999995E-7</v>
      </c>
      <c r="LC64" s="64">
        <v>9.9999999999999995E-7</v>
      </c>
      <c r="LD64" s="64">
        <v>3.0000000000000001E-6</v>
      </c>
      <c r="LE64" s="64">
        <v>9.9999999999999995E-7</v>
      </c>
      <c r="LF64" s="64">
        <v>1.9999999999999999E-6</v>
      </c>
      <c r="LG64" s="64">
        <v>9.9999999999999995E-7</v>
      </c>
      <c r="LH64" s="64">
        <v>3.0000000000000001E-6</v>
      </c>
      <c r="LI64" s="64">
        <v>3.0000000000000001E-6</v>
      </c>
      <c r="LJ64" s="64">
        <v>1.9999999999999999E-6</v>
      </c>
      <c r="LK64" s="64">
        <v>9.9999999999999995E-7</v>
      </c>
      <c r="LL64" s="64">
        <v>9.9999999999999995E-7</v>
      </c>
      <c r="LM64" s="64">
        <v>9.9999999999999995E-7</v>
      </c>
      <c r="LN64" s="64">
        <v>9.9999999999999995E-7</v>
      </c>
      <c r="LO64" s="64">
        <v>6.9999999999999999E-6</v>
      </c>
      <c r="LP64" s="64">
        <v>1.9999999999999999E-6</v>
      </c>
      <c r="LQ64" s="64">
        <v>0</v>
      </c>
      <c r="LR64" s="64">
        <v>0</v>
      </c>
      <c r="LS64" s="64">
        <v>1.9999999999999999E-6</v>
      </c>
      <c r="LT64" s="64">
        <v>1.9999999999999999E-6</v>
      </c>
      <c r="LU64" s="64">
        <v>9.9999999999999995E-7</v>
      </c>
      <c r="LV64" s="64">
        <v>9.9999999999999995E-7</v>
      </c>
      <c r="LW64" s="64">
        <v>9.9999999999999995E-7</v>
      </c>
      <c r="LX64" s="64">
        <v>9.9999999999999995E-7</v>
      </c>
      <c r="LY64" s="64">
        <v>0</v>
      </c>
      <c r="LZ64" s="64">
        <v>1.9999999999999999E-6</v>
      </c>
      <c r="MA64" s="64">
        <v>1.9999999999999999E-6</v>
      </c>
      <c r="MB64" s="64">
        <v>1.9999999999999999E-6</v>
      </c>
      <c r="MC64" s="64">
        <v>1.9999999999999999E-6</v>
      </c>
      <c r="MD64" s="64">
        <v>1.9999999999999999E-6</v>
      </c>
      <c r="ME64" s="64">
        <v>1.9999999999999999E-6</v>
      </c>
      <c r="MF64" s="64">
        <v>1.9999999999999999E-6</v>
      </c>
      <c r="MG64" s="64">
        <v>9.9999999999999995E-7</v>
      </c>
      <c r="MH64" s="64">
        <v>9.9999999999999995E-7</v>
      </c>
      <c r="MI64" s="64">
        <v>9.9999999999999995E-7</v>
      </c>
      <c r="MJ64" s="64">
        <v>9.9999999999999995E-7</v>
      </c>
      <c r="MK64" s="64">
        <v>3.9999999999999998E-6</v>
      </c>
      <c r="ML64" s="64">
        <v>9.9999999999999995E-7</v>
      </c>
      <c r="MM64" s="64">
        <v>9.9999999999999995E-7</v>
      </c>
      <c r="MN64" s="64">
        <v>9.9999999999999995E-7</v>
      </c>
      <c r="MO64" s="64">
        <v>3.0000000000000001E-6</v>
      </c>
      <c r="MP64" s="64">
        <v>3.0000000000000001E-6</v>
      </c>
      <c r="MQ64" s="64">
        <v>9.9999999999999995E-7</v>
      </c>
      <c r="MR64" s="64">
        <v>9.9999999999999995E-7</v>
      </c>
      <c r="MS64" s="64">
        <v>9.9999999999999995E-7</v>
      </c>
      <c r="MT64" s="64">
        <v>9.9999999999999995E-7</v>
      </c>
      <c r="MU64" s="64">
        <v>9.9999999999999995E-7</v>
      </c>
      <c r="MV64" s="64">
        <v>6.0000000000000002E-6</v>
      </c>
      <c r="MW64" s="64">
        <v>1.9999999999999999E-6</v>
      </c>
      <c r="MX64" s="64">
        <v>0</v>
      </c>
      <c r="MY64" s="64">
        <v>0</v>
      </c>
      <c r="MZ64" s="64">
        <v>9.9999999999999995E-7</v>
      </c>
      <c r="NA64" s="64">
        <v>9.9999999999999995E-7</v>
      </c>
      <c r="NB64" s="64"/>
      <c r="NC64" s="64"/>
      <c r="ND64" s="64"/>
      <c r="NE64" s="64"/>
      <c r="NF64" s="64"/>
      <c r="NG64" s="64"/>
      <c r="NH64" s="64"/>
      <c r="NI64" s="64"/>
      <c r="NJ64" s="64"/>
      <c r="NK64" s="64"/>
      <c r="NL64" s="64"/>
      <c r="NM64" s="64"/>
      <c r="NN64" s="64"/>
      <c r="NO64" s="64"/>
      <c r="NP64" s="64"/>
      <c r="NQ64" s="64"/>
      <c r="NR64" s="64"/>
      <c r="NS64" s="64"/>
      <c r="NT64" s="64"/>
      <c r="NU64" s="64"/>
      <c r="NV64" s="64"/>
      <c r="NW64" s="64"/>
      <c r="NX64" s="64"/>
      <c r="NY64" s="64"/>
      <c r="NZ64" s="64"/>
      <c r="OA64" s="64"/>
      <c r="OB64" s="64"/>
      <c r="OC64" s="64"/>
      <c r="OD64" s="64"/>
      <c r="OE64" s="64"/>
      <c r="OF64" s="64"/>
      <c r="OG64" s="64"/>
      <c r="OH64" s="64"/>
      <c r="OI64" s="64"/>
      <c r="OJ64" s="64"/>
      <c r="OK64" s="64"/>
      <c r="OL64" s="64"/>
      <c r="OM64" s="64"/>
      <c r="ON64" s="64"/>
      <c r="OO64" s="64"/>
      <c r="OP64" s="64"/>
      <c r="OQ64" s="64"/>
      <c r="OR64" s="64"/>
      <c r="OS64" s="64"/>
    </row>
    <row r="65" spans="1:409">
      <c r="A65" s="65" t="s">
        <v>101</v>
      </c>
      <c r="B65" s="65" t="s">
        <v>19</v>
      </c>
      <c r="C65" s="65">
        <v>5.5473701443323788E-3</v>
      </c>
      <c r="D65" s="65">
        <v>5.8242603500756624E-3</v>
      </c>
      <c r="E65" s="65">
        <v>5.0868935685913271E-3</v>
      </c>
      <c r="F65" s="65">
        <v>2.983187511564284E-3</v>
      </c>
      <c r="G65" s="65">
        <v>0</v>
      </c>
      <c r="H65" s="65">
        <v>2.3886736769802371E-3</v>
      </c>
      <c r="I65" s="65">
        <v>9.5914945518187588E-4</v>
      </c>
      <c r="J65" s="65">
        <v>2.239595494893594E-3</v>
      </c>
      <c r="K65" s="65">
        <v>1.793343010093152E-3</v>
      </c>
      <c r="L65" s="65">
        <v>3.2496220415374288E-4</v>
      </c>
      <c r="M65" s="65">
        <v>1.463138484063684E-3</v>
      </c>
      <c r="N65" s="65">
        <v>1.9656679765302572E-3</v>
      </c>
      <c r="O65" s="65">
        <v>1.3874737629133321E-3</v>
      </c>
      <c r="P65" s="65">
        <v>3.9610819271485584E-3</v>
      </c>
      <c r="Q65" s="65">
        <v>2.11637725214729E-3</v>
      </c>
      <c r="R65" s="65">
        <v>2.0212824058389541E-3</v>
      </c>
      <c r="S65" s="65">
        <v>9.8669997914682932E-3</v>
      </c>
      <c r="T65" s="65">
        <v>1.1229023526802429E-3</v>
      </c>
      <c r="U65" s="65">
        <v>1.3502199457661269E-2</v>
      </c>
      <c r="V65" s="65">
        <v>2.1112261685718999E-2</v>
      </c>
      <c r="W65" s="65">
        <v>0.2252658019579557</v>
      </c>
      <c r="X65" s="65">
        <v>7.1632633110009641E-2</v>
      </c>
      <c r="Y65" s="65">
        <v>1.577136289317314E-2</v>
      </c>
      <c r="Z65" s="65">
        <v>1.016513396044433E-2</v>
      </c>
      <c r="AA65" s="65">
        <v>1.5379779749364271</v>
      </c>
      <c r="AB65" s="65">
        <v>1.1475566417744241</v>
      </c>
      <c r="AC65" s="65">
        <v>8.5010536107665277E-2</v>
      </c>
      <c r="AD65" s="65">
        <v>0.41137079921848668</v>
      </c>
      <c r="AE65" s="65">
        <v>2.5022188594349081E-2</v>
      </c>
      <c r="AF65" s="65">
        <v>3.6900994809338457E-2</v>
      </c>
      <c r="AG65" s="65">
        <v>2.6750252070301669E-2</v>
      </c>
      <c r="AH65" s="65">
        <v>0.1346578162236664</v>
      </c>
      <c r="AI65" s="65">
        <v>0.1167890197650361</v>
      </c>
      <c r="AJ65" s="65">
        <v>2.3E-5</v>
      </c>
      <c r="AK65" s="65">
        <v>2.3E-5</v>
      </c>
      <c r="AL65" s="65">
        <v>2.3E-5</v>
      </c>
      <c r="AM65" s="65">
        <v>2.3E-5</v>
      </c>
      <c r="AN65" s="65">
        <v>0</v>
      </c>
      <c r="AO65" s="65">
        <v>2.5000000000000001E-5</v>
      </c>
      <c r="AP65" s="65">
        <v>2.5000000000000001E-5</v>
      </c>
      <c r="AQ65" s="65">
        <v>2.5000000000000001E-5</v>
      </c>
      <c r="AR65" s="65">
        <v>2.5000000000000001E-5</v>
      </c>
      <c r="AS65" s="65">
        <v>2.5000000000000001E-5</v>
      </c>
      <c r="AT65" s="65">
        <v>2.5000000000000001E-5</v>
      </c>
      <c r="AU65" s="65">
        <v>2.5000000000000001E-5</v>
      </c>
      <c r="AV65" s="65">
        <v>2.0999999999999999E-5</v>
      </c>
      <c r="AW65" s="65">
        <v>2.0999999999999999E-5</v>
      </c>
      <c r="AX65" s="65">
        <v>2.6999999999999999E-5</v>
      </c>
      <c r="AY65" s="65">
        <v>2.6999999999999999E-5</v>
      </c>
      <c r="AZ65" s="65">
        <v>7.4999999999999993E-5</v>
      </c>
      <c r="BA65" s="65">
        <v>2.4000000000000001E-5</v>
      </c>
      <c r="BB65" s="65">
        <v>2.4000000000000001E-5</v>
      </c>
      <c r="BC65" s="65">
        <v>2.5000000000000001E-5</v>
      </c>
      <c r="BD65" s="65">
        <v>8.6000000000000003E-5</v>
      </c>
      <c r="BE65" s="65">
        <v>5.3999999999999998E-5</v>
      </c>
      <c r="BF65" s="65">
        <v>1.2999999999999999E-5</v>
      </c>
      <c r="BG65" s="65">
        <v>2.0000000000000002E-5</v>
      </c>
      <c r="BH65" s="65">
        <v>9.0000000000000002E-6</v>
      </c>
      <c r="BI65" s="65">
        <v>2.0999999999999999E-5</v>
      </c>
      <c r="BJ65" s="65">
        <v>1.2999999999999999E-5</v>
      </c>
      <c r="BK65" s="65">
        <v>3.1000000000000001E-5</v>
      </c>
      <c r="BL65" s="65">
        <v>7.9999999999999996E-6</v>
      </c>
      <c r="BM65" s="65">
        <v>9.9999999999999995E-7</v>
      </c>
      <c r="BN65" s="65">
        <v>9.9999999999999995E-7</v>
      </c>
      <c r="BO65" s="65">
        <v>9.0000000000000002E-6</v>
      </c>
      <c r="BP65" s="65">
        <v>9.0000000000000002E-6</v>
      </c>
      <c r="BQ65" s="65">
        <v>2.0000000000000002E-5</v>
      </c>
      <c r="BR65" s="65">
        <v>2.0000000000000002E-5</v>
      </c>
      <c r="BS65" s="65">
        <v>2.0000000000000002E-5</v>
      </c>
      <c r="BT65" s="65">
        <v>2.0000000000000002E-5</v>
      </c>
      <c r="BU65" s="65">
        <v>0</v>
      </c>
      <c r="BV65" s="65">
        <v>3.0000000000000001E-5</v>
      </c>
      <c r="BW65" s="65">
        <v>3.0000000000000001E-5</v>
      </c>
      <c r="BX65" s="65">
        <v>3.0000000000000001E-5</v>
      </c>
      <c r="BY65" s="65">
        <v>3.0000000000000001E-5</v>
      </c>
      <c r="BZ65" s="65">
        <v>3.0000000000000001E-5</v>
      </c>
      <c r="CA65" s="65">
        <v>3.0000000000000001E-5</v>
      </c>
      <c r="CB65" s="65">
        <v>3.0000000000000001E-5</v>
      </c>
      <c r="CC65" s="65">
        <v>3.0000000000000001E-5</v>
      </c>
      <c r="CD65" s="65">
        <v>3.0000000000000001E-5</v>
      </c>
      <c r="CE65" s="65">
        <v>3.1000000000000001E-5</v>
      </c>
      <c r="CF65" s="65">
        <v>3.1000000000000001E-5</v>
      </c>
      <c r="CG65" s="65">
        <v>7.6000000000000004E-5</v>
      </c>
      <c r="CH65" s="65">
        <v>3.1000000000000001E-5</v>
      </c>
      <c r="CI65" s="65">
        <v>3.4E-5</v>
      </c>
      <c r="CJ65" s="65">
        <v>2.3E-5</v>
      </c>
      <c r="CK65" s="65">
        <v>5.5999999999999999E-5</v>
      </c>
      <c r="CL65" s="65">
        <v>5.0000000000000002E-5</v>
      </c>
      <c r="CM65" s="65">
        <v>2.4000000000000001E-5</v>
      </c>
      <c r="CN65" s="65">
        <v>2.0000000000000002E-5</v>
      </c>
      <c r="CO65" s="65">
        <v>2.3E-5</v>
      </c>
      <c r="CP65" s="65">
        <v>5.0000000000000002E-5</v>
      </c>
      <c r="CQ65" s="65">
        <v>2.0000000000000002E-5</v>
      </c>
      <c r="CR65" s="65">
        <v>7.4999999999999993E-5</v>
      </c>
      <c r="CS65" s="65">
        <v>1.9000000000000001E-5</v>
      </c>
      <c r="CT65" s="65">
        <v>3.0000000000000001E-6</v>
      </c>
      <c r="CU65" s="65">
        <v>3.0000000000000001E-6</v>
      </c>
      <c r="CV65" s="65">
        <v>1.8E-5</v>
      </c>
      <c r="CW65" s="65">
        <v>1.8E-5</v>
      </c>
      <c r="CX65" s="65">
        <v>3.9999999999999998E-6</v>
      </c>
      <c r="CY65" s="65">
        <v>3.9999999999999998E-6</v>
      </c>
      <c r="CZ65" s="65">
        <v>3.9999999999999998E-6</v>
      </c>
      <c r="DA65" s="65">
        <v>3.9999999999999998E-6</v>
      </c>
      <c r="DB65" s="65">
        <v>0</v>
      </c>
      <c r="DC65" s="65">
        <v>6.9999999999999999E-6</v>
      </c>
      <c r="DD65" s="65">
        <v>6.9999999999999999E-6</v>
      </c>
      <c r="DE65" s="65">
        <v>6.9999999999999999E-6</v>
      </c>
      <c r="DF65" s="65">
        <v>6.9999999999999999E-6</v>
      </c>
      <c r="DG65" s="65">
        <v>6.9999999999999999E-6</v>
      </c>
      <c r="DH65" s="65">
        <v>6.9999999999999999E-6</v>
      </c>
      <c r="DI65" s="65">
        <v>6.9999999999999999E-6</v>
      </c>
      <c r="DJ65" s="65">
        <v>1.1E-5</v>
      </c>
      <c r="DK65" s="65">
        <v>1.1E-5</v>
      </c>
      <c r="DL65" s="65">
        <v>9.0000000000000002E-6</v>
      </c>
      <c r="DM65" s="65">
        <v>9.0000000000000002E-6</v>
      </c>
      <c r="DN65" s="65">
        <v>2.5999999999999998E-5</v>
      </c>
      <c r="DO65" s="65">
        <v>1.0000000000000001E-5</v>
      </c>
      <c r="DP65" s="65">
        <v>1.0000000000000001E-5</v>
      </c>
      <c r="DQ65" s="65">
        <v>1.1E-5</v>
      </c>
      <c r="DR65" s="65">
        <v>2.6999999999999999E-5</v>
      </c>
      <c r="DS65" s="65">
        <v>1.5E-5</v>
      </c>
      <c r="DT65" s="65">
        <v>7.9999999999999996E-6</v>
      </c>
      <c r="DU65" s="65">
        <v>1.5E-5</v>
      </c>
      <c r="DV65" s="65">
        <v>1.1E-5</v>
      </c>
      <c r="DW65" s="65">
        <v>7.9999999999999996E-6</v>
      </c>
      <c r="DX65" s="65">
        <v>6.9999999999999999E-6</v>
      </c>
      <c r="DY65" s="65">
        <v>2.0999999999999999E-5</v>
      </c>
      <c r="DZ65" s="65">
        <v>1.9999999999999999E-6</v>
      </c>
      <c r="EA65" s="65">
        <v>9.9999999999999995E-7</v>
      </c>
      <c r="EB65" s="65">
        <v>9.9999999999999995E-7</v>
      </c>
      <c r="EC65" s="65">
        <v>1.0000000000000001E-5</v>
      </c>
      <c r="ED65" s="65">
        <v>1.0000000000000001E-5</v>
      </c>
      <c r="EE65" s="65">
        <v>5.0000000000000004E-6</v>
      </c>
      <c r="EF65" s="65">
        <v>5.0000000000000004E-6</v>
      </c>
      <c r="EG65" s="65">
        <v>5.0000000000000004E-6</v>
      </c>
      <c r="EH65" s="65">
        <v>5.0000000000000004E-6</v>
      </c>
      <c r="EI65" s="65">
        <v>0</v>
      </c>
      <c r="EJ65" s="65">
        <v>7.9999999999999996E-6</v>
      </c>
      <c r="EK65" s="65">
        <v>7.9999999999999996E-6</v>
      </c>
      <c r="EL65" s="65">
        <v>7.9999999999999996E-6</v>
      </c>
      <c r="EM65" s="65">
        <v>7.9999999999999996E-6</v>
      </c>
      <c r="EN65" s="65">
        <v>7.9999999999999996E-6</v>
      </c>
      <c r="EO65" s="65">
        <v>7.9999999999999996E-6</v>
      </c>
      <c r="EP65" s="65">
        <v>7.9999999999999996E-6</v>
      </c>
      <c r="EQ65" s="65">
        <v>9.0000000000000002E-6</v>
      </c>
      <c r="ER65" s="65">
        <v>9.0000000000000002E-6</v>
      </c>
      <c r="ES65" s="65">
        <v>9.0000000000000002E-6</v>
      </c>
      <c r="ET65" s="65">
        <v>9.0000000000000002E-6</v>
      </c>
      <c r="EU65" s="65">
        <v>2.0999999999999999E-5</v>
      </c>
      <c r="EV65" s="65">
        <v>6.9999999999999999E-6</v>
      </c>
      <c r="EW65" s="65">
        <v>1.1E-5</v>
      </c>
      <c r="EX65" s="65">
        <v>9.0000000000000002E-6</v>
      </c>
      <c r="EY65" s="65">
        <v>1.8E-5</v>
      </c>
      <c r="EZ65" s="65">
        <v>1.5999999999999999E-5</v>
      </c>
      <c r="FA65" s="65">
        <v>5.0000000000000004E-6</v>
      </c>
      <c r="FB65" s="65">
        <v>6.9999999999999999E-6</v>
      </c>
      <c r="FC65" s="65">
        <v>7.9999999999999996E-6</v>
      </c>
      <c r="FD65" s="65">
        <v>6.0000000000000002E-6</v>
      </c>
      <c r="FE65" s="65">
        <v>6.0000000000000002E-6</v>
      </c>
      <c r="FF65" s="65">
        <v>1.5999999999999999E-5</v>
      </c>
      <c r="FG65" s="65">
        <v>9.0000000000000002E-6</v>
      </c>
      <c r="FH65" s="65">
        <v>1.9999999999999999E-6</v>
      </c>
      <c r="FI65" s="65">
        <v>1.9999999999999999E-6</v>
      </c>
      <c r="FJ65" s="65">
        <v>7.9999999999999996E-6</v>
      </c>
      <c r="FK65" s="65">
        <v>7.9999999999999996E-6</v>
      </c>
      <c r="FL65" s="65">
        <v>6.3E-5</v>
      </c>
      <c r="FM65" s="65">
        <v>6.3E-5</v>
      </c>
      <c r="FN65" s="65">
        <v>6.3E-5</v>
      </c>
      <c r="FO65" s="65">
        <v>6.3E-5</v>
      </c>
      <c r="FP65" s="65">
        <v>0</v>
      </c>
      <c r="FQ65" s="65">
        <v>1.03E-4</v>
      </c>
      <c r="FR65" s="65">
        <v>1.03E-4</v>
      </c>
      <c r="FS65" s="65">
        <v>1.03E-4</v>
      </c>
      <c r="FT65" s="65">
        <v>1.03E-4</v>
      </c>
      <c r="FU65" s="65">
        <v>1.03E-4</v>
      </c>
      <c r="FV65" s="65">
        <v>1.03E-4</v>
      </c>
      <c r="FW65" s="65">
        <v>1.03E-4</v>
      </c>
      <c r="FX65" s="65">
        <v>5.8999999999999998E-5</v>
      </c>
      <c r="FY65" s="65">
        <v>5.8999999999999998E-5</v>
      </c>
      <c r="FZ65" s="65">
        <v>4.1999999999999998E-5</v>
      </c>
      <c r="GA65" s="65">
        <v>4.1999999999999998E-5</v>
      </c>
      <c r="GB65" s="65">
        <v>9.0000000000000006E-5</v>
      </c>
      <c r="GC65" s="65">
        <v>3.0000000000000001E-5</v>
      </c>
      <c r="GD65" s="65">
        <v>3.3000000000000003E-5</v>
      </c>
      <c r="GE65" s="65">
        <v>3.6000000000000001E-5</v>
      </c>
      <c r="GF65" s="65">
        <v>3.3700000000000001E-4</v>
      </c>
      <c r="GG65" s="65">
        <v>8.1000000000000004E-5</v>
      </c>
      <c r="GH65" s="65">
        <v>2.9E-5</v>
      </c>
      <c r="GI65" s="65">
        <v>3.4999999999999997E-5</v>
      </c>
      <c r="GJ65" s="65">
        <v>1.8E-5</v>
      </c>
      <c r="GK65" s="65">
        <v>6.4999999999999994E-5</v>
      </c>
      <c r="GL65" s="65">
        <v>5.5000000000000002E-5</v>
      </c>
      <c r="GM65" s="65">
        <v>1.9599999999999999E-4</v>
      </c>
      <c r="GN65" s="65">
        <v>1.9000000000000001E-5</v>
      </c>
      <c r="GO65" s="65">
        <v>5.0000000000000004E-6</v>
      </c>
      <c r="GP65" s="65">
        <v>3.0000000000000001E-6</v>
      </c>
      <c r="GQ65" s="65">
        <v>2.3E-5</v>
      </c>
      <c r="GR65" s="65">
        <v>2.3E-5</v>
      </c>
      <c r="GS65" s="65">
        <v>5.0000000000000004E-6</v>
      </c>
      <c r="GT65" s="65">
        <v>5.0000000000000004E-6</v>
      </c>
      <c r="GU65" s="65">
        <v>5.0000000000000004E-6</v>
      </c>
      <c r="GV65" s="65">
        <v>5.0000000000000004E-6</v>
      </c>
      <c r="GW65" s="65">
        <v>0</v>
      </c>
      <c r="GX65" s="65">
        <v>1.0000000000000001E-5</v>
      </c>
      <c r="GY65" s="65">
        <v>1.0000000000000001E-5</v>
      </c>
      <c r="GZ65" s="65">
        <v>1.0000000000000001E-5</v>
      </c>
      <c r="HA65" s="65">
        <v>1.0000000000000001E-5</v>
      </c>
      <c r="HB65" s="65">
        <v>1.0000000000000001E-5</v>
      </c>
      <c r="HC65" s="65">
        <v>1.0000000000000001E-5</v>
      </c>
      <c r="HD65" s="65">
        <v>1.0000000000000001E-5</v>
      </c>
      <c r="HE65" s="65">
        <v>1.7E-5</v>
      </c>
      <c r="HF65" s="65">
        <v>1.7E-5</v>
      </c>
      <c r="HG65" s="65">
        <v>1.2E-5</v>
      </c>
      <c r="HH65" s="65">
        <v>1.2E-5</v>
      </c>
      <c r="HI65" s="65">
        <v>2.9E-5</v>
      </c>
      <c r="HJ65" s="65">
        <v>1.2E-5</v>
      </c>
      <c r="HK65" s="65">
        <v>1.5E-5</v>
      </c>
      <c r="HL65" s="65">
        <v>1.2999999999999999E-5</v>
      </c>
      <c r="HM65" s="65">
        <v>3.4999999999999997E-5</v>
      </c>
      <c r="HN65" s="65">
        <v>3.3000000000000003E-5</v>
      </c>
      <c r="HO65" s="65">
        <v>1.0000000000000001E-5</v>
      </c>
      <c r="HP65" s="65">
        <v>1.8E-5</v>
      </c>
      <c r="HQ65" s="65">
        <v>1.5E-5</v>
      </c>
      <c r="HR65" s="65">
        <v>1.8E-5</v>
      </c>
      <c r="HS65" s="65">
        <v>1.2999999999999999E-5</v>
      </c>
      <c r="HT65" s="65">
        <v>4.1E-5</v>
      </c>
      <c r="HU65" s="65">
        <v>1.2999999999999999E-5</v>
      </c>
      <c r="HV65" s="65">
        <v>1.9999999999999999E-6</v>
      </c>
      <c r="HW65" s="65">
        <v>1.9999999999999999E-6</v>
      </c>
      <c r="HX65" s="65">
        <v>1.1E-5</v>
      </c>
      <c r="HY65" s="65">
        <v>1.1E-5</v>
      </c>
      <c r="HZ65" s="65">
        <v>4.1E-5</v>
      </c>
      <c r="IA65" s="65">
        <v>4.1E-5</v>
      </c>
      <c r="IB65" s="65">
        <v>4.1E-5</v>
      </c>
      <c r="IC65" s="65">
        <v>4.1E-5</v>
      </c>
      <c r="ID65" s="65">
        <v>0</v>
      </c>
      <c r="IE65" s="65">
        <v>5.1E-5</v>
      </c>
      <c r="IF65" s="65">
        <v>5.1E-5</v>
      </c>
      <c r="IG65" s="65">
        <v>5.1E-5</v>
      </c>
      <c r="IH65" s="65">
        <v>5.1E-5</v>
      </c>
      <c r="II65" s="65">
        <v>5.1E-5</v>
      </c>
      <c r="IJ65" s="65">
        <v>5.1E-5</v>
      </c>
      <c r="IK65" s="65">
        <v>5.1E-5</v>
      </c>
      <c r="IL65" s="65">
        <v>6.0000000000000002E-5</v>
      </c>
      <c r="IM65" s="65">
        <v>6.0000000000000002E-5</v>
      </c>
      <c r="IN65" s="65">
        <v>7.7999999999999999E-5</v>
      </c>
      <c r="IO65" s="65">
        <v>7.7999999999999999E-5</v>
      </c>
      <c r="IP65" s="65">
        <v>1.2799999999999999E-4</v>
      </c>
      <c r="IQ65" s="65">
        <v>5.8999999999999998E-5</v>
      </c>
      <c r="IR65" s="65">
        <v>3.6000000000000001E-5</v>
      </c>
      <c r="IS65" s="65">
        <v>5.5000000000000002E-5</v>
      </c>
      <c r="IT65" s="65">
        <v>7.4999999999999993E-5</v>
      </c>
      <c r="IU65" s="65">
        <v>1.12E-4</v>
      </c>
      <c r="IV65" s="65">
        <v>2.8E-5</v>
      </c>
      <c r="IW65" s="65">
        <v>6.6000000000000005E-5</v>
      </c>
      <c r="IX65" s="65">
        <v>5.3000000000000001E-5</v>
      </c>
      <c r="IY65" s="65">
        <v>9.5000000000000005E-5</v>
      </c>
      <c r="IZ65" s="65">
        <v>2.5999999999999998E-5</v>
      </c>
      <c r="JA65" s="65">
        <v>1.5200000000000001E-4</v>
      </c>
      <c r="JB65" s="65">
        <v>3.1000000000000001E-5</v>
      </c>
      <c r="JC65" s="65">
        <v>3.0000000000000001E-6</v>
      </c>
      <c r="JD65" s="65">
        <v>1.9999999999999999E-6</v>
      </c>
      <c r="JE65" s="65">
        <v>3.1999999999999999E-5</v>
      </c>
      <c r="JF65" s="65">
        <v>3.1999999999999999E-5</v>
      </c>
      <c r="JG65" s="65">
        <v>3.59E-4</v>
      </c>
      <c r="JH65" s="65">
        <v>3.59E-4</v>
      </c>
      <c r="JI65" s="65">
        <v>3.59E-4</v>
      </c>
      <c r="JJ65" s="65">
        <v>3.59E-4</v>
      </c>
      <c r="JK65" s="65">
        <v>0</v>
      </c>
      <c r="JL65" s="65">
        <v>5.1199999999999998E-4</v>
      </c>
      <c r="JM65" s="65">
        <v>5.1199999999999998E-4</v>
      </c>
      <c r="JN65" s="65">
        <v>5.1199999999999998E-4</v>
      </c>
      <c r="JO65" s="65">
        <v>5.1199999999999998E-4</v>
      </c>
      <c r="JP65" s="65">
        <v>5.1199999999999998E-4</v>
      </c>
      <c r="JQ65" s="65">
        <v>5.1199999999999998E-4</v>
      </c>
      <c r="JR65" s="65">
        <v>5.1199999999999998E-4</v>
      </c>
      <c r="JS65" s="65">
        <v>3.8400000000000001E-4</v>
      </c>
      <c r="JT65" s="65">
        <v>3.8400000000000001E-4</v>
      </c>
      <c r="JU65" s="65">
        <v>5.6300000000000002E-4</v>
      </c>
      <c r="JV65" s="65">
        <v>5.6300000000000002E-4</v>
      </c>
      <c r="JW65" s="65">
        <v>7.5600000000000005E-4</v>
      </c>
      <c r="JX65" s="65">
        <v>4.2000000000000002E-4</v>
      </c>
      <c r="JY65" s="65">
        <v>7.8799999999999996E-4</v>
      </c>
      <c r="JZ65" s="65">
        <v>8.7000000000000001E-4</v>
      </c>
      <c r="KA65" s="65">
        <v>1.2179999999999999E-3</v>
      </c>
      <c r="KB65" s="65">
        <v>6.9499999999999998E-4</v>
      </c>
      <c r="KC65" s="65">
        <v>2.6600000000000001E-4</v>
      </c>
      <c r="KD65" s="65">
        <v>3.4000000000000002E-4</v>
      </c>
      <c r="KE65" s="65">
        <v>1.5790000000000001E-3</v>
      </c>
      <c r="KF65" s="65">
        <v>5.1699999999999999E-4</v>
      </c>
      <c r="KG65" s="65">
        <v>3.1100000000000002E-4</v>
      </c>
      <c r="KH65" s="65">
        <v>1.059E-3</v>
      </c>
      <c r="KI65" s="65">
        <v>3.2499999999999999E-4</v>
      </c>
      <c r="KJ65" s="65">
        <v>3.3300000000000002E-4</v>
      </c>
      <c r="KK65" s="65">
        <v>2.42E-4</v>
      </c>
      <c r="KL65" s="65">
        <v>2.1699999999999999E-4</v>
      </c>
      <c r="KM65" s="65">
        <v>2.1699999999999999E-4</v>
      </c>
      <c r="KN65" s="65">
        <v>1.5E-5</v>
      </c>
      <c r="KO65" s="65">
        <v>1.5E-5</v>
      </c>
      <c r="KP65" s="65">
        <v>1.5E-5</v>
      </c>
      <c r="KQ65" s="65">
        <v>1.5E-5</v>
      </c>
      <c r="KR65" s="65">
        <v>0</v>
      </c>
      <c r="KS65" s="65">
        <v>2.3E-5</v>
      </c>
      <c r="KT65" s="65">
        <v>2.3E-5</v>
      </c>
      <c r="KU65" s="65">
        <v>2.3E-5</v>
      </c>
      <c r="KV65" s="65">
        <v>2.3E-5</v>
      </c>
      <c r="KW65" s="65">
        <v>2.3E-5</v>
      </c>
      <c r="KX65" s="65">
        <v>2.3E-5</v>
      </c>
      <c r="KY65" s="65">
        <v>2.3E-5</v>
      </c>
      <c r="KZ65" s="65">
        <v>1.7E-5</v>
      </c>
      <c r="LA65" s="65">
        <v>1.7E-5</v>
      </c>
      <c r="LB65" s="65">
        <v>2.0000000000000002E-5</v>
      </c>
      <c r="LC65" s="65">
        <v>2.0000000000000002E-5</v>
      </c>
      <c r="LD65" s="65">
        <v>5.3999999999999998E-5</v>
      </c>
      <c r="LE65" s="65">
        <v>1.9000000000000001E-5</v>
      </c>
      <c r="LF65" s="65">
        <v>2.3E-5</v>
      </c>
      <c r="LG65" s="65">
        <v>1.5999999999999999E-5</v>
      </c>
      <c r="LH65" s="65">
        <v>4.8999999999999998E-5</v>
      </c>
      <c r="LI65" s="65">
        <v>3.6999999999999998E-5</v>
      </c>
      <c r="LJ65" s="65">
        <v>2.8E-5</v>
      </c>
      <c r="LK65" s="65">
        <v>1.2E-5</v>
      </c>
      <c r="LL65" s="65">
        <v>2.3E-5</v>
      </c>
      <c r="LM65" s="65">
        <v>2.3E-5</v>
      </c>
      <c r="LN65" s="65">
        <v>1.7E-5</v>
      </c>
      <c r="LO65" s="65">
        <v>1.16E-4</v>
      </c>
      <c r="LP65" s="65">
        <v>2.1999999999999999E-5</v>
      </c>
      <c r="LQ65" s="65">
        <v>3.0000000000000001E-6</v>
      </c>
      <c r="LR65" s="65">
        <v>1.9999999999999999E-6</v>
      </c>
      <c r="LS65" s="65">
        <v>2.4000000000000001E-5</v>
      </c>
      <c r="LT65" s="65">
        <v>2.4000000000000001E-5</v>
      </c>
      <c r="LU65" s="65">
        <v>1.9000000000000001E-5</v>
      </c>
      <c r="LV65" s="65">
        <v>1.9000000000000001E-5</v>
      </c>
      <c r="LW65" s="65">
        <v>1.9000000000000001E-5</v>
      </c>
      <c r="LX65" s="65">
        <v>1.9000000000000001E-5</v>
      </c>
      <c r="LY65" s="65">
        <v>0</v>
      </c>
      <c r="LZ65" s="65">
        <v>3.1000000000000001E-5</v>
      </c>
      <c r="MA65" s="65">
        <v>3.1000000000000001E-5</v>
      </c>
      <c r="MB65" s="65">
        <v>3.1000000000000001E-5</v>
      </c>
      <c r="MC65" s="65">
        <v>3.1000000000000001E-5</v>
      </c>
      <c r="MD65" s="65">
        <v>3.1000000000000001E-5</v>
      </c>
      <c r="ME65" s="65">
        <v>3.1000000000000001E-5</v>
      </c>
      <c r="MF65" s="65">
        <v>3.1000000000000001E-5</v>
      </c>
      <c r="MG65" s="65">
        <v>2.6999999999999999E-5</v>
      </c>
      <c r="MH65" s="65">
        <v>2.6999999999999999E-5</v>
      </c>
      <c r="MI65" s="65">
        <v>2.6999999999999999E-5</v>
      </c>
      <c r="MJ65" s="65">
        <v>2.6999999999999999E-5</v>
      </c>
      <c r="MK65" s="65">
        <v>7.6000000000000004E-5</v>
      </c>
      <c r="ML65" s="65">
        <v>2.5000000000000001E-5</v>
      </c>
      <c r="MM65" s="65">
        <v>2.4000000000000001E-5</v>
      </c>
      <c r="MN65" s="65">
        <v>2.4000000000000001E-5</v>
      </c>
      <c r="MO65" s="65">
        <v>5.5999999999999999E-5</v>
      </c>
      <c r="MP65" s="65">
        <v>5.3999999999999998E-5</v>
      </c>
      <c r="MQ65" s="65">
        <v>2.3E-5</v>
      </c>
      <c r="MR65" s="65">
        <v>2.4000000000000001E-5</v>
      </c>
      <c r="MS65" s="65">
        <v>2.3E-5</v>
      </c>
      <c r="MT65" s="65">
        <v>3.6000000000000001E-5</v>
      </c>
      <c r="MU65" s="65">
        <v>2.4000000000000001E-5</v>
      </c>
      <c r="MV65" s="65">
        <v>6.3999999999999997E-5</v>
      </c>
      <c r="MW65" s="65">
        <v>2.0999999999999999E-5</v>
      </c>
      <c r="MX65" s="65">
        <v>5.0000000000000004E-6</v>
      </c>
      <c r="MY65" s="65">
        <v>3.9999999999999998E-6</v>
      </c>
      <c r="MZ65" s="65">
        <v>2.1999999999999999E-5</v>
      </c>
      <c r="NA65" s="65">
        <v>2.1999999999999999E-5</v>
      </c>
      <c r="NB65" s="65"/>
      <c r="NC65" s="65"/>
      <c r="ND65" s="65"/>
      <c r="NE65" s="65"/>
      <c r="NF65" s="65"/>
      <c r="NG65" s="65"/>
      <c r="NH65" s="65"/>
      <c r="NI65" s="65"/>
      <c r="NJ65" s="65"/>
      <c r="NK65" s="65"/>
      <c r="NL65" s="65"/>
      <c r="NM65" s="65"/>
      <c r="NN65" s="65"/>
      <c r="NO65" s="65"/>
      <c r="NP65" s="65"/>
      <c r="NQ65" s="65"/>
      <c r="NR65" s="65"/>
      <c r="NS65" s="65"/>
      <c r="NT65" s="65"/>
      <c r="NU65" s="65"/>
      <c r="NV65" s="65"/>
      <c r="NW65" s="65"/>
      <c r="NX65" s="65"/>
      <c r="NY65" s="65"/>
      <c r="NZ65" s="65"/>
      <c r="OA65" s="65"/>
      <c r="OB65" s="65"/>
      <c r="OC65" s="65"/>
      <c r="OD65" s="65"/>
      <c r="OE65" s="65"/>
      <c r="OF65" s="65"/>
      <c r="OG65" s="65"/>
      <c r="OH65" s="65"/>
      <c r="OI65" s="65"/>
      <c r="OJ65" s="65"/>
      <c r="OK65" s="65"/>
      <c r="OL65" s="65"/>
      <c r="OM65" s="65"/>
      <c r="ON65" s="65"/>
      <c r="OO65" s="65"/>
      <c r="OP65" s="65"/>
      <c r="OQ65" s="65"/>
      <c r="OR65" s="65"/>
      <c r="OS65" s="65"/>
    </row>
    <row r="66" spans="1:409">
      <c r="A66" s="64" t="s">
        <v>102</v>
      </c>
      <c r="B66" s="64" t="s">
        <v>20</v>
      </c>
      <c r="C66" s="64">
        <v>1.0808725812740021E-3</v>
      </c>
      <c r="D66" s="64">
        <v>9.3853929875421056E-4</v>
      </c>
      <c r="E66" s="64">
        <v>2.302780412835451E-4</v>
      </c>
      <c r="F66" s="64">
        <v>2.0925462928258139E-4</v>
      </c>
      <c r="G66" s="64">
        <v>0</v>
      </c>
      <c r="H66" s="64">
        <v>4.4528211892235728E-4</v>
      </c>
      <c r="I66" s="64">
        <v>3.0180840420214271E-4</v>
      </c>
      <c r="J66" s="64">
        <v>3.0559524582841148E-4</v>
      </c>
      <c r="K66" s="64">
        <v>3.8792652262701309E-4</v>
      </c>
      <c r="L66" s="64">
        <v>8.6170159628843099E-5</v>
      </c>
      <c r="M66" s="64">
        <v>2.5726370083391231E-4</v>
      </c>
      <c r="N66" s="64">
        <v>2.221109401821972E-4</v>
      </c>
      <c r="O66" s="64">
        <v>2.3506173155247781E-4</v>
      </c>
      <c r="P66" s="64">
        <v>5.3414073617686502E-4</v>
      </c>
      <c r="Q66" s="64">
        <v>3.0973837948698317E-4</v>
      </c>
      <c r="R66" s="64">
        <v>2.7399230340356798E-4</v>
      </c>
      <c r="S66" s="64">
        <v>2.1089653667869749E-3</v>
      </c>
      <c r="T66" s="64">
        <v>1.6812167043784231E-4</v>
      </c>
      <c r="U66" s="64">
        <v>4.2224051489870192E-3</v>
      </c>
      <c r="V66" s="64">
        <v>4.4790699996170632E-3</v>
      </c>
      <c r="W66" s="64">
        <v>6.1459211291731958E-2</v>
      </c>
      <c r="X66" s="64">
        <v>2.792264758711302E-2</v>
      </c>
      <c r="Y66" s="64">
        <v>1.263222617434641E-3</v>
      </c>
      <c r="Z66" s="64">
        <v>4.883586582355548E-3</v>
      </c>
      <c r="AA66" s="64">
        <v>5.7894024555830807E-2</v>
      </c>
      <c r="AB66" s="64">
        <v>1.162948085813468</v>
      </c>
      <c r="AC66" s="64">
        <v>8.4087690703751328E-3</v>
      </c>
      <c r="AD66" s="64">
        <v>2.0785817609718728E-2</v>
      </c>
      <c r="AE66" s="64">
        <v>5.3401325882246487E-3</v>
      </c>
      <c r="AF66" s="64">
        <v>6.175595339647815E-3</v>
      </c>
      <c r="AG66" s="64">
        <v>4.4737932198942289E-3</v>
      </c>
      <c r="AH66" s="64">
        <v>1.658810729212715E-2</v>
      </c>
      <c r="AI66" s="64">
        <v>8.9478310545298388E-3</v>
      </c>
      <c r="AJ66" s="64">
        <v>6.9999999999999999E-6</v>
      </c>
      <c r="AK66" s="64">
        <v>6.9999999999999999E-6</v>
      </c>
      <c r="AL66" s="64">
        <v>6.9999999999999999E-6</v>
      </c>
      <c r="AM66" s="64">
        <v>6.9999999999999999E-6</v>
      </c>
      <c r="AN66" s="64">
        <v>0</v>
      </c>
      <c r="AO66" s="64">
        <v>7.9999999999999996E-6</v>
      </c>
      <c r="AP66" s="64">
        <v>7.9999999999999996E-6</v>
      </c>
      <c r="AQ66" s="64">
        <v>7.9999999999999996E-6</v>
      </c>
      <c r="AR66" s="64">
        <v>7.9999999999999996E-6</v>
      </c>
      <c r="AS66" s="64">
        <v>7.9999999999999996E-6</v>
      </c>
      <c r="AT66" s="64">
        <v>7.9999999999999996E-6</v>
      </c>
      <c r="AU66" s="64">
        <v>7.9999999999999996E-6</v>
      </c>
      <c r="AV66" s="64">
        <v>6.0000000000000002E-6</v>
      </c>
      <c r="AW66" s="64">
        <v>6.0000000000000002E-6</v>
      </c>
      <c r="AX66" s="64">
        <v>1.0000000000000001E-5</v>
      </c>
      <c r="AY66" s="64">
        <v>1.0000000000000001E-5</v>
      </c>
      <c r="AZ66" s="64">
        <v>2.3E-5</v>
      </c>
      <c r="BA66" s="64">
        <v>7.9999999999999996E-6</v>
      </c>
      <c r="BB66" s="64">
        <v>1.1E-5</v>
      </c>
      <c r="BC66" s="64">
        <v>9.0000000000000002E-6</v>
      </c>
      <c r="BD66" s="64">
        <v>2.5999999999999998E-5</v>
      </c>
      <c r="BE66" s="64">
        <v>1.5999999999999999E-5</v>
      </c>
      <c r="BF66" s="64">
        <v>3.9999999999999998E-6</v>
      </c>
      <c r="BG66" s="64">
        <v>6.0000000000000002E-6</v>
      </c>
      <c r="BH66" s="64">
        <v>1.9999999999999999E-6</v>
      </c>
      <c r="BI66" s="64">
        <v>1.1E-5</v>
      </c>
      <c r="BJ66" s="64">
        <v>3.9999999999999998E-6</v>
      </c>
      <c r="BK66" s="64">
        <v>6.9999999999999999E-6</v>
      </c>
      <c r="BL66" s="64">
        <v>1.9999999999999999E-6</v>
      </c>
      <c r="BM66" s="64">
        <v>0</v>
      </c>
      <c r="BN66" s="64">
        <v>0</v>
      </c>
      <c r="BO66" s="64">
        <v>1.9999999999999999E-6</v>
      </c>
      <c r="BP66" s="64">
        <v>1.9999999999999999E-6</v>
      </c>
      <c r="BQ66" s="64">
        <v>7.9999999999999996E-6</v>
      </c>
      <c r="BR66" s="64">
        <v>7.9999999999999996E-6</v>
      </c>
      <c r="BS66" s="64">
        <v>7.9999999999999996E-6</v>
      </c>
      <c r="BT66" s="64">
        <v>7.9999999999999996E-6</v>
      </c>
      <c r="BU66" s="64">
        <v>0</v>
      </c>
      <c r="BV66" s="64">
        <v>1.1E-5</v>
      </c>
      <c r="BW66" s="64">
        <v>1.1E-5</v>
      </c>
      <c r="BX66" s="64">
        <v>1.1E-5</v>
      </c>
      <c r="BY66" s="64">
        <v>1.1E-5</v>
      </c>
      <c r="BZ66" s="64">
        <v>1.1E-5</v>
      </c>
      <c r="CA66" s="64">
        <v>1.1E-5</v>
      </c>
      <c r="CB66" s="64">
        <v>1.1E-5</v>
      </c>
      <c r="CC66" s="64">
        <v>1.1E-5</v>
      </c>
      <c r="CD66" s="64">
        <v>1.1E-5</v>
      </c>
      <c r="CE66" s="64">
        <v>1.2E-5</v>
      </c>
      <c r="CF66" s="64">
        <v>1.2E-5</v>
      </c>
      <c r="CG66" s="64">
        <v>2.4000000000000001E-5</v>
      </c>
      <c r="CH66" s="64">
        <v>1.2999999999999999E-5</v>
      </c>
      <c r="CI66" s="64">
        <v>1.5999999999999999E-5</v>
      </c>
      <c r="CJ66" s="64">
        <v>9.0000000000000002E-6</v>
      </c>
      <c r="CK66" s="64">
        <v>1.9000000000000001E-5</v>
      </c>
      <c r="CL66" s="64">
        <v>1.7E-5</v>
      </c>
      <c r="CM66" s="64">
        <v>1.0000000000000001E-5</v>
      </c>
      <c r="CN66" s="64">
        <v>6.9999999999999999E-6</v>
      </c>
      <c r="CO66" s="64">
        <v>7.9999999999999996E-6</v>
      </c>
      <c r="CP66" s="64">
        <v>3.3000000000000003E-5</v>
      </c>
      <c r="CQ66" s="64">
        <v>6.0000000000000002E-6</v>
      </c>
      <c r="CR66" s="64">
        <v>1.7E-5</v>
      </c>
      <c r="CS66" s="64">
        <v>3.9999999999999998E-6</v>
      </c>
      <c r="CT66" s="64">
        <v>9.9999999999999995E-7</v>
      </c>
      <c r="CU66" s="64">
        <v>9.9999999999999995E-7</v>
      </c>
      <c r="CV66" s="64">
        <v>5.0000000000000004E-6</v>
      </c>
      <c r="CW66" s="64">
        <v>5.0000000000000004E-6</v>
      </c>
      <c r="CX66" s="64">
        <v>9.9999999999999995E-7</v>
      </c>
      <c r="CY66" s="64">
        <v>9.9999999999999995E-7</v>
      </c>
      <c r="CZ66" s="64">
        <v>9.9999999999999995E-7</v>
      </c>
      <c r="DA66" s="64">
        <v>9.9999999999999995E-7</v>
      </c>
      <c r="DB66" s="64">
        <v>0</v>
      </c>
      <c r="DC66" s="64">
        <v>9.9999999999999995E-7</v>
      </c>
      <c r="DD66" s="64">
        <v>9.9999999999999995E-7</v>
      </c>
      <c r="DE66" s="64">
        <v>9.9999999999999995E-7</v>
      </c>
      <c r="DF66" s="64">
        <v>9.9999999999999995E-7</v>
      </c>
      <c r="DG66" s="64">
        <v>9.9999999999999995E-7</v>
      </c>
      <c r="DH66" s="64">
        <v>9.9999999999999995E-7</v>
      </c>
      <c r="DI66" s="64">
        <v>9.9999999999999995E-7</v>
      </c>
      <c r="DJ66" s="64">
        <v>1.9999999999999999E-6</v>
      </c>
      <c r="DK66" s="64">
        <v>1.9999999999999999E-6</v>
      </c>
      <c r="DL66" s="64">
        <v>1.9999999999999999E-6</v>
      </c>
      <c r="DM66" s="64">
        <v>1.9999999999999999E-6</v>
      </c>
      <c r="DN66" s="64">
        <v>5.0000000000000004E-6</v>
      </c>
      <c r="DO66" s="64">
        <v>1.9999999999999999E-6</v>
      </c>
      <c r="DP66" s="64">
        <v>1.9999999999999999E-6</v>
      </c>
      <c r="DQ66" s="64">
        <v>1.9999999999999999E-6</v>
      </c>
      <c r="DR66" s="64">
        <v>5.0000000000000004E-6</v>
      </c>
      <c r="DS66" s="64">
        <v>3.0000000000000001E-6</v>
      </c>
      <c r="DT66" s="64">
        <v>1.9999999999999999E-6</v>
      </c>
      <c r="DU66" s="64">
        <v>1.9999999999999999E-6</v>
      </c>
      <c r="DV66" s="64">
        <v>1.9999999999999999E-6</v>
      </c>
      <c r="DW66" s="64">
        <v>1.9999999999999999E-6</v>
      </c>
      <c r="DX66" s="64">
        <v>9.9999999999999995E-7</v>
      </c>
      <c r="DY66" s="64">
        <v>3.0000000000000001E-6</v>
      </c>
      <c r="DZ66" s="64">
        <v>0</v>
      </c>
      <c r="EA66" s="64">
        <v>0</v>
      </c>
      <c r="EB66" s="64">
        <v>0</v>
      </c>
      <c r="EC66" s="64">
        <v>9.9999999999999995E-7</v>
      </c>
      <c r="ED66" s="64">
        <v>9.9999999999999995E-7</v>
      </c>
      <c r="EE66" s="64">
        <v>9.9999999999999995E-7</v>
      </c>
      <c r="EF66" s="64">
        <v>9.9999999999999995E-7</v>
      </c>
      <c r="EG66" s="64">
        <v>9.9999999999999995E-7</v>
      </c>
      <c r="EH66" s="64">
        <v>9.9999999999999995E-7</v>
      </c>
      <c r="EI66" s="64">
        <v>0</v>
      </c>
      <c r="EJ66" s="64">
        <v>1.9999999999999999E-6</v>
      </c>
      <c r="EK66" s="64">
        <v>1.9999999999999999E-6</v>
      </c>
      <c r="EL66" s="64">
        <v>1.9999999999999999E-6</v>
      </c>
      <c r="EM66" s="64">
        <v>1.9999999999999999E-6</v>
      </c>
      <c r="EN66" s="64">
        <v>1.9999999999999999E-6</v>
      </c>
      <c r="EO66" s="64">
        <v>1.9999999999999999E-6</v>
      </c>
      <c r="EP66" s="64">
        <v>1.9999999999999999E-6</v>
      </c>
      <c r="EQ66" s="64">
        <v>3.0000000000000001E-6</v>
      </c>
      <c r="ER66" s="64">
        <v>3.0000000000000001E-6</v>
      </c>
      <c r="ES66" s="64">
        <v>1.9999999999999999E-6</v>
      </c>
      <c r="ET66" s="64">
        <v>1.9999999999999999E-6</v>
      </c>
      <c r="EU66" s="64">
        <v>5.0000000000000004E-6</v>
      </c>
      <c r="EV66" s="64">
        <v>1.9999999999999999E-6</v>
      </c>
      <c r="EW66" s="64">
        <v>3.0000000000000001E-6</v>
      </c>
      <c r="EX66" s="64">
        <v>1.9999999999999999E-6</v>
      </c>
      <c r="EY66" s="64">
        <v>3.9999999999999998E-6</v>
      </c>
      <c r="EZ66" s="64">
        <v>3.9999999999999998E-6</v>
      </c>
      <c r="FA66" s="64">
        <v>9.9999999999999995E-7</v>
      </c>
      <c r="FB66" s="64">
        <v>9.9999999999999995E-7</v>
      </c>
      <c r="FC66" s="64">
        <v>9.9999999999999995E-7</v>
      </c>
      <c r="FD66" s="64">
        <v>9.9999999999999995E-7</v>
      </c>
      <c r="FE66" s="64">
        <v>9.9999999999999995E-7</v>
      </c>
      <c r="FF66" s="64">
        <v>1.9999999999999999E-6</v>
      </c>
      <c r="FG66" s="64">
        <v>9.9999999999999995E-7</v>
      </c>
      <c r="FH66" s="64">
        <v>0</v>
      </c>
      <c r="FI66" s="64">
        <v>0</v>
      </c>
      <c r="FJ66" s="64">
        <v>9.9999999999999995E-7</v>
      </c>
      <c r="FK66" s="64">
        <v>9.9999999999999995E-7</v>
      </c>
      <c r="FL66" s="64">
        <v>2.1999999999999999E-5</v>
      </c>
      <c r="FM66" s="64">
        <v>2.1999999999999999E-5</v>
      </c>
      <c r="FN66" s="64">
        <v>2.1999999999999999E-5</v>
      </c>
      <c r="FO66" s="64">
        <v>2.1999999999999999E-5</v>
      </c>
      <c r="FP66" s="64">
        <v>0</v>
      </c>
      <c r="FQ66" s="64">
        <v>2.8E-5</v>
      </c>
      <c r="FR66" s="64">
        <v>2.8E-5</v>
      </c>
      <c r="FS66" s="64">
        <v>2.8E-5</v>
      </c>
      <c r="FT66" s="64">
        <v>2.8E-5</v>
      </c>
      <c r="FU66" s="64">
        <v>2.8E-5</v>
      </c>
      <c r="FV66" s="64">
        <v>2.8E-5</v>
      </c>
      <c r="FW66" s="64">
        <v>2.8E-5</v>
      </c>
      <c r="FX66" s="64">
        <v>1.7E-5</v>
      </c>
      <c r="FY66" s="64">
        <v>1.7E-5</v>
      </c>
      <c r="FZ66" s="64">
        <v>1.5E-5</v>
      </c>
      <c r="GA66" s="64">
        <v>1.5E-5</v>
      </c>
      <c r="GB66" s="64">
        <v>3.4999999999999997E-5</v>
      </c>
      <c r="GC66" s="64">
        <v>1.4E-5</v>
      </c>
      <c r="GD66" s="64">
        <v>1.5E-5</v>
      </c>
      <c r="GE66" s="64">
        <v>1.4E-5</v>
      </c>
      <c r="GF66" s="64">
        <v>9.0000000000000006E-5</v>
      </c>
      <c r="GG66" s="64">
        <v>2.3E-5</v>
      </c>
      <c r="GH66" s="64">
        <v>1.5E-5</v>
      </c>
      <c r="GI66" s="64">
        <v>1.1E-5</v>
      </c>
      <c r="GJ66" s="64">
        <v>7.9999999999999996E-6</v>
      </c>
      <c r="GK66" s="64">
        <v>4.8000000000000001E-5</v>
      </c>
      <c r="GL66" s="64">
        <v>1.5999999999999999E-5</v>
      </c>
      <c r="GM66" s="64">
        <v>6.7000000000000002E-5</v>
      </c>
      <c r="GN66" s="64">
        <v>6.0000000000000002E-6</v>
      </c>
      <c r="GO66" s="64">
        <v>1.9999999999999999E-6</v>
      </c>
      <c r="GP66" s="64">
        <v>9.9999999999999995E-7</v>
      </c>
      <c r="GQ66" s="64">
        <v>7.9999999999999996E-6</v>
      </c>
      <c r="GR66" s="64">
        <v>7.9999999999999996E-6</v>
      </c>
      <c r="GS66" s="64">
        <v>1.9999999999999999E-6</v>
      </c>
      <c r="GT66" s="64">
        <v>1.9999999999999999E-6</v>
      </c>
      <c r="GU66" s="64">
        <v>1.9999999999999999E-6</v>
      </c>
      <c r="GV66" s="64">
        <v>1.9999999999999999E-6</v>
      </c>
      <c r="GW66" s="64">
        <v>0</v>
      </c>
      <c r="GX66" s="64">
        <v>3.0000000000000001E-6</v>
      </c>
      <c r="GY66" s="64">
        <v>3.0000000000000001E-6</v>
      </c>
      <c r="GZ66" s="64">
        <v>3.0000000000000001E-6</v>
      </c>
      <c r="HA66" s="64">
        <v>3.0000000000000001E-6</v>
      </c>
      <c r="HB66" s="64">
        <v>3.0000000000000001E-6</v>
      </c>
      <c r="HC66" s="64">
        <v>3.0000000000000001E-6</v>
      </c>
      <c r="HD66" s="64">
        <v>3.0000000000000001E-6</v>
      </c>
      <c r="HE66" s="64">
        <v>6.0000000000000002E-6</v>
      </c>
      <c r="HF66" s="64">
        <v>6.0000000000000002E-6</v>
      </c>
      <c r="HG66" s="64">
        <v>3.9999999999999998E-6</v>
      </c>
      <c r="HH66" s="64">
        <v>3.9999999999999998E-6</v>
      </c>
      <c r="HI66" s="64">
        <v>9.0000000000000002E-6</v>
      </c>
      <c r="HJ66" s="64">
        <v>5.0000000000000004E-6</v>
      </c>
      <c r="HK66" s="64">
        <v>6.0000000000000002E-6</v>
      </c>
      <c r="HL66" s="64">
        <v>5.0000000000000004E-6</v>
      </c>
      <c r="HM66" s="64">
        <v>9.0000000000000002E-6</v>
      </c>
      <c r="HN66" s="64">
        <v>1.0000000000000001E-5</v>
      </c>
      <c r="HO66" s="64">
        <v>3.9999999999999998E-6</v>
      </c>
      <c r="HP66" s="64">
        <v>5.0000000000000004E-6</v>
      </c>
      <c r="HQ66" s="64">
        <v>3.0000000000000001E-6</v>
      </c>
      <c r="HR66" s="64">
        <v>1.0000000000000001E-5</v>
      </c>
      <c r="HS66" s="64">
        <v>3.0000000000000001E-6</v>
      </c>
      <c r="HT66" s="64">
        <v>6.9999999999999999E-6</v>
      </c>
      <c r="HU66" s="64">
        <v>1.9999999999999999E-6</v>
      </c>
      <c r="HV66" s="64">
        <v>0</v>
      </c>
      <c r="HW66" s="64">
        <v>0</v>
      </c>
      <c r="HX66" s="64">
        <v>1.9999999999999999E-6</v>
      </c>
      <c r="HY66" s="64">
        <v>1.9999999999999999E-6</v>
      </c>
      <c r="HZ66" s="64">
        <v>9.0000000000000002E-6</v>
      </c>
      <c r="IA66" s="64">
        <v>9.0000000000000002E-6</v>
      </c>
      <c r="IB66" s="64">
        <v>9.0000000000000002E-6</v>
      </c>
      <c r="IC66" s="64">
        <v>9.0000000000000002E-6</v>
      </c>
      <c r="ID66" s="64">
        <v>0</v>
      </c>
      <c r="IE66" s="64">
        <v>1.2E-5</v>
      </c>
      <c r="IF66" s="64">
        <v>1.2E-5</v>
      </c>
      <c r="IG66" s="64">
        <v>1.2E-5</v>
      </c>
      <c r="IH66" s="64">
        <v>1.2E-5</v>
      </c>
      <c r="II66" s="64">
        <v>1.2E-5</v>
      </c>
      <c r="IJ66" s="64">
        <v>1.2E-5</v>
      </c>
      <c r="IK66" s="64">
        <v>1.2E-5</v>
      </c>
      <c r="IL66" s="64">
        <v>1.2E-5</v>
      </c>
      <c r="IM66" s="64">
        <v>1.2E-5</v>
      </c>
      <c r="IN66" s="64">
        <v>1.2999999999999999E-5</v>
      </c>
      <c r="IO66" s="64">
        <v>1.2999999999999999E-5</v>
      </c>
      <c r="IP66" s="64">
        <v>2.6999999999999999E-5</v>
      </c>
      <c r="IQ66" s="64">
        <v>1.9000000000000001E-5</v>
      </c>
      <c r="IR66" s="64">
        <v>1.1E-5</v>
      </c>
      <c r="IS66" s="64">
        <v>1.0000000000000001E-5</v>
      </c>
      <c r="IT66" s="64">
        <v>2.5999999999999998E-5</v>
      </c>
      <c r="IU66" s="64">
        <v>2.4000000000000001E-5</v>
      </c>
      <c r="IV66" s="64">
        <v>7.9999999999999996E-6</v>
      </c>
      <c r="IW66" s="64">
        <v>1.2E-5</v>
      </c>
      <c r="IX66" s="64">
        <v>2.5999999999999998E-5</v>
      </c>
      <c r="IY66" s="64">
        <v>4.5000000000000003E-5</v>
      </c>
      <c r="IZ66" s="64">
        <v>6.9999999999999999E-6</v>
      </c>
      <c r="JA66" s="64">
        <v>3.1000000000000001E-5</v>
      </c>
      <c r="JB66" s="64">
        <v>7.9999999999999996E-6</v>
      </c>
      <c r="JC66" s="64">
        <v>9.9999999999999995E-7</v>
      </c>
      <c r="JD66" s="64">
        <v>9.9999999999999995E-7</v>
      </c>
      <c r="JE66" s="64">
        <v>7.9999999999999996E-6</v>
      </c>
      <c r="JF66" s="64">
        <v>7.9999999999999996E-6</v>
      </c>
      <c r="JG66" s="64">
        <v>2.9300000000000002E-4</v>
      </c>
      <c r="JH66" s="64">
        <v>2.9300000000000002E-4</v>
      </c>
      <c r="JI66" s="64">
        <v>2.9300000000000002E-4</v>
      </c>
      <c r="JJ66" s="64">
        <v>2.9300000000000002E-4</v>
      </c>
      <c r="JK66" s="64">
        <v>0</v>
      </c>
      <c r="JL66" s="64">
        <v>3.9399999999999998E-4</v>
      </c>
      <c r="JM66" s="64">
        <v>3.9399999999999998E-4</v>
      </c>
      <c r="JN66" s="64">
        <v>3.9399999999999998E-4</v>
      </c>
      <c r="JO66" s="64">
        <v>3.9399999999999998E-4</v>
      </c>
      <c r="JP66" s="64">
        <v>3.9399999999999998E-4</v>
      </c>
      <c r="JQ66" s="64">
        <v>3.9399999999999998E-4</v>
      </c>
      <c r="JR66" s="64">
        <v>3.9399999999999998E-4</v>
      </c>
      <c r="JS66" s="64">
        <v>2.3800000000000001E-4</v>
      </c>
      <c r="JT66" s="64">
        <v>2.3800000000000001E-4</v>
      </c>
      <c r="JU66" s="64">
        <v>4.5100000000000001E-4</v>
      </c>
      <c r="JV66" s="64">
        <v>4.5100000000000001E-4</v>
      </c>
      <c r="JW66" s="64">
        <v>4.2400000000000001E-4</v>
      </c>
      <c r="JX66" s="64">
        <v>3.0800000000000001E-4</v>
      </c>
      <c r="JY66" s="64">
        <v>5.6400000000000005E-4</v>
      </c>
      <c r="JZ66" s="64">
        <v>3.6400000000000001E-4</v>
      </c>
      <c r="KA66" s="64">
        <v>6.1700000000000004E-4</v>
      </c>
      <c r="KB66" s="64">
        <v>4.4099999999999999E-4</v>
      </c>
      <c r="KC66" s="64">
        <v>1.85E-4</v>
      </c>
      <c r="KD66" s="64">
        <v>2.2900000000000001E-4</v>
      </c>
      <c r="KE66" s="64">
        <v>1.4419999999999999E-3</v>
      </c>
      <c r="KF66" s="64">
        <v>3.7500000000000001E-4</v>
      </c>
      <c r="KG66" s="64">
        <v>2.1599999999999999E-4</v>
      </c>
      <c r="KH66" s="64">
        <v>2.8699999999999998E-4</v>
      </c>
      <c r="KI66" s="64">
        <v>1.11E-4</v>
      </c>
      <c r="KJ66" s="64">
        <v>4.8999999999999998E-5</v>
      </c>
      <c r="KK66" s="64">
        <v>3.6000000000000001E-5</v>
      </c>
      <c r="KL66" s="64">
        <v>1.17E-4</v>
      </c>
      <c r="KM66" s="64">
        <v>1.17E-4</v>
      </c>
      <c r="KN66" s="64">
        <v>3.9999999999999998E-6</v>
      </c>
      <c r="KO66" s="64">
        <v>3.9999999999999998E-6</v>
      </c>
      <c r="KP66" s="64">
        <v>3.9999999999999998E-6</v>
      </c>
      <c r="KQ66" s="64">
        <v>3.9999999999999998E-6</v>
      </c>
      <c r="KR66" s="64">
        <v>0</v>
      </c>
      <c r="KS66" s="64">
        <v>6.0000000000000002E-6</v>
      </c>
      <c r="KT66" s="64">
        <v>6.0000000000000002E-6</v>
      </c>
      <c r="KU66" s="64">
        <v>6.0000000000000002E-6</v>
      </c>
      <c r="KV66" s="64">
        <v>6.0000000000000002E-6</v>
      </c>
      <c r="KW66" s="64">
        <v>6.0000000000000002E-6</v>
      </c>
      <c r="KX66" s="64">
        <v>6.0000000000000002E-6</v>
      </c>
      <c r="KY66" s="64">
        <v>6.0000000000000002E-6</v>
      </c>
      <c r="KZ66" s="64">
        <v>3.9999999999999998E-6</v>
      </c>
      <c r="LA66" s="64">
        <v>3.9999999999999998E-6</v>
      </c>
      <c r="LB66" s="64">
        <v>6.0000000000000002E-6</v>
      </c>
      <c r="LC66" s="64">
        <v>6.0000000000000002E-6</v>
      </c>
      <c r="LD66" s="64">
        <v>1.2999999999999999E-5</v>
      </c>
      <c r="LE66" s="64">
        <v>6.0000000000000002E-6</v>
      </c>
      <c r="LF66" s="64">
        <v>7.9999999999999996E-6</v>
      </c>
      <c r="LG66" s="64">
        <v>5.0000000000000004E-6</v>
      </c>
      <c r="LH66" s="64">
        <v>1.2999999999999999E-5</v>
      </c>
      <c r="LI66" s="64">
        <v>9.0000000000000002E-6</v>
      </c>
      <c r="LJ66" s="64">
        <v>6.0000000000000002E-6</v>
      </c>
      <c r="LK66" s="64">
        <v>3.0000000000000001E-6</v>
      </c>
      <c r="LL66" s="64">
        <v>5.0000000000000004E-6</v>
      </c>
      <c r="LM66" s="64">
        <v>1.1E-5</v>
      </c>
      <c r="LN66" s="64">
        <v>3.0000000000000001E-6</v>
      </c>
      <c r="LO66" s="64">
        <v>1.4E-5</v>
      </c>
      <c r="LP66" s="64">
        <v>3.0000000000000001E-6</v>
      </c>
      <c r="LQ66" s="64">
        <v>0</v>
      </c>
      <c r="LR66" s="64">
        <v>0</v>
      </c>
      <c r="LS66" s="64">
        <v>3.9999999999999998E-6</v>
      </c>
      <c r="LT66" s="64">
        <v>3.9999999999999998E-6</v>
      </c>
      <c r="LU66" s="64">
        <v>7.9999999999999996E-6</v>
      </c>
      <c r="LV66" s="64">
        <v>7.9999999999999996E-6</v>
      </c>
      <c r="LW66" s="64">
        <v>7.9999999999999996E-6</v>
      </c>
      <c r="LX66" s="64">
        <v>7.9999999999999996E-6</v>
      </c>
      <c r="LY66" s="64">
        <v>0</v>
      </c>
      <c r="LZ66" s="64">
        <v>1.2E-5</v>
      </c>
      <c r="MA66" s="64">
        <v>1.2E-5</v>
      </c>
      <c r="MB66" s="64">
        <v>1.2E-5</v>
      </c>
      <c r="MC66" s="64">
        <v>1.2E-5</v>
      </c>
      <c r="MD66" s="64">
        <v>1.2E-5</v>
      </c>
      <c r="ME66" s="64">
        <v>1.2E-5</v>
      </c>
      <c r="MF66" s="64">
        <v>1.2E-5</v>
      </c>
      <c r="MG66" s="64">
        <v>1.1E-5</v>
      </c>
      <c r="MH66" s="64">
        <v>1.1E-5</v>
      </c>
      <c r="MI66" s="64">
        <v>1.0000000000000001E-5</v>
      </c>
      <c r="MJ66" s="64">
        <v>1.0000000000000001E-5</v>
      </c>
      <c r="MK66" s="64">
        <v>2.1999999999999999E-5</v>
      </c>
      <c r="ML66" s="64">
        <v>9.0000000000000002E-6</v>
      </c>
      <c r="MM66" s="64">
        <v>1.0000000000000001E-5</v>
      </c>
      <c r="MN66" s="64">
        <v>9.0000000000000002E-6</v>
      </c>
      <c r="MO66" s="64">
        <v>2.0000000000000002E-5</v>
      </c>
      <c r="MP66" s="64">
        <v>1.8E-5</v>
      </c>
      <c r="MQ66" s="64">
        <v>6.9999999999999999E-6</v>
      </c>
      <c r="MR66" s="64">
        <v>6.9999999999999999E-6</v>
      </c>
      <c r="MS66" s="64">
        <v>6.9999999999999999E-6</v>
      </c>
      <c r="MT66" s="64">
        <v>2.1999999999999999E-5</v>
      </c>
      <c r="MU66" s="64">
        <v>6.0000000000000002E-6</v>
      </c>
      <c r="MV66" s="64">
        <v>1.5999999999999999E-5</v>
      </c>
      <c r="MW66" s="64">
        <v>3.9999999999999998E-6</v>
      </c>
      <c r="MX66" s="64">
        <v>9.9999999999999995E-7</v>
      </c>
      <c r="MY66" s="64">
        <v>9.9999999999999995E-7</v>
      </c>
      <c r="MZ66" s="64">
        <v>6.0000000000000002E-6</v>
      </c>
      <c r="NA66" s="64">
        <v>6.0000000000000002E-6</v>
      </c>
      <c r="NB66" s="64"/>
      <c r="NC66" s="64"/>
      <c r="ND66" s="64"/>
      <c r="NE66" s="64"/>
      <c r="NF66" s="64"/>
      <c r="NG66" s="64"/>
      <c r="NH66" s="64"/>
      <c r="NI66" s="64"/>
      <c r="NJ66" s="64"/>
      <c r="NK66" s="64"/>
      <c r="NL66" s="64"/>
      <c r="NM66" s="64"/>
      <c r="NN66" s="64"/>
      <c r="NO66" s="64"/>
      <c r="NP66" s="64"/>
      <c r="NQ66" s="64"/>
      <c r="NR66" s="64"/>
      <c r="NS66" s="64"/>
      <c r="NT66" s="64"/>
      <c r="NU66" s="64"/>
      <c r="NV66" s="64"/>
      <c r="NW66" s="64"/>
      <c r="NX66" s="64"/>
      <c r="NY66" s="64"/>
      <c r="NZ66" s="64"/>
      <c r="OA66" s="64"/>
      <c r="OB66" s="64"/>
      <c r="OC66" s="64"/>
      <c r="OD66" s="64"/>
      <c r="OE66" s="64"/>
      <c r="OF66" s="64"/>
      <c r="OG66" s="64"/>
      <c r="OH66" s="64"/>
      <c r="OI66" s="64"/>
      <c r="OJ66" s="64"/>
      <c r="OK66" s="64"/>
      <c r="OL66" s="64"/>
      <c r="OM66" s="64"/>
      <c r="ON66" s="64"/>
      <c r="OO66" s="64"/>
      <c r="OP66" s="64"/>
      <c r="OQ66" s="64"/>
      <c r="OR66" s="64"/>
      <c r="OS66" s="64"/>
    </row>
    <row r="67" spans="1:409">
      <c r="A67" s="65" t="s">
        <v>103</v>
      </c>
      <c r="B67" s="65" t="s">
        <v>21</v>
      </c>
      <c r="C67" s="65">
        <v>1.331724925136454E-4</v>
      </c>
      <c r="D67" s="65">
        <v>1.7297162792112681E-4</v>
      </c>
      <c r="E67" s="65">
        <v>9.8195131238661625E-5</v>
      </c>
      <c r="F67" s="65">
        <v>8.7898301209402924E-5</v>
      </c>
      <c r="G67" s="65">
        <v>0</v>
      </c>
      <c r="H67" s="65">
        <v>1.103174959497737E-4</v>
      </c>
      <c r="I67" s="65">
        <v>8.0847039071522053E-5</v>
      </c>
      <c r="J67" s="65">
        <v>1.17466771397302E-4</v>
      </c>
      <c r="K67" s="65">
        <v>9.3674853007804133E-5</v>
      </c>
      <c r="L67" s="65">
        <v>6.2859390792928632E-5</v>
      </c>
      <c r="M67" s="65">
        <v>1.027579315939253E-4</v>
      </c>
      <c r="N67" s="65">
        <v>1.199858196148941E-4</v>
      </c>
      <c r="O67" s="65">
        <v>1.284748546078592E-4</v>
      </c>
      <c r="P67" s="65">
        <v>2.1165541035118789E-4</v>
      </c>
      <c r="Q67" s="65">
        <v>5.1557924784049374E-4</v>
      </c>
      <c r="R67" s="65">
        <v>7.2835253603812332E-4</v>
      </c>
      <c r="S67" s="65">
        <v>3.6560088085936799E-3</v>
      </c>
      <c r="T67" s="65">
        <v>7.4403176774810709E-4</v>
      </c>
      <c r="U67" s="65">
        <v>6.4685523051485373E-4</v>
      </c>
      <c r="V67" s="65">
        <v>6.8339397506913977E-3</v>
      </c>
      <c r="W67" s="65">
        <v>5.3801525999020933E-3</v>
      </c>
      <c r="X67" s="65">
        <v>3.0775382311780809E-3</v>
      </c>
      <c r="Y67" s="65">
        <v>2.2300078756952481E-3</v>
      </c>
      <c r="Z67" s="65">
        <v>3.0372019735359663E-4</v>
      </c>
      <c r="AA67" s="65">
        <v>6.4205806485434914E-4</v>
      </c>
      <c r="AB67" s="65">
        <v>9.5267231497137516E-4</v>
      </c>
      <c r="AC67" s="65">
        <v>1.0010721615232541</v>
      </c>
      <c r="AD67" s="65">
        <v>1.146159364407805E-3</v>
      </c>
      <c r="AE67" s="65">
        <v>8.9246487199917234E-4</v>
      </c>
      <c r="AF67" s="65">
        <v>3.8518197870579898E-4</v>
      </c>
      <c r="AG67" s="65">
        <v>2.799740584235737E-4</v>
      </c>
      <c r="AH67" s="65">
        <v>2.6685474920694978E-3</v>
      </c>
      <c r="AI67" s="65">
        <v>4.2266890525046253E-3</v>
      </c>
      <c r="AJ67" s="65">
        <v>5.0000000000000004E-6</v>
      </c>
      <c r="AK67" s="65">
        <v>5.0000000000000004E-6</v>
      </c>
      <c r="AL67" s="65">
        <v>5.0000000000000004E-6</v>
      </c>
      <c r="AM67" s="65">
        <v>5.0000000000000004E-6</v>
      </c>
      <c r="AN67" s="65">
        <v>0</v>
      </c>
      <c r="AO67" s="65">
        <v>3.0000000000000001E-6</v>
      </c>
      <c r="AP67" s="65">
        <v>3.0000000000000001E-6</v>
      </c>
      <c r="AQ67" s="65">
        <v>3.0000000000000001E-6</v>
      </c>
      <c r="AR67" s="65">
        <v>3.0000000000000001E-6</v>
      </c>
      <c r="AS67" s="65">
        <v>3.0000000000000001E-6</v>
      </c>
      <c r="AT67" s="65">
        <v>3.0000000000000001E-6</v>
      </c>
      <c r="AU67" s="65">
        <v>3.0000000000000001E-6</v>
      </c>
      <c r="AV67" s="65">
        <v>3.0000000000000001E-6</v>
      </c>
      <c r="AW67" s="65">
        <v>3.0000000000000001E-6</v>
      </c>
      <c r="AX67" s="65">
        <v>3.9999999999999998E-6</v>
      </c>
      <c r="AY67" s="65">
        <v>3.9999999999999998E-6</v>
      </c>
      <c r="AZ67" s="65">
        <v>1.5999999999999999E-5</v>
      </c>
      <c r="BA67" s="65">
        <v>3.0000000000000001E-6</v>
      </c>
      <c r="BB67" s="65">
        <v>1.9999999999999999E-6</v>
      </c>
      <c r="BC67" s="65">
        <v>3.0000000000000001E-6</v>
      </c>
      <c r="BD67" s="65">
        <v>6.0000000000000002E-6</v>
      </c>
      <c r="BE67" s="65">
        <v>6.0000000000000002E-6</v>
      </c>
      <c r="BF67" s="65">
        <v>9.9999999999999995E-7</v>
      </c>
      <c r="BG67" s="65">
        <v>1.9999999999999999E-6</v>
      </c>
      <c r="BH67" s="65">
        <v>9.9999999999999995E-7</v>
      </c>
      <c r="BI67" s="65">
        <v>1.9999999999999999E-6</v>
      </c>
      <c r="BJ67" s="65">
        <v>3.0000000000000001E-6</v>
      </c>
      <c r="BK67" s="65">
        <v>6.0000000000000002E-6</v>
      </c>
      <c r="BL67" s="65">
        <v>9.9999999999999995E-7</v>
      </c>
      <c r="BM67" s="65">
        <v>0</v>
      </c>
      <c r="BN67" s="65">
        <v>0</v>
      </c>
      <c r="BO67" s="65">
        <v>1.9999999999999999E-6</v>
      </c>
      <c r="BP67" s="65">
        <v>1.9999999999999999E-6</v>
      </c>
      <c r="BQ67" s="65">
        <v>9.9999999999999995E-7</v>
      </c>
      <c r="BR67" s="65">
        <v>9.9999999999999995E-7</v>
      </c>
      <c r="BS67" s="65">
        <v>9.9999999999999995E-7</v>
      </c>
      <c r="BT67" s="65">
        <v>9.9999999999999995E-7</v>
      </c>
      <c r="BU67" s="65">
        <v>0</v>
      </c>
      <c r="BV67" s="65">
        <v>1.9999999999999999E-6</v>
      </c>
      <c r="BW67" s="65">
        <v>1.9999999999999999E-6</v>
      </c>
      <c r="BX67" s="65">
        <v>1.9999999999999999E-6</v>
      </c>
      <c r="BY67" s="65">
        <v>1.9999999999999999E-6</v>
      </c>
      <c r="BZ67" s="65">
        <v>1.9999999999999999E-6</v>
      </c>
      <c r="CA67" s="65">
        <v>1.9999999999999999E-6</v>
      </c>
      <c r="CB67" s="65">
        <v>1.9999999999999999E-6</v>
      </c>
      <c r="CC67" s="65">
        <v>1.9999999999999999E-6</v>
      </c>
      <c r="CD67" s="65">
        <v>1.9999999999999999E-6</v>
      </c>
      <c r="CE67" s="65">
        <v>1.9999999999999999E-6</v>
      </c>
      <c r="CF67" s="65">
        <v>1.9999999999999999E-6</v>
      </c>
      <c r="CG67" s="65">
        <v>5.0000000000000004E-6</v>
      </c>
      <c r="CH67" s="65">
        <v>1.9999999999999999E-6</v>
      </c>
      <c r="CI67" s="65">
        <v>1.9999999999999999E-6</v>
      </c>
      <c r="CJ67" s="65">
        <v>1.9999999999999999E-6</v>
      </c>
      <c r="CK67" s="65">
        <v>3.9999999999999998E-6</v>
      </c>
      <c r="CL67" s="65">
        <v>3.9999999999999998E-6</v>
      </c>
      <c r="CM67" s="65">
        <v>1.9999999999999999E-6</v>
      </c>
      <c r="CN67" s="65">
        <v>1.9999999999999999E-6</v>
      </c>
      <c r="CO67" s="65">
        <v>1.9999999999999999E-6</v>
      </c>
      <c r="CP67" s="65">
        <v>3.0000000000000001E-6</v>
      </c>
      <c r="CQ67" s="65">
        <v>7.9999999999999996E-6</v>
      </c>
      <c r="CR67" s="65">
        <v>1.2999999999999999E-5</v>
      </c>
      <c r="CS67" s="65">
        <v>1.9999999999999999E-6</v>
      </c>
      <c r="CT67" s="65">
        <v>0</v>
      </c>
      <c r="CU67" s="65">
        <v>0</v>
      </c>
      <c r="CV67" s="65">
        <v>3.9999999999999998E-6</v>
      </c>
      <c r="CW67" s="65">
        <v>3.9999999999999998E-6</v>
      </c>
      <c r="CX67" s="65">
        <v>0</v>
      </c>
      <c r="CY67" s="65">
        <v>0</v>
      </c>
      <c r="CZ67" s="65">
        <v>0</v>
      </c>
      <c r="DA67" s="65">
        <v>0</v>
      </c>
      <c r="DB67" s="65">
        <v>0</v>
      </c>
      <c r="DC67" s="65">
        <v>0</v>
      </c>
      <c r="DD67" s="65">
        <v>0</v>
      </c>
      <c r="DE67" s="65">
        <v>0</v>
      </c>
      <c r="DF67" s="65">
        <v>0</v>
      </c>
      <c r="DG67" s="65">
        <v>0</v>
      </c>
      <c r="DH67" s="65">
        <v>0</v>
      </c>
      <c r="DI67" s="65">
        <v>0</v>
      </c>
      <c r="DJ67" s="65">
        <v>0</v>
      </c>
      <c r="DK67" s="65">
        <v>0</v>
      </c>
      <c r="DL67" s="65">
        <v>0</v>
      </c>
      <c r="DM67" s="65">
        <v>0</v>
      </c>
      <c r="DN67" s="65">
        <v>9.9999999999999995E-7</v>
      </c>
      <c r="DO67" s="65">
        <v>0</v>
      </c>
      <c r="DP67" s="65">
        <v>0</v>
      </c>
      <c r="DQ67" s="65">
        <v>0</v>
      </c>
      <c r="DR67" s="65">
        <v>9.9999999999999995E-7</v>
      </c>
      <c r="DS67" s="65">
        <v>9.9999999999999995E-7</v>
      </c>
      <c r="DT67" s="65">
        <v>0</v>
      </c>
      <c r="DU67" s="65">
        <v>9.9999999999999995E-7</v>
      </c>
      <c r="DV67" s="65">
        <v>0</v>
      </c>
      <c r="DW67" s="65">
        <v>0</v>
      </c>
      <c r="DX67" s="65">
        <v>9.9999999999999995E-7</v>
      </c>
      <c r="DY67" s="65">
        <v>9.9999999999999995E-7</v>
      </c>
      <c r="DZ67" s="65">
        <v>0</v>
      </c>
      <c r="EA67" s="65">
        <v>0</v>
      </c>
      <c r="EB67" s="65">
        <v>0</v>
      </c>
      <c r="EC67" s="65">
        <v>0</v>
      </c>
      <c r="ED67" s="65">
        <v>0</v>
      </c>
      <c r="EE67" s="65">
        <v>0</v>
      </c>
      <c r="EF67" s="65">
        <v>0</v>
      </c>
      <c r="EG67" s="65">
        <v>0</v>
      </c>
      <c r="EH67" s="65">
        <v>0</v>
      </c>
      <c r="EI67" s="65">
        <v>0</v>
      </c>
      <c r="EJ67" s="65">
        <v>0</v>
      </c>
      <c r="EK67" s="65">
        <v>0</v>
      </c>
      <c r="EL67" s="65">
        <v>0</v>
      </c>
      <c r="EM67" s="65">
        <v>0</v>
      </c>
      <c r="EN67" s="65">
        <v>0</v>
      </c>
      <c r="EO67" s="65">
        <v>0</v>
      </c>
      <c r="EP67" s="65">
        <v>0</v>
      </c>
      <c r="EQ67" s="65">
        <v>9.9999999999999995E-7</v>
      </c>
      <c r="ER67" s="65">
        <v>9.9999999999999995E-7</v>
      </c>
      <c r="ES67" s="65">
        <v>9.9999999999999995E-7</v>
      </c>
      <c r="ET67" s="65">
        <v>9.9999999999999995E-7</v>
      </c>
      <c r="EU67" s="65">
        <v>9.9999999999999995E-7</v>
      </c>
      <c r="EV67" s="65">
        <v>0</v>
      </c>
      <c r="EW67" s="65">
        <v>9.9999999999999995E-7</v>
      </c>
      <c r="EX67" s="65">
        <v>9.9999999999999995E-7</v>
      </c>
      <c r="EY67" s="65">
        <v>9.9999999999999995E-7</v>
      </c>
      <c r="EZ67" s="65">
        <v>9.9999999999999995E-7</v>
      </c>
      <c r="FA67" s="65">
        <v>0</v>
      </c>
      <c r="FB67" s="65">
        <v>0</v>
      </c>
      <c r="FC67" s="65">
        <v>0</v>
      </c>
      <c r="FD67" s="65">
        <v>0</v>
      </c>
      <c r="FE67" s="65">
        <v>0</v>
      </c>
      <c r="FF67" s="65">
        <v>9.9999999999999995E-7</v>
      </c>
      <c r="FG67" s="65">
        <v>0</v>
      </c>
      <c r="FH67" s="65">
        <v>0</v>
      </c>
      <c r="FI67" s="65">
        <v>0</v>
      </c>
      <c r="FJ67" s="65">
        <v>0</v>
      </c>
      <c r="FK67" s="65">
        <v>0</v>
      </c>
      <c r="FL67" s="65">
        <v>6.9999999999999999E-6</v>
      </c>
      <c r="FM67" s="65">
        <v>6.9999999999999999E-6</v>
      </c>
      <c r="FN67" s="65">
        <v>6.9999999999999999E-6</v>
      </c>
      <c r="FO67" s="65">
        <v>6.9999999999999999E-6</v>
      </c>
      <c r="FP67" s="65">
        <v>0</v>
      </c>
      <c r="FQ67" s="65">
        <v>7.9999999999999996E-6</v>
      </c>
      <c r="FR67" s="65">
        <v>7.9999999999999996E-6</v>
      </c>
      <c r="FS67" s="65">
        <v>7.9999999999999996E-6</v>
      </c>
      <c r="FT67" s="65">
        <v>7.9999999999999996E-6</v>
      </c>
      <c r="FU67" s="65">
        <v>7.9999999999999996E-6</v>
      </c>
      <c r="FV67" s="65">
        <v>7.9999999999999996E-6</v>
      </c>
      <c r="FW67" s="65">
        <v>7.9999999999999996E-6</v>
      </c>
      <c r="FX67" s="65">
        <v>1.1E-5</v>
      </c>
      <c r="FY67" s="65">
        <v>1.1E-5</v>
      </c>
      <c r="FZ67" s="65">
        <v>2.0000000000000002E-5</v>
      </c>
      <c r="GA67" s="65">
        <v>2.0000000000000002E-5</v>
      </c>
      <c r="GB67" s="65">
        <v>3.0000000000000001E-5</v>
      </c>
      <c r="GC67" s="65">
        <v>1.2E-5</v>
      </c>
      <c r="GD67" s="65">
        <v>1.0000000000000001E-5</v>
      </c>
      <c r="GE67" s="65">
        <v>1.4E-5</v>
      </c>
      <c r="GF67" s="65">
        <v>3.6000000000000001E-5</v>
      </c>
      <c r="GG67" s="65">
        <v>5.5999999999999999E-5</v>
      </c>
      <c r="GH67" s="65">
        <v>7.9999999999999996E-6</v>
      </c>
      <c r="GI67" s="65">
        <v>6.0000000000000002E-6</v>
      </c>
      <c r="GJ67" s="65">
        <v>3.9999999999999998E-6</v>
      </c>
      <c r="GK67" s="65">
        <v>9.0000000000000002E-6</v>
      </c>
      <c r="GL67" s="65">
        <v>1.7E-5</v>
      </c>
      <c r="GM67" s="65">
        <v>4.6E-5</v>
      </c>
      <c r="GN67" s="65">
        <v>6.9999999999999999E-6</v>
      </c>
      <c r="GO67" s="65">
        <v>1.9999999999999999E-6</v>
      </c>
      <c r="GP67" s="65">
        <v>9.9999999999999995E-7</v>
      </c>
      <c r="GQ67" s="65">
        <v>9.0000000000000002E-6</v>
      </c>
      <c r="GR67" s="65">
        <v>9.0000000000000002E-6</v>
      </c>
      <c r="GS67" s="65">
        <v>0</v>
      </c>
      <c r="GT67" s="65">
        <v>0</v>
      </c>
      <c r="GU67" s="65">
        <v>0</v>
      </c>
      <c r="GV67" s="65">
        <v>0</v>
      </c>
      <c r="GW67" s="65">
        <v>0</v>
      </c>
      <c r="GX67" s="65">
        <v>9.9999999999999995E-7</v>
      </c>
      <c r="GY67" s="65">
        <v>9.9999999999999995E-7</v>
      </c>
      <c r="GZ67" s="65">
        <v>9.9999999999999995E-7</v>
      </c>
      <c r="HA67" s="65">
        <v>9.9999999999999995E-7</v>
      </c>
      <c r="HB67" s="65">
        <v>9.9999999999999995E-7</v>
      </c>
      <c r="HC67" s="65">
        <v>9.9999999999999995E-7</v>
      </c>
      <c r="HD67" s="65">
        <v>9.9999999999999995E-7</v>
      </c>
      <c r="HE67" s="65">
        <v>9.9999999999999995E-7</v>
      </c>
      <c r="HF67" s="65">
        <v>9.9999999999999995E-7</v>
      </c>
      <c r="HG67" s="65">
        <v>9.9999999999999995E-7</v>
      </c>
      <c r="HH67" s="65">
        <v>9.9999999999999995E-7</v>
      </c>
      <c r="HI67" s="65">
        <v>9.9999999999999995E-7</v>
      </c>
      <c r="HJ67" s="65">
        <v>0</v>
      </c>
      <c r="HK67" s="65">
        <v>9.9999999999999995E-7</v>
      </c>
      <c r="HL67" s="65">
        <v>9.9999999999999995E-7</v>
      </c>
      <c r="HM67" s="65">
        <v>9.9999999999999995E-7</v>
      </c>
      <c r="HN67" s="65">
        <v>9.9999999999999995E-7</v>
      </c>
      <c r="HO67" s="65">
        <v>0</v>
      </c>
      <c r="HP67" s="65">
        <v>9.9999999999999995E-7</v>
      </c>
      <c r="HQ67" s="65">
        <v>9.9999999999999995E-7</v>
      </c>
      <c r="HR67" s="65">
        <v>9.9999999999999995E-7</v>
      </c>
      <c r="HS67" s="65">
        <v>1.9999999999999999E-6</v>
      </c>
      <c r="HT67" s="65">
        <v>3.0000000000000001E-6</v>
      </c>
      <c r="HU67" s="65">
        <v>9.9999999999999995E-7</v>
      </c>
      <c r="HV67" s="65">
        <v>0</v>
      </c>
      <c r="HW67" s="65">
        <v>0</v>
      </c>
      <c r="HX67" s="65">
        <v>9.9999999999999995E-7</v>
      </c>
      <c r="HY67" s="65">
        <v>9.9999999999999995E-7</v>
      </c>
      <c r="HZ67" s="65">
        <v>0</v>
      </c>
      <c r="IA67" s="65">
        <v>0</v>
      </c>
      <c r="IB67" s="65">
        <v>0</v>
      </c>
      <c r="IC67" s="65">
        <v>0</v>
      </c>
      <c r="ID67" s="65">
        <v>0</v>
      </c>
      <c r="IE67" s="65">
        <v>9.9999999999999995E-7</v>
      </c>
      <c r="IF67" s="65">
        <v>9.9999999999999995E-7</v>
      </c>
      <c r="IG67" s="65">
        <v>9.9999999999999995E-7</v>
      </c>
      <c r="IH67" s="65">
        <v>9.9999999999999995E-7</v>
      </c>
      <c r="II67" s="65">
        <v>9.9999999999999995E-7</v>
      </c>
      <c r="IJ67" s="65">
        <v>9.9999999999999995E-7</v>
      </c>
      <c r="IK67" s="65">
        <v>9.9999999999999995E-7</v>
      </c>
      <c r="IL67" s="65">
        <v>9.9999999999999995E-7</v>
      </c>
      <c r="IM67" s="65">
        <v>9.9999999999999995E-7</v>
      </c>
      <c r="IN67" s="65">
        <v>9.9999999999999995E-7</v>
      </c>
      <c r="IO67" s="65">
        <v>9.9999999999999995E-7</v>
      </c>
      <c r="IP67" s="65">
        <v>1.9999999999999999E-6</v>
      </c>
      <c r="IQ67" s="65">
        <v>9.9999999999999995E-7</v>
      </c>
      <c r="IR67" s="65">
        <v>9.9999999999999995E-7</v>
      </c>
      <c r="IS67" s="65">
        <v>9.9999999999999995E-7</v>
      </c>
      <c r="IT67" s="65">
        <v>9.9999999999999995E-7</v>
      </c>
      <c r="IU67" s="65">
        <v>1.9999999999999999E-6</v>
      </c>
      <c r="IV67" s="65">
        <v>9.9999999999999995E-7</v>
      </c>
      <c r="IW67" s="65">
        <v>9.9999999999999995E-7</v>
      </c>
      <c r="IX67" s="65">
        <v>9.9999999999999995E-7</v>
      </c>
      <c r="IY67" s="65">
        <v>9.9999999999999995E-7</v>
      </c>
      <c r="IZ67" s="65">
        <v>1.9999999999999999E-6</v>
      </c>
      <c r="JA67" s="65">
        <v>3.0000000000000001E-6</v>
      </c>
      <c r="JB67" s="65">
        <v>9.9999999999999995E-7</v>
      </c>
      <c r="JC67" s="65">
        <v>0</v>
      </c>
      <c r="JD67" s="65">
        <v>0</v>
      </c>
      <c r="JE67" s="65">
        <v>1.9999999999999999E-6</v>
      </c>
      <c r="JF67" s="65">
        <v>1.9999999999999999E-6</v>
      </c>
      <c r="JG67" s="65">
        <v>3.9999999999999998E-6</v>
      </c>
      <c r="JH67" s="65">
        <v>3.9999999999999998E-6</v>
      </c>
      <c r="JI67" s="65">
        <v>3.9999999999999998E-6</v>
      </c>
      <c r="JJ67" s="65">
        <v>3.9999999999999998E-6</v>
      </c>
      <c r="JK67" s="65">
        <v>0</v>
      </c>
      <c r="JL67" s="65">
        <v>7.9999999999999996E-6</v>
      </c>
      <c r="JM67" s="65">
        <v>7.9999999999999996E-6</v>
      </c>
      <c r="JN67" s="65">
        <v>7.9999999999999996E-6</v>
      </c>
      <c r="JO67" s="65">
        <v>7.9999999999999996E-6</v>
      </c>
      <c r="JP67" s="65">
        <v>7.9999999999999996E-6</v>
      </c>
      <c r="JQ67" s="65">
        <v>7.9999999999999996E-6</v>
      </c>
      <c r="JR67" s="65">
        <v>7.9999999999999996E-6</v>
      </c>
      <c r="JS67" s="65">
        <v>7.9999999999999996E-6</v>
      </c>
      <c r="JT67" s="65">
        <v>7.9999999999999996E-6</v>
      </c>
      <c r="JU67" s="65">
        <v>6.0000000000000002E-6</v>
      </c>
      <c r="JV67" s="65">
        <v>6.0000000000000002E-6</v>
      </c>
      <c r="JW67" s="65">
        <v>1.7E-5</v>
      </c>
      <c r="JX67" s="65">
        <v>6.0000000000000002E-6</v>
      </c>
      <c r="JY67" s="65">
        <v>9.0000000000000002E-6</v>
      </c>
      <c r="JZ67" s="65">
        <v>6.9999999999999999E-6</v>
      </c>
      <c r="KA67" s="65">
        <v>1.2E-5</v>
      </c>
      <c r="KB67" s="65">
        <v>1.1E-5</v>
      </c>
      <c r="KC67" s="65">
        <v>6.0000000000000002E-6</v>
      </c>
      <c r="KD67" s="65">
        <v>6.0000000000000002E-6</v>
      </c>
      <c r="KE67" s="65">
        <v>7.9999999999999996E-6</v>
      </c>
      <c r="KF67" s="65">
        <v>1.9000000000000001E-5</v>
      </c>
      <c r="KG67" s="65">
        <v>5.0000000000000004E-6</v>
      </c>
      <c r="KH67" s="65">
        <v>1.8E-5</v>
      </c>
      <c r="KI67" s="65">
        <v>1.0000000000000001E-5</v>
      </c>
      <c r="KJ67" s="65">
        <v>7.9999999999999996E-6</v>
      </c>
      <c r="KK67" s="65">
        <v>6.0000000000000002E-6</v>
      </c>
      <c r="KL67" s="65">
        <v>6.9999999999999999E-6</v>
      </c>
      <c r="KM67" s="65">
        <v>6.9999999999999999E-6</v>
      </c>
      <c r="KN67" s="65">
        <v>9.9999999999999995E-7</v>
      </c>
      <c r="KO67" s="65">
        <v>9.9999999999999995E-7</v>
      </c>
      <c r="KP67" s="65">
        <v>9.9999999999999995E-7</v>
      </c>
      <c r="KQ67" s="65">
        <v>9.9999999999999995E-7</v>
      </c>
      <c r="KR67" s="65">
        <v>0</v>
      </c>
      <c r="KS67" s="65">
        <v>1.9999999999999999E-6</v>
      </c>
      <c r="KT67" s="65">
        <v>1.9999999999999999E-6</v>
      </c>
      <c r="KU67" s="65">
        <v>1.9999999999999999E-6</v>
      </c>
      <c r="KV67" s="65">
        <v>1.9999999999999999E-6</v>
      </c>
      <c r="KW67" s="65">
        <v>1.9999999999999999E-6</v>
      </c>
      <c r="KX67" s="65">
        <v>1.9999999999999999E-6</v>
      </c>
      <c r="KY67" s="65">
        <v>1.9999999999999999E-6</v>
      </c>
      <c r="KZ67" s="65">
        <v>9.9999999999999995E-7</v>
      </c>
      <c r="LA67" s="65">
        <v>9.9999999999999995E-7</v>
      </c>
      <c r="LB67" s="65">
        <v>9.9999999999999995E-7</v>
      </c>
      <c r="LC67" s="65">
        <v>9.9999999999999995E-7</v>
      </c>
      <c r="LD67" s="65">
        <v>3.0000000000000001E-6</v>
      </c>
      <c r="LE67" s="65">
        <v>9.9999999999999995E-7</v>
      </c>
      <c r="LF67" s="65">
        <v>9.9999999999999995E-7</v>
      </c>
      <c r="LG67" s="65">
        <v>9.9999999999999995E-7</v>
      </c>
      <c r="LH67" s="65">
        <v>3.0000000000000001E-6</v>
      </c>
      <c r="LI67" s="65">
        <v>1.9999999999999999E-6</v>
      </c>
      <c r="LJ67" s="65">
        <v>9.9999999999999995E-7</v>
      </c>
      <c r="LK67" s="65">
        <v>9.9999999999999995E-7</v>
      </c>
      <c r="LL67" s="65">
        <v>9.9999999999999995E-7</v>
      </c>
      <c r="LM67" s="65">
        <v>1.9999999999999999E-6</v>
      </c>
      <c r="LN67" s="65">
        <v>1.9000000000000001E-5</v>
      </c>
      <c r="LO67" s="65">
        <v>6.0000000000000002E-6</v>
      </c>
      <c r="LP67" s="65">
        <v>1.9999999999999999E-6</v>
      </c>
      <c r="LQ67" s="65">
        <v>0</v>
      </c>
      <c r="LR67" s="65">
        <v>0</v>
      </c>
      <c r="LS67" s="65">
        <v>3.0000000000000001E-6</v>
      </c>
      <c r="LT67" s="65">
        <v>3.0000000000000001E-6</v>
      </c>
      <c r="LU67" s="65">
        <v>1.9999999999999999E-6</v>
      </c>
      <c r="LV67" s="65">
        <v>1.9999999999999999E-6</v>
      </c>
      <c r="LW67" s="65">
        <v>1.9999999999999999E-6</v>
      </c>
      <c r="LX67" s="65">
        <v>1.9999999999999999E-6</v>
      </c>
      <c r="LY67" s="65">
        <v>0</v>
      </c>
      <c r="LZ67" s="65">
        <v>3.0000000000000001E-6</v>
      </c>
      <c r="MA67" s="65">
        <v>3.0000000000000001E-6</v>
      </c>
      <c r="MB67" s="65">
        <v>3.0000000000000001E-6</v>
      </c>
      <c r="MC67" s="65">
        <v>3.0000000000000001E-6</v>
      </c>
      <c r="MD67" s="65">
        <v>3.0000000000000001E-6</v>
      </c>
      <c r="ME67" s="65">
        <v>3.0000000000000001E-6</v>
      </c>
      <c r="MF67" s="65">
        <v>3.0000000000000001E-6</v>
      </c>
      <c r="MG67" s="65">
        <v>3.0000000000000001E-6</v>
      </c>
      <c r="MH67" s="65">
        <v>3.0000000000000001E-6</v>
      </c>
      <c r="MI67" s="65">
        <v>3.0000000000000001E-6</v>
      </c>
      <c r="MJ67" s="65">
        <v>3.0000000000000001E-6</v>
      </c>
      <c r="MK67" s="65">
        <v>6.0000000000000002E-6</v>
      </c>
      <c r="ML67" s="65">
        <v>3.0000000000000001E-6</v>
      </c>
      <c r="MM67" s="65">
        <v>1.9999999999999999E-6</v>
      </c>
      <c r="MN67" s="65">
        <v>3.0000000000000001E-6</v>
      </c>
      <c r="MO67" s="65">
        <v>6.0000000000000002E-6</v>
      </c>
      <c r="MP67" s="65">
        <v>6.9999999999999999E-6</v>
      </c>
      <c r="MQ67" s="65">
        <v>3.0000000000000001E-6</v>
      </c>
      <c r="MR67" s="65">
        <v>1.9999999999999999E-6</v>
      </c>
      <c r="MS67" s="65">
        <v>3.0000000000000001E-6</v>
      </c>
      <c r="MT67" s="65">
        <v>3.0000000000000001E-6</v>
      </c>
      <c r="MU67" s="65">
        <v>2.8E-5</v>
      </c>
      <c r="MV67" s="65">
        <v>3.1999999999999999E-5</v>
      </c>
      <c r="MW67" s="65">
        <v>3.9999999999999998E-6</v>
      </c>
      <c r="MX67" s="65">
        <v>9.9999999999999995E-7</v>
      </c>
      <c r="MY67" s="65">
        <v>9.9999999999999995E-7</v>
      </c>
      <c r="MZ67" s="65">
        <v>6.0000000000000002E-6</v>
      </c>
      <c r="NA67" s="65">
        <v>6.0000000000000002E-6</v>
      </c>
      <c r="NB67" s="65"/>
      <c r="NC67" s="65"/>
      <c r="ND67" s="65"/>
      <c r="NE67" s="65"/>
      <c r="NF67" s="65"/>
      <c r="NG67" s="65"/>
      <c r="NH67" s="65"/>
      <c r="NI67" s="65"/>
      <c r="NJ67" s="65"/>
      <c r="NK67" s="65"/>
      <c r="NL67" s="65"/>
      <c r="NM67" s="65"/>
      <c r="NN67" s="65"/>
      <c r="NO67" s="65"/>
      <c r="NP67" s="65"/>
      <c r="NQ67" s="65"/>
      <c r="NR67" s="65"/>
      <c r="NS67" s="65"/>
      <c r="NT67" s="65"/>
      <c r="NU67" s="65"/>
      <c r="NV67" s="65"/>
      <c r="NW67" s="65"/>
      <c r="NX67" s="65"/>
      <c r="NY67" s="65"/>
      <c r="NZ67" s="65"/>
      <c r="OA67" s="65"/>
      <c r="OB67" s="65"/>
      <c r="OC67" s="65"/>
      <c r="OD67" s="65"/>
      <c r="OE67" s="65"/>
      <c r="OF67" s="65"/>
      <c r="OG67" s="65"/>
      <c r="OH67" s="65"/>
      <c r="OI67" s="65"/>
      <c r="OJ67" s="65"/>
      <c r="OK67" s="65"/>
      <c r="OL67" s="65"/>
      <c r="OM67" s="65"/>
      <c r="ON67" s="65"/>
      <c r="OO67" s="65"/>
      <c r="OP67" s="65"/>
      <c r="OQ67" s="65"/>
      <c r="OR67" s="65"/>
      <c r="OS67" s="65"/>
    </row>
    <row r="68" spans="1:409">
      <c r="A68" s="64" t="s">
        <v>104</v>
      </c>
      <c r="B68" s="64" t="s">
        <v>22</v>
      </c>
      <c r="C68" s="64">
        <v>2.9051973525380339E-3</v>
      </c>
      <c r="D68" s="64">
        <v>3.422562262106747E-3</v>
      </c>
      <c r="E68" s="64">
        <v>2.8048289947715209E-3</v>
      </c>
      <c r="F68" s="64">
        <v>1.380967760900981E-3</v>
      </c>
      <c r="G68" s="64">
        <v>0</v>
      </c>
      <c r="H68" s="64">
        <v>1.423556636294523E-3</v>
      </c>
      <c r="I68" s="64">
        <v>6.4768234695794047E-4</v>
      </c>
      <c r="J68" s="64">
        <v>1.713981413074065E-3</v>
      </c>
      <c r="K68" s="64">
        <v>1.3215227669827691E-3</v>
      </c>
      <c r="L68" s="64">
        <v>5.755296661863464E-4</v>
      </c>
      <c r="M68" s="64">
        <v>1.05399540452993E-3</v>
      </c>
      <c r="N68" s="64">
        <v>1.185557273344687E-3</v>
      </c>
      <c r="O68" s="64">
        <v>1.3840157505878479E-3</v>
      </c>
      <c r="P68" s="64">
        <v>1.625885882292297E-3</v>
      </c>
      <c r="Q68" s="64">
        <v>1.9313522640161051E-3</v>
      </c>
      <c r="R68" s="64">
        <v>2.0470814908218941E-3</v>
      </c>
      <c r="S68" s="64">
        <v>4.7591166447126911E-3</v>
      </c>
      <c r="T68" s="64">
        <v>7.4149786202972791E-4</v>
      </c>
      <c r="U68" s="64">
        <v>2.478142516544813E-2</v>
      </c>
      <c r="V68" s="64">
        <v>1.5227490244566041E-2</v>
      </c>
      <c r="W68" s="64">
        <v>6.3739094170338031E-2</v>
      </c>
      <c r="X68" s="64">
        <v>4.0057357295426033E-2</v>
      </c>
      <c r="Y68" s="64">
        <v>1.2222915337932801E-2</v>
      </c>
      <c r="Z68" s="64">
        <v>3.235611442517607E-3</v>
      </c>
      <c r="AA68" s="64">
        <v>0.1022986768108925</v>
      </c>
      <c r="AB68" s="64">
        <v>9.0440540314419476E-2</v>
      </c>
      <c r="AC68" s="64">
        <v>2.9674414043177121E-2</v>
      </c>
      <c r="AD68" s="64">
        <v>2.0792420245496581</v>
      </c>
      <c r="AE68" s="64">
        <v>2.6362722034276739E-2</v>
      </c>
      <c r="AF68" s="64">
        <v>1.2439110031215381E-2</v>
      </c>
      <c r="AG68" s="64">
        <v>9.0497231344975823E-3</v>
      </c>
      <c r="AH68" s="64">
        <v>5.4479655841329397E-2</v>
      </c>
      <c r="AI68" s="64">
        <v>2.4268600417893419E-2</v>
      </c>
      <c r="AJ68" s="64">
        <v>9.0000000000000002E-6</v>
      </c>
      <c r="AK68" s="64">
        <v>9.0000000000000002E-6</v>
      </c>
      <c r="AL68" s="64">
        <v>9.0000000000000002E-6</v>
      </c>
      <c r="AM68" s="64">
        <v>9.0000000000000002E-6</v>
      </c>
      <c r="AN68" s="64">
        <v>0</v>
      </c>
      <c r="AO68" s="64">
        <v>9.0000000000000002E-6</v>
      </c>
      <c r="AP68" s="64">
        <v>9.0000000000000002E-6</v>
      </c>
      <c r="AQ68" s="64">
        <v>9.0000000000000002E-6</v>
      </c>
      <c r="AR68" s="64">
        <v>9.0000000000000002E-6</v>
      </c>
      <c r="AS68" s="64">
        <v>9.0000000000000002E-6</v>
      </c>
      <c r="AT68" s="64">
        <v>9.0000000000000002E-6</v>
      </c>
      <c r="AU68" s="64">
        <v>9.0000000000000002E-6</v>
      </c>
      <c r="AV68" s="64">
        <v>7.9999999999999996E-6</v>
      </c>
      <c r="AW68" s="64">
        <v>7.9999999999999996E-6</v>
      </c>
      <c r="AX68" s="64">
        <v>9.0000000000000002E-6</v>
      </c>
      <c r="AY68" s="64">
        <v>9.0000000000000002E-6</v>
      </c>
      <c r="AZ68" s="64">
        <v>3.0000000000000001E-5</v>
      </c>
      <c r="BA68" s="64">
        <v>7.9999999999999996E-6</v>
      </c>
      <c r="BB68" s="64">
        <v>9.0000000000000002E-6</v>
      </c>
      <c r="BC68" s="64">
        <v>1.1E-5</v>
      </c>
      <c r="BD68" s="64">
        <v>2.9E-5</v>
      </c>
      <c r="BE68" s="64">
        <v>1.9000000000000001E-5</v>
      </c>
      <c r="BF68" s="64">
        <v>5.0000000000000004E-6</v>
      </c>
      <c r="BG68" s="64">
        <v>6.9999999999999999E-6</v>
      </c>
      <c r="BH68" s="64">
        <v>3.9999999999999998E-6</v>
      </c>
      <c r="BI68" s="64">
        <v>6.0000000000000002E-6</v>
      </c>
      <c r="BJ68" s="64">
        <v>5.0000000000000004E-6</v>
      </c>
      <c r="BK68" s="64">
        <v>2.5000000000000001E-5</v>
      </c>
      <c r="BL68" s="64">
        <v>5.0000000000000004E-6</v>
      </c>
      <c r="BM68" s="64">
        <v>0</v>
      </c>
      <c r="BN68" s="64">
        <v>0</v>
      </c>
      <c r="BO68" s="64">
        <v>5.0000000000000004E-6</v>
      </c>
      <c r="BP68" s="64">
        <v>5.0000000000000004E-6</v>
      </c>
      <c r="BQ68" s="64">
        <v>6.0000000000000002E-6</v>
      </c>
      <c r="BR68" s="64">
        <v>6.0000000000000002E-6</v>
      </c>
      <c r="BS68" s="64">
        <v>6.0000000000000002E-6</v>
      </c>
      <c r="BT68" s="64">
        <v>6.0000000000000002E-6</v>
      </c>
      <c r="BU68" s="64">
        <v>0</v>
      </c>
      <c r="BV68" s="64">
        <v>1.0000000000000001E-5</v>
      </c>
      <c r="BW68" s="64">
        <v>1.0000000000000001E-5</v>
      </c>
      <c r="BX68" s="64">
        <v>1.0000000000000001E-5</v>
      </c>
      <c r="BY68" s="64">
        <v>1.0000000000000001E-5</v>
      </c>
      <c r="BZ68" s="64">
        <v>1.0000000000000001E-5</v>
      </c>
      <c r="CA68" s="64">
        <v>1.0000000000000001E-5</v>
      </c>
      <c r="CB68" s="64">
        <v>1.0000000000000001E-5</v>
      </c>
      <c r="CC68" s="64">
        <v>1.0000000000000001E-5</v>
      </c>
      <c r="CD68" s="64">
        <v>1.0000000000000001E-5</v>
      </c>
      <c r="CE68" s="64">
        <v>1.0000000000000001E-5</v>
      </c>
      <c r="CF68" s="64">
        <v>1.0000000000000001E-5</v>
      </c>
      <c r="CG68" s="64">
        <v>2.5999999999999998E-5</v>
      </c>
      <c r="CH68" s="64">
        <v>9.0000000000000002E-6</v>
      </c>
      <c r="CI68" s="64">
        <v>1.0000000000000001E-5</v>
      </c>
      <c r="CJ68" s="64">
        <v>7.9999999999999996E-6</v>
      </c>
      <c r="CK68" s="64">
        <v>1.9000000000000001E-5</v>
      </c>
      <c r="CL68" s="64">
        <v>1.7E-5</v>
      </c>
      <c r="CM68" s="64">
        <v>9.0000000000000002E-6</v>
      </c>
      <c r="CN68" s="64">
        <v>6.9999999999999999E-6</v>
      </c>
      <c r="CO68" s="64">
        <v>9.0000000000000002E-6</v>
      </c>
      <c r="CP68" s="64">
        <v>1.2E-5</v>
      </c>
      <c r="CQ68" s="64">
        <v>1.1E-5</v>
      </c>
      <c r="CR68" s="64">
        <v>7.7999999999999999E-5</v>
      </c>
      <c r="CS68" s="64">
        <v>1.2E-5</v>
      </c>
      <c r="CT68" s="64">
        <v>1.9999999999999999E-6</v>
      </c>
      <c r="CU68" s="64">
        <v>9.9999999999999995E-7</v>
      </c>
      <c r="CV68" s="64">
        <v>9.0000000000000002E-6</v>
      </c>
      <c r="CW68" s="64">
        <v>9.0000000000000002E-6</v>
      </c>
      <c r="CX68" s="64">
        <v>9.9999999999999995E-7</v>
      </c>
      <c r="CY68" s="64">
        <v>9.9999999999999995E-7</v>
      </c>
      <c r="CZ68" s="64">
        <v>9.9999999999999995E-7</v>
      </c>
      <c r="DA68" s="64">
        <v>9.9999999999999995E-7</v>
      </c>
      <c r="DB68" s="64">
        <v>0</v>
      </c>
      <c r="DC68" s="64">
        <v>1.9999999999999999E-6</v>
      </c>
      <c r="DD68" s="64">
        <v>1.9999999999999999E-6</v>
      </c>
      <c r="DE68" s="64">
        <v>1.9999999999999999E-6</v>
      </c>
      <c r="DF68" s="64">
        <v>1.9999999999999999E-6</v>
      </c>
      <c r="DG68" s="64">
        <v>1.9999999999999999E-6</v>
      </c>
      <c r="DH68" s="64">
        <v>1.9999999999999999E-6</v>
      </c>
      <c r="DI68" s="64">
        <v>1.9999999999999999E-6</v>
      </c>
      <c r="DJ68" s="64">
        <v>3.0000000000000001E-6</v>
      </c>
      <c r="DK68" s="64">
        <v>3.0000000000000001E-6</v>
      </c>
      <c r="DL68" s="64">
        <v>3.0000000000000001E-6</v>
      </c>
      <c r="DM68" s="64">
        <v>3.0000000000000001E-6</v>
      </c>
      <c r="DN68" s="64">
        <v>7.9999999999999996E-6</v>
      </c>
      <c r="DO68" s="64">
        <v>3.0000000000000001E-6</v>
      </c>
      <c r="DP68" s="64">
        <v>3.0000000000000001E-6</v>
      </c>
      <c r="DQ68" s="64">
        <v>3.0000000000000001E-6</v>
      </c>
      <c r="DR68" s="64">
        <v>7.9999999999999996E-6</v>
      </c>
      <c r="DS68" s="64">
        <v>5.0000000000000004E-6</v>
      </c>
      <c r="DT68" s="64">
        <v>3.0000000000000001E-6</v>
      </c>
      <c r="DU68" s="64">
        <v>5.0000000000000004E-6</v>
      </c>
      <c r="DV68" s="64">
        <v>3.9999999999999998E-6</v>
      </c>
      <c r="DW68" s="64">
        <v>3.0000000000000001E-6</v>
      </c>
      <c r="DX68" s="64">
        <v>1.9999999999999999E-6</v>
      </c>
      <c r="DY68" s="64">
        <v>1.0000000000000001E-5</v>
      </c>
      <c r="DZ68" s="64">
        <v>9.9999999999999995E-7</v>
      </c>
      <c r="EA68" s="64">
        <v>0</v>
      </c>
      <c r="EB68" s="64">
        <v>0</v>
      </c>
      <c r="EC68" s="64">
        <v>3.0000000000000001E-6</v>
      </c>
      <c r="ED68" s="64">
        <v>3.0000000000000001E-6</v>
      </c>
      <c r="EE68" s="64">
        <v>1.9999999999999999E-6</v>
      </c>
      <c r="EF68" s="64">
        <v>1.9999999999999999E-6</v>
      </c>
      <c r="EG68" s="64">
        <v>1.9999999999999999E-6</v>
      </c>
      <c r="EH68" s="64">
        <v>1.9999999999999999E-6</v>
      </c>
      <c r="EI68" s="64">
        <v>0</v>
      </c>
      <c r="EJ68" s="64">
        <v>1.9999999999999999E-6</v>
      </c>
      <c r="EK68" s="64">
        <v>1.9999999999999999E-6</v>
      </c>
      <c r="EL68" s="64">
        <v>1.9999999999999999E-6</v>
      </c>
      <c r="EM68" s="64">
        <v>1.9999999999999999E-6</v>
      </c>
      <c r="EN68" s="64">
        <v>1.9999999999999999E-6</v>
      </c>
      <c r="EO68" s="64">
        <v>1.9999999999999999E-6</v>
      </c>
      <c r="EP68" s="64">
        <v>1.9999999999999999E-6</v>
      </c>
      <c r="EQ68" s="64">
        <v>3.0000000000000001E-6</v>
      </c>
      <c r="ER68" s="64">
        <v>3.0000000000000001E-6</v>
      </c>
      <c r="ES68" s="64">
        <v>3.0000000000000001E-6</v>
      </c>
      <c r="ET68" s="64">
        <v>3.0000000000000001E-6</v>
      </c>
      <c r="EU68" s="64">
        <v>6.0000000000000002E-6</v>
      </c>
      <c r="EV68" s="64">
        <v>1.9999999999999999E-6</v>
      </c>
      <c r="EW68" s="64">
        <v>3.0000000000000001E-6</v>
      </c>
      <c r="EX68" s="64">
        <v>3.0000000000000001E-6</v>
      </c>
      <c r="EY68" s="64">
        <v>5.0000000000000004E-6</v>
      </c>
      <c r="EZ68" s="64">
        <v>5.0000000000000004E-6</v>
      </c>
      <c r="FA68" s="64">
        <v>1.9999999999999999E-6</v>
      </c>
      <c r="FB68" s="64">
        <v>1.9999999999999999E-6</v>
      </c>
      <c r="FC68" s="64">
        <v>3.0000000000000001E-6</v>
      </c>
      <c r="FD68" s="64">
        <v>1.9999999999999999E-6</v>
      </c>
      <c r="FE68" s="64">
        <v>1.9999999999999999E-6</v>
      </c>
      <c r="FF68" s="64">
        <v>6.0000000000000002E-6</v>
      </c>
      <c r="FG68" s="64">
        <v>3.0000000000000001E-6</v>
      </c>
      <c r="FH68" s="64">
        <v>9.9999999999999995E-7</v>
      </c>
      <c r="FI68" s="64">
        <v>9.9999999999999995E-7</v>
      </c>
      <c r="FJ68" s="64">
        <v>3.0000000000000001E-6</v>
      </c>
      <c r="FK68" s="64">
        <v>3.0000000000000001E-6</v>
      </c>
      <c r="FL68" s="64">
        <v>2.6999999999999999E-5</v>
      </c>
      <c r="FM68" s="64">
        <v>2.6999999999999999E-5</v>
      </c>
      <c r="FN68" s="64">
        <v>2.6999999999999999E-5</v>
      </c>
      <c r="FO68" s="64">
        <v>2.6999999999999999E-5</v>
      </c>
      <c r="FP68" s="64">
        <v>0</v>
      </c>
      <c r="FQ68" s="64">
        <v>4.8000000000000001E-5</v>
      </c>
      <c r="FR68" s="64">
        <v>4.8000000000000001E-5</v>
      </c>
      <c r="FS68" s="64">
        <v>4.8000000000000001E-5</v>
      </c>
      <c r="FT68" s="64">
        <v>4.8000000000000001E-5</v>
      </c>
      <c r="FU68" s="64">
        <v>4.8000000000000001E-5</v>
      </c>
      <c r="FV68" s="64">
        <v>4.8000000000000001E-5</v>
      </c>
      <c r="FW68" s="64">
        <v>4.8000000000000001E-5</v>
      </c>
      <c r="FX68" s="64">
        <v>2.5000000000000001E-5</v>
      </c>
      <c r="FY68" s="64">
        <v>2.5000000000000001E-5</v>
      </c>
      <c r="FZ68" s="64">
        <v>1.2999999999999999E-5</v>
      </c>
      <c r="GA68" s="64">
        <v>1.2999999999999999E-5</v>
      </c>
      <c r="GB68" s="64">
        <v>3.1999999999999999E-5</v>
      </c>
      <c r="GC68" s="64">
        <v>9.0000000000000002E-6</v>
      </c>
      <c r="GD68" s="64">
        <v>1.0000000000000001E-5</v>
      </c>
      <c r="GE68" s="64">
        <v>1.1E-5</v>
      </c>
      <c r="GF68" s="64">
        <v>7.7999999999999999E-5</v>
      </c>
      <c r="GG68" s="64">
        <v>2.3E-5</v>
      </c>
      <c r="GH68" s="64">
        <v>9.0000000000000002E-6</v>
      </c>
      <c r="GI68" s="64">
        <v>9.0000000000000002E-6</v>
      </c>
      <c r="GJ68" s="64">
        <v>1.0000000000000001E-5</v>
      </c>
      <c r="GK68" s="64">
        <v>1.5999999999999999E-5</v>
      </c>
      <c r="GL68" s="64">
        <v>3.0000000000000001E-5</v>
      </c>
      <c r="GM68" s="64">
        <v>8.7000000000000001E-5</v>
      </c>
      <c r="GN68" s="64">
        <v>1.7E-5</v>
      </c>
      <c r="GO68" s="64">
        <v>9.9999999999999995E-7</v>
      </c>
      <c r="GP68" s="64">
        <v>9.9999999999999995E-7</v>
      </c>
      <c r="GQ68" s="64">
        <v>1.1E-5</v>
      </c>
      <c r="GR68" s="64">
        <v>1.1E-5</v>
      </c>
      <c r="GS68" s="64">
        <v>9.9999999999999995E-7</v>
      </c>
      <c r="GT68" s="64">
        <v>9.9999999999999995E-7</v>
      </c>
      <c r="GU68" s="64">
        <v>9.9999999999999995E-7</v>
      </c>
      <c r="GV68" s="64">
        <v>9.9999999999999995E-7</v>
      </c>
      <c r="GW68" s="64">
        <v>0</v>
      </c>
      <c r="GX68" s="64">
        <v>3.0000000000000001E-6</v>
      </c>
      <c r="GY68" s="64">
        <v>3.0000000000000001E-6</v>
      </c>
      <c r="GZ68" s="64">
        <v>3.0000000000000001E-6</v>
      </c>
      <c r="HA68" s="64">
        <v>3.0000000000000001E-6</v>
      </c>
      <c r="HB68" s="64">
        <v>3.0000000000000001E-6</v>
      </c>
      <c r="HC68" s="64">
        <v>3.0000000000000001E-6</v>
      </c>
      <c r="HD68" s="64">
        <v>3.0000000000000001E-6</v>
      </c>
      <c r="HE68" s="64">
        <v>5.0000000000000004E-6</v>
      </c>
      <c r="HF68" s="64">
        <v>5.0000000000000004E-6</v>
      </c>
      <c r="HG68" s="64">
        <v>3.9999999999999998E-6</v>
      </c>
      <c r="HH68" s="64">
        <v>3.9999999999999998E-6</v>
      </c>
      <c r="HI68" s="64">
        <v>9.0000000000000002E-6</v>
      </c>
      <c r="HJ68" s="64">
        <v>3.9999999999999998E-6</v>
      </c>
      <c r="HK68" s="64">
        <v>3.9999999999999998E-6</v>
      </c>
      <c r="HL68" s="64">
        <v>3.9999999999999998E-6</v>
      </c>
      <c r="HM68" s="64">
        <v>9.0000000000000002E-6</v>
      </c>
      <c r="HN68" s="64">
        <v>1.0000000000000001E-5</v>
      </c>
      <c r="HO68" s="64">
        <v>3.0000000000000001E-6</v>
      </c>
      <c r="HP68" s="64">
        <v>6.0000000000000002E-6</v>
      </c>
      <c r="HQ68" s="64">
        <v>5.0000000000000004E-6</v>
      </c>
      <c r="HR68" s="64">
        <v>3.9999999999999998E-6</v>
      </c>
      <c r="HS68" s="64">
        <v>5.0000000000000004E-6</v>
      </c>
      <c r="HT68" s="64">
        <v>3.4999999999999997E-5</v>
      </c>
      <c r="HU68" s="64">
        <v>6.9999999999999999E-6</v>
      </c>
      <c r="HV68" s="64">
        <v>9.9999999999999995E-7</v>
      </c>
      <c r="HW68" s="64">
        <v>9.9999999999999995E-7</v>
      </c>
      <c r="HX68" s="64">
        <v>5.0000000000000004E-6</v>
      </c>
      <c r="HY68" s="64">
        <v>5.0000000000000004E-6</v>
      </c>
      <c r="HZ68" s="64">
        <v>6.0000000000000002E-6</v>
      </c>
      <c r="IA68" s="64">
        <v>6.0000000000000002E-6</v>
      </c>
      <c r="IB68" s="64">
        <v>6.0000000000000002E-6</v>
      </c>
      <c r="IC68" s="64">
        <v>6.0000000000000002E-6</v>
      </c>
      <c r="ID68" s="64">
        <v>0</v>
      </c>
      <c r="IE68" s="64">
        <v>9.0000000000000002E-6</v>
      </c>
      <c r="IF68" s="64">
        <v>9.0000000000000002E-6</v>
      </c>
      <c r="IG68" s="64">
        <v>9.0000000000000002E-6</v>
      </c>
      <c r="IH68" s="64">
        <v>9.0000000000000002E-6</v>
      </c>
      <c r="II68" s="64">
        <v>9.0000000000000002E-6</v>
      </c>
      <c r="IJ68" s="64">
        <v>9.0000000000000002E-6</v>
      </c>
      <c r="IK68" s="64">
        <v>9.0000000000000002E-6</v>
      </c>
      <c r="IL68" s="64">
        <v>9.0000000000000002E-6</v>
      </c>
      <c r="IM68" s="64">
        <v>9.0000000000000002E-6</v>
      </c>
      <c r="IN68" s="64">
        <v>1.1E-5</v>
      </c>
      <c r="IO68" s="64">
        <v>1.1E-5</v>
      </c>
      <c r="IP68" s="64">
        <v>2.0999999999999999E-5</v>
      </c>
      <c r="IQ68" s="64">
        <v>1.0000000000000001E-5</v>
      </c>
      <c r="IR68" s="64">
        <v>6.0000000000000002E-6</v>
      </c>
      <c r="IS68" s="64">
        <v>7.9999999999999996E-6</v>
      </c>
      <c r="IT68" s="64">
        <v>1.4E-5</v>
      </c>
      <c r="IU68" s="64">
        <v>1.5999999999999999E-5</v>
      </c>
      <c r="IV68" s="64">
        <v>6.0000000000000002E-6</v>
      </c>
      <c r="IW68" s="64">
        <v>9.0000000000000002E-6</v>
      </c>
      <c r="IX68" s="64">
        <v>1.0000000000000001E-5</v>
      </c>
      <c r="IY68" s="64">
        <v>1.4E-5</v>
      </c>
      <c r="IZ68" s="64">
        <v>6.9999999999999999E-6</v>
      </c>
      <c r="JA68" s="64">
        <v>1.94E-4</v>
      </c>
      <c r="JB68" s="64">
        <v>1.5E-5</v>
      </c>
      <c r="JC68" s="64">
        <v>9.9999999999999995E-7</v>
      </c>
      <c r="JD68" s="64">
        <v>9.9999999999999995E-7</v>
      </c>
      <c r="JE68" s="64">
        <v>1.0000000000000001E-5</v>
      </c>
      <c r="JF68" s="64">
        <v>1.0000000000000001E-5</v>
      </c>
      <c r="JG68" s="64">
        <v>1.2899999999999999E-4</v>
      </c>
      <c r="JH68" s="64">
        <v>1.2899999999999999E-4</v>
      </c>
      <c r="JI68" s="64">
        <v>1.2899999999999999E-4</v>
      </c>
      <c r="JJ68" s="64">
        <v>1.2899999999999999E-4</v>
      </c>
      <c r="JK68" s="64">
        <v>0</v>
      </c>
      <c r="JL68" s="64">
        <v>2.3900000000000001E-4</v>
      </c>
      <c r="JM68" s="64">
        <v>2.3900000000000001E-4</v>
      </c>
      <c r="JN68" s="64">
        <v>2.3900000000000001E-4</v>
      </c>
      <c r="JO68" s="64">
        <v>2.3900000000000001E-4</v>
      </c>
      <c r="JP68" s="64">
        <v>2.3900000000000001E-4</v>
      </c>
      <c r="JQ68" s="64">
        <v>2.3900000000000001E-4</v>
      </c>
      <c r="JR68" s="64">
        <v>2.3900000000000001E-4</v>
      </c>
      <c r="JS68" s="64">
        <v>2.14E-4</v>
      </c>
      <c r="JT68" s="64">
        <v>2.14E-4</v>
      </c>
      <c r="JU68" s="64">
        <v>2.52E-4</v>
      </c>
      <c r="JV68" s="64">
        <v>2.52E-4</v>
      </c>
      <c r="JW68" s="64">
        <v>4.3199999999999998E-4</v>
      </c>
      <c r="JX68" s="64">
        <v>2.7099999999999997E-4</v>
      </c>
      <c r="JY68" s="64">
        <v>3.2499999999999999E-4</v>
      </c>
      <c r="JZ68" s="64">
        <v>2.1000000000000001E-4</v>
      </c>
      <c r="KA68" s="64">
        <v>9.7099999999999997E-4</v>
      </c>
      <c r="KB68" s="64">
        <v>4.8500000000000003E-4</v>
      </c>
      <c r="KC68" s="64">
        <v>1.6799999999999999E-4</v>
      </c>
      <c r="KD68" s="64">
        <v>1.8599999999999999E-4</v>
      </c>
      <c r="KE68" s="64">
        <v>3.7500000000000001E-4</v>
      </c>
      <c r="KF68" s="64">
        <v>2.05E-4</v>
      </c>
      <c r="KG68" s="64">
        <v>2.1800000000000001E-4</v>
      </c>
      <c r="KH68" s="64">
        <v>2.1090000000000002E-3</v>
      </c>
      <c r="KI68" s="64">
        <v>4.7600000000000002E-4</v>
      </c>
      <c r="KJ68" s="64">
        <v>3.6200000000000002E-4</v>
      </c>
      <c r="KK68" s="64">
        <v>2.63E-4</v>
      </c>
      <c r="KL68" s="64">
        <v>2.05E-4</v>
      </c>
      <c r="KM68" s="64">
        <v>2.05E-4</v>
      </c>
      <c r="KN68" s="64">
        <v>5.0000000000000004E-6</v>
      </c>
      <c r="KO68" s="64">
        <v>5.0000000000000004E-6</v>
      </c>
      <c r="KP68" s="64">
        <v>5.0000000000000004E-6</v>
      </c>
      <c r="KQ68" s="64">
        <v>5.0000000000000004E-6</v>
      </c>
      <c r="KR68" s="64">
        <v>0</v>
      </c>
      <c r="KS68" s="64">
        <v>6.9999999999999999E-6</v>
      </c>
      <c r="KT68" s="64">
        <v>6.9999999999999999E-6</v>
      </c>
      <c r="KU68" s="64">
        <v>6.9999999999999999E-6</v>
      </c>
      <c r="KV68" s="64">
        <v>6.9999999999999999E-6</v>
      </c>
      <c r="KW68" s="64">
        <v>6.9999999999999999E-6</v>
      </c>
      <c r="KX68" s="64">
        <v>6.9999999999999999E-6</v>
      </c>
      <c r="KY68" s="64">
        <v>6.9999999999999999E-6</v>
      </c>
      <c r="KZ68" s="64">
        <v>6.0000000000000002E-6</v>
      </c>
      <c r="LA68" s="64">
        <v>6.0000000000000002E-6</v>
      </c>
      <c r="LB68" s="64">
        <v>6.9999999999999999E-6</v>
      </c>
      <c r="LC68" s="64">
        <v>6.9999999999999999E-6</v>
      </c>
      <c r="LD68" s="64">
        <v>1.7E-5</v>
      </c>
      <c r="LE68" s="64">
        <v>6.0000000000000002E-6</v>
      </c>
      <c r="LF68" s="64">
        <v>7.9999999999999996E-6</v>
      </c>
      <c r="LG68" s="64">
        <v>6.0000000000000002E-6</v>
      </c>
      <c r="LH68" s="64">
        <v>1.5999999999999999E-5</v>
      </c>
      <c r="LI68" s="64">
        <v>1.2E-5</v>
      </c>
      <c r="LJ68" s="64">
        <v>7.9999999999999996E-6</v>
      </c>
      <c r="LK68" s="64">
        <v>3.9999999999999998E-6</v>
      </c>
      <c r="LL68" s="64">
        <v>6.9999999999999999E-6</v>
      </c>
      <c r="LM68" s="64">
        <v>6.0000000000000002E-6</v>
      </c>
      <c r="LN68" s="64">
        <v>6.0000000000000002E-6</v>
      </c>
      <c r="LO68" s="64">
        <v>5.5000000000000002E-5</v>
      </c>
      <c r="LP68" s="64">
        <v>1.0000000000000001E-5</v>
      </c>
      <c r="LQ68" s="64">
        <v>9.9999999999999995E-7</v>
      </c>
      <c r="LR68" s="64">
        <v>9.9999999999999995E-7</v>
      </c>
      <c r="LS68" s="64">
        <v>7.9999999999999996E-6</v>
      </c>
      <c r="LT68" s="64">
        <v>7.9999999999999996E-6</v>
      </c>
      <c r="LU68" s="64">
        <v>6.0000000000000002E-6</v>
      </c>
      <c r="LV68" s="64">
        <v>6.0000000000000002E-6</v>
      </c>
      <c r="LW68" s="64">
        <v>6.0000000000000002E-6</v>
      </c>
      <c r="LX68" s="64">
        <v>6.0000000000000002E-6</v>
      </c>
      <c r="LY68" s="64">
        <v>0</v>
      </c>
      <c r="LZ68" s="64">
        <v>1.1E-5</v>
      </c>
      <c r="MA68" s="64">
        <v>1.1E-5</v>
      </c>
      <c r="MB68" s="64">
        <v>1.1E-5</v>
      </c>
      <c r="MC68" s="64">
        <v>1.1E-5</v>
      </c>
      <c r="MD68" s="64">
        <v>1.1E-5</v>
      </c>
      <c r="ME68" s="64">
        <v>1.1E-5</v>
      </c>
      <c r="MF68" s="64">
        <v>1.1E-5</v>
      </c>
      <c r="MG68" s="64">
        <v>9.0000000000000002E-6</v>
      </c>
      <c r="MH68" s="64">
        <v>9.0000000000000002E-6</v>
      </c>
      <c r="MI68" s="64">
        <v>9.0000000000000002E-6</v>
      </c>
      <c r="MJ68" s="64">
        <v>9.0000000000000002E-6</v>
      </c>
      <c r="MK68" s="64">
        <v>2.4000000000000001E-5</v>
      </c>
      <c r="ML68" s="64">
        <v>7.9999999999999996E-6</v>
      </c>
      <c r="MM68" s="64">
        <v>6.9999999999999999E-6</v>
      </c>
      <c r="MN68" s="64">
        <v>7.9999999999999996E-6</v>
      </c>
      <c r="MO68" s="64">
        <v>1.7E-5</v>
      </c>
      <c r="MP68" s="64">
        <v>1.7E-5</v>
      </c>
      <c r="MQ68" s="64">
        <v>9.0000000000000002E-6</v>
      </c>
      <c r="MR68" s="64">
        <v>7.9999999999999996E-6</v>
      </c>
      <c r="MS68" s="64">
        <v>9.0000000000000002E-6</v>
      </c>
      <c r="MT68" s="64">
        <v>1.0000000000000001E-5</v>
      </c>
      <c r="MU68" s="64">
        <v>1.0000000000000001E-5</v>
      </c>
      <c r="MV68" s="64">
        <v>6.0999999999999999E-5</v>
      </c>
      <c r="MW68" s="64">
        <v>1.2E-5</v>
      </c>
      <c r="MX68" s="64">
        <v>1.9999999999999999E-6</v>
      </c>
      <c r="MY68" s="64">
        <v>1.9999999999999999E-6</v>
      </c>
      <c r="MZ68" s="64">
        <v>1.0000000000000001E-5</v>
      </c>
      <c r="NA68" s="64">
        <v>1.0000000000000001E-5</v>
      </c>
      <c r="NB68" s="64"/>
      <c r="NC68" s="64"/>
      <c r="ND68" s="64"/>
      <c r="NE68" s="64"/>
      <c r="NF68" s="64"/>
      <c r="NG68" s="64"/>
      <c r="NH68" s="64"/>
      <c r="NI68" s="64"/>
      <c r="NJ68" s="64"/>
      <c r="NK68" s="64"/>
      <c r="NL68" s="64"/>
      <c r="NM68" s="64"/>
      <c r="NN68" s="64"/>
      <c r="NO68" s="64"/>
      <c r="NP68" s="64"/>
      <c r="NQ68" s="64"/>
      <c r="NR68" s="64"/>
      <c r="NS68" s="64"/>
      <c r="NT68" s="64"/>
      <c r="NU68" s="64"/>
      <c r="NV68" s="64"/>
      <c r="NW68" s="64"/>
      <c r="NX68" s="64"/>
      <c r="NY68" s="64"/>
      <c r="NZ68" s="64"/>
      <c r="OA68" s="64"/>
      <c r="OB68" s="64"/>
      <c r="OC68" s="64"/>
      <c r="OD68" s="64"/>
      <c r="OE68" s="64"/>
      <c r="OF68" s="64"/>
      <c r="OG68" s="64"/>
      <c r="OH68" s="64"/>
      <c r="OI68" s="64"/>
      <c r="OJ68" s="64"/>
      <c r="OK68" s="64"/>
      <c r="OL68" s="64"/>
      <c r="OM68" s="64"/>
      <c r="ON68" s="64"/>
      <c r="OO68" s="64"/>
      <c r="OP68" s="64"/>
      <c r="OQ68" s="64"/>
      <c r="OR68" s="64"/>
      <c r="OS68" s="64"/>
    </row>
    <row r="69" spans="1:409">
      <c r="A69" s="65" t="s">
        <v>105</v>
      </c>
      <c r="B69" s="65" t="s">
        <v>23</v>
      </c>
      <c r="C69" s="65">
        <v>5.9435935091058052E-2</v>
      </c>
      <c r="D69" s="65">
        <v>9.3268491897092284E-2</v>
      </c>
      <c r="E69" s="65">
        <v>1.0668416635555881E-2</v>
      </c>
      <c r="F69" s="65">
        <v>1.6316812197438978E-2</v>
      </c>
      <c r="G69" s="65">
        <v>0</v>
      </c>
      <c r="H69" s="65">
        <v>3.5191302362111883E-2</v>
      </c>
      <c r="I69" s="65">
        <v>2.2057037483579709E-2</v>
      </c>
      <c r="J69" s="65">
        <v>2.4441077114042382E-2</v>
      </c>
      <c r="K69" s="65">
        <v>3.3266957186904922E-2</v>
      </c>
      <c r="L69" s="65">
        <v>6.7911239009367602E-2</v>
      </c>
      <c r="M69" s="65">
        <v>2.826914097840599E-2</v>
      </c>
      <c r="N69" s="65">
        <v>2.141050093537529E-2</v>
      </c>
      <c r="O69" s="65">
        <v>1.9197951268004072E-2</v>
      </c>
      <c r="P69" s="65">
        <v>3.8982620129902057E-2</v>
      </c>
      <c r="Q69" s="65">
        <v>2.1984865290348779E-2</v>
      </c>
      <c r="R69" s="65">
        <v>2.6342860190368911E-2</v>
      </c>
      <c r="S69" s="65">
        <v>0.1011056617496871</v>
      </c>
      <c r="T69" s="65">
        <v>7.1342622000625877E-3</v>
      </c>
      <c r="U69" s="65">
        <v>0.11208840225597699</v>
      </c>
      <c r="V69" s="65">
        <v>2.3333284620937401E-2</v>
      </c>
      <c r="W69" s="65">
        <v>0.20844556089096761</v>
      </c>
      <c r="X69" s="65">
        <v>0.1980845008931113</v>
      </c>
      <c r="Y69" s="65">
        <v>4.129734237369594E-3</v>
      </c>
      <c r="Z69" s="65">
        <v>1.9760473029283469E-2</v>
      </c>
      <c r="AA69" s="65">
        <v>0.12605852040340351</v>
      </c>
      <c r="AB69" s="65">
        <v>0.12950918442384829</v>
      </c>
      <c r="AC69" s="65">
        <v>3.2496790179438628E-2</v>
      </c>
      <c r="AD69" s="65">
        <v>6.0589668234084702E-2</v>
      </c>
      <c r="AE69" s="65">
        <v>1.0748111149634589</v>
      </c>
      <c r="AF69" s="65">
        <v>9.6987036994702087E-3</v>
      </c>
      <c r="AG69" s="65">
        <v>7.0530968757077763E-3</v>
      </c>
      <c r="AH69" s="65">
        <v>4.4815651086036253E-2</v>
      </c>
      <c r="AI69" s="65">
        <v>3.0907063611953479E-2</v>
      </c>
      <c r="AJ69" s="65">
        <v>1.21E-4</v>
      </c>
      <c r="AK69" s="65">
        <v>1.21E-4</v>
      </c>
      <c r="AL69" s="65">
        <v>1.21E-4</v>
      </c>
      <c r="AM69" s="65">
        <v>1.21E-4</v>
      </c>
      <c r="AN69" s="65">
        <v>0</v>
      </c>
      <c r="AO69" s="65">
        <v>9.8999999999999994E-5</v>
      </c>
      <c r="AP69" s="65">
        <v>9.8999999999999994E-5</v>
      </c>
      <c r="AQ69" s="65">
        <v>9.8999999999999994E-5</v>
      </c>
      <c r="AR69" s="65">
        <v>9.8999999999999994E-5</v>
      </c>
      <c r="AS69" s="65">
        <v>9.8999999999999994E-5</v>
      </c>
      <c r="AT69" s="65">
        <v>9.8999999999999994E-5</v>
      </c>
      <c r="AU69" s="65">
        <v>9.8999999999999994E-5</v>
      </c>
      <c r="AV69" s="65">
        <v>7.2000000000000002E-5</v>
      </c>
      <c r="AW69" s="65">
        <v>7.2000000000000002E-5</v>
      </c>
      <c r="AX69" s="65">
        <v>7.2999999999999999E-5</v>
      </c>
      <c r="AY69" s="65">
        <v>7.2999999999999999E-5</v>
      </c>
      <c r="AZ69" s="65">
        <v>3.8499999999999998E-4</v>
      </c>
      <c r="BA69" s="65">
        <v>6.0000000000000002E-5</v>
      </c>
      <c r="BB69" s="65">
        <v>4.5000000000000003E-5</v>
      </c>
      <c r="BC69" s="65">
        <v>5.7000000000000003E-5</v>
      </c>
      <c r="BD69" s="65">
        <v>9.8999999999999994E-5</v>
      </c>
      <c r="BE69" s="65">
        <v>9.5000000000000005E-5</v>
      </c>
      <c r="BF69" s="65">
        <v>1.4E-5</v>
      </c>
      <c r="BG69" s="65">
        <v>3.8999999999999999E-5</v>
      </c>
      <c r="BH69" s="65">
        <v>1.1E-5</v>
      </c>
      <c r="BI69" s="65">
        <v>2.5000000000000001E-5</v>
      </c>
      <c r="BJ69" s="65">
        <v>3.4E-5</v>
      </c>
      <c r="BK69" s="65">
        <v>2.1999999999999999E-5</v>
      </c>
      <c r="BL69" s="65">
        <v>9.0000000000000002E-6</v>
      </c>
      <c r="BM69" s="65">
        <v>1.9999999999999999E-6</v>
      </c>
      <c r="BN69" s="65">
        <v>9.9999999999999995E-7</v>
      </c>
      <c r="BO69" s="65">
        <v>1.0000000000000001E-5</v>
      </c>
      <c r="BP69" s="65">
        <v>1.0000000000000001E-5</v>
      </c>
      <c r="BQ69" s="65">
        <v>1.2E-5</v>
      </c>
      <c r="BR69" s="65">
        <v>1.2E-5</v>
      </c>
      <c r="BS69" s="65">
        <v>1.2E-5</v>
      </c>
      <c r="BT69" s="65">
        <v>1.2E-5</v>
      </c>
      <c r="BU69" s="65">
        <v>0</v>
      </c>
      <c r="BV69" s="65">
        <v>1.8E-5</v>
      </c>
      <c r="BW69" s="65">
        <v>1.8E-5</v>
      </c>
      <c r="BX69" s="65">
        <v>1.8E-5</v>
      </c>
      <c r="BY69" s="65">
        <v>1.8E-5</v>
      </c>
      <c r="BZ69" s="65">
        <v>1.8E-5</v>
      </c>
      <c r="CA69" s="65">
        <v>1.8E-5</v>
      </c>
      <c r="CB69" s="65">
        <v>1.8E-5</v>
      </c>
      <c r="CC69" s="65">
        <v>2.0000000000000002E-5</v>
      </c>
      <c r="CD69" s="65">
        <v>2.0000000000000002E-5</v>
      </c>
      <c r="CE69" s="65">
        <v>1.0000000000000001E-5</v>
      </c>
      <c r="CF69" s="65">
        <v>1.0000000000000001E-5</v>
      </c>
      <c r="CG69" s="65">
        <v>2.6999999999999999E-5</v>
      </c>
      <c r="CH69" s="65">
        <v>9.0000000000000002E-6</v>
      </c>
      <c r="CI69" s="65">
        <v>1.2999999999999999E-5</v>
      </c>
      <c r="CJ69" s="65">
        <v>9.0000000000000002E-6</v>
      </c>
      <c r="CK69" s="65">
        <v>1.9000000000000001E-5</v>
      </c>
      <c r="CL69" s="65">
        <v>1.7E-5</v>
      </c>
      <c r="CM69" s="65">
        <v>9.0000000000000002E-6</v>
      </c>
      <c r="CN69" s="65">
        <v>7.9999999999999996E-6</v>
      </c>
      <c r="CO69" s="65">
        <v>6.9999999999999999E-6</v>
      </c>
      <c r="CP69" s="65">
        <v>1.2E-5</v>
      </c>
      <c r="CQ69" s="65">
        <v>9.0000000000000002E-6</v>
      </c>
      <c r="CR69" s="65">
        <v>2.1999999999999999E-5</v>
      </c>
      <c r="CS69" s="65">
        <v>2.0999999999999999E-5</v>
      </c>
      <c r="CT69" s="65">
        <v>1.9999999999999999E-6</v>
      </c>
      <c r="CU69" s="65">
        <v>1.9999999999999999E-6</v>
      </c>
      <c r="CV69" s="65">
        <v>6.0000000000000002E-6</v>
      </c>
      <c r="CW69" s="65">
        <v>6.0000000000000002E-6</v>
      </c>
      <c r="CX69" s="65">
        <v>1.9999999999999999E-6</v>
      </c>
      <c r="CY69" s="65">
        <v>1.9999999999999999E-6</v>
      </c>
      <c r="CZ69" s="65">
        <v>1.9999999999999999E-6</v>
      </c>
      <c r="DA69" s="65">
        <v>1.9999999999999999E-6</v>
      </c>
      <c r="DB69" s="65">
        <v>0</v>
      </c>
      <c r="DC69" s="65">
        <v>3.9999999999999998E-6</v>
      </c>
      <c r="DD69" s="65">
        <v>3.9999999999999998E-6</v>
      </c>
      <c r="DE69" s="65">
        <v>3.9999999999999998E-6</v>
      </c>
      <c r="DF69" s="65">
        <v>3.9999999999999998E-6</v>
      </c>
      <c r="DG69" s="65">
        <v>3.9999999999999998E-6</v>
      </c>
      <c r="DH69" s="65">
        <v>3.9999999999999998E-6</v>
      </c>
      <c r="DI69" s="65">
        <v>3.9999999999999998E-6</v>
      </c>
      <c r="DJ69" s="65">
        <v>3.9999999999999998E-6</v>
      </c>
      <c r="DK69" s="65">
        <v>3.9999999999999998E-6</v>
      </c>
      <c r="DL69" s="65">
        <v>3.9999999999999998E-6</v>
      </c>
      <c r="DM69" s="65">
        <v>3.9999999999999998E-6</v>
      </c>
      <c r="DN69" s="65">
        <v>1.0000000000000001E-5</v>
      </c>
      <c r="DO69" s="65">
        <v>3.9999999999999998E-6</v>
      </c>
      <c r="DP69" s="65">
        <v>3.9999999999999998E-6</v>
      </c>
      <c r="DQ69" s="65">
        <v>3.9999999999999998E-6</v>
      </c>
      <c r="DR69" s="65">
        <v>9.0000000000000002E-6</v>
      </c>
      <c r="DS69" s="65">
        <v>5.0000000000000004E-6</v>
      </c>
      <c r="DT69" s="65">
        <v>3.0000000000000001E-6</v>
      </c>
      <c r="DU69" s="65">
        <v>5.0000000000000004E-6</v>
      </c>
      <c r="DV69" s="65">
        <v>3.9999999999999998E-6</v>
      </c>
      <c r="DW69" s="65">
        <v>3.0000000000000001E-6</v>
      </c>
      <c r="DX69" s="65">
        <v>3.0000000000000001E-6</v>
      </c>
      <c r="DY69" s="65">
        <v>6.0000000000000002E-6</v>
      </c>
      <c r="DZ69" s="65">
        <v>9.9999999999999995E-7</v>
      </c>
      <c r="EA69" s="65">
        <v>0</v>
      </c>
      <c r="EB69" s="65">
        <v>0</v>
      </c>
      <c r="EC69" s="65">
        <v>3.0000000000000001E-6</v>
      </c>
      <c r="ED69" s="65">
        <v>3.0000000000000001E-6</v>
      </c>
      <c r="EE69" s="65">
        <v>3.0000000000000001E-6</v>
      </c>
      <c r="EF69" s="65">
        <v>3.0000000000000001E-6</v>
      </c>
      <c r="EG69" s="65">
        <v>3.0000000000000001E-6</v>
      </c>
      <c r="EH69" s="65">
        <v>3.0000000000000001E-6</v>
      </c>
      <c r="EI69" s="65">
        <v>0</v>
      </c>
      <c r="EJ69" s="65">
        <v>5.0000000000000004E-6</v>
      </c>
      <c r="EK69" s="65">
        <v>5.0000000000000004E-6</v>
      </c>
      <c r="EL69" s="65">
        <v>5.0000000000000004E-6</v>
      </c>
      <c r="EM69" s="65">
        <v>5.0000000000000004E-6</v>
      </c>
      <c r="EN69" s="65">
        <v>5.0000000000000004E-6</v>
      </c>
      <c r="EO69" s="65">
        <v>5.0000000000000004E-6</v>
      </c>
      <c r="EP69" s="65">
        <v>5.0000000000000004E-6</v>
      </c>
      <c r="EQ69" s="65">
        <v>3.9999999999999998E-6</v>
      </c>
      <c r="ER69" s="65">
        <v>3.9999999999999998E-6</v>
      </c>
      <c r="ES69" s="65">
        <v>3.0000000000000001E-6</v>
      </c>
      <c r="ET69" s="65">
        <v>3.0000000000000001E-6</v>
      </c>
      <c r="EU69" s="65">
        <v>9.0000000000000002E-6</v>
      </c>
      <c r="EV69" s="65">
        <v>1.9999999999999999E-6</v>
      </c>
      <c r="EW69" s="65">
        <v>5.0000000000000004E-6</v>
      </c>
      <c r="EX69" s="65">
        <v>3.0000000000000001E-6</v>
      </c>
      <c r="EY69" s="65">
        <v>6.0000000000000002E-6</v>
      </c>
      <c r="EZ69" s="65">
        <v>6.0000000000000002E-6</v>
      </c>
      <c r="FA69" s="65">
        <v>1.9999999999999999E-6</v>
      </c>
      <c r="FB69" s="65">
        <v>1.9999999999999999E-6</v>
      </c>
      <c r="FC69" s="65">
        <v>1.9999999999999999E-6</v>
      </c>
      <c r="FD69" s="65">
        <v>1.9999999999999999E-6</v>
      </c>
      <c r="FE69" s="65">
        <v>1.9999999999999999E-6</v>
      </c>
      <c r="FF69" s="65">
        <v>5.0000000000000004E-6</v>
      </c>
      <c r="FG69" s="65">
        <v>3.0000000000000001E-6</v>
      </c>
      <c r="FH69" s="65">
        <v>9.9999999999999995E-7</v>
      </c>
      <c r="FI69" s="65">
        <v>9.9999999999999995E-7</v>
      </c>
      <c r="FJ69" s="65">
        <v>3.0000000000000001E-6</v>
      </c>
      <c r="FK69" s="65">
        <v>3.0000000000000001E-6</v>
      </c>
      <c r="FL69" s="65">
        <v>4.0700000000000003E-4</v>
      </c>
      <c r="FM69" s="65">
        <v>4.0700000000000003E-4</v>
      </c>
      <c r="FN69" s="65">
        <v>4.0700000000000003E-4</v>
      </c>
      <c r="FO69" s="65">
        <v>4.0700000000000003E-4</v>
      </c>
      <c r="FP69" s="65">
        <v>0</v>
      </c>
      <c r="FQ69" s="65">
        <v>8.7699999999999996E-4</v>
      </c>
      <c r="FR69" s="65">
        <v>8.7699999999999996E-4</v>
      </c>
      <c r="FS69" s="65">
        <v>8.7699999999999996E-4</v>
      </c>
      <c r="FT69" s="65">
        <v>8.7699999999999996E-4</v>
      </c>
      <c r="FU69" s="65">
        <v>8.7699999999999996E-4</v>
      </c>
      <c r="FV69" s="65">
        <v>8.7699999999999996E-4</v>
      </c>
      <c r="FW69" s="65">
        <v>8.7699999999999996E-4</v>
      </c>
      <c r="FX69" s="65">
        <v>3.8400000000000001E-4</v>
      </c>
      <c r="FY69" s="65">
        <v>3.8400000000000001E-4</v>
      </c>
      <c r="FZ69" s="65">
        <v>5.8999999999999998E-5</v>
      </c>
      <c r="GA69" s="65">
        <v>5.8999999999999998E-5</v>
      </c>
      <c r="GB69" s="65">
        <v>2.1800000000000001E-4</v>
      </c>
      <c r="GC69" s="65">
        <v>3.0000000000000001E-5</v>
      </c>
      <c r="GD69" s="65">
        <v>3.6000000000000001E-5</v>
      </c>
      <c r="GE69" s="65">
        <v>3.8999999999999999E-5</v>
      </c>
      <c r="GF69" s="65">
        <v>1.8100000000000001E-4</v>
      </c>
      <c r="GG69" s="65">
        <v>8.6000000000000003E-5</v>
      </c>
      <c r="GH69" s="65">
        <v>2.0999999999999999E-5</v>
      </c>
      <c r="GI69" s="65">
        <v>2.8E-5</v>
      </c>
      <c r="GJ69" s="65">
        <v>1.7E-5</v>
      </c>
      <c r="GK69" s="65">
        <v>3.1000000000000001E-5</v>
      </c>
      <c r="GL69" s="65">
        <v>3.0600000000000001E-4</v>
      </c>
      <c r="GM69" s="65">
        <v>1.03E-4</v>
      </c>
      <c r="GN69" s="65">
        <v>4.0000000000000003E-5</v>
      </c>
      <c r="GO69" s="65">
        <v>6.0000000000000002E-6</v>
      </c>
      <c r="GP69" s="65">
        <v>3.9999999999999998E-6</v>
      </c>
      <c r="GQ69" s="65">
        <v>3.1000000000000001E-5</v>
      </c>
      <c r="GR69" s="65">
        <v>3.1000000000000001E-5</v>
      </c>
      <c r="GS69" s="65">
        <v>1.9999999999999999E-6</v>
      </c>
      <c r="GT69" s="65">
        <v>1.9999999999999999E-6</v>
      </c>
      <c r="GU69" s="65">
        <v>1.9999999999999999E-6</v>
      </c>
      <c r="GV69" s="65">
        <v>1.9999999999999999E-6</v>
      </c>
      <c r="GW69" s="65">
        <v>0</v>
      </c>
      <c r="GX69" s="65">
        <v>6.9999999999999999E-6</v>
      </c>
      <c r="GY69" s="65">
        <v>6.9999999999999999E-6</v>
      </c>
      <c r="GZ69" s="65">
        <v>6.9999999999999999E-6</v>
      </c>
      <c r="HA69" s="65">
        <v>6.9999999999999999E-6</v>
      </c>
      <c r="HB69" s="65">
        <v>6.9999999999999999E-6</v>
      </c>
      <c r="HC69" s="65">
        <v>6.9999999999999999E-6</v>
      </c>
      <c r="HD69" s="65">
        <v>6.9999999999999999E-6</v>
      </c>
      <c r="HE69" s="65">
        <v>7.9999999999999996E-6</v>
      </c>
      <c r="HF69" s="65">
        <v>7.9999999999999996E-6</v>
      </c>
      <c r="HG69" s="65">
        <v>3.9999999999999998E-6</v>
      </c>
      <c r="HH69" s="65">
        <v>3.9999999999999998E-6</v>
      </c>
      <c r="HI69" s="65">
        <v>1.0000000000000001E-5</v>
      </c>
      <c r="HJ69" s="65">
        <v>3.9999999999999998E-6</v>
      </c>
      <c r="HK69" s="65">
        <v>5.0000000000000004E-6</v>
      </c>
      <c r="HL69" s="65">
        <v>5.0000000000000004E-6</v>
      </c>
      <c r="HM69" s="65">
        <v>1.0000000000000001E-5</v>
      </c>
      <c r="HN69" s="65">
        <v>1.1E-5</v>
      </c>
      <c r="HO69" s="65">
        <v>3.0000000000000001E-6</v>
      </c>
      <c r="HP69" s="65">
        <v>6.0000000000000002E-6</v>
      </c>
      <c r="HQ69" s="65">
        <v>5.0000000000000004E-6</v>
      </c>
      <c r="HR69" s="65">
        <v>3.9999999999999998E-6</v>
      </c>
      <c r="HS69" s="65">
        <v>5.0000000000000004E-6</v>
      </c>
      <c r="HT69" s="65">
        <v>1.2E-5</v>
      </c>
      <c r="HU69" s="65">
        <v>1.0000000000000001E-5</v>
      </c>
      <c r="HV69" s="65">
        <v>1.9999999999999999E-6</v>
      </c>
      <c r="HW69" s="65">
        <v>9.9999999999999995E-7</v>
      </c>
      <c r="HX69" s="65">
        <v>3.9999999999999998E-6</v>
      </c>
      <c r="HY69" s="65">
        <v>3.9999999999999998E-6</v>
      </c>
      <c r="HZ69" s="65">
        <v>2.8E-5</v>
      </c>
      <c r="IA69" s="65">
        <v>2.8E-5</v>
      </c>
      <c r="IB69" s="65">
        <v>2.8E-5</v>
      </c>
      <c r="IC69" s="65">
        <v>2.8E-5</v>
      </c>
      <c r="ID69" s="65">
        <v>0</v>
      </c>
      <c r="IE69" s="65">
        <v>5.1999999999999997E-5</v>
      </c>
      <c r="IF69" s="65">
        <v>5.1999999999999997E-5</v>
      </c>
      <c r="IG69" s="65">
        <v>5.1999999999999997E-5</v>
      </c>
      <c r="IH69" s="65">
        <v>5.1999999999999997E-5</v>
      </c>
      <c r="II69" s="65">
        <v>5.1999999999999997E-5</v>
      </c>
      <c r="IJ69" s="65">
        <v>5.1999999999999997E-5</v>
      </c>
      <c r="IK69" s="65">
        <v>5.1999999999999997E-5</v>
      </c>
      <c r="IL69" s="65">
        <v>1.9000000000000001E-5</v>
      </c>
      <c r="IM69" s="65">
        <v>1.9000000000000001E-5</v>
      </c>
      <c r="IN69" s="65">
        <v>2.5000000000000001E-5</v>
      </c>
      <c r="IO69" s="65">
        <v>2.5000000000000001E-5</v>
      </c>
      <c r="IP69" s="65">
        <v>3.6999999999999998E-5</v>
      </c>
      <c r="IQ69" s="65">
        <v>1.7E-5</v>
      </c>
      <c r="IR69" s="65">
        <v>1.5999999999999999E-5</v>
      </c>
      <c r="IS69" s="65">
        <v>1.4E-5</v>
      </c>
      <c r="IT69" s="65">
        <v>2.0000000000000002E-5</v>
      </c>
      <c r="IU69" s="65">
        <v>2.8E-5</v>
      </c>
      <c r="IV69" s="65">
        <v>2.6999999999999999E-5</v>
      </c>
      <c r="IW69" s="65">
        <v>1.5999999999999999E-5</v>
      </c>
      <c r="IX69" s="65">
        <v>1.5999999999999999E-5</v>
      </c>
      <c r="IY69" s="65">
        <v>2.3E-5</v>
      </c>
      <c r="IZ69" s="65">
        <v>1.5999999999999999E-5</v>
      </c>
      <c r="JA69" s="65">
        <v>3.8999999999999999E-5</v>
      </c>
      <c r="JB69" s="65">
        <v>7.1000000000000005E-5</v>
      </c>
      <c r="JC69" s="65">
        <v>3.9999999999999998E-6</v>
      </c>
      <c r="JD69" s="65">
        <v>3.0000000000000001E-6</v>
      </c>
      <c r="JE69" s="65">
        <v>1.5E-5</v>
      </c>
      <c r="JF69" s="65">
        <v>1.5E-5</v>
      </c>
      <c r="JG69" s="65">
        <v>2.6899999999999998E-4</v>
      </c>
      <c r="JH69" s="65">
        <v>2.6899999999999998E-4</v>
      </c>
      <c r="JI69" s="65">
        <v>2.6899999999999998E-4</v>
      </c>
      <c r="JJ69" s="65">
        <v>2.6899999999999998E-4</v>
      </c>
      <c r="JK69" s="65">
        <v>0</v>
      </c>
      <c r="JL69" s="65">
        <v>4.5399999999999998E-4</v>
      </c>
      <c r="JM69" s="65">
        <v>4.5399999999999998E-4</v>
      </c>
      <c r="JN69" s="65">
        <v>4.5399999999999998E-4</v>
      </c>
      <c r="JO69" s="65">
        <v>4.5399999999999998E-4</v>
      </c>
      <c r="JP69" s="65">
        <v>4.5399999999999998E-4</v>
      </c>
      <c r="JQ69" s="65">
        <v>4.5399999999999998E-4</v>
      </c>
      <c r="JR69" s="65">
        <v>4.5399999999999998E-4</v>
      </c>
      <c r="JS69" s="65">
        <v>1.08E-3</v>
      </c>
      <c r="JT69" s="65">
        <v>1.08E-3</v>
      </c>
      <c r="JU69" s="65">
        <v>2.3699999999999999E-4</v>
      </c>
      <c r="JV69" s="65">
        <v>2.3699999999999999E-4</v>
      </c>
      <c r="JW69" s="65">
        <v>6.9999999999999999E-4</v>
      </c>
      <c r="JX69" s="65">
        <v>1.6699999999999999E-4</v>
      </c>
      <c r="JY69" s="65">
        <v>2.92E-4</v>
      </c>
      <c r="JZ69" s="65">
        <v>2.5700000000000001E-4</v>
      </c>
      <c r="KA69" s="65">
        <v>5.5900000000000004E-4</v>
      </c>
      <c r="KB69" s="65">
        <v>4.2299999999999998E-4</v>
      </c>
      <c r="KC69" s="65">
        <v>1.46E-4</v>
      </c>
      <c r="KD69" s="65">
        <v>2.04E-4</v>
      </c>
      <c r="KE69" s="65">
        <v>3.6699999999999998E-4</v>
      </c>
      <c r="KF69" s="65">
        <v>2.1900000000000001E-4</v>
      </c>
      <c r="KG69" s="65">
        <v>2.7999999999999998E-4</v>
      </c>
      <c r="KH69" s="65">
        <v>3.8000000000000002E-4</v>
      </c>
      <c r="KI69" s="65">
        <v>9.4799999999999995E-4</v>
      </c>
      <c r="KJ69" s="65">
        <v>1.1400000000000001E-4</v>
      </c>
      <c r="KK69" s="65">
        <v>8.2999999999999998E-5</v>
      </c>
      <c r="KL69" s="65">
        <v>1.9900000000000001E-4</v>
      </c>
      <c r="KM69" s="65">
        <v>1.9900000000000001E-4</v>
      </c>
      <c r="KN69" s="65">
        <v>5.0000000000000004E-6</v>
      </c>
      <c r="KO69" s="65">
        <v>5.0000000000000004E-6</v>
      </c>
      <c r="KP69" s="65">
        <v>5.0000000000000004E-6</v>
      </c>
      <c r="KQ69" s="65">
        <v>5.0000000000000004E-6</v>
      </c>
      <c r="KR69" s="65">
        <v>0</v>
      </c>
      <c r="KS69" s="65">
        <v>7.9999999999999996E-6</v>
      </c>
      <c r="KT69" s="65">
        <v>7.9999999999999996E-6</v>
      </c>
      <c r="KU69" s="65">
        <v>7.9999999999999996E-6</v>
      </c>
      <c r="KV69" s="65">
        <v>7.9999999999999996E-6</v>
      </c>
      <c r="KW69" s="65">
        <v>7.9999999999999996E-6</v>
      </c>
      <c r="KX69" s="65">
        <v>7.9999999999999996E-6</v>
      </c>
      <c r="KY69" s="65">
        <v>7.9999999999999996E-6</v>
      </c>
      <c r="KZ69" s="65">
        <v>7.9999999999999996E-6</v>
      </c>
      <c r="LA69" s="65">
        <v>7.9999999999999996E-6</v>
      </c>
      <c r="LB69" s="65">
        <v>6.0000000000000002E-6</v>
      </c>
      <c r="LC69" s="65">
        <v>6.0000000000000002E-6</v>
      </c>
      <c r="LD69" s="65">
        <v>1.7E-5</v>
      </c>
      <c r="LE69" s="65">
        <v>6.0000000000000002E-6</v>
      </c>
      <c r="LF69" s="65">
        <v>1.5999999999999999E-5</v>
      </c>
      <c r="LG69" s="65">
        <v>9.0000000000000002E-6</v>
      </c>
      <c r="LH69" s="65">
        <v>2.0000000000000002E-5</v>
      </c>
      <c r="LI69" s="65">
        <v>1.2999999999999999E-5</v>
      </c>
      <c r="LJ69" s="65">
        <v>9.0000000000000002E-6</v>
      </c>
      <c r="LK69" s="65">
        <v>3.9999999999999998E-6</v>
      </c>
      <c r="LL69" s="65">
        <v>6.9999999999999999E-6</v>
      </c>
      <c r="LM69" s="65">
        <v>6.0000000000000002E-6</v>
      </c>
      <c r="LN69" s="65">
        <v>6.0000000000000002E-6</v>
      </c>
      <c r="LO69" s="65">
        <v>3.4E-5</v>
      </c>
      <c r="LP69" s="65">
        <v>1.0000000000000001E-5</v>
      </c>
      <c r="LQ69" s="65">
        <v>9.9999999999999995E-7</v>
      </c>
      <c r="LR69" s="65">
        <v>9.9999999999999995E-7</v>
      </c>
      <c r="LS69" s="65">
        <v>7.9999999999999996E-6</v>
      </c>
      <c r="LT69" s="65">
        <v>7.9999999999999996E-6</v>
      </c>
      <c r="LU69" s="65">
        <v>2.0000000000000002E-5</v>
      </c>
      <c r="LV69" s="65">
        <v>2.0000000000000002E-5</v>
      </c>
      <c r="LW69" s="65">
        <v>2.0000000000000002E-5</v>
      </c>
      <c r="LX69" s="65">
        <v>2.0000000000000002E-5</v>
      </c>
      <c r="LY69" s="65">
        <v>0</v>
      </c>
      <c r="LZ69" s="65">
        <v>5.5999999999999999E-5</v>
      </c>
      <c r="MA69" s="65">
        <v>5.5999999999999999E-5</v>
      </c>
      <c r="MB69" s="65">
        <v>5.5999999999999999E-5</v>
      </c>
      <c r="MC69" s="65">
        <v>5.5999999999999999E-5</v>
      </c>
      <c r="MD69" s="65">
        <v>5.5999999999999999E-5</v>
      </c>
      <c r="ME69" s="65">
        <v>5.5999999999999999E-5</v>
      </c>
      <c r="MF69" s="65">
        <v>5.5999999999999999E-5</v>
      </c>
      <c r="MG69" s="65">
        <v>3.1999999999999999E-5</v>
      </c>
      <c r="MH69" s="65">
        <v>3.1999999999999999E-5</v>
      </c>
      <c r="MI69" s="65">
        <v>1.1E-5</v>
      </c>
      <c r="MJ69" s="65">
        <v>1.1E-5</v>
      </c>
      <c r="MK69" s="65">
        <v>4.1E-5</v>
      </c>
      <c r="ML69" s="65">
        <v>9.0000000000000002E-6</v>
      </c>
      <c r="MM69" s="65">
        <v>1.0000000000000001E-5</v>
      </c>
      <c r="MN69" s="65">
        <v>1.0000000000000001E-5</v>
      </c>
      <c r="MO69" s="65">
        <v>2.0999999999999999E-5</v>
      </c>
      <c r="MP69" s="65">
        <v>2.0999999999999999E-5</v>
      </c>
      <c r="MQ69" s="65">
        <v>1.0000000000000001E-5</v>
      </c>
      <c r="MR69" s="65">
        <v>9.0000000000000002E-6</v>
      </c>
      <c r="MS69" s="65">
        <v>7.9999999999999996E-6</v>
      </c>
      <c r="MT69" s="65">
        <v>9.0000000000000002E-6</v>
      </c>
      <c r="MU69" s="65">
        <v>1.8E-5</v>
      </c>
      <c r="MV69" s="65">
        <v>1.9000000000000001E-5</v>
      </c>
      <c r="MW69" s="65">
        <v>1.7E-5</v>
      </c>
      <c r="MX69" s="65">
        <v>1.9999999999999999E-6</v>
      </c>
      <c r="MY69" s="65">
        <v>1.9999999999999999E-6</v>
      </c>
      <c r="MZ69" s="65">
        <v>7.9999999999999996E-6</v>
      </c>
      <c r="NA69" s="65">
        <v>7.9999999999999996E-6</v>
      </c>
      <c r="NB69" s="65"/>
      <c r="NC69" s="65"/>
      <c r="ND69" s="65"/>
      <c r="NE69" s="65"/>
      <c r="NF69" s="65"/>
      <c r="NG69" s="65"/>
      <c r="NH69" s="65"/>
      <c r="NI69" s="65"/>
      <c r="NJ69" s="65"/>
      <c r="NK69" s="65"/>
      <c r="NL69" s="65"/>
      <c r="NM69" s="65"/>
      <c r="NN69" s="65"/>
      <c r="NO69" s="65"/>
      <c r="NP69" s="65"/>
      <c r="NQ69" s="65"/>
      <c r="NR69" s="65"/>
      <c r="NS69" s="65"/>
      <c r="NT69" s="65"/>
      <c r="NU69" s="65"/>
      <c r="NV69" s="65"/>
      <c r="NW69" s="65"/>
      <c r="NX69" s="65"/>
      <c r="NY69" s="65"/>
      <c r="NZ69" s="65"/>
      <c r="OA69" s="65"/>
      <c r="OB69" s="65"/>
      <c r="OC69" s="65"/>
      <c r="OD69" s="65"/>
      <c r="OE69" s="65"/>
      <c r="OF69" s="65"/>
      <c r="OG69" s="65"/>
      <c r="OH69" s="65"/>
      <c r="OI69" s="65"/>
      <c r="OJ69" s="65"/>
      <c r="OK69" s="65"/>
      <c r="OL69" s="65"/>
      <c r="OM69" s="65"/>
      <c r="ON69" s="65"/>
      <c r="OO69" s="65"/>
      <c r="OP69" s="65"/>
      <c r="OQ69" s="65"/>
      <c r="OR69" s="65"/>
      <c r="OS69" s="65"/>
    </row>
    <row r="70" spans="1:409">
      <c r="A70" s="64" t="s">
        <v>106</v>
      </c>
      <c r="B70" s="64" t="s">
        <v>24</v>
      </c>
      <c r="C70" s="64">
        <v>8.1943450570080376E-3</v>
      </c>
      <c r="D70" s="64">
        <v>5.868706497268718E-3</v>
      </c>
      <c r="E70" s="64">
        <v>8.2407603108107465E-4</v>
      </c>
      <c r="F70" s="64">
        <v>4.8358007703111348E-4</v>
      </c>
      <c r="G70" s="64">
        <v>0</v>
      </c>
      <c r="H70" s="64">
        <v>1.7382876587405619E-3</v>
      </c>
      <c r="I70" s="64">
        <v>1.834375225248244E-3</v>
      </c>
      <c r="J70" s="64">
        <v>1.26934620667218E-3</v>
      </c>
      <c r="K70" s="64">
        <v>2.3116995635456918E-3</v>
      </c>
      <c r="L70" s="64">
        <v>7.6198504325402554E-4</v>
      </c>
      <c r="M70" s="64">
        <v>1.3089127255151601E-3</v>
      </c>
      <c r="N70" s="64">
        <v>1.0449964331310309E-3</v>
      </c>
      <c r="O70" s="64">
        <v>1.0801864700093131E-3</v>
      </c>
      <c r="P70" s="64">
        <v>1.569108126019652E-3</v>
      </c>
      <c r="Q70" s="64">
        <v>8.744763237690321E-4</v>
      </c>
      <c r="R70" s="64">
        <v>1.042909120417206E-3</v>
      </c>
      <c r="S70" s="64">
        <v>1.380966576012888E-3</v>
      </c>
      <c r="T70" s="64">
        <v>4.7549774579908922E-4</v>
      </c>
      <c r="U70" s="64">
        <v>8.9604973666634381E-4</v>
      </c>
      <c r="V70" s="64">
        <v>2.6599425799114822E-4</v>
      </c>
      <c r="W70" s="64">
        <v>4.1704394491880363E-3</v>
      </c>
      <c r="X70" s="64">
        <v>3.917593537461221E-3</v>
      </c>
      <c r="Y70" s="64">
        <v>2.238150550866125E-4</v>
      </c>
      <c r="Z70" s="64">
        <v>6.6352941349924846E-4</v>
      </c>
      <c r="AA70" s="64">
        <v>7.0588654119410994E-3</v>
      </c>
      <c r="AB70" s="64">
        <v>7.6438340137464453E-3</v>
      </c>
      <c r="AC70" s="64">
        <v>3.0327808768232331E-3</v>
      </c>
      <c r="AD70" s="64">
        <v>4.3696220937182728E-3</v>
      </c>
      <c r="AE70" s="64">
        <v>1.807163023633423E-3</v>
      </c>
      <c r="AF70" s="64">
        <v>6.6515313882369184E-2</v>
      </c>
      <c r="AG70" s="64">
        <v>4.8226581298005299E-2</v>
      </c>
      <c r="AH70" s="64">
        <v>3.690663513068401E-3</v>
      </c>
      <c r="AI70" s="64">
        <v>1.4282429501812439E-3</v>
      </c>
      <c r="AJ70" s="64">
        <v>3.0000000000000001E-6</v>
      </c>
      <c r="AK70" s="64">
        <v>3.0000000000000001E-6</v>
      </c>
      <c r="AL70" s="64">
        <v>3.0000000000000001E-6</v>
      </c>
      <c r="AM70" s="64">
        <v>3.0000000000000001E-6</v>
      </c>
      <c r="AN70" s="64">
        <v>0</v>
      </c>
      <c r="AO70" s="64">
        <v>5.0000000000000004E-6</v>
      </c>
      <c r="AP70" s="64">
        <v>5.0000000000000004E-6</v>
      </c>
      <c r="AQ70" s="64">
        <v>5.0000000000000004E-6</v>
      </c>
      <c r="AR70" s="64">
        <v>5.0000000000000004E-6</v>
      </c>
      <c r="AS70" s="64">
        <v>5.0000000000000004E-6</v>
      </c>
      <c r="AT70" s="64">
        <v>5.0000000000000004E-6</v>
      </c>
      <c r="AU70" s="64">
        <v>5.0000000000000004E-6</v>
      </c>
      <c r="AV70" s="64">
        <v>1.9999999999999999E-6</v>
      </c>
      <c r="AW70" s="64">
        <v>1.9999999999999999E-6</v>
      </c>
      <c r="AX70" s="64">
        <v>9.9999999999999995E-7</v>
      </c>
      <c r="AY70" s="64">
        <v>9.9999999999999995E-7</v>
      </c>
      <c r="AZ70" s="64">
        <v>7.9999999999999996E-6</v>
      </c>
      <c r="BA70" s="64">
        <v>9.9999999999999995E-7</v>
      </c>
      <c r="BB70" s="64">
        <v>9.9999999999999995E-7</v>
      </c>
      <c r="BC70" s="64">
        <v>9.9999999999999995E-7</v>
      </c>
      <c r="BD70" s="64">
        <v>1.9999999999999999E-6</v>
      </c>
      <c r="BE70" s="64">
        <v>1.9999999999999999E-6</v>
      </c>
      <c r="BF70" s="64">
        <v>0</v>
      </c>
      <c r="BG70" s="64">
        <v>9.9999999999999995E-7</v>
      </c>
      <c r="BH70" s="64">
        <v>0</v>
      </c>
      <c r="BI70" s="64">
        <v>9.9999999999999995E-7</v>
      </c>
      <c r="BJ70" s="64">
        <v>1.9999999999999999E-6</v>
      </c>
      <c r="BK70" s="64">
        <v>9.9999999999999995E-7</v>
      </c>
      <c r="BL70" s="64">
        <v>0</v>
      </c>
      <c r="BM70" s="64">
        <v>0</v>
      </c>
      <c r="BN70" s="64">
        <v>0</v>
      </c>
      <c r="BO70" s="64">
        <v>0</v>
      </c>
      <c r="BP70" s="64">
        <v>0</v>
      </c>
      <c r="BQ70" s="64">
        <v>9.9999999999999995E-7</v>
      </c>
      <c r="BR70" s="64">
        <v>9.9999999999999995E-7</v>
      </c>
      <c r="BS70" s="64">
        <v>9.9999999999999995E-7</v>
      </c>
      <c r="BT70" s="64">
        <v>9.9999999999999995E-7</v>
      </c>
      <c r="BU70" s="64">
        <v>0</v>
      </c>
      <c r="BV70" s="64">
        <v>9.9999999999999995E-7</v>
      </c>
      <c r="BW70" s="64">
        <v>9.9999999999999995E-7</v>
      </c>
      <c r="BX70" s="64">
        <v>9.9999999999999995E-7</v>
      </c>
      <c r="BY70" s="64">
        <v>9.9999999999999995E-7</v>
      </c>
      <c r="BZ70" s="64">
        <v>9.9999999999999995E-7</v>
      </c>
      <c r="CA70" s="64">
        <v>9.9999999999999995E-7</v>
      </c>
      <c r="CB70" s="64">
        <v>9.9999999999999995E-7</v>
      </c>
      <c r="CC70" s="64">
        <v>9.9999999999999995E-7</v>
      </c>
      <c r="CD70" s="64">
        <v>9.9999999999999995E-7</v>
      </c>
      <c r="CE70" s="64">
        <v>9.9999999999999995E-7</v>
      </c>
      <c r="CF70" s="64">
        <v>9.9999999999999995E-7</v>
      </c>
      <c r="CG70" s="64">
        <v>1.9999999999999999E-6</v>
      </c>
      <c r="CH70" s="64">
        <v>9.9999999999999995E-7</v>
      </c>
      <c r="CI70" s="64">
        <v>9.9999999999999995E-7</v>
      </c>
      <c r="CJ70" s="64">
        <v>0</v>
      </c>
      <c r="CK70" s="64">
        <v>9.9999999999999995E-7</v>
      </c>
      <c r="CL70" s="64">
        <v>9.9999999999999995E-7</v>
      </c>
      <c r="CM70" s="64">
        <v>0</v>
      </c>
      <c r="CN70" s="64">
        <v>0</v>
      </c>
      <c r="CO70" s="64">
        <v>0</v>
      </c>
      <c r="CP70" s="64">
        <v>9.9999999999999995E-7</v>
      </c>
      <c r="CQ70" s="64">
        <v>9.9999999999999995E-7</v>
      </c>
      <c r="CR70" s="64">
        <v>9.9999999999999995E-7</v>
      </c>
      <c r="CS70" s="64">
        <v>0</v>
      </c>
      <c r="CT70" s="64">
        <v>0</v>
      </c>
      <c r="CU70" s="64">
        <v>0</v>
      </c>
      <c r="CV70" s="64">
        <v>0</v>
      </c>
      <c r="CW70" s="64">
        <v>0</v>
      </c>
      <c r="CX70" s="64">
        <v>0</v>
      </c>
      <c r="CY70" s="64">
        <v>0</v>
      </c>
      <c r="CZ70" s="64">
        <v>0</v>
      </c>
      <c r="DA70" s="64">
        <v>0</v>
      </c>
      <c r="DB70" s="64">
        <v>0</v>
      </c>
      <c r="DC70" s="64">
        <v>0</v>
      </c>
      <c r="DD70" s="64">
        <v>0</v>
      </c>
      <c r="DE70" s="64">
        <v>0</v>
      </c>
      <c r="DF70" s="64">
        <v>0</v>
      </c>
      <c r="DG70" s="64">
        <v>0</v>
      </c>
      <c r="DH70" s="64">
        <v>0</v>
      </c>
      <c r="DI70" s="64">
        <v>0</v>
      </c>
      <c r="DJ70" s="64">
        <v>0</v>
      </c>
      <c r="DK70" s="64">
        <v>0</v>
      </c>
      <c r="DL70" s="64">
        <v>0</v>
      </c>
      <c r="DM70" s="64">
        <v>0</v>
      </c>
      <c r="DN70" s="64">
        <v>9.9999999999999995E-7</v>
      </c>
      <c r="DO70" s="64">
        <v>0</v>
      </c>
      <c r="DP70" s="64">
        <v>0</v>
      </c>
      <c r="DQ70" s="64">
        <v>0</v>
      </c>
      <c r="DR70" s="64">
        <v>0</v>
      </c>
      <c r="DS70" s="64">
        <v>0</v>
      </c>
      <c r="DT70" s="64">
        <v>0</v>
      </c>
      <c r="DU70" s="64">
        <v>0</v>
      </c>
      <c r="DV70" s="64">
        <v>0</v>
      </c>
      <c r="DW70" s="64">
        <v>0</v>
      </c>
      <c r="DX70" s="64">
        <v>0</v>
      </c>
      <c r="DY70" s="64">
        <v>0</v>
      </c>
      <c r="DZ70" s="64">
        <v>0</v>
      </c>
      <c r="EA70" s="64">
        <v>0</v>
      </c>
      <c r="EB70" s="64">
        <v>0</v>
      </c>
      <c r="EC70" s="64">
        <v>0</v>
      </c>
      <c r="ED70" s="64">
        <v>0</v>
      </c>
      <c r="EE70" s="64">
        <v>0</v>
      </c>
      <c r="EF70" s="64">
        <v>0</v>
      </c>
      <c r="EG70" s="64">
        <v>0</v>
      </c>
      <c r="EH70" s="64">
        <v>0</v>
      </c>
      <c r="EI70" s="64">
        <v>0</v>
      </c>
      <c r="EJ70" s="64">
        <v>0</v>
      </c>
      <c r="EK70" s="64">
        <v>0</v>
      </c>
      <c r="EL70" s="64">
        <v>0</v>
      </c>
      <c r="EM70" s="64">
        <v>0</v>
      </c>
      <c r="EN70" s="64">
        <v>0</v>
      </c>
      <c r="EO70" s="64">
        <v>0</v>
      </c>
      <c r="EP70" s="64">
        <v>0</v>
      </c>
      <c r="EQ70" s="64">
        <v>0</v>
      </c>
      <c r="ER70" s="64">
        <v>0</v>
      </c>
      <c r="ES70" s="64">
        <v>0</v>
      </c>
      <c r="ET70" s="64">
        <v>0</v>
      </c>
      <c r="EU70" s="64">
        <v>0</v>
      </c>
      <c r="EV70" s="64">
        <v>0</v>
      </c>
      <c r="EW70" s="64">
        <v>0</v>
      </c>
      <c r="EX70" s="64">
        <v>0</v>
      </c>
      <c r="EY70" s="64">
        <v>0</v>
      </c>
      <c r="EZ70" s="64">
        <v>0</v>
      </c>
      <c r="FA70" s="64">
        <v>0</v>
      </c>
      <c r="FB70" s="64">
        <v>0</v>
      </c>
      <c r="FC70" s="64">
        <v>0</v>
      </c>
      <c r="FD70" s="64">
        <v>0</v>
      </c>
      <c r="FE70" s="64">
        <v>0</v>
      </c>
      <c r="FF70" s="64">
        <v>0</v>
      </c>
      <c r="FG70" s="64">
        <v>0</v>
      </c>
      <c r="FH70" s="64">
        <v>0</v>
      </c>
      <c r="FI70" s="64">
        <v>0</v>
      </c>
      <c r="FJ70" s="64">
        <v>0</v>
      </c>
      <c r="FK70" s="64">
        <v>0</v>
      </c>
      <c r="FL70" s="64">
        <v>4.1999999999999998E-5</v>
      </c>
      <c r="FM70" s="64">
        <v>4.1999999999999998E-5</v>
      </c>
      <c r="FN70" s="64">
        <v>4.1999999999999998E-5</v>
      </c>
      <c r="FO70" s="64">
        <v>4.1999999999999998E-5</v>
      </c>
      <c r="FP70" s="64">
        <v>0</v>
      </c>
      <c r="FQ70" s="64">
        <v>9.2999999999999997E-5</v>
      </c>
      <c r="FR70" s="64">
        <v>9.2999999999999997E-5</v>
      </c>
      <c r="FS70" s="64">
        <v>9.2999999999999997E-5</v>
      </c>
      <c r="FT70" s="64">
        <v>9.2999999999999997E-5</v>
      </c>
      <c r="FU70" s="64">
        <v>9.2999999999999997E-5</v>
      </c>
      <c r="FV70" s="64">
        <v>9.2999999999999997E-5</v>
      </c>
      <c r="FW70" s="64">
        <v>9.2999999999999997E-5</v>
      </c>
      <c r="FX70" s="64">
        <v>3.8999999999999999E-5</v>
      </c>
      <c r="FY70" s="64">
        <v>3.8999999999999999E-5</v>
      </c>
      <c r="FZ70" s="64">
        <v>3.9999999999999998E-6</v>
      </c>
      <c r="GA70" s="64">
        <v>3.9999999999999998E-6</v>
      </c>
      <c r="GB70" s="64">
        <v>1.0000000000000001E-5</v>
      </c>
      <c r="GC70" s="64">
        <v>1.9999999999999999E-6</v>
      </c>
      <c r="GD70" s="64">
        <v>1.9999999999999999E-6</v>
      </c>
      <c r="GE70" s="64">
        <v>1.9999999999999999E-6</v>
      </c>
      <c r="GF70" s="64">
        <v>6.9999999999999999E-6</v>
      </c>
      <c r="GG70" s="64">
        <v>6.0000000000000002E-6</v>
      </c>
      <c r="GH70" s="64">
        <v>9.9999999999999995E-7</v>
      </c>
      <c r="GI70" s="64">
        <v>9.9999999999999995E-7</v>
      </c>
      <c r="GJ70" s="64">
        <v>9.9999999999999995E-7</v>
      </c>
      <c r="GK70" s="64">
        <v>1.9999999999999999E-6</v>
      </c>
      <c r="GL70" s="64">
        <v>3.1999999999999999E-5</v>
      </c>
      <c r="GM70" s="64">
        <v>6.0000000000000002E-6</v>
      </c>
      <c r="GN70" s="64">
        <v>9.9999999999999995E-7</v>
      </c>
      <c r="GO70" s="64">
        <v>0</v>
      </c>
      <c r="GP70" s="64">
        <v>0</v>
      </c>
      <c r="GQ70" s="64">
        <v>1.9999999999999999E-6</v>
      </c>
      <c r="GR70" s="64">
        <v>1.9999999999999999E-6</v>
      </c>
      <c r="GS70" s="64">
        <v>0</v>
      </c>
      <c r="GT70" s="64">
        <v>0</v>
      </c>
      <c r="GU70" s="64">
        <v>0</v>
      </c>
      <c r="GV70" s="64">
        <v>0</v>
      </c>
      <c r="GW70" s="64">
        <v>0</v>
      </c>
      <c r="GX70" s="64">
        <v>9.9999999999999995E-7</v>
      </c>
      <c r="GY70" s="64">
        <v>9.9999999999999995E-7</v>
      </c>
      <c r="GZ70" s="64">
        <v>9.9999999999999995E-7</v>
      </c>
      <c r="HA70" s="64">
        <v>9.9999999999999995E-7</v>
      </c>
      <c r="HB70" s="64">
        <v>9.9999999999999995E-7</v>
      </c>
      <c r="HC70" s="64">
        <v>9.9999999999999995E-7</v>
      </c>
      <c r="HD70" s="64">
        <v>9.9999999999999995E-7</v>
      </c>
      <c r="HE70" s="64">
        <v>9.9999999999999995E-7</v>
      </c>
      <c r="HF70" s="64">
        <v>9.9999999999999995E-7</v>
      </c>
      <c r="HG70" s="64">
        <v>0</v>
      </c>
      <c r="HH70" s="64">
        <v>0</v>
      </c>
      <c r="HI70" s="64">
        <v>9.9999999999999995E-7</v>
      </c>
      <c r="HJ70" s="64">
        <v>0</v>
      </c>
      <c r="HK70" s="64">
        <v>0</v>
      </c>
      <c r="HL70" s="64">
        <v>0</v>
      </c>
      <c r="HM70" s="64">
        <v>9.9999999999999995E-7</v>
      </c>
      <c r="HN70" s="64">
        <v>9.9999999999999995E-7</v>
      </c>
      <c r="HO70" s="64">
        <v>0</v>
      </c>
      <c r="HP70" s="64">
        <v>0</v>
      </c>
      <c r="HQ70" s="64">
        <v>0</v>
      </c>
      <c r="HR70" s="64">
        <v>0</v>
      </c>
      <c r="HS70" s="64">
        <v>0</v>
      </c>
      <c r="HT70" s="64">
        <v>9.9999999999999995E-7</v>
      </c>
      <c r="HU70" s="64">
        <v>0</v>
      </c>
      <c r="HV70" s="64">
        <v>0</v>
      </c>
      <c r="HW70" s="64">
        <v>0</v>
      </c>
      <c r="HX70" s="64">
        <v>0</v>
      </c>
      <c r="HY70" s="64">
        <v>0</v>
      </c>
      <c r="HZ70" s="64">
        <v>1.9999999999999999E-6</v>
      </c>
      <c r="IA70" s="64">
        <v>1.9999999999999999E-6</v>
      </c>
      <c r="IB70" s="64">
        <v>1.9999999999999999E-6</v>
      </c>
      <c r="IC70" s="64">
        <v>1.9999999999999999E-6</v>
      </c>
      <c r="ID70" s="64">
        <v>0</v>
      </c>
      <c r="IE70" s="64">
        <v>3.9999999999999998E-6</v>
      </c>
      <c r="IF70" s="64">
        <v>3.9999999999999998E-6</v>
      </c>
      <c r="IG70" s="64">
        <v>3.9999999999999998E-6</v>
      </c>
      <c r="IH70" s="64">
        <v>3.9999999999999998E-6</v>
      </c>
      <c r="II70" s="64">
        <v>3.9999999999999998E-6</v>
      </c>
      <c r="IJ70" s="64">
        <v>3.9999999999999998E-6</v>
      </c>
      <c r="IK70" s="64">
        <v>3.9999999999999998E-6</v>
      </c>
      <c r="IL70" s="64">
        <v>9.9999999999999995E-7</v>
      </c>
      <c r="IM70" s="64">
        <v>9.9999999999999995E-7</v>
      </c>
      <c r="IN70" s="64">
        <v>9.9999999999999995E-7</v>
      </c>
      <c r="IO70" s="64">
        <v>9.9999999999999995E-7</v>
      </c>
      <c r="IP70" s="64">
        <v>9.9999999999999995E-7</v>
      </c>
      <c r="IQ70" s="64">
        <v>9.9999999999999995E-7</v>
      </c>
      <c r="IR70" s="64">
        <v>0</v>
      </c>
      <c r="IS70" s="64">
        <v>0</v>
      </c>
      <c r="IT70" s="64">
        <v>9.9999999999999995E-7</v>
      </c>
      <c r="IU70" s="64">
        <v>9.9999999999999995E-7</v>
      </c>
      <c r="IV70" s="64">
        <v>0</v>
      </c>
      <c r="IW70" s="64">
        <v>9.9999999999999995E-7</v>
      </c>
      <c r="IX70" s="64">
        <v>0</v>
      </c>
      <c r="IY70" s="64">
        <v>9.9999999999999995E-7</v>
      </c>
      <c r="IZ70" s="64">
        <v>9.9999999999999995E-7</v>
      </c>
      <c r="JA70" s="64">
        <v>1.9999999999999999E-6</v>
      </c>
      <c r="JB70" s="64">
        <v>0</v>
      </c>
      <c r="JC70" s="64">
        <v>0</v>
      </c>
      <c r="JD70" s="64">
        <v>0</v>
      </c>
      <c r="JE70" s="64">
        <v>0</v>
      </c>
      <c r="JF70" s="64">
        <v>0</v>
      </c>
      <c r="JG70" s="64">
        <v>1.2E-5</v>
      </c>
      <c r="JH70" s="64">
        <v>1.2E-5</v>
      </c>
      <c r="JI70" s="64">
        <v>1.2E-5</v>
      </c>
      <c r="JJ70" s="64">
        <v>1.2E-5</v>
      </c>
      <c r="JK70" s="64">
        <v>0</v>
      </c>
      <c r="JL70" s="64">
        <v>2.4000000000000001E-5</v>
      </c>
      <c r="JM70" s="64">
        <v>2.4000000000000001E-5</v>
      </c>
      <c r="JN70" s="64">
        <v>2.4000000000000001E-5</v>
      </c>
      <c r="JO70" s="64">
        <v>2.4000000000000001E-5</v>
      </c>
      <c r="JP70" s="64">
        <v>2.4000000000000001E-5</v>
      </c>
      <c r="JQ70" s="64">
        <v>2.4000000000000001E-5</v>
      </c>
      <c r="JR70" s="64">
        <v>2.4000000000000001E-5</v>
      </c>
      <c r="JS70" s="64">
        <v>8.6000000000000003E-5</v>
      </c>
      <c r="JT70" s="64">
        <v>8.6000000000000003E-5</v>
      </c>
      <c r="JU70" s="64">
        <v>9.0000000000000002E-6</v>
      </c>
      <c r="JV70" s="64">
        <v>9.0000000000000002E-6</v>
      </c>
      <c r="JW70" s="64">
        <v>2.8E-5</v>
      </c>
      <c r="JX70" s="64">
        <v>5.0000000000000004E-6</v>
      </c>
      <c r="JY70" s="64">
        <v>9.0000000000000002E-6</v>
      </c>
      <c r="JZ70" s="64">
        <v>7.9999999999999996E-6</v>
      </c>
      <c r="KA70" s="64">
        <v>1.5999999999999999E-5</v>
      </c>
      <c r="KB70" s="64">
        <v>1.4E-5</v>
      </c>
      <c r="KC70" s="64">
        <v>3.9999999999999998E-6</v>
      </c>
      <c r="KD70" s="64">
        <v>5.0000000000000004E-6</v>
      </c>
      <c r="KE70" s="64">
        <v>1.2999999999999999E-5</v>
      </c>
      <c r="KF70" s="64">
        <v>6.9999999999999999E-6</v>
      </c>
      <c r="KG70" s="64">
        <v>1.1E-5</v>
      </c>
      <c r="KH70" s="64">
        <v>1.5999999999999999E-5</v>
      </c>
      <c r="KI70" s="64">
        <v>6.9999999999999999E-6</v>
      </c>
      <c r="KJ70" s="64">
        <v>1.15E-4</v>
      </c>
      <c r="KK70" s="64">
        <v>8.3999999999999995E-5</v>
      </c>
      <c r="KL70" s="64">
        <v>5.0000000000000004E-6</v>
      </c>
      <c r="KM70" s="64">
        <v>5.0000000000000004E-6</v>
      </c>
      <c r="KN70" s="64">
        <v>0</v>
      </c>
      <c r="KO70" s="64">
        <v>0</v>
      </c>
      <c r="KP70" s="64">
        <v>0</v>
      </c>
      <c r="KQ70" s="64">
        <v>0</v>
      </c>
      <c r="KR70" s="64">
        <v>0</v>
      </c>
      <c r="KS70" s="64">
        <v>0</v>
      </c>
      <c r="KT70" s="64">
        <v>0</v>
      </c>
      <c r="KU70" s="64">
        <v>0</v>
      </c>
      <c r="KV70" s="64">
        <v>0</v>
      </c>
      <c r="KW70" s="64">
        <v>0</v>
      </c>
      <c r="KX70" s="64">
        <v>0</v>
      </c>
      <c r="KY70" s="64">
        <v>0</v>
      </c>
      <c r="KZ70" s="64">
        <v>0</v>
      </c>
      <c r="LA70" s="64">
        <v>0</v>
      </c>
      <c r="LB70" s="64">
        <v>0</v>
      </c>
      <c r="LC70" s="64">
        <v>0</v>
      </c>
      <c r="LD70" s="64">
        <v>9.9999999999999995E-7</v>
      </c>
      <c r="LE70" s="64">
        <v>0</v>
      </c>
      <c r="LF70" s="64">
        <v>0</v>
      </c>
      <c r="LG70" s="64">
        <v>0</v>
      </c>
      <c r="LH70" s="64">
        <v>9.9999999999999995E-7</v>
      </c>
      <c r="LI70" s="64">
        <v>9.9999999999999995E-7</v>
      </c>
      <c r="LJ70" s="64">
        <v>0</v>
      </c>
      <c r="LK70" s="64">
        <v>0</v>
      </c>
      <c r="LL70" s="64">
        <v>0</v>
      </c>
      <c r="LM70" s="64">
        <v>0</v>
      </c>
      <c r="LN70" s="64">
        <v>0</v>
      </c>
      <c r="LO70" s="64">
        <v>1.9999999999999999E-6</v>
      </c>
      <c r="LP70" s="64">
        <v>9.9999999999999995E-7</v>
      </c>
      <c r="LQ70" s="64">
        <v>0</v>
      </c>
      <c r="LR70" s="64">
        <v>0</v>
      </c>
      <c r="LS70" s="64">
        <v>0</v>
      </c>
      <c r="LT70" s="64">
        <v>0</v>
      </c>
      <c r="LU70" s="64">
        <v>1.9999999999999999E-6</v>
      </c>
      <c r="LV70" s="64">
        <v>1.9999999999999999E-6</v>
      </c>
      <c r="LW70" s="64">
        <v>1.9999999999999999E-6</v>
      </c>
      <c r="LX70" s="64">
        <v>1.9999999999999999E-6</v>
      </c>
      <c r="LY70" s="64">
        <v>0</v>
      </c>
      <c r="LZ70" s="64">
        <v>5.0000000000000004E-6</v>
      </c>
      <c r="MA70" s="64">
        <v>5.0000000000000004E-6</v>
      </c>
      <c r="MB70" s="64">
        <v>5.0000000000000004E-6</v>
      </c>
      <c r="MC70" s="64">
        <v>5.0000000000000004E-6</v>
      </c>
      <c r="MD70" s="64">
        <v>5.0000000000000004E-6</v>
      </c>
      <c r="ME70" s="64">
        <v>5.0000000000000004E-6</v>
      </c>
      <c r="MF70" s="64">
        <v>5.0000000000000004E-6</v>
      </c>
      <c r="MG70" s="64">
        <v>1.9999999999999999E-6</v>
      </c>
      <c r="MH70" s="64">
        <v>1.9999999999999999E-6</v>
      </c>
      <c r="MI70" s="64">
        <v>9.9999999999999995E-7</v>
      </c>
      <c r="MJ70" s="64">
        <v>9.9999999999999995E-7</v>
      </c>
      <c r="MK70" s="64">
        <v>3.0000000000000001E-6</v>
      </c>
      <c r="ML70" s="64">
        <v>9.9999999999999995E-7</v>
      </c>
      <c r="MM70" s="64">
        <v>0</v>
      </c>
      <c r="MN70" s="64">
        <v>0</v>
      </c>
      <c r="MO70" s="64">
        <v>9.9999999999999995E-7</v>
      </c>
      <c r="MP70" s="64">
        <v>9.9999999999999995E-7</v>
      </c>
      <c r="MQ70" s="64">
        <v>9.9999999999999995E-7</v>
      </c>
      <c r="MR70" s="64">
        <v>9.9999999999999995E-7</v>
      </c>
      <c r="MS70" s="64">
        <v>9.9999999999999995E-7</v>
      </c>
      <c r="MT70" s="64">
        <v>9.9999999999999995E-7</v>
      </c>
      <c r="MU70" s="64">
        <v>1.9999999999999999E-6</v>
      </c>
      <c r="MV70" s="64">
        <v>9.9999999999999995E-7</v>
      </c>
      <c r="MW70" s="64">
        <v>0</v>
      </c>
      <c r="MX70" s="64">
        <v>0</v>
      </c>
      <c r="MY70" s="64">
        <v>0</v>
      </c>
      <c r="MZ70" s="64">
        <v>9.9999999999999995E-7</v>
      </c>
      <c r="NA70" s="64">
        <v>9.9999999999999995E-7</v>
      </c>
      <c r="NB70" s="64"/>
      <c r="NC70" s="64"/>
      <c r="ND70" s="64"/>
      <c r="NE70" s="64"/>
      <c r="NF70" s="64"/>
      <c r="NG70" s="64"/>
      <c r="NH70" s="64"/>
      <c r="NI70" s="64"/>
      <c r="NJ70" s="64"/>
      <c r="NK70" s="64"/>
      <c r="NL70" s="64"/>
      <c r="NM70" s="64"/>
      <c r="NN70" s="64"/>
      <c r="NO70" s="64"/>
      <c r="NP70" s="64"/>
      <c r="NQ70" s="64"/>
      <c r="NR70" s="64"/>
      <c r="NS70" s="64"/>
      <c r="NT70" s="64"/>
      <c r="NU70" s="64"/>
      <c r="NV70" s="64"/>
      <c r="NW70" s="64"/>
      <c r="NX70" s="64"/>
      <c r="NY70" s="64"/>
      <c r="NZ70" s="64"/>
      <c r="OA70" s="64"/>
      <c r="OB70" s="64"/>
      <c r="OC70" s="64"/>
      <c r="OD70" s="64"/>
      <c r="OE70" s="64"/>
      <c r="OF70" s="64"/>
      <c r="OG70" s="64"/>
      <c r="OH70" s="64"/>
      <c r="OI70" s="64"/>
      <c r="OJ70" s="64"/>
      <c r="OK70" s="64"/>
      <c r="OL70" s="64"/>
      <c r="OM70" s="64"/>
      <c r="ON70" s="64"/>
      <c r="OO70" s="64"/>
      <c r="OP70" s="64"/>
      <c r="OQ70" s="64"/>
      <c r="OR70" s="64"/>
      <c r="OS70" s="64"/>
    </row>
    <row r="71" spans="1:409">
      <c r="A71" s="65" t="s">
        <v>107</v>
      </c>
      <c r="B71" s="65" t="s">
        <v>25</v>
      </c>
      <c r="C71" s="65">
        <v>5.1650227765324228E-2</v>
      </c>
      <c r="D71" s="65">
        <v>6.9489796777766469E-2</v>
      </c>
      <c r="E71" s="65">
        <v>4.1853792178549482E-2</v>
      </c>
      <c r="F71" s="65">
        <v>2.3465605482104301E-2</v>
      </c>
      <c r="G71" s="65">
        <v>0</v>
      </c>
      <c r="H71" s="65">
        <v>1.353089954761174E-2</v>
      </c>
      <c r="I71" s="65">
        <v>1.0644530502241409E-2</v>
      </c>
      <c r="J71" s="65">
        <v>1.4741310542779671E-2</v>
      </c>
      <c r="K71" s="65">
        <v>1.131322934732688E-2</v>
      </c>
      <c r="L71" s="65">
        <v>7.8196488051682517E-3</v>
      </c>
      <c r="M71" s="65">
        <v>1.378587967936961E-2</v>
      </c>
      <c r="N71" s="65">
        <v>1.5880803992191831E-2</v>
      </c>
      <c r="O71" s="65">
        <v>8.062607559929413E-3</v>
      </c>
      <c r="P71" s="65">
        <v>1.320729312986552E-2</v>
      </c>
      <c r="Q71" s="65">
        <v>6.5540808594591023E-3</v>
      </c>
      <c r="R71" s="65">
        <v>1.2884438039957331E-2</v>
      </c>
      <c r="S71" s="65">
        <v>1.077148196148997E-2</v>
      </c>
      <c r="T71" s="65">
        <v>3.8277672981597132E-3</v>
      </c>
      <c r="U71" s="65">
        <v>7.0008766517204576E-3</v>
      </c>
      <c r="V71" s="65">
        <v>2.0191061221034811E-3</v>
      </c>
      <c r="W71" s="65">
        <v>3.2004131343512529E-2</v>
      </c>
      <c r="X71" s="65">
        <v>3.03341673553277E-2</v>
      </c>
      <c r="Y71" s="65">
        <v>1.6981623541682429E-3</v>
      </c>
      <c r="Z71" s="65">
        <v>5.2058077532731563E-3</v>
      </c>
      <c r="AA71" s="65">
        <v>5.508622353445685E-2</v>
      </c>
      <c r="AB71" s="65">
        <v>5.9940478689046423E-2</v>
      </c>
      <c r="AC71" s="65">
        <v>2.3778074206517889E-2</v>
      </c>
      <c r="AD71" s="65">
        <v>3.3883560103425157E-2</v>
      </c>
      <c r="AE71" s="65">
        <v>1.3968969986644181E-2</v>
      </c>
      <c r="AF71" s="65">
        <v>0.51761317962576414</v>
      </c>
      <c r="AG71" s="65">
        <v>0.37641058641522818</v>
      </c>
      <c r="AH71" s="65">
        <v>1.4892996763111271E-2</v>
      </c>
      <c r="AI71" s="65">
        <v>2.0459886074610321E-2</v>
      </c>
      <c r="AJ71" s="65">
        <v>2.1999999999999999E-5</v>
      </c>
      <c r="AK71" s="65">
        <v>2.1999999999999999E-5</v>
      </c>
      <c r="AL71" s="65">
        <v>2.1999999999999999E-5</v>
      </c>
      <c r="AM71" s="65">
        <v>2.1999999999999999E-5</v>
      </c>
      <c r="AN71" s="65">
        <v>0</v>
      </c>
      <c r="AO71" s="65">
        <v>4.3000000000000002E-5</v>
      </c>
      <c r="AP71" s="65">
        <v>4.3000000000000002E-5</v>
      </c>
      <c r="AQ71" s="65">
        <v>4.3000000000000002E-5</v>
      </c>
      <c r="AR71" s="65">
        <v>4.3000000000000002E-5</v>
      </c>
      <c r="AS71" s="65">
        <v>4.3000000000000002E-5</v>
      </c>
      <c r="AT71" s="65">
        <v>4.3000000000000002E-5</v>
      </c>
      <c r="AU71" s="65">
        <v>4.3000000000000002E-5</v>
      </c>
      <c r="AV71" s="65">
        <v>1.8E-5</v>
      </c>
      <c r="AW71" s="65">
        <v>1.8E-5</v>
      </c>
      <c r="AX71" s="65">
        <v>1.1E-5</v>
      </c>
      <c r="AY71" s="65">
        <v>1.1E-5</v>
      </c>
      <c r="AZ71" s="65">
        <v>5.8999999999999998E-5</v>
      </c>
      <c r="BA71" s="65">
        <v>9.0000000000000002E-6</v>
      </c>
      <c r="BB71" s="65">
        <v>6.9999999999999999E-6</v>
      </c>
      <c r="BC71" s="65">
        <v>7.9999999999999996E-6</v>
      </c>
      <c r="BD71" s="65">
        <v>1.7E-5</v>
      </c>
      <c r="BE71" s="65">
        <v>1.5E-5</v>
      </c>
      <c r="BF71" s="65">
        <v>3.0000000000000001E-6</v>
      </c>
      <c r="BG71" s="65">
        <v>6.0000000000000002E-6</v>
      </c>
      <c r="BH71" s="65">
        <v>3.0000000000000001E-6</v>
      </c>
      <c r="BI71" s="65">
        <v>5.0000000000000004E-6</v>
      </c>
      <c r="BJ71" s="65">
        <v>1.4E-5</v>
      </c>
      <c r="BK71" s="65">
        <v>6.0000000000000002E-6</v>
      </c>
      <c r="BL71" s="65">
        <v>1.9999999999999999E-6</v>
      </c>
      <c r="BM71" s="65">
        <v>0</v>
      </c>
      <c r="BN71" s="65">
        <v>0</v>
      </c>
      <c r="BO71" s="65">
        <v>3.0000000000000001E-6</v>
      </c>
      <c r="BP71" s="65">
        <v>3.0000000000000001E-6</v>
      </c>
      <c r="BQ71" s="65">
        <v>6.0000000000000002E-6</v>
      </c>
      <c r="BR71" s="65">
        <v>6.0000000000000002E-6</v>
      </c>
      <c r="BS71" s="65">
        <v>6.0000000000000002E-6</v>
      </c>
      <c r="BT71" s="65">
        <v>6.0000000000000002E-6</v>
      </c>
      <c r="BU71" s="65">
        <v>0</v>
      </c>
      <c r="BV71" s="65">
        <v>1.1E-5</v>
      </c>
      <c r="BW71" s="65">
        <v>1.1E-5</v>
      </c>
      <c r="BX71" s="65">
        <v>1.1E-5</v>
      </c>
      <c r="BY71" s="65">
        <v>1.1E-5</v>
      </c>
      <c r="BZ71" s="65">
        <v>1.1E-5</v>
      </c>
      <c r="CA71" s="65">
        <v>1.1E-5</v>
      </c>
      <c r="CB71" s="65">
        <v>1.1E-5</v>
      </c>
      <c r="CC71" s="65">
        <v>9.0000000000000002E-6</v>
      </c>
      <c r="CD71" s="65">
        <v>9.0000000000000002E-6</v>
      </c>
      <c r="CE71" s="65">
        <v>3.9999999999999998E-6</v>
      </c>
      <c r="CF71" s="65">
        <v>3.9999999999999998E-6</v>
      </c>
      <c r="CG71" s="65">
        <v>1.2E-5</v>
      </c>
      <c r="CH71" s="65">
        <v>3.9999999999999998E-6</v>
      </c>
      <c r="CI71" s="65">
        <v>3.9999999999999998E-6</v>
      </c>
      <c r="CJ71" s="65">
        <v>3.0000000000000001E-6</v>
      </c>
      <c r="CK71" s="65">
        <v>7.9999999999999996E-6</v>
      </c>
      <c r="CL71" s="65">
        <v>6.9999999999999999E-6</v>
      </c>
      <c r="CM71" s="65">
        <v>3.0000000000000001E-6</v>
      </c>
      <c r="CN71" s="65">
        <v>3.0000000000000001E-6</v>
      </c>
      <c r="CO71" s="65">
        <v>3.0000000000000001E-6</v>
      </c>
      <c r="CP71" s="65">
        <v>5.0000000000000004E-6</v>
      </c>
      <c r="CQ71" s="65">
        <v>3.9999999999999998E-6</v>
      </c>
      <c r="CR71" s="65">
        <v>1.0000000000000001E-5</v>
      </c>
      <c r="CS71" s="65">
        <v>3.9999999999999998E-6</v>
      </c>
      <c r="CT71" s="65">
        <v>9.9999999999999995E-7</v>
      </c>
      <c r="CU71" s="65">
        <v>0</v>
      </c>
      <c r="CV71" s="65">
        <v>3.0000000000000001E-6</v>
      </c>
      <c r="CW71" s="65">
        <v>3.0000000000000001E-6</v>
      </c>
      <c r="CX71" s="65">
        <v>9.9999999999999995E-7</v>
      </c>
      <c r="CY71" s="65">
        <v>9.9999999999999995E-7</v>
      </c>
      <c r="CZ71" s="65">
        <v>9.9999999999999995E-7</v>
      </c>
      <c r="DA71" s="65">
        <v>9.9999999999999995E-7</v>
      </c>
      <c r="DB71" s="65">
        <v>0</v>
      </c>
      <c r="DC71" s="65">
        <v>9.9999999999999995E-7</v>
      </c>
      <c r="DD71" s="65">
        <v>9.9999999999999995E-7</v>
      </c>
      <c r="DE71" s="65">
        <v>9.9999999999999995E-7</v>
      </c>
      <c r="DF71" s="65">
        <v>9.9999999999999995E-7</v>
      </c>
      <c r="DG71" s="65">
        <v>9.9999999999999995E-7</v>
      </c>
      <c r="DH71" s="65">
        <v>9.9999999999999995E-7</v>
      </c>
      <c r="DI71" s="65">
        <v>9.9999999999999995E-7</v>
      </c>
      <c r="DJ71" s="65">
        <v>1.9999999999999999E-6</v>
      </c>
      <c r="DK71" s="65">
        <v>1.9999999999999999E-6</v>
      </c>
      <c r="DL71" s="65">
        <v>1.9999999999999999E-6</v>
      </c>
      <c r="DM71" s="65">
        <v>1.9999999999999999E-6</v>
      </c>
      <c r="DN71" s="65">
        <v>3.9999999999999998E-6</v>
      </c>
      <c r="DO71" s="65">
        <v>1.9999999999999999E-6</v>
      </c>
      <c r="DP71" s="65">
        <v>9.9999999999999995E-7</v>
      </c>
      <c r="DQ71" s="65">
        <v>1.9999999999999999E-6</v>
      </c>
      <c r="DR71" s="65">
        <v>3.9999999999999998E-6</v>
      </c>
      <c r="DS71" s="65">
        <v>1.9999999999999999E-6</v>
      </c>
      <c r="DT71" s="65">
        <v>9.9999999999999995E-7</v>
      </c>
      <c r="DU71" s="65">
        <v>1.9999999999999999E-6</v>
      </c>
      <c r="DV71" s="65">
        <v>1.9999999999999999E-6</v>
      </c>
      <c r="DW71" s="65">
        <v>9.9999999999999995E-7</v>
      </c>
      <c r="DX71" s="65">
        <v>9.9999999999999995E-7</v>
      </c>
      <c r="DY71" s="65">
        <v>3.0000000000000001E-6</v>
      </c>
      <c r="DZ71" s="65">
        <v>0</v>
      </c>
      <c r="EA71" s="65">
        <v>0</v>
      </c>
      <c r="EB71" s="65">
        <v>0</v>
      </c>
      <c r="EC71" s="65">
        <v>1.9999999999999999E-6</v>
      </c>
      <c r="ED71" s="65">
        <v>1.9999999999999999E-6</v>
      </c>
      <c r="EE71" s="65">
        <v>9.9999999999999995E-7</v>
      </c>
      <c r="EF71" s="65">
        <v>9.9999999999999995E-7</v>
      </c>
      <c r="EG71" s="65">
        <v>9.9999999999999995E-7</v>
      </c>
      <c r="EH71" s="65">
        <v>9.9999999999999995E-7</v>
      </c>
      <c r="EI71" s="65">
        <v>0</v>
      </c>
      <c r="EJ71" s="65">
        <v>3.0000000000000001E-6</v>
      </c>
      <c r="EK71" s="65">
        <v>3.0000000000000001E-6</v>
      </c>
      <c r="EL71" s="65">
        <v>3.0000000000000001E-6</v>
      </c>
      <c r="EM71" s="65">
        <v>3.0000000000000001E-6</v>
      </c>
      <c r="EN71" s="65">
        <v>3.0000000000000001E-6</v>
      </c>
      <c r="EO71" s="65">
        <v>3.0000000000000001E-6</v>
      </c>
      <c r="EP71" s="65">
        <v>3.0000000000000001E-6</v>
      </c>
      <c r="EQ71" s="65">
        <v>1.9999999999999999E-6</v>
      </c>
      <c r="ER71" s="65">
        <v>1.9999999999999999E-6</v>
      </c>
      <c r="ES71" s="65">
        <v>9.9999999999999995E-7</v>
      </c>
      <c r="ET71" s="65">
        <v>9.9999999999999995E-7</v>
      </c>
      <c r="EU71" s="65">
        <v>3.9999999999999998E-6</v>
      </c>
      <c r="EV71" s="65">
        <v>9.9999999999999995E-7</v>
      </c>
      <c r="EW71" s="65">
        <v>1.9999999999999999E-6</v>
      </c>
      <c r="EX71" s="65">
        <v>9.9999999999999995E-7</v>
      </c>
      <c r="EY71" s="65">
        <v>3.0000000000000001E-6</v>
      </c>
      <c r="EZ71" s="65">
        <v>3.0000000000000001E-6</v>
      </c>
      <c r="FA71" s="65">
        <v>9.9999999999999995E-7</v>
      </c>
      <c r="FB71" s="65">
        <v>9.9999999999999995E-7</v>
      </c>
      <c r="FC71" s="65">
        <v>9.9999999999999995E-7</v>
      </c>
      <c r="FD71" s="65">
        <v>9.9999999999999995E-7</v>
      </c>
      <c r="FE71" s="65">
        <v>9.9999999999999995E-7</v>
      </c>
      <c r="FF71" s="65">
        <v>1.9999999999999999E-6</v>
      </c>
      <c r="FG71" s="65">
        <v>9.9999999999999995E-7</v>
      </c>
      <c r="FH71" s="65">
        <v>0</v>
      </c>
      <c r="FI71" s="65">
        <v>0</v>
      </c>
      <c r="FJ71" s="65">
        <v>9.9999999999999995E-7</v>
      </c>
      <c r="FK71" s="65">
        <v>9.9999999999999995E-7</v>
      </c>
      <c r="FL71" s="65">
        <v>3.2699999999999998E-4</v>
      </c>
      <c r="FM71" s="65">
        <v>3.2699999999999998E-4</v>
      </c>
      <c r="FN71" s="65">
        <v>3.2699999999999998E-4</v>
      </c>
      <c r="FO71" s="65">
        <v>3.2699999999999998E-4</v>
      </c>
      <c r="FP71" s="65">
        <v>0</v>
      </c>
      <c r="FQ71" s="65">
        <v>7.2400000000000003E-4</v>
      </c>
      <c r="FR71" s="65">
        <v>7.2400000000000003E-4</v>
      </c>
      <c r="FS71" s="65">
        <v>7.2400000000000003E-4</v>
      </c>
      <c r="FT71" s="65">
        <v>7.2400000000000003E-4</v>
      </c>
      <c r="FU71" s="65">
        <v>7.2400000000000003E-4</v>
      </c>
      <c r="FV71" s="65">
        <v>7.2400000000000003E-4</v>
      </c>
      <c r="FW71" s="65">
        <v>7.2400000000000003E-4</v>
      </c>
      <c r="FX71" s="65">
        <v>3.0200000000000002E-4</v>
      </c>
      <c r="FY71" s="65">
        <v>3.0200000000000002E-4</v>
      </c>
      <c r="FZ71" s="65">
        <v>3.1999999999999999E-5</v>
      </c>
      <c r="GA71" s="65">
        <v>3.1999999999999999E-5</v>
      </c>
      <c r="GB71" s="65">
        <v>7.7999999999999999E-5</v>
      </c>
      <c r="GC71" s="65">
        <v>1.4E-5</v>
      </c>
      <c r="GD71" s="65">
        <v>1.9000000000000001E-5</v>
      </c>
      <c r="GE71" s="65">
        <v>1.8E-5</v>
      </c>
      <c r="GF71" s="65">
        <v>5.3999999999999998E-5</v>
      </c>
      <c r="GG71" s="65">
        <v>4.5000000000000003E-5</v>
      </c>
      <c r="GH71" s="65">
        <v>1.0000000000000001E-5</v>
      </c>
      <c r="GI71" s="65">
        <v>1.0000000000000001E-5</v>
      </c>
      <c r="GJ71" s="65">
        <v>1.1E-5</v>
      </c>
      <c r="GK71" s="65">
        <v>1.5E-5</v>
      </c>
      <c r="GL71" s="65">
        <v>2.4899999999999998E-4</v>
      </c>
      <c r="GM71" s="65">
        <v>4.6E-5</v>
      </c>
      <c r="GN71" s="65">
        <v>1.1E-5</v>
      </c>
      <c r="GO71" s="65">
        <v>3.0000000000000001E-6</v>
      </c>
      <c r="GP71" s="65">
        <v>1.9999999999999999E-6</v>
      </c>
      <c r="GQ71" s="65">
        <v>1.8E-5</v>
      </c>
      <c r="GR71" s="65">
        <v>1.8E-5</v>
      </c>
      <c r="GS71" s="65">
        <v>9.9999999999999995E-7</v>
      </c>
      <c r="GT71" s="65">
        <v>9.9999999999999995E-7</v>
      </c>
      <c r="GU71" s="65">
        <v>9.9999999999999995E-7</v>
      </c>
      <c r="GV71" s="65">
        <v>9.9999999999999995E-7</v>
      </c>
      <c r="GW71" s="65">
        <v>0</v>
      </c>
      <c r="GX71" s="65">
        <v>5.0000000000000004E-6</v>
      </c>
      <c r="GY71" s="65">
        <v>5.0000000000000004E-6</v>
      </c>
      <c r="GZ71" s="65">
        <v>5.0000000000000004E-6</v>
      </c>
      <c r="HA71" s="65">
        <v>5.0000000000000004E-6</v>
      </c>
      <c r="HB71" s="65">
        <v>5.0000000000000004E-6</v>
      </c>
      <c r="HC71" s="65">
        <v>5.0000000000000004E-6</v>
      </c>
      <c r="HD71" s="65">
        <v>5.0000000000000004E-6</v>
      </c>
      <c r="HE71" s="65">
        <v>3.9999999999999998E-6</v>
      </c>
      <c r="HF71" s="65">
        <v>3.9999999999999998E-6</v>
      </c>
      <c r="HG71" s="65">
        <v>1.9999999999999999E-6</v>
      </c>
      <c r="HH71" s="65">
        <v>1.9999999999999999E-6</v>
      </c>
      <c r="HI71" s="65">
        <v>5.0000000000000004E-6</v>
      </c>
      <c r="HJ71" s="65">
        <v>1.9999999999999999E-6</v>
      </c>
      <c r="HK71" s="65">
        <v>1.9999999999999999E-6</v>
      </c>
      <c r="HL71" s="65">
        <v>1.9999999999999999E-6</v>
      </c>
      <c r="HM71" s="65">
        <v>3.9999999999999998E-6</v>
      </c>
      <c r="HN71" s="65">
        <v>5.0000000000000004E-6</v>
      </c>
      <c r="HO71" s="65">
        <v>9.9999999999999995E-7</v>
      </c>
      <c r="HP71" s="65">
        <v>3.0000000000000001E-6</v>
      </c>
      <c r="HQ71" s="65">
        <v>3.0000000000000001E-6</v>
      </c>
      <c r="HR71" s="65">
        <v>1.9999999999999999E-6</v>
      </c>
      <c r="HS71" s="65">
        <v>3.0000000000000001E-6</v>
      </c>
      <c r="HT71" s="65">
        <v>6.0000000000000002E-6</v>
      </c>
      <c r="HU71" s="65">
        <v>1.9999999999999999E-6</v>
      </c>
      <c r="HV71" s="65">
        <v>0</v>
      </c>
      <c r="HW71" s="65">
        <v>0</v>
      </c>
      <c r="HX71" s="65">
        <v>1.9999999999999999E-6</v>
      </c>
      <c r="HY71" s="65">
        <v>1.9999999999999999E-6</v>
      </c>
      <c r="HZ71" s="65">
        <v>1.2999999999999999E-5</v>
      </c>
      <c r="IA71" s="65">
        <v>1.2999999999999999E-5</v>
      </c>
      <c r="IB71" s="65">
        <v>1.2999999999999999E-5</v>
      </c>
      <c r="IC71" s="65">
        <v>1.2999999999999999E-5</v>
      </c>
      <c r="ID71" s="65">
        <v>0</v>
      </c>
      <c r="IE71" s="65">
        <v>2.9E-5</v>
      </c>
      <c r="IF71" s="65">
        <v>2.9E-5</v>
      </c>
      <c r="IG71" s="65">
        <v>2.9E-5</v>
      </c>
      <c r="IH71" s="65">
        <v>2.9E-5</v>
      </c>
      <c r="II71" s="65">
        <v>2.9E-5</v>
      </c>
      <c r="IJ71" s="65">
        <v>2.9E-5</v>
      </c>
      <c r="IK71" s="65">
        <v>2.9E-5</v>
      </c>
      <c r="IL71" s="65">
        <v>6.9999999999999999E-6</v>
      </c>
      <c r="IM71" s="65">
        <v>6.9999999999999999E-6</v>
      </c>
      <c r="IN71" s="65">
        <v>7.9999999999999996E-6</v>
      </c>
      <c r="IO71" s="65">
        <v>7.9999999999999996E-6</v>
      </c>
      <c r="IP71" s="65">
        <v>1.1E-5</v>
      </c>
      <c r="IQ71" s="65">
        <v>3.9999999999999998E-6</v>
      </c>
      <c r="IR71" s="65">
        <v>3.0000000000000001E-6</v>
      </c>
      <c r="IS71" s="65">
        <v>3.9999999999999998E-6</v>
      </c>
      <c r="IT71" s="65">
        <v>6.0000000000000002E-6</v>
      </c>
      <c r="IU71" s="65">
        <v>7.9999999999999996E-6</v>
      </c>
      <c r="IV71" s="65">
        <v>1.9999999999999999E-6</v>
      </c>
      <c r="IW71" s="65">
        <v>3.9999999999999998E-6</v>
      </c>
      <c r="IX71" s="65">
        <v>3.9999999999999998E-6</v>
      </c>
      <c r="IY71" s="65">
        <v>6.0000000000000002E-6</v>
      </c>
      <c r="IZ71" s="65">
        <v>6.0000000000000002E-6</v>
      </c>
      <c r="JA71" s="65">
        <v>1.2E-5</v>
      </c>
      <c r="JB71" s="65">
        <v>3.0000000000000001E-6</v>
      </c>
      <c r="JC71" s="65">
        <v>0</v>
      </c>
      <c r="JD71" s="65">
        <v>0</v>
      </c>
      <c r="JE71" s="65">
        <v>3.9999999999999998E-6</v>
      </c>
      <c r="JF71" s="65">
        <v>3.9999999999999998E-6</v>
      </c>
      <c r="JG71" s="65">
        <v>9.1000000000000003E-5</v>
      </c>
      <c r="JH71" s="65">
        <v>9.1000000000000003E-5</v>
      </c>
      <c r="JI71" s="65">
        <v>9.1000000000000003E-5</v>
      </c>
      <c r="JJ71" s="65">
        <v>9.1000000000000003E-5</v>
      </c>
      <c r="JK71" s="65">
        <v>0</v>
      </c>
      <c r="JL71" s="65">
        <v>1.9000000000000001E-4</v>
      </c>
      <c r="JM71" s="65">
        <v>1.9000000000000001E-4</v>
      </c>
      <c r="JN71" s="65">
        <v>1.9000000000000001E-4</v>
      </c>
      <c r="JO71" s="65">
        <v>1.9000000000000001E-4</v>
      </c>
      <c r="JP71" s="65">
        <v>1.9000000000000001E-4</v>
      </c>
      <c r="JQ71" s="65">
        <v>1.9000000000000001E-4</v>
      </c>
      <c r="JR71" s="65">
        <v>1.9000000000000001E-4</v>
      </c>
      <c r="JS71" s="65">
        <v>6.7199999999999996E-4</v>
      </c>
      <c r="JT71" s="65">
        <v>6.7199999999999996E-4</v>
      </c>
      <c r="JU71" s="65">
        <v>6.7999999999999999E-5</v>
      </c>
      <c r="JV71" s="65">
        <v>6.7999999999999999E-5</v>
      </c>
      <c r="JW71" s="65">
        <v>2.2000000000000001E-4</v>
      </c>
      <c r="JX71" s="65">
        <v>4.0000000000000003E-5</v>
      </c>
      <c r="JY71" s="65">
        <v>7.2000000000000002E-5</v>
      </c>
      <c r="JZ71" s="65">
        <v>6.6000000000000005E-5</v>
      </c>
      <c r="KA71" s="65">
        <v>1.21E-4</v>
      </c>
      <c r="KB71" s="65">
        <v>1.08E-4</v>
      </c>
      <c r="KC71" s="65">
        <v>2.8E-5</v>
      </c>
      <c r="KD71" s="65">
        <v>4.0000000000000003E-5</v>
      </c>
      <c r="KE71" s="65">
        <v>1.03E-4</v>
      </c>
      <c r="KF71" s="65">
        <v>5.3000000000000001E-5</v>
      </c>
      <c r="KG71" s="65">
        <v>8.6000000000000003E-5</v>
      </c>
      <c r="KH71" s="65">
        <v>1.21E-4</v>
      </c>
      <c r="KI71" s="65">
        <v>5.1E-5</v>
      </c>
      <c r="KJ71" s="65">
        <v>8.9800000000000004E-4</v>
      </c>
      <c r="KK71" s="65">
        <v>6.5300000000000004E-4</v>
      </c>
      <c r="KL71" s="65">
        <v>4.1E-5</v>
      </c>
      <c r="KM71" s="65">
        <v>4.1E-5</v>
      </c>
      <c r="KN71" s="65">
        <v>1.9999999999999999E-6</v>
      </c>
      <c r="KO71" s="65">
        <v>1.9999999999999999E-6</v>
      </c>
      <c r="KP71" s="65">
        <v>1.9999999999999999E-6</v>
      </c>
      <c r="KQ71" s="65">
        <v>1.9999999999999999E-6</v>
      </c>
      <c r="KR71" s="65">
        <v>0</v>
      </c>
      <c r="KS71" s="65">
        <v>3.9999999999999998E-6</v>
      </c>
      <c r="KT71" s="65">
        <v>3.9999999999999998E-6</v>
      </c>
      <c r="KU71" s="65">
        <v>3.9999999999999998E-6</v>
      </c>
      <c r="KV71" s="65">
        <v>3.9999999999999998E-6</v>
      </c>
      <c r="KW71" s="65">
        <v>3.9999999999999998E-6</v>
      </c>
      <c r="KX71" s="65">
        <v>3.9999999999999998E-6</v>
      </c>
      <c r="KY71" s="65">
        <v>3.9999999999999998E-6</v>
      </c>
      <c r="KZ71" s="65">
        <v>3.9999999999999998E-6</v>
      </c>
      <c r="LA71" s="65">
        <v>3.9999999999999998E-6</v>
      </c>
      <c r="LB71" s="65">
        <v>3.0000000000000001E-6</v>
      </c>
      <c r="LC71" s="65">
        <v>3.0000000000000001E-6</v>
      </c>
      <c r="LD71" s="65">
        <v>7.9999999999999996E-6</v>
      </c>
      <c r="LE71" s="65">
        <v>3.0000000000000001E-6</v>
      </c>
      <c r="LF71" s="65">
        <v>3.0000000000000001E-6</v>
      </c>
      <c r="LG71" s="65">
        <v>1.9999999999999999E-6</v>
      </c>
      <c r="LH71" s="65">
        <v>6.9999999999999999E-6</v>
      </c>
      <c r="LI71" s="65">
        <v>5.0000000000000004E-6</v>
      </c>
      <c r="LJ71" s="65">
        <v>3.9999999999999998E-6</v>
      </c>
      <c r="LK71" s="65">
        <v>1.9999999999999999E-6</v>
      </c>
      <c r="LL71" s="65">
        <v>3.0000000000000001E-6</v>
      </c>
      <c r="LM71" s="65">
        <v>3.0000000000000001E-6</v>
      </c>
      <c r="LN71" s="65">
        <v>3.0000000000000001E-6</v>
      </c>
      <c r="LO71" s="65">
        <v>1.7E-5</v>
      </c>
      <c r="LP71" s="65">
        <v>3.9999999999999998E-6</v>
      </c>
      <c r="LQ71" s="65">
        <v>0</v>
      </c>
      <c r="LR71" s="65">
        <v>0</v>
      </c>
      <c r="LS71" s="65">
        <v>3.9999999999999998E-6</v>
      </c>
      <c r="LT71" s="65">
        <v>3.9999999999999998E-6</v>
      </c>
      <c r="LU71" s="65">
        <v>1.2999999999999999E-5</v>
      </c>
      <c r="LV71" s="65">
        <v>1.2999999999999999E-5</v>
      </c>
      <c r="LW71" s="65">
        <v>1.2999999999999999E-5</v>
      </c>
      <c r="LX71" s="65">
        <v>1.2999999999999999E-5</v>
      </c>
      <c r="LY71" s="65">
        <v>0</v>
      </c>
      <c r="LZ71" s="65">
        <v>4.3000000000000002E-5</v>
      </c>
      <c r="MA71" s="65">
        <v>4.3000000000000002E-5</v>
      </c>
      <c r="MB71" s="65">
        <v>4.3000000000000002E-5</v>
      </c>
      <c r="MC71" s="65">
        <v>4.3000000000000002E-5</v>
      </c>
      <c r="MD71" s="65">
        <v>4.3000000000000002E-5</v>
      </c>
      <c r="ME71" s="65">
        <v>4.3000000000000002E-5</v>
      </c>
      <c r="MF71" s="65">
        <v>4.3000000000000002E-5</v>
      </c>
      <c r="MG71" s="65">
        <v>1.9000000000000001E-5</v>
      </c>
      <c r="MH71" s="65">
        <v>1.9000000000000001E-5</v>
      </c>
      <c r="MI71" s="65">
        <v>6.0000000000000002E-6</v>
      </c>
      <c r="MJ71" s="65">
        <v>6.0000000000000002E-6</v>
      </c>
      <c r="MK71" s="65">
        <v>2.0000000000000002E-5</v>
      </c>
      <c r="ML71" s="65">
        <v>3.9999999999999998E-6</v>
      </c>
      <c r="MM71" s="65">
        <v>3.9999999999999998E-6</v>
      </c>
      <c r="MN71" s="65">
        <v>3.9999999999999998E-6</v>
      </c>
      <c r="MO71" s="65">
        <v>9.0000000000000002E-6</v>
      </c>
      <c r="MP71" s="65">
        <v>1.0000000000000001E-5</v>
      </c>
      <c r="MQ71" s="65">
        <v>6.0000000000000002E-6</v>
      </c>
      <c r="MR71" s="65">
        <v>3.9999999999999998E-6</v>
      </c>
      <c r="MS71" s="65">
        <v>3.9999999999999998E-6</v>
      </c>
      <c r="MT71" s="65">
        <v>3.9999999999999998E-6</v>
      </c>
      <c r="MU71" s="65">
        <v>1.2E-5</v>
      </c>
      <c r="MV71" s="65">
        <v>1.1E-5</v>
      </c>
      <c r="MW71" s="65">
        <v>3.9999999999999998E-6</v>
      </c>
      <c r="MX71" s="65">
        <v>9.9999999999999995E-7</v>
      </c>
      <c r="MY71" s="65">
        <v>9.9999999999999995E-7</v>
      </c>
      <c r="MZ71" s="65">
        <v>3.9999999999999998E-6</v>
      </c>
      <c r="NA71" s="65">
        <v>3.9999999999999998E-6</v>
      </c>
      <c r="NB71" s="65"/>
      <c r="NC71" s="65"/>
      <c r="ND71" s="65"/>
      <c r="NE71" s="65"/>
      <c r="NF71" s="65"/>
      <c r="NG71" s="65"/>
      <c r="NH71" s="65"/>
      <c r="NI71" s="65"/>
      <c r="NJ71" s="65"/>
      <c r="NK71" s="65"/>
      <c r="NL71" s="65"/>
      <c r="NM71" s="65"/>
      <c r="NN71" s="65"/>
      <c r="NO71" s="65"/>
      <c r="NP71" s="65"/>
      <c r="NQ71" s="65"/>
      <c r="NR71" s="65"/>
      <c r="NS71" s="65"/>
      <c r="NT71" s="65"/>
      <c r="NU71" s="65"/>
      <c r="NV71" s="65"/>
      <c r="NW71" s="65"/>
      <c r="NX71" s="65"/>
      <c r="NY71" s="65"/>
      <c r="NZ71" s="65"/>
      <c r="OA71" s="65"/>
      <c r="OB71" s="65"/>
      <c r="OC71" s="65"/>
      <c r="OD71" s="65"/>
      <c r="OE71" s="65"/>
      <c r="OF71" s="65"/>
      <c r="OG71" s="65"/>
      <c r="OH71" s="65"/>
      <c r="OI71" s="65"/>
      <c r="OJ71" s="65"/>
      <c r="OK71" s="65"/>
      <c r="OL71" s="65"/>
      <c r="OM71" s="65"/>
      <c r="ON71" s="65"/>
      <c r="OO71" s="65"/>
      <c r="OP71" s="65"/>
      <c r="OQ71" s="65"/>
      <c r="OR71" s="65"/>
      <c r="OS71" s="65"/>
    </row>
    <row r="72" spans="1:409">
      <c r="A72" s="64" t="s">
        <v>612</v>
      </c>
      <c r="B72" s="64" t="s">
        <v>597</v>
      </c>
      <c r="C72" s="64">
        <v>7.065021052599609E-3</v>
      </c>
      <c r="D72" s="64">
        <v>7.0105296881905511E-3</v>
      </c>
      <c r="E72" s="64">
        <v>2.0861460645932211E-3</v>
      </c>
      <c r="F72" s="64">
        <v>1.589022685266283E-3</v>
      </c>
      <c r="G72" s="64">
        <v>0</v>
      </c>
      <c r="H72" s="64">
        <v>4.2648691537737517E-3</v>
      </c>
      <c r="I72" s="64">
        <v>2.2555238778832298E-3</v>
      </c>
      <c r="J72" s="64">
        <v>2.7806447891823979E-3</v>
      </c>
      <c r="K72" s="64">
        <v>3.1103143883100719E-3</v>
      </c>
      <c r="L72" s="64">
        <v>2.2135881232747939E-3</v>
      </c>
      <c r="M72" s="64">
        <v>3.163259617653034E-3</v>
      </c>
      <c r="N72" s="64">
        <v>3.252135282304198E-3</v>
      </c>
      <c r="O72" s="64">
        <v>6.1404660605301371E-3</v>
      </c>
      <c r="P72" s="64">
        <v>3.877461578531988E-3</v>
      </c>
      <c r="Q72" s="64">
        <v>2.6184953624184739E-3</v>
      </c>
      <c r="R72" s="64">
        <v>3.1467235484922899E-3</v>
      </c>
      <c r="S72" s="64">
        <v>1.322526684990709E-2</v>
      </c>
      <c r="T72" s="64">
        <v>2.000087233401743E-3</v>
      </c>
      <c r="U72" s="64">
        <v>7.0816966176464491E-2</v>
      </c>
      <c r="V72" s="64">
        <v>3.7746137985508993E-2</v>
      </c>
      <c r="W72" s="64">
        <v>0.16137315902220001</v>
      </c>
      <c r="X72" s="64">
        <v>0.1001925416816949</v>
      </c>
      <c r="Y72" s="64">
        <v>3.284679258927653E-2</v>
      </c>
      <c r="Z72" s="64">
        <v>1.5974316695672439E-2</v>
      </c>
      <c r="AA72" s="64">
        <v>8.3049663684937935E-2</v>
      </c>
      <c r="AB72" s="64">
        <v>0.1180337612084338</v>
      </c>
      <c r="AC72" s="64">
        <v>6.6253454417222871E-2</v>
      </c>
      <c r="AD72" s="64">
        <v>0.20407277445263039</v>
      </c>
      <c r="AE72" s="64">
        <v>8.3156687119600226E-2</v>
      </c>
      <c r="AF72" s="64">
        <v>1.5348129047276929E-2</v>
      </c>
      <c r="AG72" s="64">
        <v>1.11450599653838E-2</v>
      </c>
      <c r="AH72" s="64">
        <v>1.1338502855218091</v>
      </c>
      <c r="AI72" s="64">
        <v>8.902407776134949E-3</v>
      </c>
      <c r="AJ72" s="64">
        <v>2.8391438609053679E-5</v>
      </c>
      <c r="AK72" s="64">
        <v>2.8391438609053679E-5</v>
      </c>
      <c r="AL72" s="64">
        <v>2.8391438609053679E-5</v>
      </c>
      <c r="AM72" s="64">
        <v>2.8391438609053679E-5</v>
      </c>
      <c r="AN72" s="64">
        <v>0</v>
      </c>
      <c r="AO72" s="64">
        <v>3.1636174450088388E-5</v>
      </c>
      <c r="AP72" s="64">
        <v>3.1636174450088388E-5</v>
      </c>
      <c r="AQ72" s="64">
        <v>3.1636174450088388E-5</v>
      </c>
      <c r="AR72" s="64">
        <v>3.1636174450088388E-5</v>
      </c>
      <c r="AS72" s="64">
        <v>3.1636174450088388E-5</v>
      </c>
      <c r="AT72" s="64">
        <v>3.1636174450088388E-5</v>
      </c>
      <c r="AU72" s="64">
        <v>3.1636174450088388E-5</v>
      </c>
      <c r="AV72" s="64">
        <v>3.2041766430217733E-5</v>
      </c>
      <c r="AW72" s="64">
        <v>3.2041766430217733E-5</v>
      </c>
      <c r="AX72" s="64">
        <v>2.9608214549441701E-5</v>
      </c>
      <c r="AY72" s="64">
        <v>2.9608214549441701E-5</v>
      </c>
      <c r="AZ72" s="64">
        <v>9.1663787509230454E-5</v>
      </c>
      <c r="BA72" s="64">
        <v>3.1230582469959049E-5</v>
      </c>
      <c r="BB72" s="64">
        <v>2.8797030589183021E-5</v>
      </c>
      <c r="BC72" s="64">
        <v>3.0824990489829717E-5</v>
      </c>
      <c r="BD72" s="64">
        <v>8.2335171966255679E-5</v>
      </c>
      <c r="BE72" s="64">
        <v>5.5566101277719348E-5</v>
      </c>
      <c r="BF72" s="64">
        <v>1.9468415046208238E-5</v>
      </c>
      <c r="BG72" s="64">
        <v>2.798584662892434E-5</v>
      </c>
      <c r="BH72" s="64">
        <v>1.6223679205173539E-5</v>
      </c>
      <c r="BI72" s="64">
        <v>2.2713150887242951E-5</v>
      </c>
      <c r="BJ72" s="64">
        <v>1.703486316543221E-5</v>
      </c>
      <c r="BK72" s="64">
        <v>4.785985365526192E-5</v>
      </c>
      <c r="BL72" s="64">
        <v>1.6629271185302871E-5</v>
      </c>
      <c r="BM72" s="64">
        <v>1.6223679205173529E-6</v>
      </c>
      <c r="BN72" s="64">
        <v>1.2167759403880149E-6</v>
      </c>
      <c r="BO72" s="64">
        <v>1.703486316543221E-5</v>
      </c>
      <c r="BP72" s="64">
        <v>1.703486316543221E-5</v>
      </c>
      <c r="BQ72" s="64">
        <v>2.5146702768018979E-5</v>
      </c>
      <c r="BR72" s="64">
        <v>2.5146702768018979E-5</v>
      </c>
      <c r="BS72" s="64">
        <v>2.5146702768018979E-5</v>
      </c>
      <c r="BT72" s="64">
        <v>2.5146702768018979E-5</v>
      </c>
      <c r="BU72" s="64">
        <v>0</v>
      </c>
      <c r="BV72" s="64">
        <v>4.2587157913580518E-5</v>
      </c>
      <c r="BW72" s="64">
        <v>4.2587157913580518E-5</v>
      </c>
      <c r="BX72" s="64">
        <v>4.2587157913580518E-5</v>
      </c>
      <c r="BY72" s="64">
        <v>4.2587157913580518E-5</v>
      </c>
      <c r="BZ72" s="64">
        <v>4.2587157913580518E-5</v>
      </c>
      <c r="CA72" s="64">
        <v>4.2587157913580518E-5</v>
      </c>
      <c r="CB72" s="64">
        <v>4.2587157913580518E-5</v>
      </c>
      <c r="CC72" s="64">
        <v>3.4475318310993758E-5</v>
      </c>
      <c r="CD72" s="64">
        <v>3.4475318310993758E-5</v>
      </c>
      <c r="CE72" s="64">
        <v>3.4475318310993758E-5</v>
      </c>
      <c r="CF72" s="64">
        <v>3.4475318310993758E-5</v>
      </c>
      <c r="CG72" s="64">
        <v>1.4398515294591511E-4</v>
      </c>
      <c r="CH72" s="64">
        <v>3.7720054152028468E-5</v>
      </c>
      <c r="CI72" s="64">
        <v>4.0153606032804493E-5</v>
      </c>
      <c r="CJ72" s="64">
        <v>3.1230582469959049E-5</v>
      </c>
      <c r="CK72" s="64">
        <v>9.6125299290653179E-5</v>
      </c>
      <c r="CL72" s="64">
        <v>7.381774038353958E-5</v>
      </c>
      <c r="CM72" s="64">
        <v>3.2447358410347072E-5</v>
      </c>
      <c r="CN72" s="64">
        <v>3.3258542370605742E-5</v>
      </c>
      <c r="CO72" s="64">
        <v>3.1230582469959049E-5</v>
      </c>
      <c r="CP72" s="64">
        <v>3.4475318310993758E-5</v>
      </c>
      <c r="CQ72" s="64">
        <v>3.3258542370605742E-5</v>
      </c>
      <c r="CR72" s="64">
        <v>1.39118049184363E-4</v>
      </c>
      <c r="CS72" s="64">
        <v>4.5020709794356563E-5</v>
      </c>
      <c r="CT72" s="64">
        <v>7.3006556423280907E-6</v>
      </c>
      <c r="CU72" s="64">
        <v>5.2726957416813982E-6</v>
      </c>
      <c r="CV72" s="64">
        <v>3.8936830092416477E-5</v>
      </c>
      <c r="CW72" s="64">
        <v>3.8936830092416477E-5</v>
      </c>
      <c r="CX72" s="64">
        <v>1.1762167423750811E-5</v>
      </c>
      <c r="CY72" s="64">
        <v>1.1762167423750811E-5</v>
      </c>
      <c r="CZ72" s="64">
        <v>1.1762167423750811E-5</v>
      </c>
      <c r="DA72" s="64">
        <v>1.1762167423750811E-5</v>
      </c>
      <c r="DB72" s="64">
        <v>0</v>
      </c>
      <c r="DC72" s="64">
        <v>2.0279599006466919E-5</v>
      </c>
      <c r="DD72" s="64">
        <v>2.0279599006466919E-5</v>
      </c>
      <c r="DE72" s="64">
        <v>2.0279599006466919E-5</v>
      </c>
      <c r="DF72" s="64">
        <v>2.0279599006466919E-5</v>
      </c>
      <c r="DG72" s="64">
        <v>2.0279599006466919E-5</v>
      </c>
      <c r="DH72" s="64">
        <v>2.0279599006466919E-5</v>
      </c>
      <c r="DI72" s="64">
        <v>2.0279599006466919E-5</v>
      </c>
      <c r="DJ72" s="64">
        <v>3.1636174450088388E-5</v>
      </c>
      <c r="DK72" s="64">
        <v>3.1636174450088388E-5</v>
      </c>
      <c r="DL72" s="64">
        <v>2.7174662668665669E-5</v>
      </c>
      <c r="DM72" s="64">
        <v>2.7174662668665669E-5</v>
      </c>
      <c r="DN72" s="64">
        <v>7.5440108304056935E-5</v>
      </c>
      <c r="DO72" s="64">
        <v>3.0824990489829717E-5</v>
      </c>
      <c r="DP72" s="64">
        <v>2.6769070688536331E-5</v>
      </c>
      <c r="DQ72" s="64">
        <v>3.1636174450088388E-5</v>
      </c>
      <c r="DR72" s="64">
        <v>7.5034516323927596E-5</v>
      </c>
      <c r="DS72" s="64">
        <v>4.4209525834097879E-5</v>
      </c>
      <c r="DT72" s="64">
        <v>2.4741110787889641E-5</v>
      </c>
      <c r="DU72" s="64">
        <v>4.7454261675132582E-5</v>
      </c>
      <c r="DV72" s="64">
        <v>3.7720054152028468E-5</v>
      </c>
      <c r="DW72" s="64">
        <v>2.392992682763096E-5</v>
      </c>
      <c r="DX72" s="64">
        <v>2.109078296672559E-5</v>
      </c>
      <c r="DY72" s="64">
        <v>6.5705900780952807E-5</v>
      </c>
      <c r="DZ72" s="64">
        <v>7.3006556423280907E-6</v>
      </c>
      <c r="EA72" s="64">
        <v>4.4615117814227218E-6</v>
      </c>
      <c r="EB72" s="64">
        <v>3.2447358410347071E-6</v>
      </c>
      <c r="EC72" s="64">
        <v>3.4475318310993758E-5</v>
      </c>
      <c r="ED72" s="64">
        <v>3.4475318310993758E-5</v>
      </c>
      <c r="EE72" s="64">
        <v>1.297894336413883E-5</v>
      </c>
      <c r="EF72" s="64">
        <v>1.297894336413883E-5</v>
      </c>
      <c r="EG72" s="64">
        <v>1.297894336413883E-5</v>
      </c>
      <c r="EH72" s="64">
        <v>1.297894336413883E-5</v>
      </c>
      <c r="EI72" s="64">
        <v>0</v>
      </c>
      <c r="EJ72" s="64">
        <v>1.8657231085949561E-5</v>
      </c>
      <c r="EK72" s="64">
        <v>1.8657231085949561E-5</v>
      </c>
      <c r="EL72" s="64">
        <v>1.8657231085949561E-5</v>
      </c>
      <c r="EM72" s="64">
        <v>1.8657231085949561E-5</v>
      </c>
      <c r="EN72" s="64">
        <v>1.8657231085949561E-5</v>
      </c>
      <c r="EO72" s="64">
        <v>1.8657231085949561E-5</v>
      </c>
      <c r="EP72" s="64">
        <v>1.8657231085949561E-5</v>
      </c>
      <c r="EQ72" s="64">
        <v>2.0685190986596251E-5</v>
      </c>
      <c r="ER72" s="64">
        <v>2.0685190986596251E-5</v>
      </c>
      <c r="ES72" s="64">
        <v>2.0279599006466919E-5</v>
      </c>
      <c r="ET72" s="64">
        <v>2.0279599006466919E-5</v>
      </c>
      <c r="EU72" s="64">
        <v>5.1915773456555307E-5</v>
      </c>
      <c r="EV72" s="64">
        <v>1.7440455145561548E-5</v>
      </c>
      <c r="EW72" s="64">
        <v>2.4335518807760299E-5</v>
      </c>
      <c r="EX72" s="64">
        <v>2.109078296672559E-5</v>
      </c>
      <c r="EY72" s="64">
        <v>4.0559198012933838E-5</v>
      </c>
      <c r="EZ72" s="64">
        <v>3.7314462171899129E-5</v>
      </c>
      <c r="FA72" s="64">
        <v>1.4195719304526839E-5</v>
      </c>
      <c r="FB72" s="64">
        <v>2.0279599006466919E-5</v>
      </c>
      <c r="FC72" s="64">
        <v>2.5552294748148311E-5</v>
      </c>
      <c r="FD72" s="64">
        <v>1.500690326478552E-5</v>
      </c>
      <c r="FE72" s="64">
        <v>1.9468415046208238E-5</v>
      </c>
      <c r="FF72" s="64">
        <v>5.0698997516167291E-5</v>
      </c>
      <c r="FG72" s="64">
        <v>3.001380652957104E-5</v>
      </c>
      <c r="FH72" s="64">
        <v>7.7062476224574293E-6</v>
      </c>
      <c r="FI72" s="64">
        <v>5.6782877218107369E-6</v>
      </c>
      <c r="FJ72" s="64">
        <v>2.6769070688536331E-5</v>
      </c>
      <c r="FK72" s="64">
        <v>2.6769070688536331E-5</v>
      </c>
      <c r="FL72" s="64">
        <v>2.5146702768018979E-5</v>
      </c>
      <c r="FM72" s="64">
        <v>2.5146702768018979E-5</v>
      </c>
      <c r="FN72" s="64">
        <v>2.5146702768018979E-5</v>
      </c>
      <c r="FO72" s="64">
        <v>2.5146702768018979E-5</v>
      </c>
      <c r="FP72" s="64">
        <v>0</v>
      </c>
      <c r="FQ72" s="64">
        <v>4.5020709794356563E-5</v>
      </c>
      <c r="FR72" s="64">
        <v>4.5020709794356563E-5</v>
      </c>
      <c r="FS72" s="64">
        <v>4.5020709794356563E-5</v>
      </c>
      <c r="FT72" s="64">
        <v>4.5020709794356563E-5</v>
      </c>
      <c r="FU72" s="64">
        <v>4.5020709794356563E-5</v>
      </c>
      <c r="FV72" s="64">
        <v>4.5020709794356563E-5</v>
      </c>
      <c r="FW72" s="64">
        <v>4.5020709794356563E-5</v>
      </c>
      <c r="FX72" s="64">
        <v>2.6363478708406989E-5</v>
      </c>
      <c r="FY72" s="64">
        <v>2.6363478708406989E-5</v>
      </c>
      <c r="FZ72" s="64">
        <v>1.703486316543221E-5</v>
      </c>
      <c r="GA72" s="64">
        <v>1.703486316543221E-5</v>
      </c>
      <c r="GB72" s="64">
        <v>3.9748014052675147E-5</v>
      </c>
      <c r="GC72" s="64">
        <v>1.095098346349214E-5</v>
      </c>
      <c r="GD72" s="64">
        <v>1.257335138400949E-5</v>
      </c>
      <c r="GE72" s="64">
        <v>1.460131128465618E-5</v>
      </c>
      <c r="GF72" s="64">
        <v>9.085260354897179E-5</v>
      </c>
      <c r="GG72" s="64">
        <v>3.9748014052675147E-5</v>
      </c>
      <c r="GH72" s="64">
        <v>1.05453914833628E-5</v>
      </c>
      <c r="GI72" s="64">
        <v>1.2167759403880149E-5</v>
      </c>
      <c r="GJ72" s="64">
        <v>6.4894716820694134E-6</v>
      </c>
      <c r="GK72" s="64">
        <v>1.3790127324397501E-5</v>
      </c>
      <c r="GL72" s="64">
        <v>2.3524334847501621E-5</v>
      </c>
      <c r="GM72" s="64">
        <v>5.8405245138624732E-5</v>
      </c>
      <c r="GN72" s="64">
        <v>8.9230235628454436E-6</v>
      </c>
      <c r="GO72" s="64">
        <v>2.027959900646692E-6</v>
      </c>
      <c r="GP72" s="64">
        <v>1.2167759403880149E-6</v>
      </c>
      <c r="GQ72" s="64">
        <v>8.111839602586768E-6</v>
      </c>
      <c r="GR72" s="64">
        <v>8.111839602586768E-6</v>
      </c>
      <c r="GS72" s="64">
        <v>9.3286155429747822E-6</v>
      </c>
      <c r="GT72" s="64">
        <v>9.3286155429747822E-6</v>
      </c>
      <c r="GU72" s="64">
        <v>9.3286155429747822E-6</v>
      </c>
      <c r="GV72" s="64">
        <v>9.3286155429747822E-6</v>
      </c>
      <c r="GW72" s="64">
        <v>0</v>
      </c>
      <c r="GX72" s="64">
        <v>2.190196692698427E-5</v>
      </c>
      <c r="GY72" s="64">
        <v>2.190196692698427E-5</v>
      </c>
      <c r="GZ72" s="64">
        <v>2.190196692698427E-5</v>
      </c>
      <c r="HA72" s="64">
        <v>2.190196692698427E-5</v>
      </c>
      <c r="HB72" s="64">
        <v>2.190196692698427E-5</v>
      </c>
      <c r="HC72" s="64">
        <v>2.190196692698427E-5</v>
      </c>
      <c r="HD72" s="64">
        <v>2.190196692698427E-5</v>
      </c>
      <c r="HE72" s="64">
        <v>3.0419398509700368E-5</v>
      </c>
      <c r="HF72" s="64">
        <v>3.0419398509700368E-5</v>
      </c>
      <c r="HG72" s="64">
        <v>2.5552294748148311E-5</v>
      </c>
      <c r="HH72" s="64">
        <v>2.5552294748148311E-5</v>
      </c>
      <c r="HI72" s="64">
        <v>6.2461164939918098E-5</v>
      </c>
      <c r="HJ72" s="64">
        <v>2.4741110787889641E-5</v>
      </c>
      <c r="HK72" s="64">
        <v>2.7174662668665669E-5</v>
      </c>
      <c r="HL72" s="64">
        <v>2.6363478708406989E-5</v>
      </c>
      <c r="HM72" s="64">
        <v>6.7328268701470162E-5</v>
      </c>
      <c r="HN72" s="64">
        <v>6.6517084741211485E-5</v>
      </c>
      <c r="HO72" s="64">
        <v>2.2307558907113609E-5</v>
      </c>
      <c r="HP72" s="64">
        <v>4.8265445635391273E-5</v>
      </c>
      <c r="HQ72" s="64">
        <v>3.8125646132157799E-5</v>
      </c>
      <c r="HR72" s="64">
        <v>2.595788672827765E-5</v>
      </c>
      <c r="HS72" s="64">
        <v>3.4475318310993758E-5</v>
      </c>
      <c r="HT72" s="64">
        <v>1.062650987938867E-4</v>
      </c>
      <c r="HU72" s="64">
        <v>4.1775973953321847E-5</v>
      </c>
      <c r="HV72" s="64">
        <v>7.7062476224574293E-6</v>
      </c>
      <c r="HW72" s="64">
        <v>5.2726957416813982E-6</v>
      </c>
      <c r="HX72" s="64">
        <v>3.1230582469959049E-5</v>
      </c>
      <c r="HY72" s="64">
        <v>3.1230582469959049E-5</v>
      </c>
      <c r="HZ72" s="64">
        <v>1.013979950323346E-5</v>
      </c>
      <c r="IA72" s="64">
        <v>1.013979950323346E-5</v>
      </c>
      <c r="IB72" s="64">
        <v>1.013979950323346E-5</v>
      </c>
      <c r="IC72" s="64">
        <v>1.013979950323346E-5</v>
      </c>
      <c r="ID72" s="64">
        <v>0</v>
      </c>
      <c r="IE72" s="64">
        <v>1.5412495244914859E-5</v>
      </c>
      <c r="IF72" s="64">
        <v>1.5412495244914859E-5</v>
      </c>
      <c r="IG72" s="64">
        <v>1.5412495244914859E-5</v>
      </c>
      <c r="IH72" s="64">
        <v>1.5412495244914859E-5</v>
      </c>
      <c r="II72" s="64">
        <v>1.5412495244914859E-5</v>
      </c>
      <c r="IJ72" s="64">
        <v>1.5412495244914859E-5</v>
      </c>
      <c r="IK72" s="64">
        <v>1.5412495244914859E-5</v>
      </c>
      <c r="IL72" s="64">
        <v>1.7440455145561548E-5</v>
      </c>
      <c r="IM72" s="64">
        <v>1.7440455145561548E-5</v>
      </c>
      <c r="IN72" s="64">
        <v>1.987400702633758E-5</v>
      </c>
      <c r="IO72" s="64">
        <v>1.987400702633758E-5</v>
      </c>
      <c r="IP72" s="64">
        <v>4.988781355590862E-5</v>
      </c>
      <c r="IQ72" s="64">
        <v>3.4475318310993758E-5</v>
      </c>
      <c r="IR72" s="64">
        <v>1.6629271185302871E-5</v>
      </c>
      <c r="IS72" s="64">
        <v>1.987400702633758E-5</v>
      </c>
      <c r="IT72" s="64">
        <v>4.096478999306317E-5</v>
      </c>
      <c r="IU72" s="64">
        <v>3.0824990489829717E-5</v>
      </c>
      <c r="IV72" s="64">
        <v>1.7440455145561548E-5</v>
      </c>
      <c r="IW72" s="64">
        <v>2.6769070688536331E-5</v>
      </c>
      <c r="IX72" s="64">
        <v>1.8251639105820229E-5</v>
      </c>
      <c r="IY72" s="64">
        <v>3.9748014052675147E-5</v>
      </c>
      <c r="IZ72" s="64">
        <v>1.297894336413883E-5</v>
      </c>
      <c r="JA72" s="64">
        <v>8.801345968806642E-5</v>
      </c>
      <c r="JB72" s="64">
        <v>2.9608214549441701E-5</v>
      </c>
      <c r="JC72" s="64">
        <v>2.839143860905368E-6</v>
      </c>
      <c r="JD72" s="64">
        <v>2.027959900646692E-6</v>
      </c>
      <c r="JE72" s="64">
        <v>1.6629271185302871E-5</v>
      </c>
      <c r="JF72" s="64">
        <v>1.6629271185302871E-5</v>
      </c>
      <c r="JG72" s="64">
        <v>1.9955125422363451E-4</v>
      </c>
      <c r="JH72" s="64">
        <v>1.9955125422363451E-4</v>
      </c>
      <c r="JI72" s="64">
        <v>1.9955125422363451E-4</v>
      </c>
      <c r="JJ72" s="64">
        <v>1.9955125422363451E-4</v>
      </c>
      <c r="JK72" s="64">
        <v>0</v>
      </c>
      <c r="JL72" s="64">
        <v>3.192008883617893E-4</v>
      </c>
      <c r="JM72" s="64">
        <v>3.192008883617893E-4</v>
      </c>
      <c r="JN72" s="64">
        <v>3.192008883617893E-4</v>
      </c>
      <c r="JO72" s="64">
        <v>3.192008883617893E-4</v>
      </c>
      <c r="JP72" s="64">
        <v>3.192008883617893E-4</v>
      </c>
      <c r="JQ72" s="64">
        <v>3.192008883617893E-4</v>
      </c>
      <c r="JR72" s="64">
        <v>3.192008883617893E-4</v>
      </c>
      <c r="JS72" s="64">
        <v>2.9608214549441689E-4</v>
      </c>
      <c r="JT72" s="64">
        <v>2.9608214549441689E-4</v>
      </c>
      <c r="JU72" s="64">
        <v>2.2510354897178279E-4</v>
      </c>
      <c r="JV72" s="64">
        <v>2.2510354897178279E-4</v>
      </c>
      <c r="JW72" s="64">
        <v>4.1005349191076111E-4</v>
      </c>
      <c r="JX72" s="64">
        <v>2.530893956007071E-4</v>
      </c>
      <c r="JY72" s="64">
        <v>4.1005349191076111E-4</v>
      </c>
      <c r="JZ72" s="64">
        <v>2.3929926827630959E-4</v>
      </c>
      <c r="KA72" s="64">
        <v>4.2708835507619322E-4</v>
      </c>
      <c r="KB72" s="64">
        <v>3.9829132448701018E-4</v>
      </c>
      <c r="KC72" s="64">
        <v>1.934673745216944E-4</v>
      </c>
      <c r="KD72" s="64">
        <v>2.551173555013538E-4</v>
      </c>
      <c r="KE72" s="64">
        <v>4.672419611089978E-4</v>
      </c>
      <c r="KF72" s="64">
        <v>4.3641697061916801E-4</v>
      </c>
      <c r="KG72" s="64">
        <v>2.13341381548032E-4</v>
      </c>
      <c r="KH72" s="64">
        <v>1.547333404193426E-3</v>
      </c>
      <c r="KI72" s="64">
        <v>6.3556263286267318E-4</v>
      </c>
      <c r="KJ72" s="64">
        <v>8.3835862292734229E-4</v>
      </c>
      <c r="KK72" s="64">
        <v>6.0960474613439551E-4</v>
      </c>
      <c r="KL72" s="64">
        <v>2.8715912193157149E-4</v>
      </c>
      <c r="KM72" s="64">
        <v>2.8715912193157149E-4</v>
      </c>
      <c r="KN72" s="64">
        <v>3.7314462171899129E-5</v>
      </c>
      <c r="KO72" s="64">
        <v>3.7314462171899129E-5</v>
      </c>
      <c r="KP72" s="64">
        <v>3.7314462171899129E-5</v>
      </c>
      <c r="KQ72" s="64">
        <v>3.7314462171899129E-5</v>
      </c>
      <c r="KR72" s="64">
        <v>0</v>
      </c>
      <c r="KS72" s="64">
        <v>6.0027613059142073E-5</v>
      </c>
      <c r="KT72" s="64">
        <v>6.0027613059142073E-5</v>
      </c>
      <c r="KU72" s="64">
        <v>6.0027613059142073E-5</v>
      </c>
      <c r="KV72" s="64">
        <v>6.0027613059142073E-5</v>
      </c>
      <c r="KW72" s="64">
        <v>6.0027613059142073E-5</v>
      </c>
      <c r="KX72" s="64">
        <v>6.0027613059142073E-5</v>
      </c>
      <c r="KY72" s="64">
        <v>6.0027613059142073E-5</v>
      </c>
      <c r="KZ72" s="64">
        <v>3.9342422072545822E-5</v>
      </c>
      <c r="LA72" s="64">
        <v>3.9342422072545822E-5</v>
      </c>
      <c r="LB72" s="64">
        <v>4.2992749893709863E-5</v>
      </c>
      <c r="LC72" s="64">
        <v>4.2992749893709863E-5</v>
      </c>
      <c r="LD72" s="64">
        <v>1.3425094542281101E-4</v>
      </c>
      <c r="LE72" s="64">
        <v>4.4209525834097879E-5</v>
      </c>
      <c r="LF72" s="64">
        <v>4.7454261675132582E-5</v>
      </c>
      <c r="LG72" s="64">
        <v>3.4475318310993758E-5</v>
      </c>
      <c r="LH72" s="64">
        <v>1.216775940388015E-4</v>
      </c>
      <c r="LI72" s="64">
        <v>8.6796683747678404E-5</v>
      </c>
      <c r="LJ72" s="64">
        <v>8.0712804045738338E-5</v>
      </c>
      <c r="LK72" s="64">
        <v>3.0419398509700368E-5</v>
      </c>
      <c r="LL72" s="64">
        <v>6.2866756920047437E-5</v>
      </c>
      <c r="LM72" s="64">
        <v>3.8936830092416477E-5</v>
      </c>
      <c r="LN72" s="64">
        <v>4.2992749893709863E-5</v>
      </c>
      <c r="LO72" s="64">
        <v>3.8166205330170729E-4</v>
      </c>
      <c r="LP72" s="64">
        <v>7.2195372463022226E-5</v>
      </c>
      <c r="LQ72" s="64">
        <v>8.5174315827161049E-6</v>
      </c>
      <c r="LR72" s="64">
        <v>6.0838797019400764E-6</v>
      </c>
      <c r="LS72" s="64">
        <v>7.4628924343798258E-5</v>
      </c>
      <c r="LT72" s="64">
        <v>7.4628924343798258E-5</v>
      </c>
      <c r="LU72" s="64">
        <v>2.9608214549441701E-5</v>
      </c>
      <c r="LV72" s="64">
        <v>2.9608214549441701E-5</v>
      </c>
      <c r="LW72" s="64">
        <v>2.9608214549441701E-5</v>
      </c>
      <c r="LX72" s="64">
        <v>2.9608214549441701E-5</v>
      </c>
      <c r="LY72" s="64">
        <v>0</v>
      </c>
      <c r="LZ72" s="64">
        <v>4.785985365526192E-5</v>
      </c>
      <c r="MA72" s="64">
        <v>4.785985365526192E-5</v>
      </c>
      <c r="MB72" s="64">
        <v>4.785985365526192E-5</v>
      </c>
      <c r="MC72" s="64">
        <v>4.785985365526192E-5</v>
      </c>
      <c r="MD72" s="64">
        <v>4.785985365526192E-5</v>
      </c>
      <c r="ME72" s="64">
        <v>4.785985365526192E-5</v>
      </c>
      <c r="MF72" s="64">
        <v>4.785985365526192E-5</v>
      </c>
      <c r="MG72" s="64">
        <v>3.2041766430217733E-5</v>
      </c>
      <c r="MH72" s="64">
        <v>3.2041766430217733E-5</v>
      </c>
      <c r="MI72" s="64">
        <v>3.7720054152028468E-5</v>
      </c>
      <c r="MJ72" s="64">
        <v>3.7720054152028468E-5</v>
      </c>
      <c r="MK72" s="64">
        <v>1.4925784868759649E-4</v>
      </c>
      <c r="ML72" s="64">
        <v>3.6097686231511113E-5</v>
      </c>
      <c r="MM72" s="64">
        <v>3.406972633086442E-5</v>
      </c>
      <c r="MN72" s="64">
        <v>3.4880910291123097E-5</v>
      </c>
      <c r="MO72" s="64">
        <v>9.0447011568842452E-5</v>
      </c>
      <c r="MP72" s="64">
        <v>8.3551947906643695E-5</v>
      </c>
      <c r="MQ72" s="64">
        <v>4.2181565933451193E-5</v>
      </c>
      <c r="MR72" s="64">
        <v>4.8671037615520598E-5</v>
      </c>
      <c r="MS72" s="64">
        <v>4.3803933853968541E-5</v>
      </c>
      <c r="MT72" s="64">
        <v>3.7720054152028468E-5</v>
      </c>
      <c r="MU72" s="64">
        <v>4.2181565933451193E-5</v>
      </c>
      <c r="MV72" s="64">
        <v>1.086986506746627E-4</v>
      </c>
      <c r="MW72" s="64">
        <v>5.4349325337331339E-5</v>
      </c>
      <c r="MX72" s="64">
        <v>1.095098346349214E-5</v>
      </c>
      <c r="MY72" s="64">
        <v>7.7062476224574293E-6</v>
      </c>
      <c r="MZ72" s="64">
        <v>4.704866969500325E-5</v>
      </c>
      <c r="NA72" s="64">
        <v>4.704866969500325E-5</v>
      </c>
      <c r="NB72" s="64"/>
      <c r="NC72" s="64"/>
      <c r="ND72" s="64"/>
      <c r="NE72" s="64"/>
      <c r="NF72" s="64"/>
      <c r="NG72" s="64"/>
      <c r="NH72" s="64"/>
      <c r="NI72" s="64"/>
      <c r="NJ72" s="64"/>
      <c r="NK72" s="64"/>
      <c r="NL72" s="64"/>
      <c r="NM72" s="64"/>
      <c r="NN72" s="64"/>
      <c r="NO72" s="64"/>
      <c r="NP72" s="64"/>
      <c r="NQ72" s="64"/>
      <c r="NR72" s="64"/>
      <c r="NS72" s="64"/>
      <c r="NT72" s="64"/>
      <c r="NU72" s="64"/>
      <c r="NV72" s="64"/>
      <c r="NW72" s="64"/>
      <c r="NX72" s="64"/>
      <c r="NY72" s="64"/>
      <c r="NZ72" s="64"/>
      <c r="OA72" s="64"/>
      <c r="OB72" s="64"/>
      <c r="OC72" s="64"/>
      <c r="OD72" s="64"/>
      <c r="OE72" s="64"/>
      <c r="OF72" s="64"/>
      <c r="OG72" s="64"/>
      <c r="OH72" s="64"/>
      <c r="OI72" s="64"/>
      <c r="OJ72" s="64"/>
      <c r="OK72" s="64"/>
      <c r="OL72" s="64"/>
      <c r="OM72" s="64"/>
      <c r="ON72" s="64"/>
      <c r="OO72" s="64"/>
      <c r="OP72" s="64"/>
      <c r="OQ72" s="64"/>
      <c r="OR72" s="64"/>
      <c r="OS72" s="64"/>
    </row>
    <row r="73" spans="1:409">
      <c r="A73" s="64" t="s">
        <v>613</v>
      </c>
      <c r="B73" s="64" t="s">
        <v>598</v>
      </c>
      <c r="C73" s="64">
        <v>1.152400237947792E-4</v>
      </c>
      <c r="D73" s="64">
        <v>2.855184437207166E-4</v>
      </c>
      <c r="E73" s="64">
        <v>5.7818093592382962E-4</v>
      </c>
      <c r="F73" s="64">
        <v>6.6937630972773392E-5</v>
      </c>
      <c r="G73" s="64">
        <v>0</v>
      </c>
      <c r="H73" s="64">
        <v>9.7044333003192391E-5</v>
      </c>
      <c r="I73" s="64">
        <v>2.9915805940609999E-5</v>
      </c>
      <c r="J73" s="64">
        <v>1.6145797809061921E-4</v>
      </c>
      <c r="K73" s="64">
        <v>9.8110050098300949E-5</v>
      </c>
      <c r="L73" s="64">
        <v>1.6160325001196041E-5</v>
      </c>
      <c r="M73" s="64">
        <v>4.7613425843160637E-4</v>
      </c>
      <c r="N73" s="64">
        <v>1.086799834731434E-4</v>
      </c>
      <c r="O73" s="64">
        <v>1.730351672798235E-5</v>
      </c>
      <c r="P73" s="64">
        <v>3.7013886635937141E-5</v>
      </c>
      <c r="Q73" s="64">
        <v>1.91276382369758E-3</v>
      </c>
      <c r="R73" s="64">
        <v>2.2896500644295479E-5</v>
      </c>
      <c r="S73" s="64">
        <v>2.2833573088430981E-4</v>
      </c>
      <c r="T73" s="64">
        <v>1.2855825020947601E-5</v>
      </c>
      <c r="U73" s="64">
        <v>4.7229424705657068E-4</v>
      </c>
      <c r="V73" s="64">
        <v>3.7015979066775519E-5</v>
      </c>
      <c r="W73" s="64">
        <v>2.9187408830673342E-4</v>
      </c>
      <c r="X73" s="64">
        <v>3.0480250929109461E-3</v>
      </c>
      <c r="Y73" s="64">
        <v>1.723055092973601E-4</v>
      </c>
      <c r="Z73" s="64">
        <v>6.5050088843037173E-4</v>
      </c>
      <c r="AA73" s="64">
        <v>9.7286420926802602E-4</v>
      </c>
      <c r="AB73" s="64">
        <v>1.80429458816026E-3</v>
      </c>
      <c r="AC73" s="64">
        <v>8.3522421781129436E-4</v>
      </c>
      <c r="AD73" s="64">
        <v>1.8788487935677829E-3</v>
      </c>
      <c r="AE73" s="64">
        <v>4.775279431043553E-4</v>
      </c>
      <c r="AF73" s="64">
        <v>5.4545415206515973E-5</v>
      </c>
      <c r="AG73" s="64">
        <v>5.1795860290829549E-5</v>
      </c>
      <c r="AH73" s="64">
        <v>5.0140922209398762E-5</v>
      </c>
      <c r="AI73" s="64">
        <v>1.118601045678606</v>
      </c>
      <c r="AJ73" s="64">
        <v>4.1608561390946322E-5</v>
      </c>
      <c r="AK73" s="64">
        <v>4.1608561390946322E-5</v>
      </c>
      <c r="AL73" s="64">
        <v>4.1608561390946322E-5</v>
      </c>
      <c r="AM73" s="64">
        <v>4.1608561390946322E-5</v>
      </c>
      <c r="AN73" s="64">
        <v>0</v>
      </c>
      <c r="AO73" s="64">
        <v>4.6363825549911611E-5</v>
      </c>
      <c r="AP73" s="64">
        <v>4.6363825549911611E-5</v>
      </c>
      <c r="AQ73" s="64">
        <v>4.6363825549911611E-5</v>
      </c>
      <c r="AR73" s="64">
        <v>4.6363825549911611E-5</v>
      </c>
      <c r="AS73" s="64">
        <v>4.6363825549911611E-5</v>
      </c>
      <c r="AT73" s="64">
        <v>4.6363825549911611E-5</v>
      </c>
      <c r="AU73" s="64">
        <v>4.6363825549911611E-5</v>
      </c>
      <c r="AV73" s="64">
        <v>4.6958233569782283E-5</v>
      </c>
      <c r="AW73" s="64">
        <v>4.6958233569782283E-5</v>
      </c>
      <c r="AX73" s="64">
        <v>4.3391785450558298E-5</v>
      </c>
      <c r="AY73" s="64">
        <v>4.3391785450558298E-5</v>
      </c>
      <c r="AZ73" s="64">
        <v>1.3433621249076951E-4</v>
      </c>
      <c r="BA73" s="64">
        <v>4.5769417530040952E-5</v>
      </c>
      <c r="BB73" s="64">
        <v>4.2202969410816987E-5</v>
      </c>
      <c r="BC73" s="64">
        <v>4.5175009510170287E-5</v>
      </c>
      <c r="BD73" s="64">
        <v>1.206648280337443E-4</v>
      </c>
      <c r="BE73" s="64">
        <v>8.1433898722280655E-5</v>
      </c>
      <c r="BF73" s="64">
        <v>2.8531584953791759E-5</v>
      </c>
      <c r="BG73" s="64">
        <v>4.1014153371075657E-5</v>
      </c>
      <c r="BH73" s="64">
        <v>2.3776320794826471E-5</v>
      </c>
      <c r="BI73" s="64">
        <v>3.3286849112757048E-5</v>
      </c>
      <c r="BJ73" s="64">
        <v>2.4965136834567791E-5</v>
      </c>
      <c r="BK73" s="64">
        <v>7.0140146344738075E-5</v>
      </c>
      <c r="BL73" s="64">
        <v>2.4370728814697129E-5</v>
      </c>
      <c r="BM73" s="64">
        <v>2.3776320794826469E-6</v>
      </c>
      <c r="BN73" s="64">
        <v>1.783224059611985E-6</v>
      </c>
      <c r="BO73" s="64">
        <v>2.4965136834567791E-5</v>
      </c>
      <c r="BP73" s="64">
        <v>2.4965136834567791E-5</v>
      </c>
      <c r="BQ73" s="64">
        <v>3.6853297231981033E-5</v>
      </c>
      <c r="BR73" s="64">
        <v>3.6853297231981033E-5</v>
      </c>
      <c r="BS73" s="64">
        <v>3.6853297231981033E-5</v>
      </c>
      <c r="BT73" s="64">
        <v>3.6853297231981033E-5</v>
      </c>
      <c r="BU73" s="64">
        <v>0</v>
      </c>
      <c r="BV73" s="64">
        <v>6.2412842086419487E-5</v>
      </c>
      <c r="BW73" s="64">
        <v>6.2412842086419487E-5</v>
      </c>
      <c r="BX73" s="64">
        <v>6.2412842086419487E-5</v>
      </c>
      <c r="BY73" s="64">
        <v>6.2412842086419487E-5</v>
      </c>
      <c r="BZ73" s="64">
        <v>6.2412842086419487E-5</v>
      </c>
      <c r="CA73" s="64">
        <v>6.2412842086419487E-5</v>
      </c>
      <c r="CB73" s="64">
        <v>6.2412842086419487E-5</v>
      </c>
      <c r="CC73" s="64">
        <v>5.0524681689006248E-5</v>
      </c>
      <c r="CD73" s="64">
        <v>5.0524681689006248E-5</v>
      </c>
      <c r="CE73" s="64">
        <v>5.0524681689006248E-5</v>
      </c>
      <c r="CF73" s="64">
        <v>5.0524681689006248E-5</v>
      </c>
      <c r="CG73" s="64">
        <v>2.110148470540849E-4</v>
      </c>
      <c r="CH73" s="64">
        <v>5.5279945847971543E-5</v>
      </c>
      <c r="CI73" s="64">
        <v>5.8846393967195508E-5</v>
      </c>
      <c r="CJ73" s="64">
        <v>4.5769417530040952E-5</v>
      </c>
      <c r="CK73" s="64">
        <v>1.4087470070934681E-4</v>
      </c>
      <c r="CL73" s="64">
        <v>1.081822596164604E-4</v>
      </c>
      <c r="CM73" s="64">
        <v>4.7552641589652941E-5</v>
      </c>
      <c r="CN73" s="64">
        <v>4.8741457629394259E-5</v>
      </c>
      <c r="CO73" s="64">
        <v>4.5769417530040952E-5</v>
      </c>
      <c r="CP73" s="64">
        <v>5.0524681689006248E-5</v>
      </c>
      <c r="CQ73" s="64">
        <v>4.8741457629394259E-5</v>
      </c>
      <c r="CR73" s="64">
        <v>2.0388195081563699E-4</v>
      </c>
      <c r="CS73" s="64">
        <v>6.5979290205643451E-5</v>
      </c>
      <c r="CT73" s="64">
        <v>1.069934435767191E-5</v>
      </c>
      <c r="CU73" s="64">
        <v>7.7273042583186018E-6</v>
      </c>
      <c r="CV73" s="64">
        <v>5.7063169907583532E-5</v>
      </c>
      <c r="CW73" s="64">
        <v>5.7063169907583532E-5</v>
      </c>
      <c r="CX73" s="64">
        <v>1.7237832576249189E-5</v>
      </c>
      <c r="CY73" s="64">
        <v>1.7237832576249189E-5</v>
      </c>
      <c r="CZ73" s="64">
        <v>1.7237832576249189E-5</v>
      </c>
      <c r="DA73" s="64">
        <v>1.7237832576249189E-5</v>
      </c>
      <c r="DB73" s="64">
        <v>0</v>
      </c>
      <c r="DC73" s="64">
        <v>2.972040099353309E-5</v>
      </c>
      <c r="DD73" s="64">
        <v>2.972040099353309E-5</v>
      </c>
      <c r="DE73" s="64">
        <v>2.972040099353309E-5</v>
      </c>
      <c r="DF73" s="64">
        <v>2.972040099353309E-5</v>
      </c>
      <c r="DG73" s="64">
        <v>2.972040099353309E-5</v>
      </c>
      <c r="DH73" s="64">
        <v>2.972040099353309E-5</v>
      </c>
      <c r="DI73" s="64">
        <v>2.972040099353309E-5</v>
      </c>
      <c r="DJ73" s="64">
        <v>4.6363825549911611E-5</v>
      </c>
      <c r="DK73" s="64">
        <v>4.6363825549911611E-5</v>
      </c>
      <c r="DL73" s="64">
        <v>3.982533733133434E-5</v>
      </c>
      <c r="DM73" s="64">
        <v>3.982533733133434E-5</v>
      </c>
      <c r="DN73" s="64">
        <v>1.105598916959431E-4</v>
      </c>
      <c r="DO73" s="64">
        <v>4.5175009510170287E-5</v>
      </c>
      <c r="DP73" s="64">
        <v>3.9230929311463668E-5</v>
      </c>
      <c r="DQ73" s="64">
        <v>4.6363825549911611E-5</v>
      </c>
      <c r="DR73" s="64">
        <v>1.099654836760724E-4</v>
      </c>
      <c r="DS73" s="64">
        <v>6.4790474165902134E-5</v>
      </c>
      <c r="DT73" s="64">
        <v>3.6258889212110361E-5</v>
      </c>
      <c r="DU73" s="64">
        <v>6.9545738324867416E-5</v>
      </c>
      <c r="DV73" s="64">
        <v>5.5279945847971543E-5</v>
      </c>
      <c r="DW73" s="64">
        <v>3.5070073172369037E-5</v>
      </c>
      <c r="DX73" s="64">
        <v>3.0909217033274407E-5</v>
      </c>
      <c r="DY73" s="64">
        <v>9.62940992190472E-5</v>
      </c>
      <c r="DZ73" s="64">
        <v>1.069934435767191E-5</v>
      </c>
      <c r="EA73" s="64">
        <v>6.5384882185772788E-6</v>
      </c>
      <c r="EB73" s="64">
        <v>4.7552641589652938E-6</v>
      </c>
      <c r="EC73" s="64">
        <v>5.0524681689006248E-5</v>
      </c>
      <c r="ED73" s="64">
        <v>5.0524681689006248E-5</v>
      </c>
      <c r="EE73" s="64">
        <v>1.9021056635861179E-5</v>
      </c>
      <c r="EF73" s="64">
        <v>1.9021056635861179E-5</v>
      </c>
      <c r="EG73" s="64">
        <v>1.9021056635861179E-5</v>
      </c>
      <c r="EH73" s="64">
        <v>1.9021056635861179E-5</v>
      </c>
      <c r="EI73" s="64">
        <v>0</v>
      </c>
      <c r="EJ73" s="64">
        <v>2.7342768914050439E-5</v>
      </c>
      <c r="EK73" s="64">
        <v>2.7342768914050439E-5</v>
      </c>
      <c r="EL73" s="64">
        <v>2.7342768914050439E-5</v>
      </c>
      <c r="EM73" s="64">
        <v>2.7342768914050439E-5</v>
      </c>
      <c r="EN73" s="64">
        <v>2.7342768914050439E-5</v>
      </c>
      <c r="EO73" s="64">
        <v>2.7342768914050439E-5</v>
      </c>
      <c r="EP73" s="64">
        <v>2.7342768914050439E-5</v>
      </c>
      <c r="EQ73" s="64">
        <v>3.0314809013403749E-5</v>
      </c>
      <c r="ER73" s="64">
        <v>3.0314809013403749E-5</v>
      </c>
      <c r="ES73" s="64">
        <v>2.972040099353309E-5</v>
      </c>
      <c r="ET73" s="64">
        <v>2.972040099353309E-5</v>
      </c>
      <c r="EU73" s="64">
        <v>7.6084226543444701E-5</v>
      </c>
      <c r="EV73" s="64">
        <v>2.555954485443846E-5</v>
      </c>
      <c r="EW73" s="64">
        <v>3.5664481192239703E-5</v>
      </c>
      <c r="EX73" s="64">
        <v>3.0909217033274407E-5</v>
      </c>
      <c r="EY73" s="64">
        <v>5.9440801987066167E-5</v>
      </c>
      <c r="EZ73" s="64">
        <v>5.4685537828100878E-5</v>
      </c>
      <c r="FA73" s="64">
        <v>2.0804280695473161E-5</v>
      </c>
      <c r="FB73" s="64">
        <v>2.972040099353309E-5</v>
      </c>
      <c r="FC73" s="64">
        <v>3.7447705251851692E-5</v>
      </c>
      <c r="FD73" s="64">
        <v>2.1993096735214482E-5</v>
      </c>
      <c r="FE73" s="64">
        <v>2.8531584953791759E-5</v>
      </c>
      <c r="FF73" s="64">
        <v>7.4301002483832712E-5</v>
      </c>
      <c r="FG73" s="64">
        <v>4.3986193470428963E-5</v>
      </c>
      <c r="FH73" s="64">
        <v>1.129375237754257E-5</v>
      </c>
      <c r="FI73" s="64">
        <v>8.3217122781892637E-6</v>
      </c>
      <c r="FJ73" s="64">
        <v>3.9230929311463668E-5</v>
      </c>
      <c r="FK73" s="64">
        <v>3.9230929311463668E-5</v>
      </c>
      <c r="FL73" s="64">
        <v>3.6853297231981033E-5</v>
      </c>
      <c r="FM73" s="64">
        <v>3.6853297231981033E-5</v>
      </c>
      <c r="FN73" s="64">
        <v>3.6853297231981033E-5</v>
      </c>
      <c r="FO73" s="64">
        <v>3.6853297231981033E-5</v>
      </c>
      <c r="FP73" s="64">
        <v>0</v>
      </c>
      <c r="FQ73" s="64">
        <v>6.5979290205643451E-5</v>
      </c>
      <c r="FR73" s="64">
        <v>6.5979290205643451E-5</v>
      </c>
      <c r="FS73" s="64">
        <v>6.5979290205643451E-5</v>
      </c>
      <c r="FT73" s="64">
        <v>6.5979290205643451E-5</v>
      </c>
      <c r="FU73" s="64">
        <v>6.5979290205643451E-5</v>
      </c>
      <c r="FV73" s="64">
        <v>6.5979290205643451E-5</v>
      </c>
      <c r="FW73" s="64">
        <v>6.5979290205643451E-5</v>
      </c>
      <c r="FX73" s="64">
        <v>3.8636521291593009E-5</v>
      </c>
      <c r="FY73" s="64">
        <v>3.8636521291593009E-5</v>
      </c>
      <c r="FZ73" s="64">
        <v>2.4965136834567791E-5</v>
      </c>
      <c r="GA73" s="64">
        <v>2.4965136834567791E-5</v>
      </c>
      <c r="GB73" s="64">
        <v>5.825198594732485E-5</v>
      </c>
      <c r="GC73" s="64">
        <v>1.6049016536507869E-5</v>
      </c>
      <c r="GD73" s="64">
        <v>1.842664861599051E-5</v>
      </c>
      <c r="GE73" s="64">
        <v>2.139868871534382E-5</v>
      </c>
      <c r="GF73" s="64">
        <v>1.3314739645102819E-4</v>
      </c>
      <c r="GG73" s="64">
        <v>5.825198594732485E-5</v>
      </c>
      <c r="GH73" s="64">
        <v>1.54546085166372E-5</v>
      </c>
      <c r="GI73" s="64">
        <v>1.7832240596119851E-5</v>
      </c>
      <c r="GJ73" s="64">
        <v>9.5105283179305876E-6</v>
      </c>
      <c r="GK73" s="64">
        <v>2.0209872675602499E-5</v>
      </c>
      <c r="GL73" s="64">
        <v>3.4475665152498379E-5</v>
      </c>
      <c r="GM73" s="64">
        <v>8.5594754861375292E-5</v>
      </c>
      <c r="GN73" s="64">
        <v>1.3076976437154559E-5</v>
      </c>
      <c r="GO73" s="64">
        <v>2.9720400993533088E-6</v>
      </c>
      <c r="GP73" s="64">
        <v>1.783224059611985E-6</v>
      </c>
      <c r="GQ73" s="64">
        <v>1.188816039741324E-5</v>
      </c>
      <c r="GR73" s="64">
        <v>1.188816039741324E-5</v>
      </c>
      <c r="GS73" s="64">
        <v>1.3671384457025219E-5</v>
      </c>
      <c r="GT73" s="64">
        <v>1.3671384457025219E-5</v>
      </c>
      <c r="GU73" s="64">
        <v>1.3671384457025219E-5</v>
      </c>
      <c r="GV73" s="64">
        <v>1.3671384457025219E-5</v>
      </c>
      <c r="GW73" s="64">
        <v>0</v>
      </c>
      <c r="GX73" s="64">
        <v>3.2098033073015731E-5</v>
      </c>
      <c r="GY73" s="64">
        <v>3.2098033073015731E-5</v>
      </c>
      <c r="GZ73" s="64">
        <v>3.2098033073015731E-5</v>
      </c>
      <c r="HA73" s="64">
        <v>3.2098033073015731E-5</v>
      </c>
      <c r="HB73" s="64">
        <v>3.2098033073015731E-5</v>
      </c>
      <c r="HC73" s="64">
        <v>3.2098033073015731E-5</v>
      </c>
      <c r="HD73" s="64">
        <v>3.2098033073015731E-5</v>
      </c>
      <c r="HE73" s="64">
        <v>4.4580601490299628E-5</v>
      </c>
      <c r="HF73" s="64">
        <v>4.4580601490299628E-5</v>
      </c>
      <c r="HG73" s="64">
        <v>3.7447705251851692E-5</v>
      </c>
      <c r="HH73" s="64">
        <v>3.7447705251851692E-5</v>
      </c>
      <c r="HI73" s="64">
        <v>9.1538835060081905E-5</v>
      </c>
      <c r="HJ73" s="64">
        <v>3.6258889212110361E-5</v>
      </c>
      <c r="HK73" s="64">
        <v>3.982533733133434E-5</v>
      </c>
      <c r="HL73" s="64">
        <v>3.8636521291593009E-5</v>
      </c>
      <c r="HM73" s="64">
        <v>9.8671731298529848E-5</v>
      </c>
      <c r="HN73" s="64">
        <v>9.7482915258788517E-5</v>
      </c>
      <c r="HO73" s="64">
        <v>3.2692441092886403E-5</v>
      </c>
      <c r="HP73" s="64">
        <v>7.0734554364608747E-5</v>
      </c>
      <c r="HQ73" s="64">
        <v>5.5874353867842202E-5</v>
      </c>
      <c r="HR73" s="64">
        <v>3.804211327172235E-5</v>
      </c>
      <c r="HS73" s="64">
        <v>5.0524681689006248E-5</v>
      </c>
      <c r="HT73" s="64">
        <v>1.5573490120611341E-4</v>
      </c>
      <c r="HU73" s="64">
        <v>6.1224026046678156E-5</v>
      </c>
      <c r="HV73" s="64">
        <v>1.129375237754257E-5</v>
      </c>
      <c r="HW73" s="64">
        <v>7.7273042583186018E-6</v>
      </c>
      <c r="HX73" s="64">
        <v>4.5769417530040952E-5</v>
      </c>
      <c r="HY73" s="64">
        <v>4.5769417530040952E-5</v>
      </c>
      <c r="HZ73" s="64">
        <v>1.486020049676654E-5</v>
      </c>
      <c r="IA73" s="64">
        <v>1.486020049676654E-5</v>
      </c>
      <c r="IB73" s="64">
        <v>1.486020049676654E-5</v>
      </c>
      <c r="IC73" s="64">
        <v>1.486020049676654E-5</v>
      </c>
      <c r="ID73" s="64">
        <v>0</v>
      </c>
      <c r="IE73" s="64">
        <v>2.258750475508515E-5</v>
      </c>
      <c r="IF73" s="64">
        <v>2.258750475508515E-5</v>
      </c>
      <c r="IG73" s="64">
        <v>2.258750475508515E-5</v>
      </c>
      <c r="IH73" s="64">
        <v>2.258750475508515E-5</v>
      </c>
      <c r="II73" s="64">
        <v>2.258750475508515E-5</v>
      </c>
      <c r="IJ73" s="64">
        <v>2.258750475508515E-5</v>
      </c>
      <c r="IK73" s="64">
        <v>2.258750475508515E-5</v>
      </c>
      <c r="IL73" s="64">
        <v>2.555954485443846E-5</v>
      </c>
      <c r="IM73" s="64">
        <v>2.555954485443846E-5</v>
      </c>
      <c r="IN73" s="64">
        <v>2.9125992973662421E-5</v>
      </c>
      <c r="IO73" s="64">
        <v>2.9125992973662421E-5</v>
      </c>
      <c r="IP73" s="64">
        <v>7.3112186444091395E-5</v>
      </c>
      <c r="IQ73" s="64">
        <v>5.0524681689006248E-5</v>
      </c>
      <c r="IR73" s="64">
        <v>2.4370728814697129E-5</v>
      </c>
      <c r="IS73" s="64">
        <v>2.9125992973662421E-5</v>
      </c>
      <c r="IT73" s="64">
        <v>6.0035210006936832E-5</v>
      </c>
      <c r="IU73" s="64">
        <v>4.5175009510170287E-5</v>
      </c>
      <c r="IV73" s="64">
        <v>2.555954485443846E-5</v>
      </c>
      <c r="IW73" s="64">
        <v>3.9230929311463668E-5</v>
      </c>
      <c r="IX73" s="64">
        <v>2.674836089417978E-5</v>
      </c>
      <c r="IY73" s="64">
        <v>5.825198594732485E-5</v>
      </c>
      <c r="IZ73" s="64">
        <v>1.9021056635861179E-5</v>
      </c>
      <c r="JA73" s="64">
        <v>1.2898654031193361E-4</v>
      </c>
      <c r="JB73" s="64">
        <v>4.3391785450558298E-5</v>
      </c>
      <c r="JC73" s="64">
        <v>4.1608561390946319E-6</v>
      </c>
      <c r="JD73" s="64">
        <v>2.9720400993533088E-6</v>
      </c>
      <c r="JE73" s="64">
        <v>2.4370728814697129E-5</v>
      </c>
      <c r="JF73" s="64">
        <v>2.4370728814697129E-5</v>
      </c>
      <c r="JG73" s="64">
        <v>2.9244874577636558E-4</v>
      </c>
      <c r="JH73" s="64">
        <v>2.9244874577636558E-4</v>
      </c>
      <c r="JI73" s="64">
        <v>2.9244874577636558E-4</v>
      </c>
      <c r="JJ73" s="64">
        <v>2.9244874577636558E-4</v>
      </c>
      <c r="JK73" s="64">
        <v>0</v>
      </c>
      <c r="JL73" s="64">
        <v>4.677991116382108E-4</v>
      </c>
      <c r="JM73" s="64">
        <v>4.677991116382108E-4</v>
      </c>
      <c r="JN73" s="64">
        <v>4.677991116382108E-4</v>
      </c>
      <c r="JO73" s="64">
        <v>4.677991116382108E-4</v>
      </c>
      <c r="JP73" s="64">
        <v>4.677991116382108E-4</v>
      </c>
      <c r="JQ73" s="64">
        <v>4.677991116382108E-4</v>
      </c>
      <c r="JR73" s="64">
        <v>4.677991116382108E-4</v>
      </c>
      <c r="JS73" s="64">
        <v>4.3391785450558302E-4</v>
      </c>
      <c r="JT73" s="64">
        <v>4.3391785450558302E-4</v>
      </c>
      <c r="JU73" s="64">
        <v>3.2989645102821731E-4</v>
      </c>
      <c r="JV73" s="64">
        <v>3.2989645102821731E-4</v>
      </c>
      <c r="JW73" s="64">
        <v>6.0094650808923897E-4</v>
      </c>
      <c r="JX73" s="64">
        <v>3.7091060439929289E-4</v>
      </c>
      <c r="JY73" s="64">
        <v>6.0094650808923897E-4</v>
      </c>
      <c r="JZ73" s="64">
        <v>3.5070073172369039E-4</v>
      </c>
      <c r="KA73" s="64">
        <v>6.2591164492380668E-4</v>
      </c>
      <c r="KB73" s="64">
        <v>5.8370867551298979E-4</v>
      </c>
      <c r="KC73" s="64">
        <v>2.8353262547830562E-4</v>
      </c>
      <c r="KD73" s="64">
        <v>3.7388264449864621E-4</v>
      </c>
      <c r="KE73" s="64">
        <v>6.8475803889100234E-4</v>
      </c>
      <c r="KF73" s="64">
        <v>6.3958302938083196E-4</v>
      </c>
      <c r="KG73" s="64">
        <v>3.1265861845196808E-4</v>
      </c>
      <c r="KH73" s="64">
        <v>2.267666595806574E-3</v>
      </c>
      <c r="KI73" s="64">
        <v>9.3143736713732696E-4</v>
      </c>
      <c r="KJ73" s="64">
        <v>1.228641377072658E-3</v>
      </c>
      <c r="KK73" s="64">
        <v>8.933952538656046E-4</v>
      </c>
      <c r="KL73" s="64">
        <v>4.2084087806842848E-4</v>
      </c>
      <c r="KM73" s="64">
        <v>4.2084087806842848E-4</v>
      </c>
      <c r="KN73" s="64">
        <v>5.4685537828100878E-5</v>
      </c>
      <c r="KO73" s="64">
        <v>5.4685537828100878E-5</v>
      </c>
      <c r="KP73" s="64">
        <v>5.4685537828100878E-5</v>
      </c>
      <c r="KQ73" s="64">
        <v>5.4685537828100878E-5</v>
      </c>
      <c r="KR73" s="64">
        <v>0</v>
      </c>
      <c r="KS73" s="64">
        <v>8.7972386940857926E-5</v>
      </c>
      <c r="KT73" s="64">
        <v>8.7972386940857926E-5</v>
      </c>
      <c r="KU73" s="64">
        <v>8.7972386940857926E-5</v>
      </c>
      <c r="KV73" s="64">
        <v>8.7972386940857926E-5</v>
      </c>
      <c r="KW73" s="64">
        <v>8.7972386940857926E-5</v>
      </c>
      <c r="KX73" s="64">
        <v>8.7972386940857926E-5</v>
      </c>
      <c r="KY73" s="64">
        <v>8.7972386940857926E-5</v>
      </c>
      <c r="KZ73" s="64">
        <v>5.7657577927454177E-5</v>
      </c>
      <c r="LA73" s="64">
        <v>5.7657577927454177E-5</v>
      </c>
      <c r="LB73" s="64">
        <v>6.3007250106290145E-5</v>
      </c>
      <c r="LC73" s="64">
        <v>6.3007250106290145E-5</v>
      </c>
      <c r="LD73" s="64">
        <v>1.9674905457718901E-4</v>
      </c>
      <c r="LE73" s="64">
        <v>6.4790474165902134E-5</v>
      </c>
      <c r="LF73" s="64">
        <v>6.9545738324867416E-5</v>
      </c>
      <c r="LG73" s="64">
        <v>5.0524681689006248E-5</v>
      </c>
      <c r="LH73" s="64">
        <v>1.7832240596119849E-4</v>
      </c>
      <c r="LI73" s="64">
        <v>1.2720331625232161E-4</v>
      </c>
      <c r="LJ73" s="64">
        <v>1.182871959542617E-4</v>
      </c>
      <c r="LK73" s="64">
        <v>4.4580601490299628E-5</v>
      </c>
      <c r="LL73" s="64">
        <v>9.2133243079952563E-5</v>
      </c>
      <c r="LM73" s="64">
        <v>5.7063169907583532E-5</v>
      </c>
      <c r="LN73" s="64">
        <v>6.3007250106290145E-5</v>
      </c>
      <c r="LO73" s="64">
        <v>5.593379466982927E-4</v>
      </c>
      <c r="LP73" s="64">
        <v>1.058046275369778E-4</v>
      </c>
      <c r="LQ73" s="64">
        <v>1.2482568417283901E-5</v>
      </c>
      <c r="LR73" s="64">
        <v>8.9161202980599257E-6</v>
      </c>
      <c r="LS73" s="64">
        <v>1.093710756562018E-4</v>
      </c>
      <c r="LT73" s="64">
        <v>1.093710756562018E-4</v>
      </c>
      <c r="LU73" s="64">
        <v>4.3391785450558298E-5</v>
      </c>
      <c r="LV73" s="64">
        <v>4.3391785450558298E-5</v>
      </c>
      <c r="LW73" s="64">
        <v>4.3391785450558298E-5</v>
      </c>
      <c r="LX73" s="64">
        <v>4.3391785450558298E-5</v>
      </c>
      <c r="LY73" s="64">
        <v>0</v>
      </c>
      <c r="LZ73" s="64">
        <v>7.0140146344738075E-5</v>
      </c>
      <c r="MA73" s="64">
        <v>7.0140146344738075E-5</v>
      </c>
      <c r="MB73" s="64">
        <v>7.0140146344738075E-5</v>
      </c>
      <c r="MC73" s="64">
        <v>7.0140146344738075E-5</v>
      </c>
      <c r="MD73" s="64">
        <v>7.0140146344738075E-5</v>
      </c>
      <c r="ME73" s="64">
        <v>7.0140146344738075E-5</v>
      </c>
      <c r="MF73" s="64">
        <v>7.0140146344738075E-5</v>
      </c>
      <c r="MG73" s="64">
        <v>4.6958233569782283E-5</v>
      </c>
      <c r="MH73" s="64">
        <v>4.6958233569782283E-5</v>
      </c>
      <c r="MI73" s="64">
        <v>5.5279945847971543E-5</v>
      </c>
      <c r="MJ73" s="64">
        <v>5.5279945847971543E-5</v>
      </c>
      <c r="MK73" s="64">
        <v>2.1874215131240351E-4</v>
      </c>
      <c r="ML73" s="64">
        <v>5.2902313768488889E-5</v>
      </c>
      <c r="MM73" s="64">
        <v>4.9930273669135582E-5</v>
      </c>
      <c r="MN73" s="64">
        <v>5.1119089708876913E-5</v>
      </c>
      <c r="MO73" s="64">
        <v>1.3255298843115759E-4</v>
      </c>
      <c r="MP73" s="64">
        <v>1.2244805209335631E-4</v>
      </c>
      <c r="MQ73" s="64">
        <v>6.1818434066548814E-5</v>
      </c>
      <c r="MR73" s="64">
        <v>7.1328962384479405E-5</v>
      </c>
      <c r="MS73" s="64">
        <v>6.4196066146031462E-5</v>
      </c>
      <c r="MT73" s="64">
        <v>5.5279945847971543E-5</v>
      </c>
      <c r="MU73" s="64">
        <v>6.1818434066548814E-5</v>
      </c>
      <c r="MV73" s="64">
        <v>1.5930134932533741E-4</v>
      </c>
      <c r="MW73" s="64">
        <v>7.9650674662668679E-5</v>
      </c>
      <c r="MX73" s="64">
        <v>1.6049016536507869E-5</v>
      </c>
      <c r="MY73" s="64">
        <v>1.129375237754257E-5</v>
      </c>
      <c r="MZ73" s="64">
        <v>6.8951330304996758E-5</v>
      </c>
      <c r="NA73" s="64">
        <v>6.8951330304996758E-5</v>
      </c>
      <c r="NB73" s="64"/>
      <c r="NC73" s="64"/>
      <c r="ND73" s="64"/>
      <c r="NE73" s="64"/>
      <c r="NF73" s="64"/>
      <c r="NG73" s="64"/>
      <c r="NH73" s="64"/>
      <c r="NI73" s="64"/>
      <c r="NJ73" s="64"/>
      <c r="NK73" s="64"/>
      <c r="NL73" s="64"/>
      <c r="NM73" s="64"/>
      <c r="NN73" s="64"/>
      <c r="NO73" s="64"/>
      <c r="NP73" s="64"/>
      <c r="NQ73" s="64"/>
      <c r="NR73" s="64"/>
      <c r="NS73" s="64"/>
      <c r="NT73" s="64"/>
      <c r="NU73" s="64"/>
      <c r="NV73" s="64"/>
      <c r="NW73" s="64"/>
      <c r="NX73" s="64"/>
      <c r="NY73" s="64"/>
      <c r="NZ73" s="64"/>
      <c r="OA73" s="64"/>
      <c r="OB73" s="64"/>
      <c r="OC73" s="64"/>
      <c r="OD73" s="64"/>
      <c r="OE73" s="64"/>
      <c r="OF73" s="64"/>
      <c r="OG73" s="64"/>
      <c r="OH73" s="64"/>
      <c r="OI73" s="64"/>
      <c r="OJ73" s="64"/>
      <c r="OK73" s="64"/>
      <c r="OL73" s="64"/>
      <c r="OM73" s="64"/>
      <c r="ON73" s="64"/>
      <c r="OO73" s="64"/>
      <c r="OP73" s="64"/>
      <c r="OQ73" s="64"/>
      <c r="OR73" s="64"/>
      <c r="OS73" s="64"/>
    </row>
    <row r="74" spans="1:409">
      <c r="A74" s="65"/>
      <c r="B74" s="65"/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H74" s="65"/>
      <c r="AI74" s="65"/>
      <c r="AJ74" s="65"/>
      <c r="AK74" s="65"/>
      <c r="AL74" s="65"/>
      <c r="AM74" s="65"/>
      <c r="AN74" s="65"/>
      <c r="AO74" s="65"/>
      <c r="AP74" s="65"/>
      <c r="AQ74" s="65"/>
      <c r="AR74" s="65"/>
      <c r="AS74" s="65"/>
      <c r="AT74" s="65"/>
      <c r="AU74" s="65"/>
      <c r="AV74" s="65"/>
      <c r="AW74" s="65"/>
      <c r="AX74" s="65"/>
      <c r="AY74" s="65"/>
      <c r="AZ74" s="65"/>
      <c r="BA74" s="65"/>
      <c r="BB74" s="65"/>
      <c r="BC74" s="65"/>
      <c r="BD74" s="65"/>
      <c r="BE74" s="65"/>
      <c r="BF74" s="65"/>
      <c r="BG74" s="65"/>
      <c r="BH74" s="65"/>
      <c r="BI74" s="65"/>
      <c r="BJ74" s="65"/>
      <c r="BK74" s="65"/>
      <c r="BL74" s="65"/>
      <c r="BM74" s="65"/>
      <c r="BN74" s="65"/>
      <c r="BO74" s="65"/>
      <c r="BP74" s="65"/>
      <c r="BQ74" s="65"/>
      <c r="BR74" s="65"/>
      <c r="BS74" s="65"/>
      <c r="BT74" s="65"/>
      <c r="BU74" s="65"/>
      <c r="BV74" s="65"/>
      <c r="BW74" s="65"/>
      <c r="BX74" s="65"/>
      <c r="BY74" s="65"/>
      <c r="BZ74" s="65"/>
      <c r="CA74" s="65"/>
      <c r="CB74" s="65"/>
      <c r="CC74" s="65"/>
      <c r="CD74" s="65"/>
      <c r="CE74" s="65"/>
      <c r="CF74" s="65"/>
      <c r="CG74" s="65"/>
      <c r="CH74" s="65"/>
      <c r="CI74" s="65"/>
      <c r="CJ74" s="65"/>
      <c r="CK74" s="65"/>
      <c r="CL74" s="65"/>
      <c r="CM74" s="65"/>
      <c r="CN74" s="65"/>
      <c r="CO74" s="65"/>
      <c r="CP74" s="65"/>
      <c r="CQ74" s="65"/>
      <c r="CR74" s="65"/>
      <c r="CS74" s="65"/>
      <c r="CT74" s="65"/>
      <c r="CU74" s="65"/>
      <c r="CV74" s="65"/>
      <c r="CW74" s="65"/>
      <c r="CX74" s="65"/>
      <c r="CY74" s="65"/>
      <c r="CZ74" s="65"/>
      <c r="DA74" s="65"/>
      <c r="DB74" s="65"/>
      <c r="DC74" s="65"/>
      <c r="DD74" s="65"/>
      <c r="DE74" s="65"/>
      <c r="DF74" s="65"/>
      <c r="DG74" s="65"/>
      <c r="DH74" s="65"/>
      <c r="DI74" s="65"/>
      <c r="DJ74" s="65"/>
      <c r="DK74" s="65"/>
      <c r="DL74" s="65"/>
      <c r="DM74" s="65"/>
      <c r="DN74" s="65"/>
      <c r="DO74" s="65"/>
      <c r="DP74" s="65"/>
      <c r="DQ74" s="65"/>
      <c r="DR74" s="65"/>
      <c r="DS74" s="65"/>
      <c r="DT74" s="65"/>
      <c r="DU74" s="65"/>
      <c r="DV74" s="65"/>
      <c r="DW74" s="65"/>
      <c r="DX74" s="65"/>
      <c r="DY74" s="65"/>
      <c r="DZ74" s="65"/>
      <c r="EA74" s="65"/>
      <c r="EB74" s="65"/>
      <c r="EC74" s="65"/>
      <c r="ED74" s="65"/>
      <c r="EE74" s="65"/>
      <c r="EF74" s="65"/>
      <c r="EG74" s="65"/>
      <c r="EH74" s="65"/>
      <c r="EI74" s="65"/>
      <c r="EJ74" s="65"/>
      <c r="EK74" s="65"/>
      <c r="EL74" s="65"/>
      <c r="EM74" s="65"/>
      <c r="EN74" s="65"/>
      <c r="EO74" s="65"/>
      <c r="EP74" s="65"/>
      <c r="EQ74" s="65"/>
      <c r="ER74" s="65"/>
      <c r="ES74" s="65"/>
      <c r="ET74" s="65"/>
      <c r="EU74" s="65"/>
      <c r="EV74" s="65"/>
      <c r="EW74" s="65"/>
      <c r="EX74" s="65"/>
      <c r="EY74" s="65"/>
      <c r="EZ74" s="65"/>
      <c r="FA74" s="65"/>
      <c r="FB74" s="65"/>
      <c r="FC74" s="65"/>
      <c r="FD74" s="65"/>
      <c r="FE74" s="65"/>
      <c r="FF74" s="65"/>
      <c r="FG74" s="65"/>
      <c r="FH74" s="65"/>
      <c r="FI74" s="65"/>
      <c r="FJ74" s="65"/>
      <c r="FK74" s="65"/>
      <c r="FL74" s="65"/>
      <c r="FM74" s="65"/>
      <c r="FN74" s="65"/>
      <c r="FO74" s="65"/>
      <c r="FP74" s="65"/>
      <c r="FQ74" s="65"/>
      <c r="FR74" s="65"/>
      <c r="FS74" s="65"/>
      <c r="FT74" s="65"/>
      <c r="FU74" s="65"/>
      <c r="FV74" s="65"/>
      <c r="FW74" s="65"/>
      <c r="FX74" s="65"/>
      <c r="FY74" s="65"/>
      <c r="FZ74" s="65"/>
      <c r="GA74" s="65"/>
      <c r="GB74" s="65"/>
      <c r="GC74" s="65"/>
      <c r="GD74" s="65"/>
      <c r="GE74" s="65"/>
      <c r="GF74" s="65"/>
      <c r="GG74" s="65"/>
      <c r="GH74" s="65"/>
      <c r="GI74" s="65"/>
      <c r="GJ74" s="65"/>
      <c r="GK74" s="65"/>
      <c r="GL74" s="65"/>
      <c r="GM74" s="65"/>
      <c r="GN74" s="65"/>
      <c r="GO74" s="65"/>
      <c r="GP74" s="65"/>
      <c r="GQ74" s="65"/>
      <c r="GR74" s="65"/>
      <c r="GS74" s="65"/>
      <c r="GT74" s="65"/>
      <c r="GU74" s="65"/>
      <c r="GV74" s="65"/>
      <c r="GW74" s="65"/>
      <c r="GX74" s="65"/>
      <c r="GY74" s="65"/>
      <c r="GZ74" s="65"/>
      <c r="HA74" s="65"/>
      <c r="HB74" s="65"/>
      <c r="HC74" s="65"/>
      <c r="HD74" s="65"/>
      <c r="HE74" s="65"/>
      <c r="HF74" s="65"/>
      <c r="HG74" s="65"/>
      <c r="HH74" s="65"/>
      <c r="HI74" s="65"/>
      <c r="HJ74" s="65"/>
      <c r="HK74" s="65"/>
      <c r="HL74" s="65"/>
      <c r="HM74" s="65"/>
      <c r="HN74" s="65"/>
      <c r="HO74" s="65"/>
      <c r="HP74" s="65"/>
      <c r="HQ74" s="65"/>
      <c r="HR74" s="65"/>
      <c r="HS74" s="65"/>
      <c r="HT74" s="65"/>
      <c r="HU74" s="65"/>
      <c r="HV74" s="65"/>
      <c r="HW74" s="65"/>
      <c r="HX74" s="65"/>
      <c r="HY74" s="65"/>
      <c r="HZ74" s="65"/>
      <c r="IA74" s="65"/>
      <c r="IB74" s="65"/>
      <c r="IC74" s="65"/>
      <c r="ID74" s="65"/>
      <c r="IE74" s="65"/>
      <c r="IF74" s="65"/>
      <c r="IG74" s="65"/>
      <c r="IH74" s="65"/>
      <c r="II74" s="65"/>
      <c r="IJ74" s="65"/>
      <c r="IK74" s="65"/>
      <c r="IL74" s="65"/>
      <c r="IM74" s="65"/>
      <c r="IN74" s="65"/>
      <c r="IO74" s="65"/>
      <c r="IP74" s="65"/>
      <c r="IQ74" s="65"/>
      <c r="IR74" s="65"/>
      <c r="IS74" s="65"/>
      <c r="IT74" s="65"/>
      <c r="IU74" s="65"/>
      <c r="IV74" s="65"/>
      <c r="IW74" s="65"/>
      <c r="IX74" s="65"/>
      <c r="IY74" s="65"/>
      <c r="IZ74" s="65"/>
      <c r="JA74" s="65"/>
      <c r="JB74" s="65"/>
      <c r="JC74" s="65"/>
      <c r="JD74" s="65"/>
      <c r="JE74" s="65"/>
      <c r="JF74" s="65"/>
      <c r="JG74" s="65"/>
      <c r="JH74" s="65"/>
      <c r="JI74" s="65"/>
      <c r="JJ74" s="65"/>
      <c r="JK74" s="65"/>
      <c r="JL74" s="65"/>
      <c r="JM74" s="65"/>
      <c r="JN74" s="65"/>
      <c r="JO74" s="65"/>
      <c r="JP74" s="65"/>
      <c r="JQ74" s="65"/>
      <c r="JR74" s="65"/>
      <c r="JS74" s="65"/>
      <c r="JT74" s="65"/>
      <c r="JU74" s="65"/>
      <c r="JV74" s="65"/>
      <c r="JW74" s="65"/>
      <c r="JX74" s="65"/>
      <c r="JY74" s="65"/>
      <c r="JZ74" s="65"/>
      <c r="KA74" s="65"/>
      <c r="KB74" s="65"/>
      <c r="KC74" s="65"/>
      <c r="KD74" s="65"/>
      <c r="KE74" s="65"/>
      <c r="KF74" s="65"/>
      <c r="KG74" s="65"/>
      <c r="KH74" s="65"/>
      <c r="KI74" s="65"/>
      <c r="KJ74" s="65"/>
      <c r="KK74" s="65"/>
      <c r="KL74" s="65"/>
      <c r="KM74" s="65"/>
      <c r="KN74" s="65"/>
      <c r="KO74" s="65"/>
      <c r="KP74" s="65"/>
      <c r="KQ74" s="65"/>
      <c r="KR74" s="65"/>
      <c r="KS74" s="65"/>
      <c r="KT74" s="65"/>
      <c r="KU74" s="65"/>
      <c r="KV74" s="65"/>
      <c r="KW74" s="65"/>
      <c r="KX74" s="65"/>
      <c r="KY74" s="65"/>
      <c r="KZ74" s="65"/>
      <c r="LA74" s="65"/>
      <c r="LB74" s="65"/>
      <c r="LC74" s="65"/>
      <c r="LD74" s="65"/>
      <c r="LE74" s="65"/>
      <c r="LF74" s="65"/>
      <c r="LG74" s="65"/>
      <c r="LH74" s="65"/>
      <c r="LI74" s="65"/>
      <c r="LJ74" s="65"/>
      <c r="LK74" s="65"/>
      <c r="LL74" s="65"/>
      <c r="LM74" s="65"/>
      <c r="LN74" s="65"/>
      <c r="LO74" s="65"/>
      <c r="LP74" s="65"/>
      <c r="LQ74" s="65"/>
      <c r="LR74" s="65"/>
      <c r="LS74" s="65"/>
      <c r="LT74" s="65"/>
      <c r="LU74" s="65"/>
      <c r="LV74" s="65"/>
      <c r="LW74" s="65"/>
      <c r="LX74" s="65"/>
      <c r="LY74" s="65"/>
      <c r="LZ74" s="65"/>
      <c r="MA74" s="65"/>
      <c r="MB74" s="65"/>
      <c r="MC74" s="65"/>
      <c r="MD74" s="65"/>
      <c r="ME74" s="65"/>
      <c r="MF74" s="65"/>
      <c r="MG74" s="65"/>
      <c r="MH74" s="65"/>
      <c r="MI74" s="65"/>
      <c r="MJ74" s="65"/>
      <c r="MK74" s="65"/>
      <c r="ML74" s="65"/>
      <c r="MM74" s="65"/>
      <c r="MN74" s="65"/>
      <c r="MO74" s="65"/>
      <c r="MP74" s="65"/>
      <c r="MQ74" s="65"/>
      <c r="MR74" s="65"/>
      <c r="MS74" s="65"/>
      <c r="MT74" s="65"/>
      <c r="MU74" s="65"/>
      <c r="MV74" s="65"/>
      <c r="MW74" s="65"/>
      <c r="MX74" s="65"/>
      <c r="MY74" s="65"/>
      <c r="MZ74" s="65"/>
      <c r="NA74" s="65"/>
      <c r="NB74" s="65"/>
      <c r="NC74" s="65"/>
      <c r="ND74" s="65"/>
      <c r="NE74" s="65"/>
      <c r="NF74" s="65"/>
      <c r="NG74" s="65"/>
      <c r="NH74" s="65"/>
      <c r="NI74" s="65"/>
      <c r="NJ74" s="65"/>
      <c r="NK74" s="65"/>
      <c r="NL74" s="65"/>
      <c r="NM74" s="65"/>
      <c r="NN74" s="65"/>
      <c r="NO74" s="65"/>
      <c r="NP74" s="65"/>
      <c r="NQ74" s="65"/>
      <c r="NR74" s="65"/>
      <c r="NS74" s="65"/>
      <c r="NT74" s="65"/>
      <c r="NU74" s="65"/>
      <c r="NV74" s="65"/>
      <c r="NW74" s="65"/>
      <c r="NX74" s="65"/>
      <c r="NY74" s="65"/>
      <c r="NZ74" s="65"/>
      <c r="OA74" s="65"/>
      <c r="OB74" s="65"/>
      <c r="OC74" s="65"/>
      <c r="OD74" s="65"/>
      <c r="OE74" s="65"/>
      <c r="OF74" s="65"/>
      <c r="OG74" s="65"/>
      <c r="OH74" s="65"/>
      <c r="OI74" s="65"/>
      <c r="OJ74" s="65"/>
      <c r="OK74" s="65"/>
      <c r="OL74" s="65"/>
      <c r="OM74" s="65"/>
      <c r="ON74" s="65"/>
      <c r="OO74" s="65"/>
      <c r="OP74" s="65"/>
      <c r="OQ74" s="65"/>
      <c r="OR74" s="65"/>
      <c r="OS74" s="65"/>
    </row>
    <row r="75" spans="1:409">
      <c r="A75" s="64"/>
      <c r="B75" s="64"/>
      <c r="C75" s="64"/>
      <c r="D75" s="64"/>
      <c r="E75" s="64"/>
      <c r="F75" s="64"/>
      <c r="G75" s="64"/>
      <c r="H75" s="64"/>
      <c r="I75" s="64"/>
      <c r="J75" s="64"/>
      <c r="K75" s="64"/>
      <c r="L75" s="64"/>
      <c r="M75" s="64"/>
      <c r="N75" s="64"/>
      <c r="O75" s="64"/>
      <c r="P75" s="64"/>
      <c r="Q75" s="64"/>
      <c r="R75" s="64"/>
      <c r="S75" s="64"/>
      <c r="T75" s="64"/>
      <c r="U75" s="64"/>
      <c r="V75" s="64"/>
      <c r="W75" s="64"/>
      <c r="X75" s="64"/>
      <c r="Y75" s="64"/>
      <c r="Z75" s="64"/>
      <c r="AA75" s="64"/>
      <c r="AB75" s="64"/>
      <c r="AC75" s="64"/>
      <c r="AD75" s="64"/>
      <c r="AE75" s="64"/>
      <c r="AF75" s="64"/>
      <c r="AG75" s="64"/>
      <c r="AH75" s="64"/>
      <c r="AI75" s="64"/>
      <c r="AJ75" s="64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4"/>
      <c r="BJ75" s="64"/>
      <c r="BK75" s="64"/>
      <c r="BL75" s="64"/>
      <c r="BM75" s="64"/>
      <c r="BN75" s="64"/>
      <c r="BO75" s="64"/>
      <c r="BP75" s="64"/>
      <c r="BQ75" s="64"/>
      <c r="BR75" s="64"/>
      <c r="BS75" s="64"/>
      <c r="BT75" s="64"/>
      <c r="BU75" s="64"/>
      <c r="BV75" s="64"/>
      <c r="BW75" s="64"/>
      <c r="BX75" s="64"/>
      <c r="BY75" s="64"/>
      <c r="BZ75" s="64"/>
      <c r="CA75" s="64"/>
      <c r="CB75" s="64"/>
      <c r="CC75" s="64"/>
      <c r="CD75" s="64"/>
      <c r="CE75" s="64"/>
      <c r="CF75" s="64"/>
      <c r="CG75" s="64"/>
      <c r="CH75" s="64"/>
      <c r="CI75" s="64"/>
      <c r="CJ75" s="64"/>
      <c r="CK75" s="64"/>
      <c r="CL75" s="64"/>
      <c r="CM75" s="64"/>
      <c r="CN75" s="64"/>
      <c r="CO75" s="64"/>
      <c r="CP75" s="64"/>
      <c r="CQ75" s="64"/>
      <c r="CR75" s="64"/>
      <c r="CS75" s="64"/>
      <c r="CT75" s="64"/>
      <c r="CU75" s="64"/>
      <c r="CV75" s="64"/>
      <c r="CW75" s="64"/>
      <c r="CX75" s="64"/>
      <c r="CY75" s="64"/>
      <c r="CZ75" s="64"/>
      <c r="DA75" s="64"/>
      <c r="DB75" s="64"/>
      <c r="DC75" s="64"/>
      <c r="DD75" s="64"/>
      <c r="DE75" s="64"/>
      <c r="DF75" s="64"/>
      <c r="DG75" s="64"/>
      <c r="DH75" s="64"/>
      <c r="DI75" s="64"/>
      <c r="DJ75" s="64"/>
      <c r="DK75" s="64"/>
      <c r="DL75" s="64"/>
      <c r="DM75" s="64"/>
      <c r="DN75" s="64"/>
      <c r="DO75" s="64"/>
      <c r="DP75" s="64"/>
      <c r="DQ75" s="64"/>
      <c r="DR75" s="64"/>
      <c r="DS75" s="64"/>
      <c r="DT75" s="64"/>
      <c r="DU75" s="64"/>
      <c r="DV75" s="64"/>
      <c r="DW75" s="64"/>
      <c r="DX75" s="64"/>
      <c r="DY75" s="64"/>
      <c r="DZ75" s="64"/>
      <c r="EA75" s="64"/>
      <c r="EB75" s="64"/>
      <c r="EC75" s="64"/>
      <c r="ED75" s="64"/>
      <c r="EE75" s="64"/>
      <c r="EF75" s="64"/>
      <c r="EG75" s="64"/>
      <c r="EH75" s="64"/>
      <c r="EI75" s="64"/>
      <c r="EJ75" s="64"/>
      <c r="EK75" s="64"/>
      <c r="EL75" s="64"/>
      <c r="EM75" s="64"/>
      <c r="EN75" s="64"/>
      <c r="EO75" s="64"/>
      <c r="EP75" s="64"/>
      <c r="EQ75" s="64"/>
      <c r="ER75" s="64"/>
      <c r="ES75" s="64"/>
      <c r="ET75" s="64"/>
      <c r="EU75" s="64"/>
      <c r="EV75" s="64"/>
      <c r="EW75" s="64"/>
      <c r="EX75" s="64"/>
      <c r="EY75" s="64"/>
      <c r="EZ75" s="64"/>
      <c r="FA75" s="64"/>
      <c r="FB75" s="64"/>
      <c r="FC75" s="64"/>
      <c r="FD75" s="64"/>
      <c r="FE75" s="64"/>
      <c r="FF75" s="64"/>
      <c r="FG75" s="64"/>
      <c r="FH75" s="64"/>
      <c r="FI75" s="64"/>
      <c r="FJ75" s="64"/>
      <c r="FK75" s="64"/>
      <c r="FL75" s="64"/>
      <c r="FM75" s="64"/>
      <c r="FN75" s="64"/>
      <c r="FO75" s="64"/>
      <c r="FP75" s="64"/>
      <c r="FQ75" s="64"/>
      <c r="FR75" s="64"/>
      <c r="FS75" s="64"/>
      <c r="FT75" s="64"/>
      <c r="FU75" s="64"/>
      <c r="FV75" s="64"/>
      <c r="FW75" s="64"/>
      <c r="FX75" s="64"/>
      <c r="FY75" s="64"/>
      <c r="FZ75" s="64"/>
      <c r="GA75" s="64"/>
      <c r="GB75" s="64"/>
      <c r="GC75" s="64"/>
      <c r="GD75" s="64"/>
      <c r="GE75" s="64"/>
      <c r="GF75" s="64"/>
      <c r="GG75" s="64"/>
      <c r="GH75" s="64"/>
      <c r="GI75" s="64"/>
      <c r="GJ75" s="64"/>
      <c r="GK75" s="64"/>
      <c r="GL75" s="64"/>
      <c r="GM75" s="64"/>
      <c r="GN75" s="64"/>
      <c r="GO75" s="64"/>
      <c r="GP75" s="64"/>
      <c r="GQ75" s="64"/>
      <c r="GR75" s="64"/>
      <c r="GS75" s="64"/>
      <c r="GT75" s="64"/>
      <c r="GU75" s="64"/>
      <c r="GV75" s="64"/>
      <c r="GW75" s="64"/>
      <c r="GX75" s="64"/>
      <c r="GY75" s="64"/>
      <c r="GZ75" s="64"/>
      <c r="HA75" s="64"/>
      <c r="HB75" s="64"/>
      <c r="HC75" s="64"/>
      <c r="HD75" s="64"/>
      <c r="HE75" s="64"/>
      <c r="HF75" s="64"/>
      <c r="HG75" s="64"/>
      <c r="HH75" s="64"/>
      <c r="HI75" s="64"/>
      <c r="HJ75" s="64"/>
      <c r="HK75" s="64"/>
      <c r="HL75" s="64"/>
      <c r="HM75" s="64"/>
      <c r="HN75" s="64"/>
      <c r="HO75" s="64"/>
      <c r="HP75" s="64"/>
      <c r="HQ75" s="64"/>
      <c r="HR75" s="64"/>
      <c r="HS75" s="64"/>
      <c r="HT75" s="64"/>
      <c r="HU75" s="64"/>
      <c r="HV75" s="64"/>
      <c r="HW75" s="64"/>
      <c r="HX75" s="64"/>
      <c r="HY75" s="64"/>
      <c r="HZ75" s="64"/>
      <c r="IA75" s="64"/>
      <c r="IB75" s="64"/>
      <c r="IC75" s="64"/>
      <c r="ID75" s="64"/>
      <c r="IE75" s="64"/>
      <c r="IF75" s="64"/>
      <c r="IG75" s="64"/>
      <c r="IH75" s="64"/>
      <c r="II75" s="64"/>
      <c r="IJ75" s="64"/>
      <c r="IK75" s="64"/>
      <c r="IL75" s="64"/>
      <c r="IM75" s="64"/>
      <c r="IN75" s="64"/>
      <c r="IO75" s="64"/>
      <c r="IP75" s="64"/>
      <c r="IQ75" s="64"/>
      <c r="IR75" s="64"/>
      <c r="IS75" s="64"/>
      <c r="IT75" s="64"/>
      <c r="IU75" s="64"/>
      <c r="IV75" s="64"/>
      <c r="IW75" s="64"/>
      <c r="IX75" s="64"/>
      <c r="IY75" s="64"/>
      <c r="IZ75" s="64"/>
      <c r="JA75" s="64"/>
      <c r="JB75" s="64"/>
      <c r="JC75" s="64"/>
      <c r="JD75" s="64"/>
      <c r="JE75" s="64"/>
      <c r="JF75" s="64"/>
      <c r="JG75" s="64"/>
      <c r="JH75" s="64"/>
      <c r="JI75" s="64"/>
      <c r="JJ75" s="64"/>
      <c r="JK75" s="64"/>
      <c r="JL75" s="64"/>
      <c r="JM75" s="64"/>
      <c r="JN75" s="64"/>
      <c r="JO75" s="64"/>
      <c r="JP75" s="64"/>
      <c r="JQ75" s="64"/>
      <c r="JR75" s="64"/>
      <c r="JS75" s="64"/>
      <c r="JT75" s="64"/>
      <c r="JU75" s="64"/>
      <c r="JV75" s="64"/>
      <c r="JW75" s="64"/>
      <c r="JX75" s="64"/>
      <c r="JY75" s="64"/>
      <c r="JZ75" s="64"/>
      <c r="KA75" s="64"/>
      <c r="KB75" s="64"/>
      <c r="KC75" s="64"/>
      <c r="KD75" s="64"/>
      <c r="KE75" s="64"/>
      <c r="KF75" s="64"/>
      <c r="KG75" s="64"/>
      <c r="KH75" s="64"/>
      <c r="KI75" s="64"/>
      <c r="KJ75" s="64"/>
      <c r="KK75" s="64"/>
      <c r="KL75" s="64"/>
      <c r="KM75" s="64"/>
      <c r="KN75" s="64"/>
      <c r="KO75" s="64"/>
      <c r="KP75" s="64"/>
      <c r="KQ75" s="64"/>
      <c r="KR75" s="64"/>
      <c r="KS75" s="64"/>
      <c r="KT75" s="64"/>
      <c r="KU75" s="64"/>
      <c r="KV75" s="64"/>
      <c r="KW75" s="64"/>
      <c r="KX75" s="64"/>
      <c r="KY75" s="64"/>
      <c r="KZ75" s="64"/>
      <c r="LA75" s="64"/>
      <c r="LB75" s="64"/>
      <c r="LC75" s="64"/>
      <c r="LD75" s="64"/>
      <c r="LE75" s="64"/>
      <c r="LF75" s="64"/>
      <c r="LG75" s="64"/>
      <c r="LH75" s="64"/>
      <c r="LI75" s="64"/>
      <c r="LJ75" s="64"/>
      <c r="LK75" s="64"/>
      <c r="LL75" s="64"/>
      <c r="LM75" s="64"/>
      <c r="LN75" s="64"/>
      <c r="LO75" s="64"/>
      <c r="LP75" s="64"/>
      <c r="LQ75" s="64"/>
      <c r="LR75" s="64"/>
      <c r="LS75" s="64"/>
      <c r="LT75" s="64"/>
      <c r="LU75" s="64"/>
      <c r="LV75" s="64"/>
      <c r="LW75" s="64"/>
      <c r="LX75" s="64"/>
      <c r="LY75" s="64"/>
      <c r="LZ75" s="64"/>
      <c r="MA75" s="64"/>
      <c r="MB75" s="64"/>
      <c r="MC75" s="64"/>
      <c r="MD75" s="64"/>
      <c r="ME75" s="64"/>
      <c r="MF75" s="64"/>
      <c r="MG75" s="64"/>
      <c r="MH75" s="64"/>
      <c r="MI75" s="64"/>
      <c r="MJ75" s="64"/>
      <c r="MK75" s="64"/>
      <c r="ML75" s="64"/>
      <c r="MM75" s="64"/>
      <c r="MN75" s="64"/>
      <c r="MO75" s="64"/>
      <c r="MP75" s="64"/>
      <c r="MQ75" s="64"/>
      <c r="MR75" s="64"/>
      <c r="MS75" s="64"/>
      <c r="MT75" s="64"/>
      <c r="MU75" s="64"/>
      <c r="MV75" s="64"/>
      <c r="MW75" s="64"/>
      <c r="MX75" s="64"/>
      <c r="MY75" s="64"/>
      <c r="MZ75" s="64"/>
      <c r="NA75" s="64"/>
      <c r="NB75" s="64"/>
      <c r="NC75" s="64"/>
      <c r="ND75" s="64"/>
      <c r="NE75" s="64"/>
      <c r="NF75" s="64"/>
      <c r="NG75" s="64"/>
      <c r="NH75" s="64"/>
      <c r="NI75" s="64"/>
      <c r="NJ75" s="64"/>
      <c r="NK75" s="64"/>
      <c r="NL75" s="64"/>
      <c r="NM75" s="64"/>
      <c r="NN75" s="64"/>
      <c r="NO75" s="64"/>
      <c r="NP75" s="64"/>
      <c r="NQ75" s="64"/>
      <c r="NR75" s="64"/>
      <c r="NS75" s="64"/>
      <c r="NT75" s="64"/>
      <c r="NU75" s="64"/>
      <c r="NV75" s="64"/>
      <c r="NW75" s="64"/>
      <c r="NX75" s="64"/>
      <c r="NY75" s="64"/>
      <c r="NZ75" s="64"/>
      <c r="OA75" s="64"/>
      <c r="OB75" s="64"/>
      <c r="OC75" s="64"/>
      <c r="OD75" s="64"/>
      <c r="OE75" s="64"/>
      <c r="OF75" s="64"/>
      <c r="OG75" s="64"/>
      <c r="OH75" s="64"/>
      <c r="OI75" s="64"/>
      <c r="OJ75" s="64"/>
      <c r="OK75" s="64"/>
      <c r="OL75" s="64"/>
      <c r="OM75" s="64"/>
      <c r="ON75" s="64"/>
      <c r="OO75" s="64"/>
      <c r="OP75" s="64"/>
      <c r="OQ75" s="64"/>
      <c r="OR75" s="64"/>
      <c r="OS75" s="64"/>
    </row>
    <row r="76" spans="1:409">
      <c r="A76" s="65"/>
      <c r="B76" s="65"/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H76" s="65"/>
      <c r="AI76" s="65"/>
      <c r="AJ76" s="65"/>
      <c r="AK76" s="65"/>
      <c r="AL76" s="65"/>
      <c r="AM76" s="65"/>
      <c r="AN76" s="65"/>
      <c r="AO76" s="65"/>
      <c r="AP76" s="65"/>
      <c r="AQ76" s="65"/>
      <c r="AR76" s="65"/>
      <c r="AS76" s="65"/>
      <c r="AT76" s="65"/>
      <c r="AU76" s="65"/>
      <c r="AV76" s="65"/>
      <c r="AW76" s="65"/>
      <c r="AX76" s="65"/>
      <c r="AY76" s="65"/>
      <c r="AZ76" s="65"/>
      <c r="BA76" s="65"/>
      <c r="BB76" s="65"/>
      <c r="BC76" s="65"/>
      <c r="BD76" s="65"/>
      <c r="BE76" s="65"/>
      <c r="BF76" s="65"/>
      <c r="BG76" s="65"/>
      <c r="BH76" s="65"/>
      <c r="BI76" s="65"/>
      <c r="BJ76" s="65"/>
      <c r="BK76" s="65"/>
      <c r="BL76" s="65"/>
      <c r="BM76" s="65"/>
      <c r="BN76" s="65"/>
      <c r="BO76" s="65"/>
      <c r="BP76" s="65"/>
      <c r="BQ76" s="65"/>
      <c r="BR76" s="65"/>
      <c r="BS76" s="65"/>
      <c r="BT76" s="65"/>
      <c r="BU76" s="65"/>
      <c r="BV76" s="65"/>
      <c r="BW76" s="65"/>
      <c r="BX76" s="65"/>
      <c r="BY76" s="65"/>
      <c r="BZ76" s="65"/>
      <c r="CA76" s="65"/>
      <c r="CB76" s="65"/>
      <c r="CC76" s="65"/>
      <c r="CD76" s="65"/>
      <c r="CE76" s="65"/>
      <c r="CF76" s="65"/>
      <c r="CG76" s="65"/>
      <c r="CH76" s="65"/>
      <c r="CI76" s="65"/>
      <c r="CJ76" s="65"/>
      <c r="CK76" s="65"/>
      <c r="CL76" s="65"/>
      <c r="CM76" s="65"/>
      <c r="CN76" s="65"/>
      <c r="CO76" s="65"/>
      <c r="CP76" s="65"/>
      <c r="CQ76" s="65"/>
      <c r="CR76" s="65"/>
      <c r="CS76" s="65"/>
      <c r="CT76" s="65"/>
      <c r="CU76" s="65"/>
      <c r="CV76" s="65"/>
      <c r="CW76" s="65"/>
      <c r="CX76" s="65"/>
      <c r="CY76" s="65"/>
      <c r="CZ76" s="65"/>
      <c r="DA76" s="65"/>
      <c r="DB76" s="65"/>
      <c r="DC76" s="65"/>
      <c r="DD76" s="65"/>
      <c r="DE76" s="65"/>
      <c r="DF76" s="65"/>
      <c r="DG76" s="65"/>
      <c r="DH76" s="65"/>
      <c r="DI76" s="65"/>
      <c r="DJ76" s="65"/>
      <c r="DK76" s="65"/>
      <c r="DL76" s="65"/>
      <c r="DM76" s="65"/>
      <c r="DN76" s="65"/>
      <c r="DO76" s="65"/>
      <c r="DP76" s="65"/>
      <c r="DQ76" s="65"/>
      <c r="DR76" s="65"/>
      <c r="DS76" s="65"/>
      <c r="DT76" s="65"/>
      <c r="DU76" s="65"/>
      <c r="DV76" s="65"/>
      <c r="DW76" s="65"/>
      <c r="DX76" s="65"/>
      <c r="DY76" s="65"/>
      <c r="DZ76" s="65"/>
      <c r="EA76" s="65"/>
      <c r="EB76" s="65"/>
      <c r="EC76" s="65"/>
      <c r="ED76" s="65"/>
      <c r="EE76" s="65"/>
      <c r="EF76" s="65"/>
      <c r="EG76" s="65"/>
      <c r="EH76" s="65"/>
      <c r="EI76" s="65"/>
      <c r="EJ76" s="65"/>
      <c r="EK76" s="65"/>
      <c r="EL76" s="65"/>
      <c r="EM76" s="65"/>
      <c r="EN76" s="65"/>
      <c r="EO76" s="65"/>
      <c r="EP76" s="65"/>
      <c r="EQ76" s="65"/>
      <c r="ER76" s="65"/>
      <c r="ES76" s="65"/>
      <c r="ET76" s="65"/>
      <c r="EU76" s="65"/>
      <c r="EV76" s="65"/>
      <c r="EW76" s="65"/>
      <c r="EX76" s="65"/>
      <c r="EY76" s="65"/>
      <c r="EZ76" s="65"/>
      <c r="FA76" s="65"/>
      <c r="FB76" s="65"/>
      <c r="FC76" s="65"/>
      <c r="FD76" s="65"/>
      <c r="FE76" s="65"/>
      <c r="FF76" s="65"/>
      <c r="FG76" s="65"/>
      <c r="FH76" s="65"/>
      <c r="FI76" s="65"/>
      <c r="FJ76" s="65"/>
      <c r="FK76" s="65"/>
      <c r="FL76" s="65"/>
      <c r="FM76" s="65"/>
      <c r="FN76" s="65"/>
      <c r="FO76" s="65"/>
      <c r="FP76" s="65"/>
      <c r="FQ76" s="65"/>
      <c r="FR76" s="65"/>
      <c r="FS76" s="65"/>
      <c r="FT76" s="65"/>
      <c r="FU76" s="65"/>
      <c r="FV76" s="65"/>
      <c r="FW76" s="65"/>
      <c r="FX76" s="65"/>
      <c r="FY76" s="65"/>
      <c r="FZ76" s="65"/>
      <c r="GA76" s="65"/>
      <c r="GB76" s="65"/>
      <c r="GC76" s="65"/>
      <c r="GD76" s="65"/>
      <c r="GE76" s="65"/>
      <c r="GF76" s="65"/>
      <c r="GG76" s="65"/>
      <c r="GH76" s="65"/>
      <c r="GI76" s="65"/>
      <c r="GJ76" s="65"/>
      <c r="GK76" s="65"/>
      <c r="GL76" s="65"/>
      <c r="GM76" s="65"/>
      <c r="GN76" s="65"/>
      <c r="GO76" s="65"/>
      <c r="GP76" s="65"/>
      <c r="GQ76" s="65"/>
      <c r="GR76" s="65"/>
      <c r="GS76" s="65"/>
      <c r="GT76" s="65"/>
      <c r="GU76" s="65"/>
      <c r="GV76" s="65"/>
      <c r="GW76" s="65"/>
      <c r="GX76" s="65"/>
      <c r="GY76" s="65"/>
      <c r="GZ76" s="65"/>
      <c r="HA76" s="65"/>
      <c r="HB76" s="65"/>
      <c r="HC76" s="65"/>
      <c r="HD76" s="65"/>
      <c r="HE76" s="65"/>
      <c r="HF76" s="65"/>
      <c r="HG76" s="65"/>
      <c r="HH76" s="65"/>
      <c r="HI76" s="65"/>
      <c r="HJ76" s="65"/>
      <c r="HK76" s="65"/>
      <c r="HL76" s="65"/>
      <c r="HM76" s="65"/>
      <c r="HN76" s="65"/>
      <c r="HO76" s="65"/>
      <c r="HP76" s="65"/>
      <c r="HQ76" s="65"/>
      <c r="HR76" s="65"/>
      <c r="HS76" s="65"/>
      <c r="HT76" s="65"/>
      <c r="HU76" s="65"/>
      <c r="HV76" s="65"/>
      <c r="HW76" s="65"/>
      <c r="HX76" s="65"/>
      <c r="HY76" s="65"/>
      <c r="HZ76" s="65"/>
      <c r="IA76" s="65"/>
      <c r="IB76" s="65"/>
      <c r="IC76" s="65"/>
      <c r="ID76" s="65"/>
      <c r="IE76" s="65"/>
      <c r="IF76" s="65"/>
      <c r="IG76" s="65"/>
      <c r="IH76" s="65"/>
      <c r="II76" s="65"/>
      <c r="IJ76" s="65"/>
      <c r="IK76" s="65"/>
      <c r="IL76" s="65"/>
      <c r="IM76" s="65"/>
      <c r="IN76" s="65"/>
      <c r="IO76" s="65"/>
      <c r="IP76" s="65"/>
      <c r="IQ76" s="65"/>
      <c r="IR76" s="65"/>
      <c r="IS76" s="65"/>
      <c r="IT76" s="65"/>
      <c r="IU76" s="65"/>
      <c r="IV76" s="65"/>
      <c r="IW76" s="65"/>
      <c r="IX76" s="65"/>
      <c r="IY76" s="65"/>
      <c r="IZ76" s="65"/>
      <c r="JA76" s="65"/>
      <c r="JB76" s="65"/>
      <c r="JC76" s="65"/>
      <c r="JD76" s="65"/>
      <c r="JE76" s="65"/>
      <c r="JF76" s="65"/>
      <c r="JG76" s="65"/>
      <c r="JH76" s="65"/>
      <c r="JI76" s="65"/>
      <c r="JJ76" s="65"/>
      <c r="JK76" s="65"/>
      <c r="JL76" s="65"/>
      <c r="JM76" s="65"/>
      <c r="JN76" s="65"/>
      <c r="JO76" s="65"/>
      <c r="JP76" s="65"/>
      <c r="JQ76" s="65"/>
      <c r="JR76" s="65"/>
      <c r="JS76" s="65"/>
      <c r="JT76" s="65"/>
      <c r="JU76" s="65"/>
      <c r="JV76" s="65"/>
      <c r="JW76" s="65"/>
      <c r="JX76" s="65"/>
      <c r="JY76" s="65"/>
      <c r="JZ76" s="65"/>
      <c r="KA76" s="65"/>
      <c r="KB76" s="65"/>
      <c r="KC76" s="65"/>
      <c r="KD76" s="65"/>
      <c r="KE76" s="65"/>
      <c r="KF76" s="65"/>
      <c r="KG76" s="65"/>
      <c r="KH76" s="65"/>
      <c r="KI76" s="65"/>
      <c r="KJ76" s="65"/>
      <c r="KK76" s="65"/>
      <c r="KL76" s="65"/>
      <c r="KM76" s="65"/>
      <c r="KN76" s="65"/>
      <c r="KO76" s="65"/>
      <c r="KP76" s="65"/>
      <c r="KQ76" s="65"/>
      <c r="KR76" s="65"/>
      <c r="KS76" s="65"/>
      <c r="KT76" s="65"/>
      <c r="KU76" s="65"/>
      <c r="KV76" s="65"/>
      <c r="KW76" s="65"/>
      <c r="KX76" s="65"/>
      <c r="KY76" s="65"/>
      <c r="KZ76" s="65"/>
      <c r="LA76" s="65"/>
      <c r="LB76" s="65"/>
      <c r="LC76" s="65"/>
      <c r="LD76" s="65"/>
      <c r="LE76" s="65"/>
      <c r="LF76" s="65"/>
      <c r="LG76" s="65"/>
      <c r="LH76" s="65"/>
      <c r="LI76" s="65"/>
      <c r="LJ76" s="65"/>
      <c r="LK76" s="65"/>
      <c r="LL76" s="65"/>
      <c r="LM76" s="65"/>
      <c r="LN76" s="65"/>
      <c r="LO76" s="65"/>
      <c r="LP76" s="65"/>
      <c r="LQ76" s="65"/>
      <c r="LR76" s="65"/>
      <c r="LS76" s="65"/>
      <c r="LT76" s="65"/>
      <c r="LU76" s="65"/>
      <c r="LV76" s="65"/>
      <c r="LW76" s="65"/>
      <c r="LX76" s="65"/>
      <c r="LY76" s="65"/>
      <c r="LZ76" s="65"/>
      <c r="MA76" s="65"/>
      <c r="MB76" s="65"/>
      <c r="MC76" s="65"/>
      <c r="MD76" s="65"/>
      <c r="ME76" s="65"/>
      <c r="MF76" s="65"/>
      <c r="MG76" s="65"/>
      <c r="MH76" s="65"/>
      <c r="MI76" s="65"/>
      <c r="MJ76" s="65"/>
      <c r="MK76" s="65"/>
      <c r="ML76" s="65"/>
      <c r="MM76" s="65"/>
      <c r="MN76" s="65"/>
      <c r="MO76" s="65"/>
      <c r="MP76" s="65"/>
      <c r="MQ76" s="65"/>
      <c r="MR76" s="65"/>
      <c r="MS76" s="65"/>
      <c r="MT76" s="65"/>
      <c r="MU76" s="65"/>
      <c r="MV76" s="65"/>
      <c r="MW76" s="65"/>
      <c r="MX76" s="65"/>
      <c r="MY76" s="65"/>
      <c r="MZ76" s="65"/>
      <c r="NA76" s="65"/>
      <c r="NB76" s="65"/>
      <c r="NC76" s="65"/>
      <c r="ND76" s="65"/>
      <c r="NE76" s="65"/>
      <c r="NF76" s="65"/>
      <c r="NG76" s="65"/>
      <c r="NH76" s="65"/>
      <c r="NI76" s="65"/>
      <c r="NJ76" s="65"/>
      <c r="NK76" s="65"/>
      <c r="NL76" s="65"/>
      <c r="NM76" s="65"/>
      <c r="NN76" s="65"/>
      <c r="NO76" s="65"/>
      <c r="NP76" s="65"/>
      <c r="NQ76" s="65"/>
      <c r="NR76" s="65"/>
      <c r="NS76" s="65"/>
      <c r="NT76" s="65"/>
      <c r="NU76" s="65"/>
      <c r="NV76" s="65"/>
      <c r="NW76" s="65"/>
      <c r="NX76" s="65"/>
      <c r="NY76" s="65"/>
      <c r="NZ76" s="65"/>
      <c r="OA76" s="65"/>
      <c r="OB76" s="65"/>
      <c r="OC76" s="65"/>
      <c r="OD76" s="65"/>
      <c r="OE76" s="65"/>
      <c r="OF76" s="65"/>
      <c r="OG76" s="65"/>
      <c r="OH76" s="65"/>
      <c r="OI76" s="65"/>
      <c r="OJ76" s="65"/>
      <c r="OK76" s="65"/>
      <c r="OL76" s="65"/>
      <c r="OM76" s="65"/>
      <c r="ON76" s="65"/>
      <c r="OO76" s="65"/>
      <c r="OP76" s="65"/>
      <c r="OQ76" s="65"/>
      <c r="OR76" s="65"/>
      <c r="OS76" s="65"/>
    </row>
    <row r="77" spans="1:409">
      <c r="A77" s="64"/>
      <c r="B77" s="64"/>
      <c r="C77" s="64"/>
      <c r="D77" s="64"/>
      <c r="E77" s="64"/>
      <c r="F77" s="64"/>
      <c r="G77" s="64"/>
      <c r="H77" s="64"/>
      <c r="I77" s="64"/>
      <c r="J77" s="64"/>
      <c r="K77" s="64"/>
      <c r="L77" s="64"/>
      <c r="M77" s="64"/>
      <c r="N77" s="64"/>
      <c r="O77" s="64"/>
      <c r="P77" s="64"/>
      <c r="Q77" s="64"/>
      <c r="R77" s="64"/>
      <c r="S77" s="64"/>
      <c r="T77" s="64"/>
      <c r="U77" s="64"/>
      <c r="V77" s="64"/>
      <c r="W77" s="64"/>
      <c r="X77" s="64"/>
      <c r="Y77" s="64"/>
      <c r="Z77" s="64"/>
      <c r="AA77" s="64"/>
      <c r="AB77" s="64"/>
      <c r="AC77" s="64"/>
      <c r="AD77" s="64"/>
      <c r="AE77" s="64"/>
      <c r="AF77" s="64"/>
      <c r="AG77" s="64"/>
      <c r="AH77" s="64"/>
      <c r="AI77" s="64"/>
      <c r="AJ77" s="64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C77" s="64"/>
      <c r="BD77" s="64"/>
      <c r="BE77" s="64"/>
      <c r="BF77" s="64"/>
      <c r="BG77" s="64"/>
      <c r="BH77" s="64"/>
      <c r="BI77" s="64"/>
      <c r="BJ77" s="64"/>
      <c r="BK77" s="64"/>
      <c r="BL77" s="64"/>
      <c r="BM77" s="64"/>
      <c r="BN77" s="64"/>
      <c r="BO77" s="64"/>
      <c r="BP77" s="64"/>
      <c r="BQ77" s="64"/>
      <c r="BR77" s="64"/>
      <c r="BS77" s="64"/>
      <c r="BT77" s="64"/>
      <c r="BU77" s="64"/>
      <c r="BV77" s="64"/>
      <c r="BW77" s="64"/>
      <c r="BX77" s="64"/>
      <c r="BY77" s="64"/>
      <c r="BZ77" s="64"/>
      <c r="CA77" s="64"/>
      <c r="CB77" s="64"/>
      <c r="CC77" s="64"/>
      <c r="CD77" s="64"/>
      <c r="CE77" s="64"/>
      <c r="CF77" s="64"/>
      <c r="CG77" s="64"/>
      <c r="CH77" s="64"/>
      <c r="CI77" s="64"/>
      <c r="CJ77" s="64"/>
      <c r="CK77" s="64"/>
      <c r="CL77" s="64"/>
      <c r="CM77" s="64"/>
      <c r="CN77" s="64"/>
      <c r="CO77" s="64"/>
      <c r="CP77" s="64"/>
      <c r="CQ77" s="64"/>
      <c r="CR77" s="64"/>
      <c r="CS77" s="64"/>
      <c r="CT77" s="64"/>
      <c r="CU77" s="64"/>
      <c r="CV77" s="64"/>
      <c r="CW77" s="64"/>
      <c r="CX77" s="64"/>
      <c r="CY77" s="64"/>
      <c r="CZ77" s="64"/>
      <c r="DA77" s="64"/>
      <c r="DB77" s="64"/>
      <c r="DC77" s="64"/>
      <c r="DD77" s="64"/>
      <c r="DE77" s="64"/>
      <c r="DF77" s="64"/>
      <c r="DG77" s="64"/>
      <c r="DH77" s="64"/>
      <c r="DI77" s="64"/>
      <c r="DJ77" s="64"/>
      <c r="DK77" s="64"/>
      <c r="DL77" s="64"/>
      <c r="DM77" s="64"/>
      <c r="DN77" s="64"/>
      <c r="DO77" s="64"/>
      <c r="DP77" s="64"/>
      <c r="DQ77" s="64"/>
      <c r="DR77" s="64"/>
      <c r="DS77" s="64"/>
      <c r="DT77" s="64"/>
      <c r="DU77" s="64"/>
      <c r="DV77" s="64"/>
      <c r="DW77" s="64"/>
      <c r="DX77" s="64"/>
      <c r="DY77" s="64"/>
      <c r="DZ77" s="64"/>
      <c r="EA77" s="64"/>
      <c r="EB77" s="64"/>
      <c r="EC77" s="64"/>
      <c r="ED77" s="64"/>
      <c r="EE77" s="64"/>
      <c r="EF77" s="64"/>
      <c r="EG77" s="64"/>
      <c r="EH77" s="64"/>
      <c r="EI77" s="64"/>
      <c r="EJ77" s="64"/>
      <c r="EK77" s="64"/>
      <c r="EL77" s="64"/>
      <c r="EM77" s="64"/>
      <c r="EN77" s="64"/>
      <c r="EO77" s="64"/>
      <c r="EP77" s="64"/>
      <c r="EQ77" s="64"/>
      <c r="ER77" s="64"/>
      <c r="ES77" s="64"/>
      <c r="ET77" s="64"/>
      <c r="EU77" s="64"/>
      <c r="EV77" s="64"/>
      <c r="EW77" s="64"/>
      <c r="EX77" s="64"/>
      <c r="EY77" s="64"/>
      <c r="EZ77" s="64"/>
      <c r="FA77" s="64"/>
      <c r="FB77" s="64"/>
      <c r="FC77" s="64"/>
      <c r="FD77" s="64"/>
      <c r="FE77" s="64"/>
      <c r="FF77" s="64"/>
      <c r="FG77" s="64"/>
      <c r="FH77" s="64"/>
      <c r="FI77" s="64"/>
      <c r="FJ77" s="64"/>
      <c r="FK77" s="64"/>
      <c r="FL77" s="64"/>
      <c r="FM77" s="64"/>
      <c r="FN77" s="64"/>
      <c r="FO77" s="64"/>
      <c r="FP77" s="64"/>
      <c r="FQ77" s="64"/>
      <c r="FR77" s="64"/>
      <c r="FS77" s="64"/>
      <c r="FT77" s="64"/>
      <c r="FU77" s="64"/>
      <c r="FV77" s="64"/>
      <c r="FW77" s="64"/>
      <c r="FX77" s="64"/>
      <c r="FY77" s="64"/>
      <c r="FZ77" s="64"/>
      <c r="GA77" s="64"/>
      <c r="GB77" s="64"/>
      <c r="GC77" s="64"/>
      <c r="GD77" s="64"/>
      <c r="GE77" s="64"/>
      <c r="GF77" s="64"/>
      <c r="GG77" s="64"/>
      <c r="GH77" s="64"/>
      <c r="GI77" s="64"/>
      <c r="GJ77" s="64"/>
      <c r="GK77" s="64"/>
      <c r="GL77" s="64"/>
      <c r="GM77" s="64"/>
      <c r="GN77" s="64"/>
      <c r="GO77" s="64"/>
      <c r="GP77" s="64"/>
      <c r="GQ77" s="64"/>
      <c r="GR77" s="64"/>
      <c r="GS77" s="64"/>
      <c r="GT77" s="64"/>
      <c r="GU77" s="64"/>
      <c r="GV77" s="64"/>
      <c r="GW77" s="64"/>
      <c r="GX77" s="64"/>
      <c r="GY77" s="64"/>
      <c r="GZ77" s="64"/>
      <c r="HA77" s="64"/>
      <c r="HB77" s="64"/>
      <c r="HC77" s="64"/>
      <c r="HD77" s="64"/>
      <c r="HE77" s="64"/>
      <c r="HF77" s="64"/>
      <c r="HG77" s="64"/>
      <c r="HH77" s="64"/>
      <c r="HI77" s="64"/>
      <c r="HJ77" s="64"/>
      <c r="HK77" s="64"/>
      <c r="HL77" s="64"/>
      <c r="HM77" s="64"/>
      <c r="HN77" s="64"/>
      <c r="HO77" s="64"/>
      <c r="HP77" s="64"/>
      <c r="HQ77" s="64"/>
      <c r="HR77" s="64"/>
      <c r="HS77" s="64"/>
      <c r="HT77" s="64"/>
      <c r="HU77" s="64"/>
      <c r="HV77" s="64"/>
      <c r="HW77" s="64"/>
      <c r="HX77" s="64"/>
      <c r="HY77" s="64"/>
      <c r="HZ77" s="64"/>
      <c r="IA77" s="64"/>
      <c r="IB77" s="64"/>
      <c r="IC77" s="64"/>
      <c r="ID77" s="64"/>
      <c r="IE77" s="64"/>
      <c r="IF77" s="64"/>
      <c r="IG77" s="64"/>
      <c r="IH77" s="64"/>
      <c r="II77" s="64"/>
      <c r="IJ77" s="64"/>
      <c r="IK77" s="64"/>
      <c r="IL77" s="64"/>
      <c r="IM77" s="64"/>
      <c r="IN77" s="64"/>
      <c r="IO77" s="64"/>
      <c r="IP77" s="64"/>
      <c r="IQ77" s="64"/>
      <c r="IR77" s="64"/>
      <c r="IS77" s="64"/>
      <c r="IT77" s="64"/>
      <c r="IU77" s="64"/>
      <c r="IV77" s="64"/>
      <c r="IW77" s="64"/>
      <c r="IX77" s="64"/>
      <c r="IY77" s="64"/>
      <c r="IZ77" s="64"/>
      <c r="JA77" s="64"/>
      <c r="JB77" s="64"/>
      <c r="JC77" s="64"/>
      <c r="JD77" s="64"/>
      <c r="JE77" s="64"/>
      <c r="JF77" s="64"/>
      <c r="JG77" s="64"/>
      <c r="JH77" s="64"/>
      <c r="JI77" s="64"/>
      <c r="JJ77" s="64"/>
      <c r="JK77" s="64"/>
      <c r="JL77" s="64"/>
      <c r="JM77" s="64"/>
      <c r="JN77" s="64"/>
      <c r="JO77" s="64"/>
      <c r="JP77" s="64"/>
      <c r="JQ77" s="64"/>
      <c r="JR77" s="64"/>
      <c r="JS77" s="64"/>
      <c r="JT77" s="64"/>
      <c r="JU77" s="64"/>
      <c r="JV77" s="64"/>
      <c r="JW77" s="64"/>
      <c r="JX77" s="64"/>
      <c r="JY77" s="64"/>
      <c r="JZ77" s="64"/>
      <c r="KA77" s="64"/>
      <c r="KB77" s="64"/>
      <c r="KC77" s="64"/>
      <c r="KD77" s="64"/>
      <c r="KE77" s="64"/>
      <c r="KF77" s="64"/>
      <c r="KG77" s="64"/>
      <c r="KH77" s="64"/>
      <c r="KI77" s="64"/>
      <c r="KJ77" s="64"/>
      <c r="KK77" s="64"/>
      <c r="KL77" s="64"/>
      <c r="KM77" s="64"/>
      <c r="KN77" s="64"/>
      <c r="KO77" s="64"/>
      <c r="KP77" s="64"/>
      <c r="KQ77" s="64"/>
      <c r="KR77" s="64"/>
      <c r="KS77" s="64"/>
      <c r="KT77" s="64"/>
      <c r="KU77" s="64"/>
      <c r="KV77" s="64"/>
      <c r="KW77" s="64"/>
      <c r="KX77" s="64"/>
      <c r="KY77" s="64"/>
      <c r="KZ77" s="64"/>
      <c r="LA77" s="64"/>
      <c r="LB77" s="64"/>
      <c r="LC77" s="64"/>
      <c r="LD77" s="64"/>
      <c r="LE77" s="64"/>
      <c r="LF77" s="64"/>
      <c r="LG77" s="64"/>
      <c r="LH77" s="64"/>
      <c r="LI77" s="64"/>
      <c r="LJ77" s="64"/>
      <c r="LK77" s="64"/>
      <c r="LL77" s="64"/>
      <c r="LM77" s="64"/>
      <c r="LN77" s="64"/>
      <c r="LO77" s="64"/>
      <c r="LP77" s="64"/>
      <c r="LQ77" s="64"/>
      <c r="LR77" s="64"/>
      <c r="LS77" s="64"/>
      <c r="LT77" s="64"/>
      <c r="LU77" s="64"/>
      <c r="LV77" s="64"/>
      <c r="LW77" s="64"/>
      <c r="LX77" s="64"/>
      <c r="LY77" s="64"/>
      <c r="LZ77" s="64"/>
      <c r="MA77" s="64"/>
      <c r="MB77" s="64"/>
      <c r="MC77" s="64"/>
      <c r="MD77" s="64"/>
      <c r="ME77" s="64"/>
      <c r="MF77" s="64"/>
      <c r="MG77" s="64"/>
      <c r="MH77" s="64"/>
      <c r="MI77" s="64"/>
      <c r="MJ77" s="64"/>
      <c r="MK77" s="64"/>
      <c r="ML77" s="64"/>
      <c r="MM77" s="64"/>
      <c r="MN77" s="64"/>
      <c r="MO77" s="64"/>
      <c r="MP77" s="64"/>
      <c r="MQ77" s="64"/>
      <c r="MR77" s="64"/>
      <c r="MS77" s="64"/>
      <c r="MT77" s="64"/>
      <c r="MU77" s="64"/>
      <c r="MV77" s="64"/>
      <c r="MW77" s="64"/>
      <c r="MX77" s="64"/>
      <c r="MY77" s="64"/>
      <c r="MZ77" s="64"/>
      <c r="NA77" s="64"/>
      <c r="NB77" s="64"/>
      <c r="NC77" s="64"/>
      <c r="ND77" s="64"/>
      <c r="NE77" s="64"/>
      <c r="NF77" s="64"/>
      <c r="NG77" s="64"/>
      <c r="NH77" s="64"/>
      <c r="NI77" s="64"/>
      <c r="NJ77" s="64"/>
      <c r="NK77" s="64"/>
      <c r="NL77" s="64"/>
      <c r="NM77" s="64"/>
      <c r="NN77" s="64"/>
      <c r="NO77" s="64"/>
      <c r="NP77" s="64"/>
      <c r="NQ77" s="64"/>
      <c r="NR77" s="64"/>
      <c r="NS77" s="64"/>
      <c r="NT77" s="64"/>
      <c r="NU77" s="64"/>
      <c r="NV77" s="64"/>
      <c r="NW77" s="64"/>
      <c r="NX77" s="64"/>
      <c r="NY77" s="64"/>
      <c r="NZ77" s="64"/>
      <c r="OA77" s="64"/>
      <c r="OB77" s="64"/>
      <c r="OC77" s="64"/>
      <c r="OD77" s="64"/>
      <c r="OE77" s="64"/>
      <c r="OF77" s="64"/>
      <c r="OG77" s="64"/>
      <c r="OH77" s="64"/>
      <c r="OI77" s="64"/>
      <c r="OJ77" s="64"/>
      <c r="OK77" s="64"/>
      <c r="OL77" s="64"/>
      <c r="OM77" s="64"/>
      <c r="ON77" s="64"/>
      <c r="OO77" s="64"/>
      <c r="OP77" s="64"/>
      <c r="OQ77" s="64"/>
      <c r="OR77" s="64"/>
      <c r="OS77" s="64"/>
    </row>
    <row r="78" spans="1:409">
      <c r="A78" s="65"/>
      <c r="B78" s="65"/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  <c r="CJ78" s="65"/>
      <c r="CK78" s="65"/>
      <c r="CL78" s="65"/>
      <c r="CM78" s="65"/>
      <c r="CN78" s="65"/>
      <c r="CO78" s="65"/>
      <c r="CP78" s="65"/>
      <c r="CQ78" s="65"/>
      <c r="CR78" s="65"/>
      <c r="CS78" s="65"/>
      <c r="CT78" s="65"/>
      <c r="CU78" s="65"/>
      <c r="CV78" s="65"/>
      <c r="CW78" s="65"/>
      <c r="CX78" s="65"/>
      <c r="CY78" s="65"/>
      <c r="CZ78" s="65"/>
      <c r="DA78" s="65"/>
      <c r="DB78" s="65"/>
      <c r="DC78" s="65"/>
      <c r="DD78" s="65"/>
      <c r="DE78" s="65"/>
      <c r="DF78" s="65"/>
      <c r="DG78" s="65"/>
      <c r="DH78" s="65"/>
      <c r="DI78" s="65"/>
      <c r="DJ78" s="65"/>
      <c r="DK78" s="65"/>
      <c r="DL78" s="65"/>
      <c r="DM78" s="65"/>
      <c r="DN78" s="65"/>
      <c r="DO78" s="65"/>
      <c r="DP78" s="65"/>
      <c r="DQ78" s="65"/>
      <c r="DR78" s="65"/>
      <c r="DS78" s="65"/>
      <c r="DT78" s="65"/>
      <c r="DU78" s="65"/>
      <c r="DV78" s="65"/>
      <c r="DW78" s="65"/>
      <c r="DX78" s="65"/>
      <c r="DY78" s="65"/>
      <c r="DZ78" s="65"/>
      <c r="EA78" s="65"/>
      <c r="EB78" s="65"/>
      <c r="EC78" s="65"/>
      <c r="ED78" s="65"/>
      <c r="EE78" s="65"/>
      <c r="EF78" s="65"/>
      <c r="EG78" s="65"/>
      <c r="EH78" s="65"/>
      <c r="EI78" s="65"/>
      <c r="EJ78" s="65"/>
      <c r="EK78" s="65"/>
      <c r="EL78" s="65"/>
      <c r="EM78" s="65"/>
      <c r="EN78" s="65"/>
      <c r="EO78" s="65"/>
      <c r="EP78" s="65"/>
      <c r="EQ78" s="65"/>
      <c r="ER78" s="65"/>
      <c r="ES78" s="65"/>
      <c r="ET78" s="65"/>
      <c r="EU78" s="65"/>
      <c r="EV78" s="65"/>
      <c r="EW78" s="65"/>
      <c r="EX78" s="65"/>
      <c r="EY78" s="65"/>
      <c r="EZ78" s="65"/>
      <c r="FA78" s="65"/>
      <c r="FB78" s="65"/>
      <c r="FC78" s="65"/>
      <c r="FD78" s="65"/>
      <c r="FE78" s="65"/>
      <c r="FF78" s="65"/>
      <c r="FG78" s="65"/>
      <c r="FH78" s="65"/>
      <c r="FI78" s="65"/>
      <c r="FJ78" s="65"/>
      <c r="FK78" s="65"/>
      <c r="FL78" s="65"/>
      <c r="FM78" s="65"/>
      <c r="FN78" s="65"/>
      <c r="FO78" s="65"/>
      <c r="FP78" s="65"/>
      <c r="FQ78" s="65"/>
      <c r="FR78" s="65"/>
      <c r="FS78" s="65"/>
      <c r="FT78" s="65"/>
      <c r="FU78" s="65"/>
      <c r="FV78" s="65"/>
      <c r="FW78" s="65"/>
      <c r="FX78" s="65"/>
      <c r="FY78" s="65"/>
      <c r="FZ78" s="65"/>
      <c r="GA78" s="65"/>
      <c r="GB78" s="65"/>
      <c r="GC78" s="65"/>
      <c r="GD78" s="65"/>
      <c r="GE78" s="65"/>
      <c r="GF78" s="65"/>
      <c r="GG78" s="65"/>
      <c r="GH78" s="65"/>
      <c r="GI78" s="65"/>
      <c r="GJ78" s="65"/>
      <c r="GK78" s="65"/>
      <c r="GL78" s="65"/>
      <c r="GM78" s="65"/>
      <c r="GN78" s="65"/>
      <c r="GO78" s="65"/>
      <c r="GP78" s="65"/>
      <c r="GQ78" s="65"/>
      <c r="GR78" s="65"/>
      <c r="GS78" s="65"/>
      <c r="GT78" s="65"/>
      <c r="GU78" s="65"/>
      <c r="GV78" s="65"/>
      <c r="GW78" s="65"/>
      <c r="GX78" s="65"/>
      <c r="GY78" s="65"/>
      <c r="GZ78" s="65"/>
      <c r="HA78" s="65"/>
      <c r="HB78" s="65"/>
      <c r="HC78" s="65"/>
      <c r="HD78" s="65"/>
      <c r="HE78" s="65"/>
      <c r="HF78" s="65"/>
      <c r="HG78" s="65"/>
      <c r="HH78" s="65"/>
      <c r="HI78" s="65"/>
      <c r="HJ78" s="65"/>
      <c r="HK78" s="65"/>
      <c r="HL78" s="65"/>
      <c r="HM78" s="65"/>
      <c r="HN78" s="65"/>
      <c r="HO78" s="65"/>
      <c r="HP78" s="65"/>
      <c r="HQ78" s="65"/>
      <c r="HR78" s="65"/>
      <c r="HS78" s="65"/>
      <c r="HT78" s="65"/>
      <c r="HU78" s="65"/>
      <c r="HV78" s="65"/>
      <c r="HW78" s="65"/>
      <c r="HX78" s="65"/>
      <c r="HY78" s="65"/>
      <c r="HZ78" s="65"/>
      <c r="IA78" s="65"/>
      <c r="IB78" s="65"/>
      <c r="IC78" s="65"/>
      <c r="ID78" s="65"/>
      <c r="IE78" s="65"/>
      <c r="IF78" s="65"/>
      <c r="IG78" s="65"/>
      <c r="IH78" s="65"/>
      <c r="II78" s="65"/>
      <c r="IJ78" s="65"/>
      <c r="IK78" s="65"/>
      <c r="IL78" s="65"/>
      <c r="IM78" s="65"/>
      <c r="IN78" s="65"/>
      <c r="IO78" s="65"/>
      <c r="IP78" s="65"/>
      <c r="IQ78" s="65"/>
      <c r="IR78" s="65"/>
      <c r="IS78" s="65"/>
      <c r="IT78" s="65"/>
      <c r="IU78" s="65"/>
      <c r="IV78" s="65"/>
      <c r="IW78" s="65"/>
      <c r="IX78" s="65"/>
      <c r="IY78" s="65"/>
      <c r="IZ78" s="65"/>
      <c r="JA78" s="65"/>
      <c r="JB78" s="65"/>
      <c r="JC78" s="65"/>
      <c r="JD78" s="65"/>
      <c r="JE78" s="65"/>
      <c r="JF78" s="65"/>
      <c r="JG78" s="65"/>
      <c r="JH78" s="65"/>
      <c r="JI78" s="65"/>
      <c r="JJ78" s="65"/>
      <c r="JK78" s="65"/>
      <c r="JL78" s="65"/>
      <c r="JM78" s="65"/>
      <c r="JN78" s="65"/>
      <c r="JO78" s="65"/>
      <c r="JP78" s="65"/>
      <c r="JQ78" s="65"/>
      <c r="JR78" s="65"/>
      <c r="JS78" s="65"/>
      <c r="JT78" s="65"/>
      <c r="JU78" s="65"/>
      <c r="JV78" s="65"/>
      <c r="JW78" s="65"/>
      <c r="JX78" s="65"/>
      <c r="JY78" s="65"/>
      <c r="JZ78" s="65"/>
      <c r="KA78" s="65"/>
      <c r="KB78" s="65"/>
      <c r="KC78" s="65"/>
      <c r="KD78" s="65"/>
      <c r="KE78" s="65"/>
      <c r="KF78" s="65"/>
      <c r="KG78" s="65"/>
      <c r="KH78" s="65"/>
      <c r="KI78" s="65"/>
      <c r="KJ78" s="65"/>
      <c r="KK78" s="65"/>
      <c r="KL78" s="65"/>
      <c r="KM78" s="65"/>
      <c r="KN78" s="65"/>
      <c r="KO78" s="65"/>
      <c r="KP78" s="65"/>
      <c r="KQ78" s="65"/>
      <c r="KR78" s="65"/>
      <c r="KS78" s="65"/>
      <c r="KT78" s="65"/>
      <c r="KU78" s="65"/>
      <c r="KV78" s="65"/>
      <c r="KW78" s="65"/>
      <c r="KX78" s="65"/>
      <c r="KY78" s="65"/>
      <c r="KZ78" s="65"/>
      <c r="LA78" s="65"/>
      <c r="LB78" s="65"/>
      <c r="LC78" s="65"/>
      <c r="LD78" s="65"/>
      <c r="LE78" s="65"/>
      <c r="LF78" s="65"/>
      <c r="LG78" s="65"/>
      <c r="LH78" s="65"/>
      <c r="LI78" s="65"/>
      <c r="LJ78" s="65"/>
      <c r="LK78" s="65"/>
      <c r="LL78" s="65"/>
      <c r="LM78" s="65"/>
      <c r="LN78" s="65"/>
      <c r="LO78" s="65"/>
      <c r="LP78" s="65"/>
      <c r="LQ78" s="65"/>
      <c r="LR78" s="65"/>
      <c r="LS78" s="65"/>
      <c r="LT78" s="65"/>
      <c r="LU78" s="65"/>
      <c r="LV78" s="65"/>
      <c r="LW78" s="65"/>
      <c r="LX78" s="65"/>
      <c r="LY78" s="65"/>
      <c r="LZ78" s="65"/>
      <c r="MA78" s="65"/>
      <c r="MB78" s="65"/>
      <c r="MC78" s="65"/>
      <c r="MD78" s="65"/>
      <c r="ME78" s="65"/>
      <c r="MF78" s="65"/>
      <c r="MG78" s="65"/>
      <c r="MH78" s="65"/>
      <c r="MI78" s="65"/>
      <c r="MJ78" s="65"/>
      <c r="MK78" s="65"/>
      <c r="ML78" s="65"/>
      <c r="MM78" s="65"/>
      <c r="MN78" s="65"/>
      <c r="MO78" s="65"/>
      <c r="MP78" s="65"/>
      <c r="MQ78" s="65"/>
      <c r="MR78" s="65"/>
      <c r="MS78" s="65"/>
      <c r="MT78" s="65"/>
      <c r="MU78" s="65"/>
      <c r="MV78" s="65"/>
      <c r="MW78" s="65"/>
      <c r="MX78" s="65"/>
      <c r="MY78" s="65"/>
      <c r="MZ78" s="65"/>
      <c r="NA78" s="65"/>
      <c r="NB78" s="65"/>
      <c r="NC78" s="65"/>
      <c r="ND78" s="65"/>
      <c r="NE78" s="65"/>
      <c r="NF78" s="65"/>
      <c r="NG78" s="65"/>
      <c r="NH78" s="65"/>
      <c r="NI78" s="65"/>
      <c r="NJ78" s="65"/>
      <c r="NK78" s="65"/>
      <c r="NL78" s="65"/>
      <c r="NM78" s="65"/>
      <c r="NN78" s="65"/>
      <c r="NO78" s="65"/>
      <c r="NP78" s="65"/>
      <c r="NQ78" s="65"/>
      <c r="NR78" s="65"/>
      <c r="NS78" s="65"/>
      <c r="NT78" s="65"/>
      <c r="NU78" s="65"/>
      <c r="NV78" s="65"/>
      <c r="NW78" s="65"/>
      <c r="NX78" s="65"/>
      <c r="NY78" s="65"/>
      <c r="NZ78" s="65"/>
      <c r="OA78" s="65"/>
      <c r="OB78" s="65"/>
      <c r="OC78" s="65"/>
      <c r="OD78" s="65"/>
      <c r="OE78" s="65"/>
      <c r="OF78" s="65"/>
      <c r="OG78" s="65"/>
      <c r="OH78" s="65"/>
      <c r="OI78" s="65"/>
      <c r="OJ78" s="65"/>
      <c r="OK78" s="65"/>
      <c r="OL78" s="65"/>
      <c r="OM78" s="65"/>
      <c r="ON78" s="65"/>
      <c r="OO78" s="65"/>
      <c r="OP78" s="65"/>
      <c r="OQ78" s="65"/>
      <c r="OR78" s="65"/>
      <c r="OS78" s="65"/>
    </row>
    <row r="79" spans="1:409">
      <c r="A79" s="64"/>
      <c r="B79" s="64"/>
      <c r="C79" s="64"/>
      <c r="D79" s="64"/>
      <c r="E79" s="64"/>
      <c r="F79" s="64"/>
      <c r="G79" s="64"/>
      <c r="H79" s="64"/>
      <c r="I79" s="64"/>
      <c r="J79" s="64"/>
      <c r="K79" s="64"/>
      <c r="L79" s="64"/>
      <c r="M79" s="64"/>
      <c r="N79" s="64"/>
      <c r="O79" s="64"/>
      <c r="P79" s="64"/>
      <c r="Q79" s="64"/>
      <c r="R79" s="64"/>
      <c r="S79" s="64"/>
      <c r="T79" s="64"/>
      <c r="U79" s="64"/>
      <c r="V79" s="64"/>
      <c r="W79" s="64"/>
      <c r="X79" s="64"/>
      <c r="Y79" s="64"/>
      <c r="Z79" s="64"/>
      <c r="AA79" s="64"/>
      <c r="AB79" s="64"/>
      <c r="AC79" s="64"/>
      <c r="AD79" s="64"/>
      <c r="AE79" s="64"/>
      <c r="AF79" s="64"/>
      <c r="AG79" s="64"/>
      <c r="AH79" s="64"/>
      <c r="AI79" s="64"/>
      <c r="AJ79" s="64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C79" s="64"/>
      <c r="BD79" s="64"/>
      <c r="BE79" s="64"/>
      <c r="BF79" s="64"/>
      <c r="BG79" s="64"/>
      <c r="BH79" s="64"/>
      <c r="BI79" s="64"/>
      <c r="BJ79" s="64"/>
      <c r="BK79" s="64"/>
      <c r="BL79" s="64"/>
      <c r="BM79" s="64"/>
      <c r="BN79" s="64"/>
      <c r="BO79" s="64"/>
      <c r="BP79" s="64"/>
      <c r="BQ79" s="64"/>
      <c r="BR79" s="64"/>
      <c r="BS79" s="64"/>
      <c r="BT79" s="64"/>
      <c r="BU79" s="64"/>
      <c r="BV79" s="64"/>
      <c r="BW79" s="64"/>
      <c r="BX79" s="64"/>
      <c r="BY79" s="64"/>
      <c r="BZ79" s="64"/>
      <c r="CA79" s="64"/>
      <c r="CB79" s="64"/>
      <c r="CC79" s="64"/>
      <c r="CD79" s="64"/>
      <c r="CE79" s="64"/>
      <c r="CF79" s="64"/>
      <c r="CG79" s="64"/>
      <c r="CH79" s="64"/>
      <c r="CI79" s="64"/>
      <c r="CJ79" s="64"/>
      <c r="CK79" s="64"/>
      <c r="CL79" s="64"/>
      <c r="CM79" s="64"/>
      <c r="CN79" s="64"/>
      <c r="CO79" s="64"/>
      <c r="CP79" s="64"/>
      <c r="CQ79" s="64"/>
      <c r="CR79" s="64"/>
      <c r="CS79" s="64"/>
      <c r="CT79" s="64"/>
      <c r="CU79" s="64"/>
      <c r="CV79" s="64"/>
      <c r="CW79" s="64"/>
      <c r="CX79" s="64"/>
      <c r="CY79" s="64"/>
      <c r="CZ79" s="64"/>
      <c r="DA79" s="64"/>
      <c r="DB79" s="64"/>
      <c r="DC79" s="64"/>
      <c r="DD79" s="64"/>
      <c r="DE79" s="64"/>
      <c r="DF79" s="64"/>
      <c r="DG79" s="64"/>
      <c r="DH79" s="64"/>
      <c r="DI79" s="64"/>
      <c r="DJ79" s="64"/>
      <c r="DK79" s="64"/>
      <c r="DL79" s="64"/>
      <c r="DM79" s="64"/>
      <c r="DN79" s="64"/>
      <c r="DO79" s="64"/>
      <c r="DP79" s="64"/>
      <c r="DQ79" s="64"/>
      <c r="DR79" s="64"/>
      <c r="DS79" s="64"/>
      <c r="DT79" s="64"/>
      <c r="DU79" s="64"/>
      <c r="DV79" s="64"/>
      <c r="DW79" s="64"/>
      <c r="DX79" s="64"/>
      <c r="DY79" s="64"/>
      <c r="DZ79" s="64"/>
      <c r="EA79" s="64"/>
      <c r="EB79" s="64"/>
      <c r="EC79" s="64"/>
      <c r="ED79" s="64"/>
      <c r="EE79" s="64"/>
      <c r="EF79" s="64"/>
      <c r="EG79" s="64"/>
      <c r="EH79" s="64"/>
      <c r="EI79" s="64"/>
      <c r="EJ79" s="64"/>
      <c r="EK79" s="64"/>
      <c r="EL79" s="64"/>
      <c r="EM79" s="64"/>
      <c r="EN79" s="64"/>
      <c r="EO79" s="64"/>
      <c r="EP79" s="64"/>
      <c r="EQ79" s="64"/>
      <c r="ER79" s="64"/>
      <c r="ES79" s="64"/>
      <c r="ET79" s="64"/>
      <c r="EU79" s="64"/>
      <c r="EV79" s="64"/>
      <c r="EW79" s="64"/>
      <c r="EX79" s="64"/>
      <c r="EY79" s="64"/>
      <c r="EZ79" s="64"/>
      <c r="FA79" s="64"/>
      <c r="FB79" s="64"/>
      <c r="FC79" s="64"/>
      <c r="FD79" s="64"/>
      <c r="FE79" s="64"/>
      <c r="FF79" s="64"/>
      <c r="FG79" s="64"/>
      <c r="FH79" s="64"/>
      <c r="FI79" s="64"/>
      <c r="FJ79" s="64"/>
      <c r="FK79" s="64"/>
      <c r="FL79" s="64"/>
      <c r="FM79" s="64"/>
      <c r="FN79" s="64"/>
      <c r="FO79" s="64"/>
      <c r="FP79" s="64"/>
      <c r="FQ79" s="64"/>
      <c r="FR79" s="64"/>
      <c r="FS79" s="64"/>
      <c r="FT79" s="64"/>
      <c r="FU79" s="64"/>
      <c r="FV79" s="64"/>
      <c r="FW79" s="64"/>
      <c r="FX79" s="64"/>
      <c r="FY79" s="64"/>
      <c r="FZ79" s="64"/>
      <c r="GA79" s="64"/>
      <c r="GB79" s="64"/>
      <c r="GC79" s="64"/>
      <c r="GD79" s="64"/>
      <c r="GE79" s="64"/>
      <c r="GF79" s="64"/>
      <c r="GG79" s="64"/>
      <c r="GH79" s="64"/>
      <c r="GI79" s="64"/>
      <c r="GJ79" s="64"/>
      <c r="GK79" s="64"/>
      <c r="GL79" s="64"/>
      <c r="GM79" s="64"/>
      <c r="GN79" s="64"/>
      <c r="GO79" s="64"/>
      <c r="GP79" s="64"/>
      <c r="GQ79" s="64"/>
      <c r="GR79" s="64"/>
      <c r="GS79" s="64"/>
      <c r="GT79" s="64"/>
      <c r="GU79" s="64"/>
      <c r="GV79" s="64"/>
      <c r="GW79" s="64"/>
      <c r="GX79" s="64"/>
      <c r="GY79" s="64"/>
      <c r="GZ79" s="64"/>
      <c r="HA79" s="64"/>
      <c r="HB79" s="64"/>
      <c r="HC79" s="64"/>
      <c r="HD79" s="64"/>
      <c r="HE79" s="64"/>
      <c r="HF79" s="64"/>
      <c r="HG79" s="64"/>
      <c r="HH79" s="64"/>
      <c r="HI79" s="64"/>
      <c r="HJ79" s="64"/>
      <c r="HK79" s="64"/>
      <c r="HL79" s="64"/>
      <c r="HM79" s="64"/>
      <c r="HN79" s="64"/>
      <c r="HO79" s="64"/>
      <c r="HP79" s="64"/>
      <c r="HQ79" s="64"/>
      <c r="HR79" s="64"/>
      <c r="HS79" s="64"/>
      <c r="HT79" s="64"/>
      <c r="HU79" s="64"/>
      <c r="HV79" s="64"/>
      <c r="HW79" s="64"/>
      <c r="HX79" s="64"/>
      <c r="HY79" s="64"/>
      <c r="HZ79" s="64"/>
      <c r="IA79" s="64"/>
      <c r="IB79" s="64"/>
      <c r="IC79" s="64"/>
      <c r="ID79" s="64"/>
      <c r="IE79" s="64"/>
      <c r="IF79" s="64"/>
      <c r="IG79" s="64"/>
      <c r="IH79" s="64"/>
      <c r="II79" s="64"/>
      <c r="IJ79" s="64"/>
      <c r="IK79" s="64"/>
      <c r="IL79" s="64"/>
      <c r="IM79" s="64"/>
      <c r="IN79" s="64"/>
      <c r="IO79" s="64"/>
      <c r="IP79" s="64"/>
      <c r="IQ79" s="64"/>
      <c r="IR79" s="64"/>
      <c r="IS79" s="64"/>
      <c r="IT79" s="64"/>
      <c r="IU79" s="64"/>
      <c r="IV79" s="64"/>
      <c r="IW79" s="64"/>
      <c r="IX79" s="64"/>
      <c r="IY79" s="64"/>
      <c r="IZ79" s="64"/>
      <c r="JA79" s="64"/>
      <c r="JB79" s="64"/>
      <c r="JC79" s="64"/>
      <c r="JD79" s="64"/>
      <c r="JE79" s="64"/>
      <c r="JF79" s="64"/>
      <c r="JG79" s="64"/>
      <c r="JH79" s="64"/>
      <c r="JI79" s="64"/>
      <c r="JJ79" s="64"/>
      <c r="JK79" s="64"/>
      <c r="JL79" s="64"/>
      <c r="JM79" s="64"/>
      <c r="JN79" s="64"/>
      <c r="JO79" s="64"/>
      <c r="JP79" s="64"/>
      <c r="JQ79" s="64"/>
      <c r="JR79" s="64"/>
      <c r="JS79" s="64"/>
      <c r="JT79" s="64"/>
      <c r="JU79" s="64"/>
      <c r="JV79" s="64"/>
      <c r="JW79" s="64"/>
      <c r="JX79" s="64"/>
      <c r="JY79" s="64"/>
      <c r="JZ79" s="64"/>
      <c r="KA79" s="64"/>
      <c r="KB79" s="64"/>
      <c r="KC79" s="64"/>
      <c r="KD79" s="64"/>
      <c r="KE79" s="64"/>
      <c r="KF79" s="64"/>
      <c r="KG79" s="64"/>
      <c r="KH79" s="64"/>
      <c r="KI79" s="64"/>
      <c r="KJ79" s="64"/>
      <c r="KK79" s="64"/>
      <c r="KL79" s="64"/>
      <c r="KM79" s="64"/>
      <c r="KN79" s="64"/>
      <c r="KO79" s="64"/>
      <c r="KP79" s="64"/>
      <c r="KQ79" s="64"/>
      <c r="KR79" s="64"/>
      <c r="KS79" s="64"/>
      <c r="KT79" s="64"/>
      <c r="KU79" s="64"/>
      <c r="KV79" s="64"/>
      <c r="KW79" s="64"/>
      <c r="KX79" s="64"/>
      <c r="KY79" s="64"/>
      <c r="KZ79" s="64"/>
      <c r="LA79" s="64"/>
      <c r="LB79" s="64"/>
      <c r="LC79" s="64"/>
      <c r="LD79" s="64"/>
      <c r="LE79" s="64"/>
      <c r="LF79" s="64"/>
      <c r="LG79" s="64"/>
      <c r="LH79" s="64"/>
      <c r="LI79" s="64"/>
      <c r="LJ79" s="64"/>
      <c r="LK79" s="64"/>
      <c r="LL79" s="64"/>
      <c r="LM79" s="64"/>
      <c r="LN79" s="64"/>
      <c r="LO79" s="64"/>
      <c r="LP79" s="64"/>
      <c r="LQ79" s="64"/>
      <c r="LR79" s="64"/>
      <c r="LS79" s="64"/>
      <c r="LT79" s="64"/>
      <c r="LU79" s="64"/>
      <c r="LV79" s="64"/>
      <c r="LW79" s="64"/>
      <c r="LX79" s="64"/>
      <c r="LY79" s="64"/>
      <c r="LZ79" s="64"/>
      <c r="MA79" s="64"/>
      <c r="MB79" s="64"/>
      <c r="MC79" s="64"/>
      <c r="MD79" s="64"/>
      <c r="ME79" s="64"/>
      <c r="MF79" s="64"/>
      <c r="MG79" s="64"/>
      <c r="MH79" s="64"/>
      <c r="MI79" s="64"/>
      <c r="MJ79" s="64"/>
      <c r="MK79" s="64"/>
      <c r="ML79" s="64"/>
      <c r="MM79" s="64"/>
      <c r="MN79" s="64"/>
      <c r="MO79" s="64"/>
      <c r="MP79" s="64"/>
      <c r="MQ79" s="64"/>
      <c r="MR79" s="64"/>
      <c r="MS79" s="64"/>
      <c r="MT79" s="64"/>
      <c r="MU79" s="64"/>
      <c r="MV79" s="64"/>
      <c r="MW79" s="64"/>
      <c r="MX79" s="64"/>
      <c r="MY79" s="64"/>
      <c r="MZ79" s="64"/>
      <c r="NA79" s="64"/>
      <c r="NB79" s="64"/>
      <c r="NC79" s="64"/>
      <c r="ND79" s="64"/>
      <c r="NE79" s="64"/>
      <c r="NF79" s="64"/>
      <c r="NG79" s="64"/>
      <c r="NH79" s="64"/>
      <c r="NI79" s="64"/>
      <c r="NJ79" s="64"/>
      <c r="NK79" s="64"/>
      <c r="NL79" s="64"/>
      <c r="NM79" s="64"/>
      <c r="NN79" s="64"/>
      <c r="NO79" s="64"/>
      <c r="NP79" s="64"/>
      <c r="NQ79" s="64"/>
      <c r="NR79" s="64"/>
      <c r="NS79" s="64"/>
      <c r="NT79" s="64"/>
      <c r="NU79" s="64"/>
      <c r="NV79" s="64"/>
      <c r="NW79" s="64"/>
      <c r="NX79" s="64"/>
      <c r="NY79" s="64"/>
      <c r="NZ79" s="64"/>
      <c r="OA79" s="64"/>
      <c r="OB79" s="64"/>
      <c r="OC79" s="64"/>
      <c r="OD79" s="64"/>
      <c r="OE79" s="64"/>
      <c r="OF79" s="64"/>
      <c r="OG79" s="64"/>
      <c r="OH79" s="64"/>
      <c r="OI79" s="64"/>
      <c r="OJ79" s="64"/>
      <c r="OK79" s="64"/>
      <c r="OL79" s="64"/>
      <c r="OM79" s="64"/>
      <c r="ON79" s="64"/>
      <c r="OO79" s="64"/>
      <c r="OP79" s="64"/>
      <c r="OQ79" s="64"/>
      <c r="OR79" s="64"/>
      <c r="OS79" s="64"/>
    </row>
    <row r="80" spans="1:409">
      <c r="A80" s="65"/>
      <c r="B80" s="65"/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H80" s="65"/>
      <c r="AI80" s="65"/>
      <c r="AJ80" s="65"/>
      <c r="AK80" s="65"/>
      <c r="AL80" s="65"/>
      <c r="AM80" s="65"/>
      <c r="AN80" s="65"/>
      <c r="AO80" s="65"/>
      <c r="AP80" s="65"/>
      <c r="AQ80" s="65"/>
      <c r="AR80" s="65"/>
      <c r="AS80" s="65"/>
      <c r="AT80" s="65"/>
      <c r="AU80" s="65"/>
      <c r="AV80" s="65"/>
      <c r="AW80" s="65"/>
      <c r="AX80" s="65"/>
      <c r="AY80" s="65"/>
      <c r="AZ80" s="65"/>
      <c r="BA80" s="65"/>
      <c r="BB80" s="65"/>
      <c r="BC80" s="65"/>
      <c r="BD80" s="65"/>
      <c r="BE80" s="65"/>
      <c r="BF80" s="65"/>
      <c r="BG80" s="65"/>
      <c r="BH80" s="65"/>
      <c r="BI80" s="65"/>
      <c r="BJ80" s="65"/>
      <c r="BK80" s="65"/>
      <c r="BL80" s="65"/>
      <c r="BM80" s="65"/>
      <c r="BN80" s="65"/>
      <c r="BO80" s="65"/>
      <c r="BP80" s="65"/>
      <c r="BQ80" s="65"/>
      <c r="BR80" s="65"/>
      <c r="BS80" s="65"/>
      <c r="BT80" s="65"/>
      <c r="BU80" s="65"/>
      <c r="BV80" s="65"/>
      <c r="BW80" s="65"/>
      <c r="BX80" s="65"/>
      <c r="BY80" s="65"/>
      <c r="BZ80" s="65"/>
      <c r="CA80" s="65"/>
      <c r="CB80" s="65"/>
      <c r="CC80" s="65"/>
      <c r="CD80" s="65"/>
      <c r="CE80" s="65"/>
      <c r="CF80" s="65"/>
      <c r="CG80" s="65"/>
      <c r="CH80" s="65"/>
      <c r="CI80" s="65"/>
      <c r="CJ80" s="65"/>
      <c r="CK80" s="65"/>
      <c r="CL80" s="65"/>
      <c r="CM80" s="65"/>
      <c r="CN80" s="65"/>
      <c r="CO80" s="65"/>
      <c r="CP80" s="65"/>
      <c r="CQ80" s="65"/>
      <c r="CR80" s="65"/>
      <c r="CS80" s="65"/>
      <c r="CT80" s="65"/>
      <c r="CU80" s="65"/>
      <c r="CV80" s="65"/>
      <c r="CW80" s="65"/>
      <c r="CX80" s="65"/>
      <c r="CY80" s="65"/>
      <c r="CZ80" s="65"/>
      <c r="DA80" s="65"/>
      <c r="DB80" s="65"/>
      <c r="DC80" s="65"/>
      <c r="DD80" s="65"/>
      <c r="DE80" s="65"/>
      <c r="DF80" s="65"/>
      <c r="DG80" s="65"/>
      <c r="DH80" s="65"/>
      <c r="DI80" s="65"/>
      <c r="DJ80" s="65"/>
      <c r="DK80" s="65"/>
      <c r="DL80" s="65"/>
      <c r="DM80" s="65"/>
      <c r="DN80" s="65"/>
      <c r="DO80" s="65"/>
      <c r="DP80" s="65"/>
      <c r="DQ80" s="65"/>
      <c r="DR80" s="65"/>
      <c r="DS80" s="65"/>
      <c r="DT80" s="65"/>
      <c r="DU80" s="65"/>
      <c r="DV80" s="65"/>
      <c r="DW80" s="65"/>
      <c r="DX80" s="65"/>
      <c r="DY80" s="65"/>
      <c r="DZ80" s="65"/>
      <c r="EA80" s="65"/>
      <c r="EB80" s="65"/>
      <c r="EC80" s="65"/>
      <c r="ED80" s="65"/>
      <c r="EE80" s="65"/>
      <c r="EF80" s="65"/>
      <c r="EG80" s="65"/>
      <c r="EH80" s="65"/>
      <c r="EI80" s="65"/>
      <c r="EJ80" s="65"/>
      <c r="EK80" s="65"/>
      <c r="EL80" s="65"/>
      <c r="EM80" s="65"/>
      <c r="EN80" s="65"/>
      <c r="EO80" s="65"/>
      <c r="EP80" s="65"/>
      <c r="EQ80" s="65"/>
      <c r="ER80" s="65"/>
      <c r="ES80" s="65"/>
      <c r="ET80" s="65"/>
      <c r="EU80" s="65"/>
      <c r="EV80" s="65"/>
      <c r="EW80" s="65"/>
      <c r="EX80" s="65"/>
      <c r="EY80" s="65"/>
      <c r="EZ80" s="65"/>
      <c r="FA80" s="65"/>
      <c r="FB80" s="65"/>
      <c r="FC80" s="65"/>
      <c r="FD80" s="65"/>
      <c r="FE80" s="65"/>
      <c r="FF80" s="65"/>
      <c r="FG80" s="65"/>
      <c r="FH80" s="65"/>
      <c r="FI80" s="65"/>
      <c r="FJ80" s="65"/>
      <c r="FK80" s="65"/>
      <c r="FL80" s="65"/>
      <c r="FM80" s="65"/>
      <c r="FN80" s="65"/>
      <c r="FO80" s="65"/>
      <c r="FP80" s="65"/>
      <c r="FQ80" s="65"/>
      <c r="FR80" s="65"/>
      <c r="FS80" s="65"/>
      <c r="FT80" s="65"/>
      <c r="FU80" s="65"/>
      <c r="FV80" s="65"/>
      <c r="FW80" s="65"/>
      <c r="FX80" s="65"/>
      <c r="FY80" s="65"/>
      <c r="FZ80" s="65"/>
      <c r="GA80" s="65"/>
      <c r="GB80" s="65"/>
      <c r="GC80" s="65"/>
      <c r="GD80" s="65"/>
      <c r="GE80" s="65"/>
      <c r="GF80" s="65"/>
      <c r="GG80" s="65"/>
      <c r="GH80" s="65"/>
      <c r="GI80" s="65"/>
      <c r="GJ80" s="65"/>
      <c r="GK80" s="65"/>
      <c r="GL80" s="65"/>
      <c r="GM80" s="65"/>
      <c r="GN80" s="65"/>
      <c r="GO80" s="65"/>
      <c r="GP80" s="65"/>
      <c r="GQ80" s="65"/>
      <c r="GR80" s="65"/>
      <c r="GS80" s="65"/>
      <c r="GT80" s="65"/>
      <c r="GU80" s="65"/>
      <c r="GV80" s="65"/>
      <c r="GW80" s="65"/>
      <c r="GX80" s="65"/>
      <c r="GY80" s="65"/>
      <c r="GZ80" s="65"/>
      <c r="HA80" s="65"/>
      <c r="HB80" s="65"/>
      <c r="HC80" s="65"/>
      <c r="HD80" s="65"/>
      <c r="HE80" s="65"/>
      <c r="HF80" s="65"/>
      <c r="HG80" s="65"/>
      <c r="HH80" s="65"/>
      <c r="HI80" s="65"/>
      <c r="HJ80" s="65"/>
      <c r="HK80" s="65"/>
      <c r="HL80" s="65"/>
      <c r="HM80" s="65"/>
      <c r="HN80" s="65"/>
      <c r="HO80" s="65"/>
      <c r="HP80" s="65"/>
      <c r="HQ80" s="65"/>
      <c r="HR80" s="65"/>
      <c r="HS80" s="65"/>
      <c r="HT80" s="65"/>
      <c r="HU80" s="65"/>
      <c r="HV80" s="65"/>
      <c r="HW80" s="65"/>
      <c r="HX80" s="65"/>
      <c r="HY80" s="65"/>
      <c r="HZ80" s="65"/>
      <c r="IA80" s="65"/>
      <c r="IB80" s="65"/>
      <c r="IC80" s="65"/>
      <c r="ID80" s="65"/>
      <c r="IE80" s="65"/>
      <c r="IF80" s="65"/>
      <c r="IG80" s="65"/>
      <c r="IH80" s="65"/>
      <c r="II80" s="65"/>
      <c r="IJ80" s="65"/>
      <c r="IK80" s="65"/>
      <c r="IL80" s="65"/>
      <c r="IM80" s="65"/>
      <c r="IN80" s="65"/>
      <c r="IO80" s="65"/>
      <c r="IP80" s="65"/>
      <c r="IQ80" s="65"/>
      <c r="IR80" s="65"/>
      <c r="IS80" s="65"/>
      <c r="IT80" s="65"/>
      <c r="IU80" s="65"/>
      <c r="IV80" s="65"/>
      <c r="IW80" s="65"/>
      <c r="IX80" s="65"/>
      <c r="IY80" s="65"/>
      <c r="IZ80" s="65"/>
      <c r="JA80" s="65"/>
      <c r="JB80" s="65"/>
      <c r="JC80" s="65"/>
      <c r="JD80" s="65"/>
      <c r="JE80" s="65"/>
      <c r="JF80" s="65"/>
      <c r="JG80" s="65"/>
      <c r="JH80" s="65"/>
      <c r="JI80" s="65"/>
      <c r="JJ80" s="65"/>
      <c r="JK80" s="65"/>
      <c r="JL80" s="65"/>
      <c r="JM80" s="65"/>
      <c r="JN80" s="65"/>
      <c r="JO80" s="65"/>
      <c r="JP80" s="65"/>
      <c r="JQ80" s="65"/>
      <c r="JR80" s="65"/>
      <c r="JS80" s="65"/>
      <c r="JT80" s="65"/>
      <c r="JU80" s="65"/>
      <c r="JV80" s="65"/>
      <c r="JW80" s="65"/>
      <c r="JX80" s="65"/>
      <c r="JY80" s="65"/>
      <c r="JZ80" s="65"/>
      <c r="KA80" s="65"/>
      <c r="KB80" s="65"/>
      <c r="KC80" s="65"/>
      <c r="KD80" s="65"/>
      <c r="KE80" s="65"/>
      <c r="KF80" s="65"/>
      <c r="KG80" s="65"/>
      <c r="KH80" s="65"/>
      <c r="KI80" s="65"/>
      <c r="KJ80" s="65"/>
      <c r="KK80" s="65"/>
      <c r="KL80" s="65"/>
      <c r="KM80" s="65"/>
      <c r="KN80" s="65"/>
      <c r="KO80" s="65"/>
      <c r="KP80" s="65"/>
      <c r="KQ80" s="65"/>
      <c r="KR80" s="65"/>
      <c r="KS80" s="65"/>
      <c r="KT80" s="65"/>
      <c r="KU80" s="65"/>
      <c r="KV80" s="65"/>
      <c r="KW80" s="65"/>
      <c r="KX80" s="65"/>
      <c r="KY80" s="65"/>
      <c r="KZ80" s="65"/>
      <c r="LA80" s="65"/>
      <c r="LB80" s="65"/>
      <c r="LC80" s="65"/>
      <c r="LD80" s="65"/>
      <c r="LE80" s="65"/>
      <c r="LF80" s="65"/>
      <c r="LG80" s="65"/>
      <c r="LH80" s="65"/>
      <c r="LI80" s="65"/>
      <c r="LJ80" s="65"/>
      <c r="LK80" s="65"/>
      <c r="LL80" s="65"/>
      <c r="LM80" s="65"/>
      <c r="LN80" s="65"/>
      <c r="LO80" s="65"/>
      <c r="LP80" s="65"/>
      <c r="LQ80" s="65"/>
      <c r="LR80" s="65"/>
      <c r="LS80" s="65"/>
      <c r="LT80" s="65"/>
      <c r="LU80" s="65"/>
      <c r="LV80" s="65"/>
      <c r="LW80" s="65"/>
      <c r="LX80" s="65"/>
      <c r="LY80" s="65"/>
      <c r="LZ80" s="65"/>
      <c r="MA80" s="65"/>
      <c r="MB80" s="65"/>
      <c r="MC80" s="65"/>
      <c r="MD80" s="65"/>
      <c r="ME80" s="65"/>
      <c r="MF80" s="65"/>
      <c r="MG80" s="65"/>
      <c r="MH80" s="65"/>
      <c r="MI80" s="65"/>
      <c r="MJ80" s="65"/>
      <c r="MK80" s="65"/>
      <c r="ML80" s="65"/>
      <c r="MM80" s="65"/>
      <c r="MN80" s="65"/>
      <c r="MO80" s="65"/>
      <c r="MP80" s="65"/>
      <c r="MQ80" s="65"/>
      <c r="MR80" s="65"/>
      <c r="MS80" s="65"/>
      <c r="MT80" s="65"/>
      <c r="MU80" s="65"/>
      <c r="MV80" s="65"/>
      <c r="MW80" s="65"/>
      <c r="MX80" s="65"/>
      <c r="MY80" s="65"/>
      <c r="MZ80" s="65"/>
      <c r="NA80" s="65"/>
      <c r="NB80" s="65"/>
      <c r="NC80" s="65"/>
      <c r="ND80" s="65"/>
      <c r="NE80" s="65"/>
      <c r="NF80" s="65"/>
      <c r="NG80" s="65"/>
      <c r="NH80" s="65"/>
      <c r="NI80" s="65"/>
      <c r="NJ80" s="65"/>
      <c r="NK80" s="65"/>
      <c r="NL80" s="65"/>
      <c r="NM80" s="65"/>
      <c r="NN80" s="65"/>
      <c r="NO80" s="65"/>
      <c r="NP80" s="65"/>
      <c r="NQ80" s="65"/>
      <c r="NR80" s="65"/>
      <c r="NS80" s="65"/>
      <c r="NT80" s="65"/>
      <c r="NU80" s="65"/>
      <c r="NV80" s="65"/>
      <c r="NW80" s="65"/>
      <c r="NX80" s="65"/>
      <c r="NY80" s="65"/>
      <c r="NZ80" s="65"/>
      <c r="OA80" s="65"/>
      <c r="OB80" s="65"/>
      <c r="OC80" s="65"/>
      <c r="OD80" s="65"/>
      <c r="OE80" s="65"/>
      <c r="OF80" s="65"/>
      <c r="OG80" s="65"/>
      <c r="OH80" s="65"/>
      <c r="OI80" s="65"/>
      <c r="OJ80" s="65"/>
      <c r="OK80" s="65"/>
      <c r="OL80" s="65"/>
      <c r="OM80" s="65"/>
      <c r="ON80" s="65"/>
      <c r="OO80" s="65"/>
      <c r="OP80" s="65"/>
      <c r="OQ80" s="65"/>
      <c r="OR80" s="65"/>
      <c r="OS80" s="65"/>
    </row>
    <row r="81" spans="1:409">
      <c r="A81" s="64"/>
      <c r="B81" s="64"/>
      <c r="C81" s="64"/>
      <c r="D81" s="64"/>
      <c r="E81" s="64"/>
      <c r="F81" s="64"/>
      <c r="G81" s="64"/>
      <c r="H81" s="64"/>
      <c r="I81" s="64"/>
      <c r="J81" s="64"/>
      <c r="K81" s="64"/>
      <c r="L81" s="64"/>
      <c r="M81" s="64"/>
      <c r="N81" s="64"/>
      <c r="O81" s="64"/>
      <c r="P81" s="64"/>
      <c r="Q81" s="64"/>
      <c r="R81" s="64"/>
      <c r="S81" s="64"/>
      <c r="T81" s="64"/>
      <c r="U81" s="64"/>
      <c r="V81" s="64"/>
      <c r="W81" s="64"/>
      <c r="X81" s="64"/>
      <c r="Y81" s="64"/>
      <c r="Z81" s="64"/>
      <c r="AA81" s="64"/>
      <c r="AB81" s="64"/>
      <c r="AC81" s="64"/>
      <c r="AD81" s="64"/>
      <c r="AE81" s="64"/>
      <c r="AF81" s="64"/>
      <c r="AG81" s="64"/>
      <c r="AH81" s="64"/>
      <c r="AI81" s="64"/>
      <c r="AJ81" s="64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C81" s="64"/>
      <c r="BD81" s="64"/>
      <c r="BE81" s="64"/>
      <c r="BF81" s="64"/>
      <c r="BG81" s="64"/>
      <c r="BH81" s="64"/>
      <c r="BI81" s="64"/>
      <c r="BJ81" s="64"/>
      <c r="BK81" s="64"/>
      <c r="BL81" s="64"/>
      <c r="BM81" s="64"/>
      <c r="BN81" s="64"/>
      <c r="BO81" s="64"/>
      <c r="BP81" s="64"/>
      <c r="BQ81" s="64"/>
      <c r="BR81" s="64"/>
      <c r="BS81" s="64"/>
      <c r="BT81" s="64"/>
      <c r="BU81" s="64"/>
      <c r="BV81" s="64"/>
      <c r="BW81" s="64"/>
      <c r="BX81" s="64"/>
      <c r="BY81" s="64"/>
      <c r="BZ81" s="64"/>
      <c r="CA81" s="64"/>
      <c r="CB81" s="64"/>
      <c r="CC81" s="64"/>
      <c r="CD81" s="64"/>
      <c r="CE81" s="64"/>
      <c r="CF81" s="64"/>
      <c r="CG81" s="64"/>
      <c r="CH81" s="64"/>
      <c r="CI81" s="64"/>
      <c r="CJ81" s="64"/>
      <c r="CK81" s="64"/>
      <c r="CL81" s="64"/>
      <c r="CM81" s="64"/>
      <c r="CN81" s="64"/>
      <c r="CO81" s="64"/>
      <c r="CP81" s="64"/>
      <c r="CQ81" s="64"/>
      <c r="CR81" s="64"/>
      <c r="CS81" s="64"/>
      <c r="CT81" s="64"/>
      <c r="CU81" s="64"/>
      <c r="CV81" s="64"/>
      <c r="CW81" s="64"/>
      <c r="CX81" s="64"/>
      <c r="CY81" s="64"/>
      <c r="CZ81" s="64"/>
      <c r="DA81" s="64"/>
      <c r="DB81" s="64"/>
      <c r="DC81" s="64"/>
      <c r="DD81" s="64"/>
      <c r="DE81" s="64"/>
      <c r="DF81" s="64"/>
      <c r="DG81" s="64"/>
      <c r="DH81" s="64"/>
      <c r="DI81" s="64"/>
      <c r="DJ81" s="64"/>
      <c r="DK81" s="64"/>
      <c r="DL81" s="64"/>
      <c r="DM81" s="64"/>
      <c r="DN81" s="64"/>
      <c r="DO81" s="64"/>
      <c r="DP81" s="64"/>
      <c r="DQ81" s="64"/>
      <c r="DR81" s="64"/>
      <c r="DS81" s="64"/>
      <c r="DT81" s="64"/>
      <c r="DU81" s="64"/>
      <c r="DV81" s="64"/>
      <c r="DW81" s="64"/>
      <c r="DX81" s="64"/>
      <c r="DY81" s="64"/>
      <c r="DZ81" s="64"/>
      <c r="EA81" s="64"/>
      <c r="EB81" s="64"/>
      <c r="EC81" s="64"/>
      <c r="ED81" s="64"/>
      <c r="EE81" s="64"/>
      <c r="EF81" s="64"/>
      <c r="EG81" s="64"/>
      <c r="EH81" s="64"/>
      <c r="EI81" s="64"/>
      <c r="EJ81" s="64"/>
      <c r="EK81" s="64"/>
      <c r="EL81" s="64"/>
      <c r="EM81" s="64"/>
      <c r="EN81" s="64"/>
      <c r="EO81" s="64"/>
      <c r="EP81" s="64"/>
      <c r="EQ81" s="64"/>
      <c r="ER81" s="64"/>
      <c r="ES81" s="64"/>
      <c r="ET81" s="64"/>
      <c r="EU81" s="64"/>
      <c r="EV81" s="64"/>
      <c r="EW81" s="64"/>
      <c r="EX81" s="64"/>
      <c r="EY81" s="64"/>
      <c r="EZ81" s="64"/>
      <c r="FA81" s="64"/>
      <c r="FB81" s="64"/>
      <c r="FC81" s="64"/>
      <c r="FD81" s="64"/>
      <c r="FE81" s="64"/>
      <c r="FF81" s="64"/>
      <c r="FG81" s="64"/>
      <c r="FH81" s="64"/>
      <c r="FI81" s="64"/>
      <c r="FJ81" s="64"/>
      <c r="FK81" s="64"/>
      <c r="FL81" s="64"/>
      <c r="FM81" s="64"/>
      <c r="FN81" s="64"/>
      <c r="FO81" s="64"/>
      <c r="FP81" s="64"/>
      <c r="FQ81" s="64"/>
      <c r="FR81" s="64"/>
      <c r="FS81" s="64"/>
      <c r="FT81" s="64"/>
      <c r="FU81" s="64"/>
      <c r="FV81" s="64"/>
      <c r="FW81" s="64"/>
      <c r="FX81" s="64"/>
      <c r="FY81" s="64"/>
      <c r="FZ81" s="64"/>
      <c r="GA81" s="64"/>
      <c r="GB81" s="64"/>
      <c r="GC81" s="64"/>
      <c r="GD81" s="64"/>
      <c r="GE81" s="64"/>
      <c r="GF81" s="64"/>
      <c r="GG81" s="64"/>
      <c r="GH81" s="64"/>
      <c r="GI81" s="64"/>
      <c r="GJ81" s="64"/>
      <c r="GK81" s="64"/>
      <c r="GL81" s="64"/>
      <c r="GM81" s="64"/>
      <c r="GN81" s="64"/>
      <c r="GO81" s="64"/>
      <c r="GP81" s="64"/>
      <c r="GQ81" s="64"/>
      <c r="GR81" s="64"/>
      <c r="GS81" s="64"/>
      <c r="GT81" s="64"/>
      <c r="GU81" s="64"/>
      <c r="GV81" s="64"/>
      <c r="GW81" s="64"/>
      <c r="GX81" s="64"/>
      <c r="GY81" s="64"/>
      <c r="GZ81" s="64"/>
      <c r="HA81" s="64"/>
      <c r="HB81" s="64"/>
      <c r="HC81" s="64"/>
      <c r="HD81" s="64"/>
      <c r="HE81" s="64"/>
      <c r="HF81" s="64"/>
      <c r="HG81" s="64"/>
      <c r="HH81" s="64"/>
      <c r="HI81" s="64"/>
      <c r="HJ81" s="64"/>
      <c r="HK81" s="64"/>
      <c r="HL81" s="64"/>
      <c r="HM81" s="64"/>
      <c r="HN81" s="64"/>
      <c r="HO81" s="64"/>
      <c r="HP81" s="64"/>
      <c r="HQ81" s="64"/>
      <c r="HR81" s="64"/>
      <c r="HS81" s="64"/>
      <c r="HT81" s="64"/>
      <c r="HU81" s="64"/>
      <c r="HV81" s="64"/>
      <c r="HW81" s="64"/>
      <c r="HX81" s="64"/>
      <c r="HY81" s="64"/>
      <c r="HZ81" s="64"/>
      <c r="IA81" s="64"/>
      <c r="IB81" s="64"/>
      <c r="IC81" s="64"/>
      <c r="ID81" s="64"/>
      <c r="IE81" s="64"/>
      <c r="IF81" s="64"/>
      <c r="IG81" s="64"/>
      <c r="IH81" s="64"/>
      <c r="II81" s="64"/>
      <c r="IJ81" s="64"/>
      <c r="IK81" s="64"/>
      <c r="IL81" s="64"/>
      <c r="IM81" s="64"/>
      <c r="IN81" s="64"/>
      <c r="IO81" s="64"/>
      <c r="IP81" s="64"/>
      <c r="IQ81" s="64"/>
      <c r="IR81" s="64"/>
      <c r="IS81" s="64"/>
      <c r="IT81" s="64"/>
      <c r="IU81" s="64"/>
      <c r="IV81" s="64"/>
      <c r="IW81" s="64"/>
      <c r="IX81" s="64"/>
      <c r="IY81" s="64"/>
      <c r="IZ81" s="64"/>
      <c r="JA81" s="64"/>
      <c r="JB81" s="64"/>
      <c r="JC81" s="64"/>
      <c r="JD81" s="64"/>
      <c r="JE81" s="64"/>
      <c r="JF81" s="64"/>
      <c r="JG81" s="64"/>
      <c r="JH81" s="64"/>
      <c r="JI81" s="64"/>
      <c r="JJ81" s="64"/>
      <c r="JK81" s="64"/>
      <c r="JL81" s="64"/>
      <c r="JM81" s="64"/>
      <c r="JN81" s="64"/>
      <c r="JO81" s="64"/>
      <c r="JP81" s="64"/>
      <c r="JQ81" s="64"/>
      <c r="JR81" s="64"/>
      <c r="JS81" s="64"/>
      <c r="JT81" s="64"/>
      <c r="JU81" s="64"/>
      <c r="JV81" s="64"/>
      <c r="JW81" s="64"/>
      <c r="JX81" s="64"/>
      <c r="JY81" s="64"/>
      <c r="JZ81" s="64"/>
      <c r="KA81" s="64"/>
      <c r="KB81" s="64"/>
      <c r="KC81" s="64"/>
      <c r="KD81" s="64"/>
      <c r="KE81" s="64"/>
      <c r="KF81" s="64"/>
      <c r="KG81" s="64"/>
      <c r="KH81" s="64"/>
      <c r="KI81" s="64"/>
      <c r="KJ81" s="64"/>
      <c r="KK81" s="64"/>
      <c r="KL81" s="64"/>
      <c r="KM81" s="64"/>
      <c r="KN81" s="64"/>
      <c r="KO81" s="64"/>
      <c r="KP81" s="64"/>
      <c r="KQ81" s="64"/>
      <c r="KR81" s="64"/>
      <c r="KS81" s="64"/>
      <c r="KT81" s="64"/>
      <c r="KU81" s="64"/>
      <c r="KV81" s="64"/>
      <c r="KW81" s="64"/>
      <c r="KX81" s="64"/>
      <c r="KY81" s="64"/>
      <c r="KZ81" s="64"/>
      <c r="LA81" s="64"/>
      <c r="LB81" s="64"/>
      <c r="LC81" s="64"/>
      <c r="LD81" s="64"/>
      <c r="LE81" s="64"/>
      <c r="LF81" s="64"/>
      <c r="LG81" s="64"/>
      <c r="LH81" s="64"/>
      <c r="LI81" s="64"/>
      <c r="LJ81" s="64"/>
      <c r="LK81" s="64"/>
      <c r="LL81" s="64"/>
      <c r="LM81" s="64"/>
      <c r="LN81" s="64"/>
      <c r="LO81" s="64"/>
      <c r="LP81" s="64"/>
      <c r="LQ81" s="64"/>
      <c r="LR81" s="64"/>
      <c r="LS81" s="64"/>
      <c r="LT81" s="64"/>
      <c r="LU81" s="64"/>
      <c r="LV81" s="64"/>
      <c r="LW81" s="64"/>
      <c r="LX81" s="64"/>
      <c r="LY81" s="64"/>
      <c r="LZ81" s="64"/>
      <c r="MA81" s="64"/>
      <c r="MB81" s="64"/>
      <c r="MC81" s="64"/>
      <c r="MD81" s="64"/>
      <c r="ME81" s="64"/>
      <c r="MF81" s="64"/>
      <c r="MG81" s="64"/>
      <c r="MH81" s="64"/>
      <c r="MI81" s="64"/>
      <c r="MJ81" s="64"/>
      <c r="MK81" s="64"/>
      <c r="ML81" s="64"/>
      <c r="MM81" s="64"/>
      <c r="MN81" s="64"/>
      <c r="MO81" s="64"/>
      <c r="MP81" s="64"/>
      <c r="MQ81" s="64"/>
      <c r="MR81" s="64"/>
      <c r="MS81" s="64"/>
      <c r="MT81" s="64"/>
      <c r="MU81" s="64"/>
      <c r="MV81" s="64"/>
      <c r="MW81" s="64"/>
      <c r="MX81" s="64"/>
      <c r="MY81" s="64"/>
      <c r="MZ81" s="64"/>
      <c r="NA81" s="64"/>
      <c r="NB81" s="64"/>
      <c r="NC81" s="64"/>
      <c r="ND81" s="64"/>
      <c r="NE81" s="64"/>
      <c r="NF81" s="64"/>
      <c r="NG81" s="64"/>
      <c r="NH81" s="64"/>
      <c r="NI81" s="64"/>
      <c r="NJ81" s="64"/>
      <c r="NK81" s="64"/>
      <c r="NL81" s="64"/>
      <c r="NM81" s="64"/>
      <c r="NN81" s="64"/>
      <c r="NO81" s="64"/>
      <c r="NP81" s="64"/>
      <c r="NQ81" s="64"/>
      <c r="NR81" s="64"/>
      <c r="NS81" s="64"/>
      <c r="NT81" s="64"/>
      <c r="NU81" s="64"/>
      <c r="NV81" s="64"/>
      <c r="NW81" s="64"/>
      <c r="NX81" s="64"/>
      <c r="NY81" s="64"/>
      <c r="NZ81" s="64"/>
      <c r="OA81" s="64"/>
      <c r="OB81" s="64"/>
      <c r="OC81" s="64"/>
      <c r="OD81" s="64"/>
      <c r="OE81" s="64"/>
      <c r="OF81" s="64"/>
      <c r="OG81" s="64"/>
      <c r="OH81" s="64"/>
      <c r="OI81" s="64"/>
      <c r="OJ81" s="64"/>
      <c r="OK81" s="64"/>
      <c r="OL81" s="64"/>
      <c r="OM81" s="64"/>
      <c r="ON81" s="64"/>
      <c r="OO81" s="64"/>
      <c r="OP81" s="64"/>
      <c r="OQ81" s="64"/>
      <c r="OR81" s="64"/>
      <c r="OS81" s="64"/>
    </row>
    <row r="82" spans="1:409">
      <c r="A82" s="65"/>
      <c r="B82" s="65"/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H82" s="65"/>
      <c r="AI82" s="65"/>
      <c r="AJ82" s="65"/>
      <c r="AK82" s="65"/>
      <c r="AL82" s="65"/>
      <c r="AM82" s="65"/>
      <c r="AN82" s="65"/>
      <c r="AO82" s="65"/>
      <c r="AP82" s="65"/>
      <c r="AQ82" s="65"/>
      <c r="AR82" s="65"/>
      <c r="AS82" s="65"/>
      <c r="AT82" s="65"/>
      <c r="AU82" s="65"/>
      <c r="AV82" s="65"/>
      <c r="AW82" s="65"/>
      <c r="AX82" s="65"/>
      <c r="AY82" s="65"/>
      <c r="AZ82" s="65"/>
      <c r="BA82" s="65"/>
      <c r="BB82" s="65"/>
      <c r="BC82" s="65"/>
      <c r="BD82" s="65"/>
      <c r="BE82" s="65"/>
      <c r="BF82" s="65"/>
      <c r="BG82" s="65"/>
      <c r="BH82" s="65"/>
      <c r="BI82" s="65"/>
      <c r="BJ82" s="65"/>
      <c r="BK82" s="65"/>
      <c r="BL82" s="65"/>
      <c r="BM82" s="65"/>
      <c r="BN82" s="65"/>
      <c r="BO82" s="65"/>
      <c r="BP82" s="65"/>
      <c r="BQ82" s="65"/>
      <c r="BR82" s="65"/>
      <c r="BS82" s="65"/>
      <c r="BT82" s="65"/>
      <c r="BU82" s="65"/>
      <c r="BV82" s="65"/>
      <c r="BW82" s="65"/>
      <c r="BX82" s="65"/>
      <c r="BY82" s="65"/>
      <c r="BZ82" s="65"/>
      <c r="CA82" s="65"/>
      <c r="CB82" s="65"/>
      <c r="CC82" s="65"/>
      <c r="CD82" s="65"/>
      <c r="CE82" s="65"/>
      <c r="CF82" s="65"/>
      <c r="CG82" s="65"/>
      <c r="CH82" s="65"/>
      <c r="CI82" s="65"/>
      <c r="CJ82" s="65"/>
      <c r="CK82" s="65"/>
      <c r="CL82" s="65"/>
      <c r="CM82" s="65"/>
      <c r="CN82" s="65"/>
      <c r="CO82" s="65"/>
      <c r="CP82" s="65"/>
      <c r="CQ82" s="65"/>
      <c r="CR82" s="65"/>
      <c r="CS82" s="65"/>
      <c r="CT82" s="65"/>
      <c r="CU82" s="65"/>
      <c r="CV82" s="65"/>
      <c r="CW82" s="65"/>
      <c r="CX82" s="65"/>
      <c r="CY82" s="65"/>
      <c r="CZ82" s="65"/>
      <c r="DA82" s="65"/>
      <c r="DB82" s="65"/>
      <c r="DC82" s="65"/>
      <c r="DD82" s="65"/>
      <c r="DE82" s="65"/>
      <c r="DF82" s="65"/>
      <c r="DG82" s="65"/>
      <c r="DH82" s="65"/>
      <c r="DI82" s="65"/>
      <c r="DJ82" s="65"/>
      <c r="DK82" s="65"/>
      <c r="DL82" s="65"/>
      <c r="DM82" s="65"/>
      <c r="DN82" s="65"/>
      <c r="DO82" s="65"/>
      <c r="DP82" s="65"/>
      <c r="DQ82" s="65"/>
      <c r="DR82" s="65"/>
      <c r="DS82" s="65"/>
      <c r="DT82" s="65"/>
      <c r="DU82" s="65"/>
      <c r="DV82" s="65"/>
      <c r="DW82" s="65"/>
      <c r="DX82" s="65"/>
      <c r="DY82" s="65"/>
      <c r="DZ82" s="65"/>
      <c r="EA82" s="65"/>
      <c r="EB82" s="65"/>
      <c r="EC82" s="65"/>
      <c r="ED82" s="65"/>
      <c r="EE82" s="65"/>
      <c r="EF82" s="65"/>
      <c r="EG82" s="65"/>
      <c r="EH82" s="65"/>
      <c r="EI82" s="65"/>
      <c r="EJ82" s="65"/>
      <c r="EK82" s="65"/>
      <c r="EL82" s="65"/>
      <c r="EM82" s="65"/>
      <c r="EN82" s="65"/>
      <c r="EO82" s="65"/>
      <c r="EP82" s="65"/>
      <c r="EQ82" s="65"/>
      <c r="ER82" s="65"/>
      <c r="ES82" s="65"/>
      <c r="ET82" s="65"/>
      <c r="EU82" s="65"/>
      <c r="EV82" s="65"/>
      <c r="EW82" s="65"/>
      <c r="EX82" s="65"/>
      <c r="EY82" s="65"/>
      <c r="EZ82" s="65"/>
      <c r="FA82" s="65"/>
      <c r="FB82" s="65"/>
      <c r="FC82" s="65"/>
      <c r="FD82" s="65"/>
      <c r="FE82" s="65"/>
      <c r="FF82" s="65"/>
      <c r="FG82" s="65"/>
      <c r="FH82" s="65"/>
      <c r="FI82" s="65"/>
      <c r="FJ82" s="65"/>
      <c r="FK82" s="65"/>
      <c r="FL82" s="65"/>
      <c r="FM82" s="65"/>
      <c r="FN82" s="65"/>
      <c r="FO82" s="65"/>
      <c r="FP82" s="65"/>
      <c r="FQ82" s="65"/>
      <c r="FR82" s="65"/>
      <c r="FS82" s="65"/>
      <c r="FT82" s="65"/>
      <c r="FU82" s="65"/>
      <c r="FV82" s="65"/>
      <c r="FW82" s="65"/>
      <c r="FX82" s="65"/>
      <c r="FY82" s="65"/>
      <c r="FZ82" s="65"/>
      <c r="GA82" s="65"/>
      <c r="GB82" s="65"/>
      <c r="GC82" s="65"/>
      <c r="GD82" s="65"/>
      <c r="GE82" s="65"/>
      <c r="GF82" s="65"/>
      <c r="GG82" s="65"/>
      <c r="GH82" s="65"/>
      <c r="GI82" s="65"/>
      <c r="GJ82" s="65"/>
      <c r="GK82" s="65"/>
      <c r="GL82" s="65"/>
      <c r="GM82" s="65"/>
      <c r="GN82" s="65"/>
      <c r="GO82" s="65"/>
      <c r="GP82" s="65"/>
      <c r="GQ82" s="65"/>
      <c r="GR82" s="65"/>
      <c r="GS82" s="65"/>
      <c r="GT82" s="65"/>
      <c r="GU82" s="65"/>
      <c r="GV82" s="65"/>
      <c r="GW82" s="65"/>
      <c r="GX82" s="65"/>
      <c r="GY82" s="65"/>
      <c r="GZ82" s="65"/>
      <c r="HA82" s="65"/>
      <c r="HB82" s="65"/>
      <c r="HC82" s="65"/>
      <c r="HD82" s="65"/>
      <c r="HE82" s="65"/>
      <c r="HF82" s="65"/>
      <c r="HG82" s="65"/>
      <c r="HH82" s="65"/>
      <c r="HI82" s="65"/>
      <c r="HJ82" s="65"/>
      <c r="HK82" s="65"/>
      <c r="HL82" s="65"/>
      <c r="HM82" s="65"/>
      <c r="HN82" s="65"/>
      <c r="HO82" s="65"/>
      <c r="HP82" s="65"/>
      <c r="HQ82" s="65"/>
      <c r="HR82" s="65"/>
      <c r="HS82" s="65"/>
      <c r="HT82" s="65"/>
      <c r="HU82" s="65"/>
      <c r="HV82" s="65"/>
      <c r="HW82" s="65"/>
      <c r="HX82" s="65"/>
      <c r="HY82" s="65"/>
      <c r="HZ82" s="65"/>
      <c r="IA82" s="65"/>
      <c r="IB82" s="65"/>
      <c r="IC82" s="65"/>
      <c r="ID82" s="65"/>
      <c r="IE82" s="65"/>
      <c r="IF82" s="65"/>
      <c r="IG82" s="65"/>
      <c r="IH82" s="65"/>
      <c r="II82" s="65"/>
      <c r="IJ82" s="65"/>
      <c r="IK82" s="65"/>
      <c r="IL82" s="65"/>
      <c r="IM82" s="65"/>
      <c r="IN82" s="65"/>
      <c r="IO82" s="65"/>
      <c r="IP82" s="65"/>
      <c r="IQ82" s="65"/>
      <c r="IR82" s="65"/>
      <c r="IS82" s="65"/>
      <c r="IT82" s="65"/>
      <c r="IU82" s="65"/>
      <c r="IV82" s="65"/>
      <c r="IW82" s="65"/>
      <c r="IX82" s="65"/>
      <c r="IY82" s="65"/>
      <c r="IZ82" s="65"/>
      <c r="JA82" s="65"/>
      <c r="JB82" s="65"/>
      <c r="JC82" s="65"/>
      <c r="JD82" s="65"/>
      <c r="JE82" s="65"/>
      <c r="JF82" s="65"/>
      <c r="JG82" s="65"/>
      <c r="JH82" s="65"/>
      <c r="JI82" s="65"/>
      <c r="JJ82" s="65"/>
      <c r="JK82" s="65"/>
      <c r="JL82" s="65"/>
      <c r="JM82" s="65"/>
      <c r="JN82" s="65"/>
      <c r="JO82" s="65"/>
      <c r="JP82" s="65"/>
      <c r="JQ82" s="65"/>
      <c r="JR82" s="65"/>
      <c r="JS82" s="65"/>
      <c r="JT82" s="65"/>
      <c r="JU82" s="65"/>
      <c r="JV82" s="65"/>
      <c r="JW82" s="65"/>
      <c r="JX82" s="65"/>
      <c r="JY82" s="65"/>
      <c r="JZ82" s="65"/>
      <c r="KA82" s="65"/>
      <c r="KB82" s="65"/>
      <c r="KC82" s="65"/>
      <c r="KD82" s="65"/>
      <c r="KE82" s="65"/>
      <c r="KF82" s="65"/>
      <c r="KG82" s="65"/>
      <c r="KH82" s="65"/>
      <c r="KI82" s="65"/>
      <c r="KJ82" s="65"/>
      <c r="KK82" s="65"/>
      <c r="KL82" s="65"/>
      <c r="KM82" s="65"/>
      <c r="KN82" s="65"/>
      <c r="KO82" s="65"/>
      <c r="KP82" s="65"/>
      <c r="KQ82" s="65"/>
      <c r="KR82" s="65"/>
      <c r="KS82" s="65"/>
      <c r="KT82" s="65"/>
      <c r="KU82" s="65"/>
      <c r="KV82" s="65"/>
      <c r="KW82" s="65"/>
      <c r="KX82" s="65"/>
      <c r="KY82" s="65"/>
      <c r="KZ82" s="65"/>
      <c r="LA82" s="65"/>
      <c r="LB82" s="65"/>
      <c r="LC82" s="65"/>
      <c r="LD82" s="65"/>
      <c r="LE82" s="65"/>
      <c r="LF82" s="65"/>
      <c r="LG82" s="65"/>
      <c r="LH82" s="65"/>
      <c r="LI82" s="65"/>
      <c r="LJ82" s="65"/>
      <c r="LK82" s="65"/>
      <c r="LL82" s="65"/>
      <c r="LM82" s="65"/>
      <c r="LN82" s="65"/>
      <c r="LO82" s="65"/>
      <c r="LP82" s="65"/>
      <c r="LQ82" s="65"/>
      <c r="LR82" s="65"/>
      <c r="LS82" s="65"/>
      <c r="LT82" s="65"/>
      <c r="LU82" s="65"/>
      <c r="LV82" s="65"/>
      <c r="LW82" s="65"/>
      <c r="LX82" s="65"/>
      <c r="LY82" s="65"/>
      <c r="LZ82" s="65"/>
      <c r="MA82" s="65"/>
      <c r="MB82" s="65"/>
      <c r="MC82" s="65"/>
      <c r="MD82" s="65"/>
      <c r="ME82" s="65"/>
      <c r="MF82" s="65"/>
      <c r="MG82" s="65"/>
      <c r="MH82" s="65"/>
      <c r="MI82" s="65"/>
      <c r="MJ82" s="65"/>
      <c r="MK82" s="65"/>
      <c r="ML82" s="65"/>
      <c r="MM82" s="65"/>
      <c r="MN82" s="65"/>
      <c r="MO82" s="65"/>
      <c r="MP82" s="65"/>
      <c r="MQ82" s="65"/>
      <c r="MR82" s="65"/>
      <c r="MS82" s="65"/>
      <c r="MT82" s="65"/>
      <c r="MU82" s="65"/>
      <c r="MV82" s="65"/>
      <c r="MW82" s="65"/>
      <c r="MX82" s="65"/>
      <c r="MY82" s="65"/>
      <c r="MZ82" s="65"/>
      <c r="NA82" s="65"/>
      <c r="NB82" s="65"/>
      <c r="NC82" s="65"/>
      <c r="ND82" s="65"/>
      <c r="NE82" s="65"/>
      <c r="NF82" s="65"/>
      <c r="NG82" s="65"/>
      <c r="NH82" s="65"/>
      <c r="NI82" s="65"/>
      <c r="NJ82" s="65"/>
      <c r="NK82" s="65"/>
      <c r="NL82" s="65"/>
      <c r="NM82" s="65"/>
      <c r="NN82" s="65"/>
      <c r="NO82" s="65"/>
      <c r="NP82" s="65"/>
      <c r="NQ82" s="65"/>
      <c r="NR82" s="65"/>
      <c r="NS82" s="65"/>
      <c r="NT82" s="65"/>
      <c r="NU82" s="65"/>
      <c r="NV82" s="65"/>
      <c r="NW82" s="65"/>
      <c r="NX82" s="65"/>
      <c r="NY82" s="65"/>
      <c r="NZ82" s="65"/>
      <c r="OA82" s="65"/>
      <c r="OB82" s="65"/>
      <c r="OC82" s="65"/>
      <c r="OD82" s="65"/>
      <c r="OE82" s="65"/>
      <c r="OF82" s="65"/>
      <c r="OG82" s="65"/>
      <c r="OH82" s="65"/>
      <c r="OI82" s="65"/>
      <c r="OJ82" s="65"/>
      <c r="OK82" s="65"/>
      <c r="OL82" s="65"/>
      <c r="OM82" s="65"/>
      <c r="ON82" s="65"/>
      <c r="OO82" s="65"/>
      <c r="OP82" s="65"/>
      <c r="OQ82" s="65"/>
      <c r="OR82" s="65"/>
      <c r="OS82" s="65"/>
    </row>
    <row r="83" spans="1:409">
      <c r="A83" s="64"/>
      <c r="B83" s="64"/>
      <c r="C83" s="64"/>
      <c r="D83" s="64"/>
      <c r="E83" s="64"/>
      <c r="F83" s="64"/>
      <c r="G83" s="64"/>
      <c r="H83" s="64"/>
      <c r="I83" s="64"/>
      <c r="J83" s="64"/>
      <c r="K83" s="64"/>
      <c r="L83" s="64"/>
      <c r="M83" s="64"/>
      <c r="N83" s="64"/>
      <c r="O83" s="64"/>
      <c r="P83" s="64"/>
      <c r="Q83" s="64"/>
      <c r="R83" s="64"/>
      <c r="S83" s="64"/>
      <c r="T83" s="64"/>
      <c r="U83" s="64"/>
      <c r="V83" s="64"/>
      <c r="W83" s="64"/>
      <c r="X83" s="64"/>
      <c r="Y83" s="64"/>
      <c r="Z83" s="64"/>
      <c r="AA83" s="64"/>
      <c r="AB83" s="64"/>
      <c r="AC83" s="64"/>
      <c r="AD83" s="64"/>
      <c r="AE83" s="64"/>
      <c r="AF83" s="64"/>
      <c r="AG83" s="64"/>
      <c r="AH83" s="64"/>
      <c r="AI83" s="64"/>
      <c r="AJ83" s="64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C83" s="64"/>
      <c r="BD83" s="64"/>
      <c r="BE83" s="64"/>
      <c r="BF83" s="64"/>
      <c r="BG83" s="64"/>
      <c r="BH83" s="64"/>
      <c r="BI83" s="64"/>
      <c r="BJ83" s="64"/>
      <c r="BK83" s="64"/>
      <c r="BL83" s="64"/>
      <c r="BM83" s="64"/>
      <c r="BN83" s="64"/>
      <c r="BO83" s="64"/>
      <c r="BP83" s="64"/>
      <c r="BQ83" s="64"/>
      <c r="BR83" s="64"/>
      <c r="BS83" s="64"/>
      <c r="BT83" s="64"/>
      <c r="BU83" s="64"/>
      <c r="BV83" s="64"/>
      <c r="BW83" s="64"/>
      <c r="BX83" s="64"/>
      <c r="BY83" s="64"/>
      <c r="BZ83" s="64"/>
      <c r="CA83" s="64"/>
      <c r="CB83" s="64"/>
      <c r="CC83" s="64"/>
      <c r="CD83" s="64"/>
      <c r="CE83" s="64"/>
      <c r="CF83" s="64"/>
      <c r="CG83" s="64"/>
      <c r="CH83" s="64"/>
      <c r="CI83" s="64"/>
      <c r="CJ83" s="64"/>
      <c r="CK83" s="64"/>
      <c r="CL83" s="64"/>
      <c r="CM83" s="64"/>
      <c r="CN83" s="64"/>
      <c r="CO83" s="64"/>
      <c r="CP83" s="64"/>
      <c r="CQ83" s="64"/>
      <c r="CR83" s="64"/>
      <c r="CS83" s="64"/>
      <c r="CT83" s="64"/>
      <c r="CU83" s="64"/>
      <c r="CV83" s="64"/>
      <c r="CW83" s="64"/>
      <c r="CX83" s="64"/>
      <c r="CY83" s="64"/>
      <c r="CZ83" s="64"/>
      <c r="DA83" s="64"/>
      <c r="DB83" s="64"/>
      <c r="DC83" s="64"/>
      <c r="DD83" s="64"/>
      <c r="DE83" s="64"/>
      <c r="DF83" s="64"/>
      <c r="DG83" s="64"/>
      <c r="DH83" s="64"/>
      <c r="DI83" s="64"/>
      <c r="DJ83" s="64"/>
      <c r="DK83" s="64"/>
      <c r="DL83" s="64"/>
      <c r="DM83" s="64"/>
      <c r="DN83" s="64"/>
      <c r="DO83" s="64"/>
      <c r="DP83" s="64"/>
      <c r="DQ83" s="64"/>
      <c r="DR83" s="64"/>
      <c r="DS83" s="64"/>
      <c r="DT83" s="64"/>
      <c r="DU83" s="64"/>
      <c r="DV83" s="64"/>
      <c r="DW83" s="64"/>
      <c r="DX83" s="64"/>
      <c r="DY83" s="64"/>
      <c r="DZ83" s="64"/>
      <c r="EA83" s="64"/>
      <c r="EB83" s="64"/>
      <c r="EC83" s="64"/>
      <c r="ED83" s="64"/>
      <c r="EE83" s="64"/>
      <c r="EF83" s="64"/>
      <c r="EG83" s="64"/>
      <c r="EH83" s="64"/>
      <c r="EI83" s="64"/>
      <c r="EJ83" s="64"/>
      <c r="EK83" s="64"/>
      <c r="EL83" s="64"/>
      <c r="EM83" s="64"/>
      <c r="EN83" s="64"/>
      <c r="EO83" s="64"/>
      <c r="EP83" s="64"/>
      <c r="EQ83" s="64"/>
      <c r="ER83" s="64"/>
      <c r="ES83" s="64"/>
      <c r="ET83" s="64"/>
      <c r="EU83" s="64"/>
      <c r="EV83" s="64"/>
      <c r="EW83" s="64"/>
      <c r="EX83" s="64"/>
      <c r="EY83" s="64"/>
      <c r="EZ83" s="64"/>
      <c r="FA83" s="64"/>
      <c r="FB83" s="64"/>
      <c r="FC83" s="64"/>
      <c r="FD83" s="64"/>
      <c r="FE83" s="64"/>
      <c r="FF83" s="64"/>
      <c r="FG83" s="64"/>
      <c r="FH83" s="64"/>
      <c r="FI83" s="64"/>
      <c r="FJ83" s="64"/>
      <c r="FK83" s="64"/>
      <c r="FL83" s="64"/>
      <c r="FM83" s="64"/>
      <c r="FN83" s="64"/>
      <c r="FO83" s="64"/>
      <c r="FP83" s="64"/>
      <c r="FQ83" s="64"/>
      <c r="FR83" s="64"/>
      <c r="FS83" s="64"/>
      <c r="FT83" s="64"/>
      <c r="FU83" s="64"/>
      <c r="FV83" s="64"/>
      <c r="FW83" s="64"/>
      <c r="FX83" s="64"/>
      <c r="FY83" s="64"/>
      <c r="FZ83" s="64"/>
      <c r="GA83" s="64"/>
      <c r="GB83" s="64"/>
      <c r="GC83" s="64"/>
      <c r="GD83" s="64"/>
      <c r="GE83" s="64"/>
      <c r="GF83" s="64"/>
      <c r="GG83" s="64"/>
      <c r="GH83" s="64"/>
      <c r="GI83" s="64"/>
      <c r="GJ83" s="64"/>
      <c r="GK83" s="64"/>
      <c r="GL83" s="64"/>
      <c r="GM83" s="64"/>
      <c r="GN83" s="64"/>
      <c r="GO83" s="64"/>
      <c r="GP83" s="64"/>
      <c r="GQ83" s="64"/>
      <c r="GR83" s="64"/>
      <c r="GS83" s="64"/>
      <c r="GT83" s="64"/>
      <c r="GU83" s="64"/>
      <c r="GV83" s="64"/>
      <c r="GW83" s="64"/>
      <c r="GX83" s="64"/>
      <c r="GY83" s="64"/>
      <c r="GZ83" s="64"/>
      <c r="HA83" s="64"/>
      <c r="HB83" s="64"/>
      <c r="HC83" s="64"/>
      <c r="HD83" s="64"/>
      <c r="HE83" s="64"/>
      <c r="HF83" s="64"/>
      <c r="HG83" s="64"/>
      <c r="HH83" s="64"/>
      <c r="HI83" s="64"/>
      <c r="HJ83" s="64"/>
      <c r="HK83" s="64"/>
      <c r="HL83" s="64"/>
      <c r="HM83" s="64"/>
      <c r="HN83" s="64"/>
      <c r="HO83" s="64"/>
      <c r="HP83" s="64"/>
      <c r="HQ83" s="64"/>
      <c r="HR83" s="64"/>
      <c r="HS83" s="64"/>
      <c r="HT83" s="64"/>
      <c r="HU83" s="64"/>
      <c r="HV83" s="64"/>
      <c r="HW83" s="64"/>
      <c r="HX83" s="64"/>
      <c r="HY83" s="64"/>
      <c r="HZ83" s="64"/>
      <c r="IA83" s="64"/>
      <c r="IB83" s="64"/>
      <c r="IC83" s="64"/>
      <c r="ID83" s="64"/>
      <c r="IE83" s="64"/>
      <c r="IF83" s="64"/>
      <c r="IG83" s="64"/>
      <c r="IH83" s="64"/>
      <c r="II83" s="64"/>
      <c r="IJ83" s="64"/>
      <c r="IK83" s="64"/>
      <c r="IL83" s="64"/>
      <c r="IM83" s="64"/>
      <c r="IN83" s="64"/>
      <c r="IO83" s="64"/>
      <c r="IP83" s="64"/>
      <c r="IQ83" s="64"/>
      <c r="IR83" s="64"/>
      <c r="IS83" s="64"/>
      <c r="IT83" s="64"/>
      <c r="IU83" s="64"/>
      <c r="IV83" s="64"/>
      <c r="IW83" s="64"/>
      <c r="IX83" s="64"/>
      <c r="IY83" s="64"/>
      <c r="IZ83" s="64"/>
      <c r="JA83" s="64"/>
      <c r="JB83" s="64"/>
      <c r="JC83" s="64"/>
      <c r="JD83" s="64"/>
      <c r="JE83" s="64"/>
      <c r="JF83" s="64"/>
      <c r="JG83" s="64"/>
      <c r="JH83" s="64"/>
      <c r="JI83" s="64"/>
      <c r="JJ83" s="64"/>
      <c r="JK83" s="64"/>
      <c r="JL83" s="64"/>
      <c r="JM83" s="64"/>
      <c r="JN83" s="64"/>
      <c r="JO83" s="64"/>
      <c r="JP83" s="64"/>
      <c r="JQ83" s="64"/>
      <c r="JR83" s="64"/>
      <c r="JS83" s="64"/>
      <c r="JT83" s="64"/>
      <c r="JU83" s="64"/>
      <c r="JV83" s="64"/>
      <c r="JW83" s="64"/>
      <c r="JX83" s="64"/>
      <c r="JY83" s="64"/>
      <c r="JZ83" s="64"/>
      <c r="KA83" s="64"/>
      <c r="KB83" s="64"/>
      <c r="KC83" s="64"/>
      <c r="KD83" s="64"/>
      <c r="KE83" s="64"/>
      <c r="KF83" s="64"/>
      <c r="KG83" s="64"/>
      <c r="KH83" s="64"/>
      <c r="KI83" s="64"/>
      <c r="KJ83" s="64"/>
      <c r="KK83" s="64"/>
      <c r="KL83" s="64"/>
      <c r="KM83" s="64"/>
      <c r="KN83" s="64"/>
      <c r="KO83" s="64"/>
      <c r="KP83" s="64"/>
      <c r="KQ83" s="64"/>
      <c r="KR83" s="64"/>
      <c r="KS83" s="64"/>
      <c r="KT83" s="64"/>
      <c r="KU83" s="64"/>
      <c r="KV83" s="64"/>
      <c r="KW83" s="64"/>
      <c r="KX83" s="64"/>
      <c r="KY83" s="64"/>
      <c r="KZ83" s="64"/>
      <c r="LA83" s="64"/>
      <c r="LB83" s="64"/>
      <c r="LC83" s="64"/>
      <c r="LD83" s="64"/>
      <c r="LE83" s="64"/>
      <c r="LF83" s="64"/>
      <c r="LG83" s="64"/>
      <c r="LH83" s="64"/>
      <c r="LI83" s="64"/>
      <c r="LJ83" s="64"/>
      <c r="LK83" s="64"/>
      <c r="LL83" s="64"/>
      <c r="LM83" s="64"/>
      <c r="LN83" s="64"/>
      <c r="LO83" s="64"/>
      <c r="LP83" s="64"/>
      <c r="LQ83" s="64"/>
      <c r="LR83" s="64"/>
      <c r="LS83" s="64"/>
      <c r="LT83" s="64"/>
      <c r="LU83" s="64"/>
      <c r="LV83" s="64"/>
      <c r="LW83" s="64"/>
      <c r="LX83" s="64"/>
      <c r="LY83" s="64"/>
      <c r="LZ83" s="64"/>
      <c r="MA83" s="64"/>
      <c r="MB83" s="64"/>
      <c r="MC83" s="64"/>
      <c r="MD83" s="64"/>
      <c r="ME83" s="64"/>
      <c r="MF83" s="64"/>
      <c r="MG83" s="64"/>
      <c r="MH83" s="64"/>
      <c r="MI83" s="64"/>
      <c r="MJ83" s="64"/>
      <c r="MK83" s="64"/>
      <c r="ML83" s="64"/>
      <c r="MM83" s="64"/>
      <c r="MN83" s="64"/>
      <c r="MO83" s="64"/>
      <c r="MP83" s="64"/>
      <c r="MQ83" s="64"/>
      <c r="MR83" s="64"/>
      <c r="MS83" s="64"/>
      <c r="MT83" s="64"/>
      <c r="MU83" s="64"/>
      <c r="MV83" s="64"/>
      <c r="MW83" s="64"/>
      <c r="MX83" s="64"/>
      <c r="MY83" s="64"/>
      <c r="MZ83" s="64"/>
      <c r="NA83" s="64"/>
      <c r="NB83" s="64"/>
      <c r="NC83" s="64"/>
      <c r="ND83" s="64"/>
      <c r="NE83" s="64"/>
      <c r="NF83" s="64"/>
      <c r="NG83" s="64"/>
      <c r="NH83" s="64"/>
      <c r="NI83" s="64"/>
      <c r="NJ83" s="64"/>
      <c r="NK83" s="64"/>
      <c r="NL83" s="64"/>
      <c r="NM83" s="64"/>
      <c r="NN83" s="64"/>
      <c r="NO83" s="64"/>
      <c r="NP83" s="64"/>
      <c r="NQ83" s="64"/>
      <c r="NR83" s="64"/>
      <c r="NS83" s="64"/>
      <c r="NT83" s="64"/>
      <c r="NU83" s="64"/>
      <c r="NV83" s="64"/>
      <c r="NW83" s="64"/>
      <c r="NX83" s="64"/>
      <c r="NY83" s="64"/>
      <c r="NZ83" s="64"/>
      <c r="OA83" s="64"/>
      <c r="OB83" s="64"/>
      <c r="OC83" s="64"/>
      <c r="OD83" s="64"/>
      <c r="OE83" s="64"/>
      <c r="OF83" s="64"/>
      <c r="OG83" s="64"/>
      <c r="OH83" s="64"/>
      <c r="OI83" s="64"/>
      <c r="OJ83" s="64"/>
      <c r="OK83" s="64"/>
      <c r="OL83" s="64"/>
      <c r="OM83" s="64"/>
      <c r="ON83" s="64"/>
      <c r="OO83" s="64"/>
      <c r="OP83" s="64"/>
      <c r="OQ83" s="64"/>
      <c r="OR83" s="64"/>
      <c r="OS83" s="64"/>
    </row>
    <row r="84" spans="1:409">
      <c r="A84" s="65"/>
      <c r="B84" s="65"/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H84" s="65"/>
      <c r="AI84" s="65"/>
      <c r="AJ84" s="65"/>
      <c r="AK84" s="65"/>
      <c r="AL84" s="65"/>
      <c r="AM84" s="65"/>
      <c r="AN84" s="65"/>
      <c r="AO84" s="65"/>
      <c r="AP84" s="65"/>
      <c r="AQ84" s="65"/>
      <c r="AR84" s="65"/>
      <c r="AS84" s="65"/>
      <c r="AT84" s="65"/>
      <c r="AU84" s="65"/>
      <c r="AV84" s="65"/>
      <c r="AW84" s="65"/>
      <c r="AX84" s="65"/>
      <c r="AY84" s="65"/>
      <c r="AZ84" s="65"/>
      <c r="BA84" s="65"/>
      <c r="BB84" s="65"/>
      <c r="BC84" s="65"/>
      <c r="BD84" s="65"/>
      <c r="BE84" s="65"/>
      <c r="BF84" s="65"/>
      <c r="BG84" s="65"/>
      <c r="BH84" s="65"/>
      <c r="BI84" s="65"/>
      <c r="BJ84" s="65"/>
      <c r="BK84" s="65"/>
      <c r="BL84" s="65"/>
      <c r="BM84" s="65"/>
      <c r="BN84" s="65"/>
      <c r="BO84" s="65"/>
      <c r="BP84" s="65"/>
      <c r="BQ84" s="65"/>
      <c r="BR84" s="65"/>
      <c r="BS84" s="65"/>
      <c r="BT84" s="65"/>
      <c r="BU84" s="65"/>
      <c r="BV84" s="65"/>
      <c r="BW84" s="65"/>
      <c r="BX84" s="65"/>
      <c r="BY84" s="65"/>
      <c r="BZ84" s="65"/>
      <c r="CA84" s="65"/>
      <c r="CB84" s="65"/>
      <c r="CC84" s="65"/>
      <c r="CD84" s="65"/>
      <c r="CE84" s="65"/>
      <c r="CF84" s="65"/>
      <c r="CG84" s="65"/>
      <c r="CH84" s="65"/>
      <c r="CI84" s="65"/>
      <c r="CJ84" s="65"/>
      <c r="CK84" s="65"/>
      <c r="CL84" s="65"/>
      <c r="CM84" s="65"/>
      <c r="CN84" s="65"/>
      <c r="CO84" s="65"/>
      <c r="CP84" s="65"/>
      <c r="CQ84" s="65"/>
      <c r="CR84" s="65"/>
      <c r="CS84" s="65"/>
      <c r="CT84" s="65"/>
      <c r="CU84" s="65"/>
      <c r="CV84" s="65"/>
      <c r="CW84" s="65"/>
      <c r="CX84" s="65"/>
      <c r="CY84" s="65"/>
      <c r="CZ84" s="65"/>
      <c r="DA84" s="65"/>
      <c r="DB84" s="65"/>
      <c r="DC84" s="65"/>
      <c r="DD84" s="65"/>
      <c r="DE84" s="65"/>
      <c r="DF84" s="65"/>
      <c r="DG84" s="65"/>
      <c r="DH84" s="65"/>
      <c r="DI84" s="65"/>
      <c r="DJ84" s="65"/>
      <c r="DK84" s="65"/>
      <c r="DL84" s="65"/>
      <c r="DM84" s="65"/>
      <c r="DN84" s="65"/>
      <c r="DO84" s="65"/>
      <c r="DP84" s="65"/>
      <c r="DQ84" s="65"/>
      <c r="DR84" s="65"/>
      <c r="DS84" s="65"/>
      <c r="DT84" s="65"/>
      <c r="DU84" s="65"/>
      <c r="DV84" s="65"/>
      <c r="DW84" s="65"/>
      <c r="DX84" s="65"/>
      <c r="DY84" s="65"/>
      <c r="DZ84" s="65"/>
      <c r="EA84" s="65"/>
      <c r="EB84" s="65"/>
      <c r="EC84" s="65"/>
      <c r="ED84" s="65"/>
      <c r="EE84" s="65"/>
      <c r="EF84" s="65"/>
      <c r="EG84" s="65"/>
      <c r="EH84" s="65"/>
      <c r="EI84" s="65"/>
      <c r="EJ84" s="65"/>
      <c r="EK84" s="65"/>
      <c r="EL84" s="65"/>
      <c r="EM84" s="65"/>
      <c r="EN84" s="65"/>
      <c r="EO84" s="65"/>
      <c r="EP84" s="65"/>
      <c r="EQ84" s="65"/>
      <c r="ER84" s="65"/>
      <c r="ES84" s="65"/>
      <c r="ET84" s="65"/>
      <c r="EU84" s="65"/>
      <c r="EV84" s="65"/>
      <c r="EW84" s="65"/>
      <c r="EX84" s="65"/>
      <c r="EY84" s="65"/>
      <c r="EZ84" s="65"/>
      <c r="FA84" s="65"/>
      <c r="FB84" s="65"/>
      <c r="FC84" s="65"/>
      <c r="FD84" s="65"/>
      <c r="FE84" s="65"/>
      <c r="FF84" s="65"/>
      <c r="FG84" s="65"/>
      <c r="FH84" s="65"/>
      <c r="FI84" s="65"/>
      <c r="FJ84" s="65"/>
      <c r="FK84" s="65"/>
      <c r="FL84" s="65"/>
      <c r="FM84" s="65"/>
      <c r="FN84" s="65"/>
      <c r="FO84" s="65"/>
      <c r="FP84" s="65"/>
      <c r="FQ84" s="65"/>
      <c r="FR84" s="65"/>
      <c r="FS84" s="65"/>
      <c r="FT84" s="65"/>
      <c r="FU84" s="65"/>
      <c r="FV84" s="65"/>
      <c r="FW84" s="65"/>
      <c r="FX84" s="65"/>
      <c r="FY84" s="65"/>
      <c r="FZ84" s="65"/>
      <c r="GA84" s="65"/>
      <c r="GB84" s="65"/>
      <c r="GC84" s="65"/>
      <c r="GD84" s="65"/>
      <c r="GE84" s="65"/>
      <c r="GF84" s="65"/>
      <c r="GG84" s="65"/>
      <c r="GH84" s="65"/>
      <c r="GI84" s="65"/>
      <c r="GJ84" s="65"/>
      <c r="GK84" s="65"/>
      <c r="GL84" s="65"/>
      <c r="GM84" s="65"/>
      <c r="GN84" s="65"/>
      <c r="GO84" s="65"/>
      <c r="GP84" s="65"/>
      <c r="GQ84" s="65"/>
      <c r="GR84" s="65"/>
      <c r="GS84" s="65"/>
      <c r="GT84" s="65"/>
      <c r="GU84" s="65"/>
      <c r="GV84" s="65"/>
      <c r="GW84" s="65"/>
      <c r="GX84" s="65"/>
      <c r="GY84" s="65"/>
      <c r="GZ84" s="65"/>
      <c r="HA84" s="65"/>
      <c r="HB84" s="65"/>
      <c r="HC84" s="65"/>
      <c r="HD84" s="65"/>
      <c r="HE84" s="65"/>
      <c r="HF84" s="65"/>
      <c r="HG84" s="65"/>
      <c r="HH84" s="65"/>
      <c r="HI84" s="65"/>
      <c r="HJ84" s="65"/>
      <c r="HK84" s="65"/>
      <c r="HL84" s="65"/>
      <c r="HM84" s="65"/>
      <c r="HN84" s="65"/>
      <c r="HO84" s="65"/>
      <c r="HP84" s="65"/>
      <c r="HQ84" s="65"/>
      <c r="HR84" s="65"/>
      <c r="HS84" s="65"/>
      <c r="HT84" s="65"/>
      <c r="HU84" s="65"/>
      <c r="HV84" s="65"/>
      <c r="HW84" s="65"/>
      <c r="HX84" s="65"/>
      <c r="HY84" s="65"/>
      <c r="HZ84" s="65"/>
      <c r="IA84" s="65"/>
      <c r="IB84" s="65"/>
      <c r="IC84" s="65"/>
      <c r="ID84" s="65"/>
      <c r="IE84" s="65"/>
      <c r="IF84" s="65"/>
      <c r="IG84" s="65"/>
      <c r="IH84" s="65"/>
      <c r="II84" s="65"/>
      <c r="IJ84" s="65"/>
      <c r="IK84" s="65"/>
      <c r="IL84" s="65"/>
      <c r="IM84" s="65"/>
      <c r="IN84" s="65"/>
      <c r="IO84" s="65"/>
      <c r="IP84" s="65"/>
      <c r="IQ84" s="65"/>
      <c r="IR84" s="65"/>
      <c r="IS84" s="65"/>
      <c r="IT84" s="65"/>
      <c r="IU84" s="65"/>
      <c r="IV84" s="65"/>
      <c r="IW84" s="65"/>
      <c r="IX84" s="65"/>
      <c r="IY84" s="65"/>
      <c r="IZ84" s="65"/>
      <c r="JA84" s="65"/>
      <c r="JB84" s="65"/>
      <c r="JC84" s="65"/>
      <c r="JD84" s="65"/>
      <c r="JE84" s="65"/>
      <c r="JF84" s="65"/>
      <c r="JG84" s="65"/>
      <c r="JH84" s="65"/>
      <c r="JI84" s="65"/>
      <c r="JJ84" s="65"/>
      <c r="JK84" s="65"/>
      <c r="JL84" s="65"/>
      <c r="JM84" s="65"/>
      <c r="JN84" s="65"/>
      <c r="JO84" s="65"/>
      <c r="JP84" s="65"/>
      <c r="JQ84" s="65"/>
      <c r="JR84" s="65"/>
      <c r="JS84" s="65"/>
      <c r="JT84" s="65"/>
      <c r="JU84" s="65"/>
      <c r="JV84" s="65"/>
      <c r="JW84" s="65"/>
      <c r="JX84" s="65"/>
      <c r="JY84" s="65"/>
      <c r="JZ84" s="65"/>
      <c r="KA84" s="65"/>
      <c r="KB84" s="65"/>
      <c r="KC84" s="65"/>
      <c r="KD84" s="65"/>
      <c r="KE84" s="65"/>
      <c r="KF84" s="65"/>
      <c r="KG84" s="65"/>
      <c r="KH84" s="65"/>
      <c r="KI84" s="65"/>
      <c r="KJ84" s="65"/>
      <c r="KK84" s="65"/>
      <c r="KL84" s="65"/>
      <c r="KM84" s="65"/>
      <c r="KN84" s="65"/>
      <c r="KO84" s="65"/>
      <c r="KP84" s="65"/>
      <c r="KQ84" s="65"/>
      <c r="KR84" s="65"/>
      <c r="KS84" s="65"/>
      <c r="KT84" s="65"/>
      <c r="KU84" s="65"/>
      <c r="KV84" s="65"/>
      <c r="KW84" s="65"/>
      <c r="KX84" s="65"/>
      <c r="KY84" s="65"/>
      <c r="KZ84" s="65"/>
      <c r="LA84" s="65"/>
      <c r="LB84" s="65"/>
      <c r="LC84" s="65"/>
      <c r="LD84" s="65"/>
      <c r="LE84" s="65"/>
      <c r="LF84" s="65"/>
      <c r="LG84" s="65"/>
      <c r="LH84" s="65"/>
      <c r="LI84" s="65"/>
      <c r="LJ84" s="65"/>
      <c r="LK84" s="65"/>
      <c r="LL84" s="65"/>
      <c r="LM84" s="65"/>
      <c r="LN84" s="65"/>
      <c r="LO84" s="65"/>
      <c r="LP84" s="65"/>
      <c r="LQ84" s="65"/>
      <c r="LR84" s="65"/>
      <c r="LS84" s="65"/>
      <c r="LT84" s="65"/>
      <c r="LU84" s="65"/>
      <c r="LV84" s="65"/>
      <c r="LW84" s="65"/>
      <c r="LX84" s="65"/>
      <c r="LY84" s="65"/>
      <c r="LZ84" s="65"/>
      <c r="MA84" s="65"/>
      <c r="MB84" s="65"/>
      <c r="MC84" s="65"/>
      <c r="MD84" s="65"/>
      <c r="ME84" s="65"/>
      <c r="MF84" s="65"/>
      <c r="MG84" s="65"/>
      <c r="MH84" s="65"/>
      <c r="MI84" s="65"/>
      <c r="MJ84" s="65"/>
      <c r="MK84" s="65"/>
      <c r="ML84" s="65"/>
      <c r="MM84" s="65"/>
      <c r="MN84" s="65"/>
      <c r="MO84" s="65"/>
      <c r="MP84" s="65"/>
      <c r="MQ84" s="65"/>
      <c r="MR84" s="65"/>
      <c r="MS84" s="65"/>
      <c r="MT84" s="65"/>
      <c r="MU84" s="65"/>
      <c r="MV84" s="65"/>
      <c r="MW84" s="65"/>
      <c r="MX84" s="65"/>
      <c r="MY84" s="65"/>
      <c r="MZ84" s="65"/>
      <c r="NA84" s="65"/>
      <c r="NB84" s="65"/>
      <c r="NC84" s="65"/>
      <c r="ND84" s="65"/>
      <c r="NE84" s="65"/>
      <c r="NF84" s="65"/>
      <c r="NG84" s="65"/>
      <c r="NH84" s="65"/>
      <c r="NI84" s="65"/>
      <c r="NJ84" s="65"/>
      <c r="NK84" s="65"/>
      <c r="NL84" s="65"/>
      <c r="NM84" s="65"/>
      <c r="NN84" s="65"/>
      <c r="NO84" s="65"/>
      <c r="NP84" s="65"/>
      <c r="NQ84" s="65"/>
      <c r="NR84" s="65"/>
      <c r="NS84" s="65"/>
      <c r="NT84" s="65"/>
      <c r="NU84" s="65"/>
      <c r="NV84" s="65"/>
      <c r="NW84" s="65"/>
      <c r="NX84" s="65"/>
      <c r="NY84" s="65"/>
      <c r="NZ84" s="65"/>
      <c r="OA84" s="65"/>
      <c r="OB84" s="65"/>
      <c r="OC84" s="65"/>
      <c r="OD84" s="65"/>
      <c r="OE84" s="65"/>
      <c r="OF84" s="65"/>
      <c r="OG84" s="65"/>
      <c r="OH84" s="65"/>
      <c r="OI84" s="65"/>
      <c r="OJ84" s="65"/>
      <c r="OK84" s="65"/>
      <c r="OL84" s="65"/>
      <c r="OM84" s="65"/>
      <c r="ON84" s="65"/>
      <c r="OO84" s="65"/>
      <c r="OP84" s="65"/>
      <c r="OQ84" s="65"/>
      <c r="OR84" s="65"/>
      <c r="OS84" s="65"/>
    </row>
    <row r="85" spans="1:409">
      <c r="A85" s="64"/>
      <c r="B85" s="64"/>
      <c r="C85" s="64"/>
      <c r="D85" s="64"/>
      <c r="E85" s="64"/>
      <c r="F85" s="64"/>
      <c r="G85" s="64"/>
      <c r="H85" s="64"/>
      <c r="I85" s="64"/>
      <c r="J85" s="64"/>
      <c r="K85" s="64"/>
      <c r="L85" s="64"/>
      <c r="M85" s="64"/>
      <c r="N85" s="64"/>
      <c r="O85" s="64"/>
      <c r="P85" s="64"/>
      <c r="Q85" s="64"/>
      <c r="R85" s="64"/>
      <c r="S85" s="64"/>
      <c r="T85" s="64"/>
      <c r="U85" s="64"/>
      <c r="V85" s="64"/>
      <c r="W85" s="64"/>
      <c r="X85" s="64"/>
      <c r="Y85" s="64"/>
      <c r="Z85" s="64"/>
      <c r="AA85" s="64"/>
      <c r="AB85" s="64"/>
      <c r="AC85" s="64"/>
      <c r="AD85" s="64"/>
      <c r="AE85" s="64"/>
      <c r="AF85" s="64"/>
      <c r="AG85" s="64"/>
      <c r="AH85" s="64"/>
      <c r="AI85" s="64"/>
      <c r="AJ85" s="64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  <c r="BK85" s="64"/>
      <c r="BL85" s="64"/>
      <c r="BM85" s="64"/>
      <c r="BN85" s="64"/>
      <c r="BO85" s="64"/>
      <c r="BP85" s="64"/>
      <c r="BQ85" s="64"/>
      <c r="BR85" s="64"/>
      <c r="BS85" s="64"/>
      <c r="BT85" s="64"/>
      <c r="BU85" s="64"/>
      <c r="BV85" s="64"/>
      <c r="BW85" s="64"/>
      <c r="BX85" s="64"/>
      <c r="BY85" s="64"/>
      <c r="BZ85" s="64"/>
      <c r="CA85" s="64"/>
      <c r="CB85" s="64"/>
      <c r="CC85" s="64"/>
      <c r="CD85" s="64"/>
      <c r="CE85" s="64"/>
      <c r="CF85" s="64"/>
      <c r="CG85" s="64"/>
      <c r="CH85" s="64"/>
      <c r="CI85" s="64"/>
      <c r="CJ85" s="64"/>
      <c r="CK85" s="64"/>
      <c r="CL85" s="64"/>
      <c r="CM85" s="64"/>
      <c r="CN85" s="64"/>
      <c r="CO85" s="64"/>
      <c r="CP85" s="64"/>
      <c r="CQ85" s="64"/>
      <c r="CR85" s="64"/>
      <c r="CS85" s="64"/>
      <c r="CT85" s="64"/>
      <c r="CU85" s="64"/>
      <c r="CV85" s="64"/>
      <c r="CW85" s="64"/>
      <c r="CX85" s="64"/>
      <c r="CY85" s="64"/>
      <c r="CZ85" s="64"/>
      <c r="DA85" s="64"/>
      <c r="DB85" s="64"/>
      <c r="DC85" s="64"/>
      <c r="DD85" s="64"/>
      <c r="DE85" s="64"/>
      <c r="DF85" s="64"/>
      <c r="DG85" s="64"/>
      <c r="DH85" s="64"/>
      <c r="DI85" s="64"/>
      <c r="DJ85" s="64"/>
      <c r="DK85" s="64"/>
      <c r="DL85" s="64"/>
      <c r="DM85" s="64"/>
      <c r="DN85" s="64"/>
      <c r="DO85" s="64"/>
      <c r="DP85" s="64"/>
      <c r="DQ85" s="64"/>
      <c r="DR85" s="64"/>
      <c r="DS85" s="64"/>
      <c r="DT85" s="64"/>
      <c r="DU85" s="64"/>
      <c r="DV85" s="64"/>
      <c r="DW85" s="64"/>
      <c r="DX85" s="64"/>
      <c r="DY85" s="64"/>
      <c r="DZ85" s="64"/>
      <c r="EA85" s="64"/>
      <c r="EB85" s="64"/>
      <c r="EC85" s="64"/>
      <c r="ED85" s="64"/>
      <c r="EE85" s="64"/>
      <c r="EF85" s="64"/>
      <c r="EG85" s="64"/>
      <c r="EH85" s="64"/>
      <c r="EI85" s="64"/>
      <c r="EJ85" s="64"/>
      <c r="EK85" s="64"/>
      <c r="EL85" s="64"/>
      <c r="EM85" s="64"/>
      <c r="EN85" s="64"/>
      <c r="EO85" s="64"/>
      <c r="EP85" s="64"/>
      <c r="EQ85" s="64"/>
      <c r="ER85" s="64"/>
      <c r="ES85" s="64"/>
      <c r="ET85" s="64"/>
      <c r="EU85" s="64"/>
      <c r="EV85" s="64"/>
      <c r="EW85" s="64"/>
      <c r="EX85" s="64"/>
      <c r="EY85" s="64"/>
      <c r="EZ85" s="64"/>
      <c r="FA85" s="64"/>
      <c r="FB85" s="64"/>
      <c r="FC85" s="64"/>
      <c r="FD85" s="64"/>
      <c r="FE85" s="64"/>
      <c r="FF85" s="64"/>
      <c r="FG85" s="64"/>
      <c r="FH85" s="64"/>
      <c r="FI85" s="64"/>
      <c r="FJ85" s="64"/>
      <c r="FK85" s="64"/>
      <c r="FL85" s="64"/>
      <c r="FM85" s="64"/>
      <c r="FN85" s="64"/>
      <c r="FO85" s="64"/>
      <c r="FP85" s="64"/>
      <c r="FQ85" s="64"/>
      <c r="FR85" s="64"/>
      <c r="FS85" s="64"/>
      <c r="FT85" s="64"/>
      <c r="FU85" s="64"/>
      <c r="FV85" s="64"/>
      <c r="FW85" s="64"/>
      <c r="FX85" s="64"/>
      <c r="FY85" s="64"/>
      <c r="FZ85" s="64"/>
      <c r="GA85" s="64"/>
      <c r="GB85" s="64"/>
      <c r="GC85" s="64"/>
      <c r="GD85" s="64"/>
      <c r="GE85" s="64"/>
      <c r="GF85" s="64"/>
      <c r="GG85" s="64"/>
      <c r="GH85" s="64"/>
      <c r="GI85" s="64"/>
      <c r="GJ85" s="64"/>
      <c r="GK85" s="64"/>
      <c r="GL85" s="64"/>
      <c r="GM85" s="64"/>
      <c r="GN85" s="64"/>
      <c r="GO85" s="64"/>
      <c r="GP85" s="64"/>
      <c r="GQ85" s="64"/>
      <c r="GR85" s="64"/>
      <c r="GS85" s="64"/>
      <c r="GT85" s="64"/>
      <c r="GU85" s="64"/>
      <c r="GV85" s="64"/>
      <c r="GW85" s="64"/>
      <c r="GX85" s="64"/>
      <c r="GY85" s="64"/>
      <c r="GZ85" s="64"/>
      <c r="HA85" s="64"/>
      <c r="HB85" s="64"/>
      <c r="HC85" s="64"/>
      <c r="HD85" s="64"/>
      <c r="HE85" s="64"/>
      <c r="HF85" s="64"/>
      <c r="HG85" s="64"/>
      <c r="HH85" s="64"/>
      <c r="HI85" s="64"/>
      <c r="HJ85" s="64"/>
      <c r="HK85" s="64"/>
      <c r="HL85" s="64"/>
      <c r="HM85" s="64"/>
      <c r="HN85" s="64"/>
      <c r="HO85" s="64"/>
      <c r="HP85" s="64"/>
      <c r="HQ85" s="64"/>
      <c r="HR85" s="64"/>
      <c r="HS85" s="64"/>
      <c r="HT85" s="64"/>
      <c r="HU85" s="64"/>
      <c r="HV85" s="64"/>
      <c r="HW85" s="64"/>
      <c r="HX85" s="64"/>
      <c r="HY85" s="64"/>
      <c r="HZ85" s="64"/>
      <c r="IA85" s="64"/>
      <c r="IB85" s="64"/>
      <c r="IC85" s="64"/>
      <c r="ID85" s="64"/>
      <c r="IE85" s="64"/>
      <c r="IF85" s="64"/>
      <c r="IG85" s="64"/>
      <c r="IH85" s="64"/>
      <c r="II85" s="64"/>
      <c r="IJ85" s="64"/>
      <c r="IK85" s="64"/>
      <c r="IL85" s="64"/>
      <c r="IM85" s="64"/>
      <c r="IN85" s="64"/>
      <c r="IO85" s="64"/>
      <c r="IP85" s="64"/>
      <c r="IQ85" s="64"/>
      <c r="IR85" s="64"/>
      <c r="IS85" s="64"/>
      <c r="IT85" s="64"/>
      <c r="IU85" s="64"/>
      <c r="IV85" s="64"/>
      <c r="IW85" s="64"/>
      <c r="IX85" s="64"/>
      <c r="IY85" s="64"/>
      <c r="IZ85" s="64"/>
      <c r="JA85" s="64"/>
      <c r="JB85" s="64"/>
      <c r="JC85" s="64"/>
      <c r="JD85" s="64"/>
      <c r="JE85" s="64"/>
      <c r="JF85" s="64"/>
      <c r="JG85" s="64"/>
      <c r="JH85" s="64"/>
      <c r="JI85" s="64"/>
      <c r="JJ85" s="64"/>
      <c r="JK85" s="64"/>
      <c r="JL85" s="64"/>
      <c r="JM85" s="64"/>
      <c r="JN85" s="64"/>
      <c r="JO85" s="64"/>
      <c r="JP85" s="64"/>
      <c r="JQ85" s="64"/>
      <c r="JR85" s="64"/>
      <c r="JS85" s="64"/>
      <c r="JT85" s="64"/>
      <c r="JU85" s="64"/>
      <c r="JV85" s="64"/>
      <c r="JW85" s="64"/>
      <c r="JX85" s="64"/>
      <c r="JY85" s="64"/>
      <c r="JZ85" s="64"/>
      <c r="KA85" s="64"/>
      <c r="KB85" s="64"/>
      <c r="KC85" s="64"/>
      <c r="KD85" s="64"/>
      <c r="KE85" s="64"/>
      <c r="KF85" s="64"/>
      <c r="KG85" s="64"/>
      <c r="KH85" s="64"/>
      <c r="KI85" s="64"/>
      <c r="KJ85" s="64"/>
      <c r="KK85" s="64"/>
      <c r="KL85" s="64"/>
      <c r="KM85" s="64"/>
      <c r="KN85" s="64"/>
      <c r="KO85" s="64"/>
      <c r="KP85" s="64"/>
      <c r="KQ85" s="64"/>
      <c r="KR85" s="64"/>
      <c r="KS85" s="64"/>
      <c r="KT85" s="64"/>
      <c r="KU85" s="64"/>
      <c r="KV85" s="64"/>
      <c r="KW85" s="64"/>
      <c r="KX85" s="64"/>
      <c r="KY85" s="64"/>
      <c r="KZ85" s="64"/>
      <c r="LA85" s="64"/>
      <c r="LB85" s="64"/>
      <c r="LC85" s="64"/>
      <c r="LD85" s="64"/>
      <c r="LE85" s="64"/>
      <c r="LF85" s="64"/>
      <c r="LG85" s="64"/>
      <c r="LH85" s="64"/>
      <c r="LI85" s="64"/>
      <c r="LJ85" s="64"/>
      <c r="LK85" s="64"/>
      <c r="LL85" s="64"/>
      <c r="LM85" s="64"/>
      <c r="LN85" s="64"/>
      <c r="LO85" s="64"/>
      <c r="LP85" s="64"/>
      <c r="LQ85" s="64"/>
      <c r="LR85" s="64"/>
      <c r="LS85" s="64"/>
      <c r="LT85" s="64"/>
      <c r="LU85" s="64"/>
      <c r="LV85" s="64"/>
      <c r="LW85" s="64"/>
      <c r="LX85" s="64"/>
      <c r="LY85" s="64"/>
      <c r="LZ85" s="64"/>
      <c r="MA85" s="64"/>
      <c r="MB85" s="64"/>
      <c r="MC85" s="64"/>
      <c r="MD85" s="64"/>
      <c r="ME85" s="64"/>
      <c r="MF85" s="64"/>
      <c r="MG85" s="64"/>
      <c r="MH85" s="64"/>
      <c r="MI85" s="64"/>
      <c r="MJ85" s="64"/>
      <c r="MK85" s="64"/>
      <c r="ML85" s="64"/>
      <c r="MM85" s="64"/>
      <c r="MN85" s="64"/>
      <c r="MO85" s="64"/>
      <c r="MP85" s="64"/>
      <c r="MQ85" s="64"/>
      <c r="MR85" s="64"/>
      <c r="MS85" s="64"/>
      <c r="MT85" s="64"/>
      <c r="MU85" s="64"/>
      <c r="MV85" s="64"/>
      <c r="MW85" s="64"/>
      <c r="MX85" s="64"/>
      <c r="MY85" s="64"/>
      <c r="MZ85" s="64"/>
      <c r="NA85" s="64"/>
      <c r="NB85" s="64"/>
      <c r="NC85" s="64"/>
      <c r="ND85" s="64"/>
      <c r="NE85" s="64"/>
      <c r="NF85" s="64"/>
      <c r="NG85" s="64"/>
      <c r="NH85" s="64"/>
      <c r="NI85" s="64"/>
      <c r="NJ85" s="64"/>
      <c r="NK85" s="64"/>
      <c r="NL85" s="64"/>
      <c r="NM85" s="64"/>
      <c r="NN85" s="64"/>
      <c r="NO85" s="64"/>
      <c r="NP85" s="64"/>
      <c r="NQ85" s="64"/>
      <c r="NR85" s="64"/>
      <c r="NS85" s="64"/>
      <c r="NT85" s="64"/>
      <c r="NU85" s="64"/>
      <c r="NV85" s="64"/>
      <c r="NW85" s="64"/>
      <c r="NX85" s="64"/>
      <c r="NY85" s="64"/>
      <c r="NZ85" s="64"/>
      <c r="OA85" s="64"/>
      <c r="OB85" s="64"/>
      <c r="OC85" s="64"/>
      <c r="OD85" s="64"/>
      <c r="OE85" s="64"/>
      <c r="OF85" s="64"/>
      <c r="OG85" s="64"/>
      <c r="OH85" s="64"/>
      <c r="OI85" s="64"/>
      <c r="OJ85" s="64"/>
      <c r="OK85" s="64"/>
      <c r="OL85" s="64"/>
      <c r="OM85" s="64"/>
      <c r="ON85" s="64"/>
      <c r="OO85" s="64"/>
      <c r="OP85" s="64"/>
      <c r="OQ85" s="64"/>
      <c r="OR85" s="64"/>
      <c r="OS85" s="64"/>
    </row>
    <row r="86" spans="1:409">
      <c r="A86" s="65"/>
      <c r="B86" s="65"/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H86" s="65"/>
      <c r="AI86" s="65"/>
      <c r="AJ86" s="65"/>
      <c r="AK86" s="65"/>
      <c r="AL86" s="65"/>
      <c r="AM86" s="65"/>
      <c r="AN86" s="65"/>
      <c r="AO86" s="65"/>
      <c r="AP86" s="65"/>
      <c r="AQ86" s="65"/>
      <c r="AR86" s="65"/>
      <c r="AS86" s="65"/>
      <c r="AT86" s="65"/>
      <c r="AU86" s="65"/>
      <c r="AV86" s="65"/>
      <c r="AW86" s="65"/>
      <c r="AX86" s="65"/>
      <c r="AY86" s="65"/>
      <c r="AZ86" s="65"/>
      <c r="BA86" s="65"/>
      <c r="BB86" s="65"/>
      <c r="BC86" s="65"/>
      <c r="BD86" s="65"/>
      <c r="BE86" s="65"/>
      <c r="BF86" s="65"/>
      <c r="BG86" s="65"/>
      <c r="BH86" s="65"/>
      <c r="BI86" s="65"/>
      <c r="BJ86" s="65"/>
      <c r="BK86" s="65"/>
      <c r="BL86" s="65"/>
      <c r="BM86" s="65"/>
      <c r="BN86" s="65"/>
      <c r="BO86" s="65"/>
      <c r="BP86" s="65"/>
      <c r="BQ86" s="65"/>
      <c r="BR86" s="65"/>
      <c r="BS86" s="65"/>
      <c r="BT86" s="65"/>
      <c r="BU86" s="65"/>
      <c r="BV86" s="65"/>
      <c r="BW86" s="65"/>
      <c r="BX86" s="65"/>
      <c r="BY86" s="65"/>
      <c r="BZ86" s="65"/>
      <c r="CA86" s="65"/>
      <c r="CB86" s="65"/>
      <c r="CC86" s="65"/>
      <c r="CD86" s="65"/>
      <c r="CE86" s="65"/>
      <c r="CF86" s="65"/>
      <c r="CG86" s="65"/>
      <c r="CH86" s="65"/>
      <c r="CI86" s="65"/>
      <c r="CJ86" s="65"/>
      <c r="CK86" s="65"/>
      <c r="CL86" s="65"/>
      <c r="CM86" s="65"/>
      <c r="CN86" s="65"/>
      <c r="CO86" s="65"/>
      <c r="CP86" s="65"/>
      <c r="CQ86" s="65"/>
      <c r="CR86" s="65"/>
      <c r="CS86" s="65"/>
      <c r="CT86" s="65"/>
      <c r="CU86" s="65"/>
      <c r="CV86" s="65"/>
      <c r="CW86" s="65"/>
      <c r="CX86" s="65"/>
      <c r="CY86" s="65"/>
      <c r="CZ86" s="65"/>
      <c r="DA86" s="65"/>
      <c r="DB86" s="65"/>
      <c r="DC86" s="65"/>
      <c r="DD86" s="65"/>
      <c r="DE86" s="65"/>
      <c r="DF86" s="65"/>
      <c r="DG86" s="65"/>
      <c r="DH86" s="65"/>
      <c r="DI86" s="65"/>
      <c r="DJ86" s="65"/>
      <c r="DK86" s="65"/>
      <c r="DL86" s="65"/>
      <c r="DM86" s="65"/>
      <c r="DN86" s="65"/>
      <c r="DO86" s="65"/>
      <c r="DP86" s="65"/>
      <c r="DQ86" s="65"/>
      <c r="DR86" s="65"/>
      <c r="DS86" s="65"/>
      <c r="DT86" s="65"/>
      <c r="DU86" s="65"/>
      <c r="DV86" s="65"/>
      <c r="DW86" s="65"/>
      <c r="DX86" s="65"/>
      <c r="DY86" s="65"/>
      <c r="DZ86" s="65"/>
      <c r="EA86" s="65"/>
      <c r="EB86" s="65"/>
      <c r="EC86" s="65"/>
      <c r="ED86" s="65"/>
      <c r="EE86" s="65"/>
      <c r="EF86" s="65"/>
      <c r="EG86" s="65"/>
      <c r="EH86" s="65"/>
      <c r="EI86" s="65"/>
      <c r="EJ86" s="65"/>
      <c r="EK86" s="65"/>
      <c r="EL86" s="65"/>
      <c r="EM86" s="65"/>
      <c r="EN86" s="65"/>
      <c r="EO86" s="65"/>
      <c r="EP86" s="65"/>
      <c r="EQ86" s="65"/>
      <c r="ER86" s="65"/>
      <c r="ES86" s="65"/>
      <c r="ET86" s="65"/>
      <c r="EU86" s="65"/>
      <c r="EV86" s="65"/>
      <c r="EW86" s="65"/>
      <c r="EX86" s="65"/>
      <c r="EY86" s="65"/>
      <c r="EZ86" s="65"/>
      <c r="FA86" s="65"/>
      <c r="FB86" s="65"/>
      <c r="FC86" s="65"/>
      <c r="FD86" s="65"/>
      <c r="FE86" s="65"/>
      <c r="FF86" s="65"/>
      <c r="FG86" s="65"/>
      <c r="FH86" s="65"/>
      <c r="FI86" s="65"/>
      <c r="FJ86" s="65"/>
      <c r="FK86" s="65"/>
      <c r="FL86" s="65"/>
      <c r="FM86" s="65"/>
      <c r="FN86" s="65"/>
      <c r="FO86" s="65"/>
      <c r="FP86" s="65"/>
      <c r="FQ86" s="65"/>
      <c r="FR86" s="65"/>
      <c r="FS86" s="65"/>
      <c r="FT86" s="65"/>
      <c r="FU86" s="65"/>
      <c r="FV86" s="65"/>
      <c r="FW86" s="65"/>
      <c r="FX86" s="65"/>
      <c r="FY86" s="65"/>
      <c r="FZ86" s="65"/>
      <c r="GA86" s="65"/>
      <c r="GB86" s="65"/>
      <c r="GC86" s="65"/>
      <c r="GD86" s="65"/>
      <c r="GE86" s="65"/>
      <c r="GF86" s="65"/>
      <c r="GG86" s="65"/>
      <c r="GH86" s="65"/>
      <c r="GI86" s="65"/>
      <c r="GJ86" s="65"/>
      <c r="GK86" s="65"/>
      <c r="GL86" s="65"/>
      <c r="GM86" s="65"/>
      <c r="GN86" s="65"/>
      <c r="GO86" s="65"/>
      <c r="GP86" s="65"/>
      <c r="GQ86" s="65"/>
      <c r="GR86" s="65"/>
      <c r="GS86" s="65"/>
      <c r="GT86" s="65"/>
      <c r="GU86" s="65"/>
      <c r="GV86" s="65"/>
      <c r="GW86" s="65"/>
      <c r="GX86" s="65"/>
      <c r="GY86" s="65"/>
      <c r="GZ86" s="65"/>
      <c r="HA86" s="65"/>
      <c r="HB86" s="65"/>
      <c r="HC86" s="65"/>
      <c r="HD86" s="65"/>
      <c r="HE86" s="65"/>
      <c r="HF86" s="65"/>
      <c r="HG86" s="65"/>
      <c r="HH86" s="65"/>
      <c r="HI86" s="65"/>
      <c r="HJ86" s="65"/>
      <c r="HK86" s="65"/>
      <c r="HL86" s="65"/>
      <c r="HM86" s="65"/>
      <c r="HN86" s="65"/>
      <c r="HO86" s="65"/>
      <c r="HP86" s="65"/>
      <c r="HQ86" s="65"/>
      <c r="HR86" s="65"/>
      <c r="HS86" s="65"/>
      <c r="HT86" s="65"/>
      <c r="HU86" s="65"/>
      <c r="HV86" s="65"/>
      <c r="HW86" s="65"/>
      <c r="HX86" s="65"/>
      <c r="HY86" s="65"/>
      <c r="HZ86" s="65"/>
      <c r="IA86" s="65"/>
      <c r="IB86" s="65"/>
      <c r="IC86" s="65"/>
      <c r="ID86" s="65"/>
      <c r="IE86" s="65"/>
      <c r="IF86" s="65"/>
      <c r="IG86" s="65"/>
      <c r="IH86" s="65"/>
      <c r="II86" s="65"/>
      <c r="IJ86" s="65"/>
      <c r="IK86" s="65"/>
      <c r="IL86" s="65"/>
      <c r="IM86" s="65"/>
      <c r="IN86" s="65"/>
      <c r="IO86" s="65"/>
      <c r="IP86" s="65"/>
      <c r="IQ86" s="65"/>
      <c r="IR86" s="65"/>
      <c r="IS86" s="65"/>
      <c r="IT86" s="65"/>
      <c r="IU86" s="65"/>
      <c r="IV86" s="65"/>
      <c r="IW86" s="65"/>
      <c r="IX86" s="65"/>
      <c r="IY86" s="65"/>
      <c r="IZ86" s="65"/>
      <c r="JA86" s="65"/>
      <c r="JB86" s="65"/>
      <c r="JC86" s="65"/>
      <c r="JD86" s="65"/>
      <c r="JE86" s="65"/>
      <c r="JF86" s="65"/>
      <c r="JG86" s="65"/>
      <c r="JH86" s="65"/>
      <c r="JI86" s="65"/>
      <c r="JJ86" s="65"/>
      <c r="JK86" s="65"/>
      <c r="JL86" s="65"/>
      <c r="JM86" s="65"/>
      <c r="JN86" s="65"/>
      <c r="JO86" s="65"/>
      <c r="JP86" s="65"/>
      <c r="JQ86" s="65"/>
      <c r="JR86" s="65"/>
      <c r="JS86" s="65"/>
      <c r="JT86" s="65"/>
      <c r="JU86" s="65"/>
      <c r="JV86" s="65"/>
      <c r="JW86" s="65"/>
      <c r="JX86" s="65"/>
      <c r="JY86" s="65"/>
      <c r="JZ86" s="65"/>
      <c r="KA86" s="65"/>
      <c r="KB86" s="65"/>
      <c r="KC86" s="65"/>
      <c r="KD86" s="65"/>
      <c r="KE86" s="65"/>
      <c r="KF86" s="65"/>
      <c r="KG86" s="65"/>
      <c r="KH86" s="65"/>
      <c r="KI86" s="65"/>
      <c r="KJ86" s="65"/>
      <c r="KK86" s="65"/>
      <c r="KL86" s="65"/>
      <c r="KM86" s="65"/>
      <c r="KN86" s="65"/>
      <c r="KO86" s="65"/>
      <c r="KP86" s="65"/>
      <c r="KQ86" s="65"/>
      <c r="KR86" s="65"/>
      <c r="KS86" s="65"/>
      <c r="KT86" s="65"/>
      <c r="KU86" s="65"/>
      <c r="KV86" s="65"/>
      <c r="KW86" s="65"/>
      <c r="KX86" s="65"/>
      <c r="KY86" s="65"/>
      <c r="KZ86" s="65"/>
      <c r="LA86" s="65"/>
      <c r="LB86" s="65"/>
      <c r="LC86" s="65"/>
      <c r="LD86" s="65"/>
      <c r="LE86" s="65"/>
      <c r="LF86" s="65"/>
      <c r="LG86" s="65"/>
      <c r="LH86" s="65"/>
      <c r="LI86" s="65"/>
      <c r="LJ86" s="65"/>
      <c r="LK86" s="65"/>
      <c r="LL86" s="65"/>
      <c r="LM86" s="65"/>
      <c r="LN86" s="65"/>
      <c r="LO86" s="65"/>
      <c r="LP86" s="65"/>
      <c r="LQ86" s="65"/>
      <c r="LR86" s="65"/>
      <c r="LS86" s="65"/>
      <c r="LT86" s="65"/>
      <c r="LU86" s="65"/>
      <c r="LV86" s="65"/>
      <c r="LW86" s="65"/>
      <c r="LX86" s="65"/>
      <c r="LY86" s="65"/>
      <c r="LZ86" s="65"/>
      <c r="MA86" s="65"/>
      <c r="MB86" s="65"/>
      <c r="MC86" s="65"/>
      <c r="MD86" s="65"/>
      <c r="ME86" s="65"/>
      <c r="MF86" s="65"/>
      <c r="MG86" s="65"/>
      <c r="MH86" s="65"/>
      <c r="MI86" s="65"/>
      <c r="MJ86" s="65"/>
      <c r="MK86" s="65"/>
      <c r="ML86" s="65"/>
      <c r="MM86" s="65"/>
      <c r="MN86" s="65"/>
      <c r="MO86" s="65"/>
      <c r="MP86" s="65"/>
      <c r="MQ86" s="65"/>
      <c r="MR86" s="65"/>
      <c r="MS86" s="65"/>
      <c r="MT86" s="65"/>
      <c r="MU86" s="65"/>
      <c r="MV86" s="65"/>
      <c r="MW86" s="65"/>
      <c r="MX86" s="65"/>
      <c r="MY86" s="65"/>
      <c r="MZ86" s="65"/>
      <c r="NA86" s="65"/>
      <c r="NB86" s="65"/>
      <c r="NC86" s="65"/>
      <c r="ND86" s="65"/>
      <c r="NE86" s="65"/>
      <c r="NF86" s="65"/>
      <c r="NG86" s="65"/>
      <c r="NH86" s="65"/>
      <c r="NI86" s="65"/>
      <c r="NJ86" s="65"/>
      <c r="NK86" s="65"/>
      <c r="NL86" s="65"/>
      <c r="NM86" s="65"/>
      <c r="NN86" s="65"/>
      <c r="NO86" s="65"/>
      <c r="NP86" s="65"/>
      <c r="NQ86" s="65"/>
      <c r="NR86" s="65"/>
      <c r="NS86" s="65"/>
      <c r="NT86" s="65"/>
      <c r="NU86" s="65"/>
      <c r="NV86" s="65"/>
      <c r="NW86" s="65"/>
      <c r="NX86" s="65"/>
      <c r="NY86" s="65"/>
      <c r="NZ86" s="65"/>
      <c r="OA86" s="65"/>
      <c r="OB86" s="65"/>
      <c r="OC86" s="65"/>
      <c r="OD86" s="65"/>
      <c r="OE86" s="65"/>
      <c r="OF86" s="65"/>
      <c r="OG86" s="65"/>
      <c r="OH86" s="65"/>
      <c r="OI86" s="65"/>
      <c r="OJ86" s="65"/>
      <c r="OK86" s="65"/>
      <c r="OL86" s="65"/>
      <c r="OM86" s="65"/>
      <c r="ON86" s="65"/>
      <c r="OO86" s="65"/>
      <c r="OP86" s="65"/>
      <c r="OQ86" s="65"/>
      <c r="OR86" s="65"/>
      <c r="OS86" s="65"/>
    </row>
    <row r="87" spans="1:409">
      <c r="A87" s="64"/>
      <c r="B87" s="64"/>
      <c r="C87" s="64"/>
      <c r="D87" s="64"/>
      <c r="E87" s="64"/>
      <c r="F87" s="64"/>
      <c r="G87" s="64"/>
      <c r="H87" s="64"/>
      <c r="I87" s="64"/>
      <c r="J87" s="64"/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  <c r="BK87" s="64"/>
      <c r="BL87" s="64"/>
      <c r="BM87" s="64"/>
      <c r="BN87" s="64"/>
      <c r="BO87" s="64"/>
      <c r="BP87" s="64"/>
      <c r="BQ87" s="64"/>
      <c r="BR87" s="64"/>
      <c r="BS87" s="64"/>
      <c r="BT87" s="64"/>
      <c r="BU87" s="64"/>
      <c r="BV87" s="64"/>
      <c r="BW87" s="64"/>
      <c r="BX87" s="64"/>
      <c r="BY87" s="64"/>
      <c r="BZ87" s="64"/>
      <c r="CA87" s="64"/>
      <c r="CB87" s="64"/>
      <c r="CC87" s="64"/>
      <c r="CD87" s="64"/>
      <c r="CE87" s="64"/>
      <c r="CF87" s="64"/>
      <c r="CG87" s="64"/>
      <c r="CH87" s="64"/>
      <c r="CI87" s="64"/>
      <c r="CJ87" s="64"/>
      <c r="CK87" s="64"/>
      <c r="CL87" s="64"/>
      <c r="CM87" s="64"/>
      <c r="CN87" s="64"/>
      <c r="CO87" s="64"/>
      <c r="CP87" s="64"/>
      <c r="CQ87" s="64"/>
      <c r="CR87" s="64"/>
      <c r="CS87" s="64"/>
      <c r="CT87" s="64"/>
      <c r="CU87" s="64"/>
      <c r="CV87" s="64"/>
      <c r="CW87" s="64"/>
      <c r="CX87" s="64"/>
      <c r="CY87" s="64"/>
      <c r="CZ87" s="64"/>
      <c r="DA87" s="64"/>
      <c r="DB87" s="64"/>
      <c r="DC87" s="64"/>
      <c r="DD87" s="64"/>
      <c r="DE87" s="64"/>
      <c r="DF87" s="64"/>
      <c r="DG87" s="64"/>
      <c r="DH87" s="64"/>
      <c r="DI87" s="64"/>
      <c r="DJ87" s="64"/>
      <c r="DK87" s="64"/>
      <c r="DL87" s="64"/>
      <c r="DM87" s="64"/>
      <c r="DN87" s="64"/>
      <c r="DO87" s="64"/>
      <c r="DP87" s="64"/>
      <c r="DQ87" s="64"/>
      <c r="DR87" s="64"/>
      <c r="DS87" s="64"/>
      <c r="DT87" s="64"/>
      <c r="DU87" s="64"/>
      <c r="DV87" s="64"/>
      <c r="DW87" s="64"/>
      <c r="DX87" s="64"/>
      <c r="DY87" s="64"/>
      <c r="DZ87" s="64"/>
      <c r="EA87" s="64"/>
      <c r="EB87" s="64"/>
      <c r="EC87" s="64"/>
      <c r="ED87" s="64"/>
      <c r="EE87" s="64"/>
      <c r="EF87" s="64"/>
      <c r="EG87" s="64"/>
      <c r="EH87" s="64"/>
      <c r="EI87" s="64"/>
      <c r="EJ87" s="64"/>
      <c r="EK87" s="64"/>
      <c r="EL87" s="64"/>
      <c r="EM87" s="64"/>
      <c r="EN87" s="64"/>
      <c r="EO87" s="64"/>
      <c r="EP87" s="64"/>
      <c r="EQ87" s="64"/>
      <c r="ER87" s="64"/>
      <c r="ES87" s="64"/>
      <c r="ET87" s="64"/>
      <c r="EU87" s="64"/>
      <c r="EV87" s="64"/>
      <c r="EW87" s="64"/>
      <c r="EX87" s="64"/>
      <c r="EY87" s="64"/>
      <c r="EZ87" s="64"/>
      <c r="FA87" s="64"/>
      <c r="FB87" s="64"/>
      <c r="FC87" s="64"/>
      <c r="FD87" s="64"/>
      <c r="FE87" s="64"/>
      <c r="FF87" s="64"/>
      <c r="FG87" s="64"/>
      <c r="FH87" s="64"/>
      <c r="FI87" s="64"/>
      <c r="FJ87" s="64"/>
      <c r="FK87" s="64"/>
      <c r="FL87" s="64"/>
      <c r="FM87" s="64"/>
      <c r="FN87" s="64"/>
      <c r="FO87" s="64"/>
      <c r="FP87" s="64"/>
      <c r="FQ87" s="64"/>
      <c r="FR87" s="64"/>
      <c r="FS87" s="64"/>
      <c r="FT87" s="64"/>
      <c r="FU87" s="64"/>
      <c r="FV87" s="64"/>
      <c r="FW87" s="64"/>
      <c r="FX87" s="64"/>
      <c r="FY87" s="64"/>
      <c r="FZ87" s="64"/>
      <c r="GA87" s="64"/>
      <c r="GB87" s="64"/>
      <c r="GC87" s="64"/>
      <c r="GD87" s="64"/>
      <c r="GE87" s="64"/>
      <c r="GF87" s="64"/>
      <c r="GG87" s="64"/>
      <c r="GH87" s="64"/>
      <c r="GI87" s="64"/>
      <c r="GJ87" s="64"/>
      <c r="GK87" s="64"/>
      <c r="GL87" s="64"/>
      <c r="GM87" s="64"/>
      <c r="GN87" s="64"/>
      <c r="GO87" s="64"/>
      <c r="GP87" s="64"/>
      <c r="GQ87" s="64"/>
      <c r="GR87" s="64"/>
      <c r="GS87" s="64"/>
      <c r="GT87" s="64"/>
      <c r="GU87" s="64"/>
      <c r="GV87" s="64"/>
      <c r="GW87" s="64"/>
      <c r="GX87" s="64"/>
      <c r="GY87" s="64"/>
      <c r="GZ87" s="64"/>
      <c r="HA87" s="64"/>
      <c r="HB87" s="64"/>
      <c r="HC87" s="64"/>
      <c r="HD87" s="64"/>
      <c r="HE87" s="64"/>
      <c r="HF87" s="64"/>
      <c r="HG87" s="64"/>
      <c r="HH87" s="64"/>
      <c r="HI87" s="64"/>
      <c r="HJ87" s="64"/>
      <c r="HK87" s="64"/>
      <c r="HL87" s="64"/>
      <c r="HM87" s="64"/>
      <c r="HN87" s="64"/>
      <c r="HO87" s="64"/>
      <c r="HP87" s="64"/>
      <c r="HQ87" s="64"/>
      <c r="HR87" s="64"/>
      <c r="HS87" s="64"/>
      <c r="HT87" s="64"/>
      <c r="HU87" s="64"/>
      <c r="HV87" s="64"/>
      <c r="HW87" s="64"/>
      <c r="HX87" s="64"/>
      <c r="HY87" s="64"/>
      <c r="HZ87" s="64"/>
      <c r="IA87" s="64"/>
      <c r="IB87" s="64"/>
      <c r="IC87" s="64"/>
      <c r="ID87" s="64"/>
      <c r="IE87" s="64"/>
      <c r="IF87" s="64"/>
      <c r="IG87" s="64"/>
      <c r="IH87" s="64"/>
      <c r="II87" s="64"/>
      <c r="IJ87" s="64"/>
      <c r="IK87" s="64"/>
      <c r="IL87" s="64"/>
      <c r="IM87" s="64"/>
      <c r="IN87" s="64"/>
      <c r="IO87" s="64"/>
      <c r="IP87" s="64"/>
      <c r="IQ87" s="64"/>
      <c r="IR87" s="64"/>
      <c r="IS87" s="64"/>
      <c r="IT87" s="64"/>
      <c r="IU87" s="64"/>
      <c r="IV87" s="64"/>
      <c r="IW87" s="64"/>
      <c r="IX87" s="64"/>
      <c r="IY87" s="64"/>
      <c r="IZ87" s="64"/>
      <c r="JA87" s="64"/>
      <c r="JB87" s="64"/>
      <c r="JC87" s="64"/>
      <c r="JD87" s="64"/>
      <c r="JE87" s="64"/>
      <c r="JF87" s="64"/>
      <c r="JG87" s="64"/>
      <c r="JH87" s="64"/>
      <c r="JI87" s="64"/>
      <c r="JJ87" s="64"/>
      <c r="JK87" s="64"/>
      <c r="JL87" s="64"/>
      <c r="JM87" s="64"/>
      <c r="JN87" s="64"/>
      <c r="JO87" s="64"/>
      <c r="JP87" s="64"/>
      <c r="JQ87" s="64"/>
      <c r="JR87" s="64"/>
      <c r="JS87" s="64"/>
      <c r="JT87" s="64"/>
      <c r="JU87" s="64"/>
      <c r="JV87" s="64"/>
      <c r="JW87" s="64"/>
      <c r="JX87" s="64"/>
      <c r="JY87" s="64"/>
      <c r="JZ87" s="64"/>
      <c r="KA87" s="64"/>
      <c r="KB87" s="64"/>
      <c r="KC87" s="64"/>
      <c r="KD87" s="64"/>
      <c r="KE87" s="64"/>
      <c r="KF87" s="64"/>
      <c r="KG87" s="64"/>
      <c r="KH87" s="64"/>
      <c r="KI87" s="64"/>
      <c r="KJ87" s="64"/>
      <c r="KK87" s="64"/>
      <c r="KL87" s="64"/>
      <c r="KM87" s="64"/>
      <c r="KN87" s="64"/>
      <c r="KO87" s="64"/>
      <c r="KP87" s="64"/>
      <c r="KQ87" s="64"/>
      <c r="KR87" s="64"/>
      <c r="KS87" s="64"/>
      <c r="KT87" s="64"/>
      <c r="KU87" s="64"/>
      <c r="KV87" s="64"/>
      <c r="KW87" s="64"/>
      <c r="KX87" s="64"/>
      <c r="KY87" s="64"/>
      <c r="KZ87" s="64"/>
      <c r="LA87" s="64"/>
      <c r="LB87" s="64"/>
      <c r="LC87" s="64"/>
      <c r="LD87" s="64"/>
      <c r="LE87" s="64"/>
      <c r="LF87" s="64"/>
      <c r="LG87" s="64"/>
      <c r="LH87" s="64"/>
      <c r="LI87" s="64"/>
      <c r="LJ87" s="64"/>
      <c r="LK87" s="64"/>
      <c r="LL87" s="64"/>
      <c r="LM87" s="64"/>
      <c r="LN87" s="64"/>
      <c r="LO87" s="64"/>
      <c r="LP87" s="64"/>
      <c r="LQ87" s="64"/>
      <c r="LR87" s="64"/>
      <c r="LS87" s="64"/>
      <c r="LT87" s="64"/>
      <c r="LU87" s="64"/>
      <c r="LV87" s="64"/>
      <c r="LW87" s="64"/>
      <c r="LX87" s="64"/>
      <c r="LY87" s="64"/>
      <c r="LZ87" s="64"/>
      <c r="MA87" s="64"/>
      <c r="MB87" s="64"/>
      <c r="MC87" s="64"/>
      <c r="MD87" s="64"/>
      <c r="ME87" s="64"/>
      <c r="MF87" s="64"/>
      <c r="MG87" s="64"/>
      <c r="MH87" s="64"/>
      <c r="MI87" s="64"/>
      <c r="MJ87" s="64"/>
      <c r="MK87" s="64"/>
      <c r="ML87" s="64"/>
      <c r="MM87" s="64"/>
      <c r="MN87" s="64"/>
      <c r="MO87" s="64"/>
      <c r="MP87" s="64"/>
      <c r="MQ87" s="64"/>
      <c r="MR87" s="64"/>
      <c r="MS87" s="64"/>
      <c r="MT87" s="64"/>
      <c r="MU87" s="64"/>
      <c r="MV87" s="64"/>
      <c r="MW87" s="64"/>
      <c r="MX87" s="64"/>
      <c r="MY87" s="64"/>
      <c r="MZ87" s="64"/>
      <c r="NA87" s="64"/>
      <c r="NB87" s="64"/>
      <c r="NC87" s="64"/>
      <c r="ND87" s="64"/>
      <c r="NE87" s="64"/>
      <c r="NF87" s="64"/>
      <c r="NG87" s="64"/>
      <c r="NH87" s="64"/>
      <c r="NI87" s="64"/>
      <c r="NJ87" s="64"/>
      <c r="NK87" s="64"/>
      <c r="NL87" s="64"/>
      <c r="NM87" s="64"/>
      <c r="NN87" s="64"/>
      <c r="NO87" s="64"/>
      <c r="NP87" s="64"/>
      <c r="NQ87" s="64"/>
      <c r="NR87" s="64"/>
      <c r="NS87" s="64"/>
      <c r="NT87" s="64"/>
      <c r="NU87" s="64"/>
      <c r="NV87" s="64"/>
      <c r="NW87" s="64"/>
      <c r="NX87" s="64"/>
      <c r="NY87" s="64"/>
      <c r="NZ87" s="64"/>
      <c r="OA87" s="64"/>
      <c r="OB87" s="64"/>
      <c r="OC87" s="64"/>
      <c r="OD87" s="64"/>
      <c r="OE87" s="64"/>
      <c r="OF87" s="64"/>
      <c r="OG87" s="64"/>
      <c r="OH87" s="64"/>
      <c r="OI87" s="64"/>
      <c r="OJ87" s="64"/>
      <c r="OK87" s="64"/>
      <c r="OL87" s="64"/>
      <c r="OM87" s="64"/>
      <c r="ON87" s="64"/>
      <c r="OO87" s="64"/>
      <c r="OP87" s="64"/>
      <c r="OQ87" s="64"/>
      <c r="OR87" s="64"/>
      <c r="OS87" s="64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7">
    <tabColor rgb="FF717D7E"/>
  </sheetPr>
  <dimension ref="A1:D5"/>
  <sheetViews>
    <sheetView showGridLines="0" workbookViewId="0">
      <selection activeCell="C6" sqref="C6"/>
    </sheetView>
  </sheetViews>
  <sheetFormatPr baseColWidth="10" defaultRowHeight="16"/>
  <cols>
    <col min="2" max="2" width="28" customWidth="1"/>
    <col min="3" max="3" width="14" customWidth="1"/>
    <col min="4" max="4" width="23" customWidth="1"/>
  </cols>
  <sheetData>
    <row r="1" spans="1:4" ht="24" customHeight="1">
      <c r="A1" s="18"/>
      <c r="B1" s="397" t="s">
        <v>467</v>
      </c>
      <c r="C1" s="18"/>
    </row>
    <row r="2" spans="1:4">
      <c r="A2" s="18"/>
      <c r="B2" s="18"/>
      <c r="C2" s="18"/>
    </row>
    <row r="3" spans="1:4" ht="32" customHeight="1">
      <c r="A3" s="18"/>
      <c r="B3" t="s">
        <v>468</v>
      </c>
      <c r="C3" s="166">
        <v>6107</v>
      </c>
      <c r="D3" t="s">
        <v>561</v>
      </c>
    </row>
    <row r="4" spans="1:4" ht="32" customHeight="1">
      <c r="B4" t="s">
        <v>469</v>
      </c>
      <c r="C4" s="166">
        <v>41595</v>
      </c>
      <c r="D4" t="s">
        <v>7</v>
      </c>
    </row>
    <row r="5" spans="1:4" ht="32" customHeight="1">
      <c r="B5" t="s">
        <v>578</v>
      </c>
      <c r="C5" s="414">
        <v>1</v>
      </c>
      <c r="D5" t="s">
        <v>579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CalcularMultiplicadoresInducidosDesdeZ22">
                <anchor moveWithCells="1" sizeWithCells="1">
                  <from>
                    <xdr:col>4</xdr:col>
                    <xdr:colOff>812800</xdr:colOff>
                    <xdr:row>3</xdr:row>
                    <xdr:rowOff>393700</xdr:rowOff>
                  </from>
                  <to>
                    <xdr:col>6</xdr:col>
                    <xdr:colOff>685800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4F7E7-A1A3-3E45-A5F6-A16E9F7A9EB5}">
  <sheetPr codeName="Hoja19"/>
  <dimension ref="A1:N8"/>
  <sheetViews>
    <sheetView workbookViewId="0"/>
  </sheetViews>
  <sheetFormatPr baseColWidth="10" defaultRowHeight="16"/>
  <sheetData>
    <row r="1" spans="1:14">
      <c r="A1" t="s">
        <v>790</v>
      </c>
      <c r="B1" t="s">
        <v>791</v>
      </c>
      <c r="C1" t="s">
        <v>559</v>
      </c>
      <c r="D1" t="s">
        <v>560</v>
      </c>
      <c r="E1" t="s">
        <v>142</v>
      </c>
      <c r="F1" t="s">
        <v>792</v>
      </c>
      <c r="G1" t="s">
        <v>793</v>
      </c>
      <c r="H1" t="s">
        <v>794</v>
      </c>
      <c r="I1" t="s">
        <v>795</v>
      </c>
      <c r="J1" t="s">
        <v>796</v>
      </c>
      <c r="K1" t="s">
        <v>797</v>
      </c>
      <c r="L1" t="s">
        <v>798</v>
      </c>
      <c r="N1">
        <f>D40*TC</f>
        <v>0</v>
      </c>
    </row>
    <row r="2" spans="1:14">
      <c r="A2" t="s">
        <v>799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f>C8</f>
        <v>0</v>
      </c>
      <c r="N2">
        <f>C8</f>
        <v>0</v>
      </c>
    </row>
    <row r="3" spans="1:14">
      <c r="A3" t="s">
        <v>800</v>
      </c>
      <c r="B3">
        <v>100</v>
      </c>
      <c r="C3">
        <v>36.254024919501617</v>
      </c>
      <c r="D3">
        <v>24.089531313371573</v>
      </c>
      <c r="E3">
        <v>72.804630318729735</v>
      </c>
      <c r="F3">
        <v>233.14818655160289</v>
      </c>
      <c r="G3">
        <v>120.19093560642044</v>
      </c>
      <c r="H3">
        <v>9020.9396037956049</v>
      </c>
      <c r="I3">
        <v>0</v>
      </c>
      <c r="J3">
        <v>0</v>
      </c>
      <c r="K3">
        <v>0</v>
      </c>
      <c r="L3">
        <f>C8</f>
        <v>0</v>
      </c>
      <c r="N3">
        <f>L8</f>
        <v>0</v>
      </c>
    </row>
    <row r="4" spans="1:14">
      <c r="A4" t="s">
        <v>801</v>
      </c>
      <c r="B4">
        <v>100</v>
      </c>
      <c r="C4">
        <v>49.859392575927991</v>
      </c>
      <c r="D4">
        <v>24.934092913325763</v>
      </c>
      <c r="E4">
        <v>30.381704518007034</v>
      </c>
      <c r="F4">
        <v>205.17519000726082</v>
      </c>
      <c r="G4">
        <v>106.15520714656004</v>
      </c>
      <c r="H4">
        <v>5542.4351917933845</v>
      </c>
      <c r="I4">
        <v>0</v>
      </c>
      <c r="J4">
        <v>0</v>
      </c>
      <c r="K4">
        <v>0</v>
      </c>
      <c r="L4">
        <f>C8</f>
        <v>0</v>
      </c>
    </row>
    <row r="5" spans="1:14">
      <c r="A5" t="s">
        <v>802</v>
      </c>
      <c r="B5">
        <v>100</v>
      </c>
      <c r="C5">
        <v>34.150521254819822</v>
      </c>
      <c r="D5">
        <v>16.181468499792377</v>
      </c>
      <c r="E5">
        <v>25.642122870447604</v>
      </c>
      <c r="F5">
        <v>175.9741126250598</v>
      </c>
      <c r="G5">
        <v>99.314633354443913</v>
      </c>
      <c r="H5">
        <v>9118.0274223921006</v>
      </c>
      <c r="I5">
        <v>0</v>
      </c>
      <c r="J5">
        <v>0</v>
      </c>
      <c r="K5">
        <v>0</v>
      </c>
      <c r="L5">
        <f>C8</f>
        <v>0</v>
      </c>
    </row>
    <row r="6" spans="1:14">
      <c r="A6" t="s">
        <v>803</v>
      </c>
      <c r="B6">
        <v>0</v>
      </c>
      <c r="C6">
        <v>162.31889407714038</v>
      </c>
      <c r="D6">
        <v>294.8060032708313</v>
      </c>
      <c r="E6">
        <v>0</v>
      </c>
      <c r="F6">
        <v>457.12489734797174</v>
      </c>
      <c r="G6">
        <v>188.81178702204289</v>
      </c>
      <c r="H6">
        <v>8415.9927558683921</v>
      </c>
      <c r="I6">
        <v>162.31889407714038</v>
      </c>
      <c r="J6">
        <v>294.8060032708313</v>
      </c>
      <c r="K6">
        <v>187886.34861600012</v>
      </c>
      <c r="L6">
        <f>C8</f>
        <v>0</v>
      </c>
    </row>
    <row r="7" spans="1:14">
      <c r="A7" t="s">
        <v>804</v>
      </c>
      <c r="B7">
        <v>0</v>
      </c>
      <c r="C7">
        <v>168.17188411571732</v>
      </c>
      <c r="D7">
        <v>312.92482460764336</v>
      </c>
      <c r="E7">
        <v>0</v>
      </c>
      <c r="F7">
        <v>481.09670872336062</v>
      </c>
      <c r="G7">
        <v>199.5879511976992</v>
      </c>
      <c r="H7">
        <v>9079.4582313591491</v>
      </c>
      <c r="I7">
        <v>168.17188411571732</v>
      </c>
      <c r="J7">
        <v>312.92482460764336</v>
      </c>
      <c r="K7">
        <v>190094.61643657065</v>
      </c>
      <c r="L7">
        <v>0.5</v>
      </c>
    </row>
    <row r="8" spans="1:14">
      <c r="A8" t="s">
        <v>805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f>C8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55</vt:i4>
      </vt:variant>
    </vt:vector>
  </HeadingPairs>
  <TitlesOfParts>
    <vt:vector size="73" baseType="lpstr">
      <vt:lpstr>Info</vt:lpstr>
      <vt:lpstr>Creditos</vt:lpstr>
      <vt:lpstr>Estimulos Nacionales</vt:lpstr>
      <vt:lpstr>Estimulos Internacionales</vt:lpstr>
      <vt:lpstr>Resumen Ejecutivo</vt:lpstr>
      <vt:lpstr>Produccion</vt:lpstr>
      <vt:lpstr>Empleo</vt:lpstr>
      <vt:lpstr>Ingreso Laboral</vt:lpstr>
      <vt:lpstr>PIB</vt:lpstr>
      <vt:lpstr>Encadenamientos Internos</vt:lpstr>
      <vt:lpstr>Empleo Exportador</vt:lpstr>
      <vt:lpstr>Inserción Internacional</vt:lpstr>
      <vt:lpstr>Informacion Empleo</vt:lpstr>
      <vt:lpstr>Matrices Nacionales</vt:lpstr>
      <vt:lpstr>Exportaciones</vt:lpstr>
      <vt:lpstr>MRIO</vt:lpstr>
      <vt:lpstr>Parametros</vt:lpstr>
      <vt:lpstr>Control33</vt:lpstr>
      <vt:lpstr>A_21x21</vt:lpstr>
      <vt:lpstr>A_22x22</vt:lpstr>
      <vt:lpstr>A_CEPALFIGARO</vt:lpstr>
      <vt:lpstr>Aplicar_Escala</vt:lpstr>
      <vt:lpstr>'Resumen Ejecutivo'!Área_de_impresión</vt:lpstr>
      <vt:lpstr>B_21x21</vt:lpstr>
      <vt:lpstr>Coef_Contribuciones</vt:lpstr>
      <vt:lpstr>Coef_IMixtos</vt:lpstr>
      <vt:lpstr>Coef_IngresoTotal</vt:lpstr>
      <vt:lpstr>Coef_Sueldos</vt:lpstr>
      <vt:lpstr>Coef_trabajo</vt:lpstr>
      <vt:lpstr>Coef_trabajo_Alta</vt:lpstr>
      <vt:lpstr>Coef_trabajo_Baja</vt:lpstr>
      <vt:lpstr>Coef_trabajo_Formal</vt:lpstr>
      <vt:lpstr>Coef_trabajo_H</vt:lpstr>
      <vt:lpstr>Coef_trabajo_Informal</vt:lpstr>
      <vt:lpstr>Coef_trabajo_M</vt:lpstr>
      <vt:lpstr>Coef_trabajo_Media</vt:lpstr>
      <vt:lpstr>Coef_trabajo_Rural</vt:lpstr>
      <vt:lpstr>Coef_trabajo_Urbano</vt:lpstr>
      <vt:lpstr>Contribuciones21</vt:lpstr>
      <vt:lpstr>DeltaF21</vt:lpstr>
      <vt:lpstr>DeltaF21c</vt:lpstr>
      <vt:lpstr>DeltaF22</vt:lpstr>
      <vt:lpstr>DeltaF22c</vt:lpstr>
      <vt:lpstr>DF_MRIO</vt:lpstr>
      <vt:lpstr>EDirecto_21</vt:lpstr>
      <vt:lpstr>EIDirecto_21</vt:lpstr>
      <vt:lpstr>EIIndirecto_21</vt:lpstr>
      <vt:lpstr>EIndirecto21</vt:lpstr>
      <vt:lpstr>EInducido21</vt:lpstr>
      <vt:lpstr>EInicial_21</vt:lpstr>
      <vt:lpstr>EmpleoTotal21</vt:lpstr>
      <vt:lpstr>ETotal_21</vt:lpstr>
      <vt:lpstr>Exp_Destino</vt:lpstr>
      <vt:lpstr>Export_21</vt:lpstr>
      <vt:lpstr>Factor_Escala</vt:lpstr>
      <vt:lpstr>G_21x21</vt:lpstr>
      <vt:lpstr>Importaciones</vt:lpstr>
      <vt:lpstr>IngresoMixto</vt:lpstr>
      <vt:lpstr>L_21</vt:lpstr>
      <vt:lpstr>L_21x21</vt:lpstr>
      <vt:lpstr>L_22x22</vt:lpstr>
      <vt:lpstr>L_CEPALFIGARO</vt:lpstr>
      <vt:lpstr>PIB</vt:lpstr>
      <vt:lpstr>PMConsumo</vt:lpstr>
      <vt:lpstr>Salarios21</vt:lpstr>
      <vt:lpstr>SalariosNetos21</vt:lpstr>
      <vt:lpstr>TC</vt:lpstr>
      <vt:lpstr>ValorAgregado21</vt:lpstr>
      <vt:lpstr>VBP_21</vt:lpstr>
      <vt:lpstr>VBP_22</vt:lpstr>
      <vt:lpstr>VBP_MRIO</vt:lpstr>
      <vt:lpstr>Z_21x21</vt:lpstr>
      <vt:lpstr>Z_22x22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Garrido</dc:creator>
  <cp:lastModifiedBy>GARRIDO NICOLAS F</cp:lastModifiedBy>
  <dcterms:created xsi:type="dcterms:W3CDTF">2025-12-26T20:49:53Z</dcterms:created>
  <dcterms:modified xsi:type="dcterms:W3CDTF">2026-10-17T09:32:59Z</dcterms:modified>
</cp:coreProperties>
</file>