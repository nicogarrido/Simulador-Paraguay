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colasgarrido/research/Simulador-Paraguay/simulador/"/>
    </mc:Choice>
  </mc:AlternateContent>
  <xr:revisionPtr revIDLastSave="0" documentId="13_ncr:1_{960C48C8-A4E1-0949-A6AF-8FBE917D702B}" xr6:coauthVersionLast="47" xr6:coauthVersionMax="47" xr10:uidLastSave="{00000000-0000-0000-0000-000000000000}"/>
  <bookViews>
    <workbookView xWindow="0" yWindow="660" windowWidth="30240" windowHeight="17800" activeTab="1" xr2:uid="{00000000-000D-0000-FFFF-FFFF00000000}"/>
  </bookViews>
  <sheets>
    <sheet name="Info" sheetId="1" r:id="rId1"/>
    <sheet name="Creditos" sheetId="2" r:id="rId2"/>
    <sheet name="Estimulos Nacionales" sheetId="3" r:id="rId3"/>
    <sheet name="Estimulos Internacionales" sheetId="4" r:id="rId4"/>
    <sheet name="Resumen Ejecutivo" sheetId="5" r:id="rId5"/>
    <sheet name="Produccion" sheetId="8" r:id="rId6"/>
    <sheet name="Empleo" sheetId="7" r:id="rId7"/>
    <sheet name="Ingreso Laboral" sheetId="17" r:id="rId8"/>
    <sheet name="PIB" sheetId="6" r:id="rId9"/>
    <sheet name="Encadenamientos Internos" sheetId="9" r:id="rId10"/>
    <sheet name="Empleo Exportador" sheetId="16" r:id="rId11"/>
    <sheet name="Inserción Internacional" sheetId="10" r:id="rId12"/>
    <sheet name="Informacion Empleo" sheetId="11" r:id="rId13"/>
    <sheet name="Matrices Nacionales" sheetId="12" r:id="rId14"/>
    <sheet name="Exportaciones" sheetId="13" r:id="rId15"/>
    <sheet name="MRIO" sheetId="14" r:id="rId16"/>
    <sheet name="Parametros" sheetId="15" r:id="rId17"/>
  </sheets>
  <definedNames>
    <definedName name="_xlchart.v1.0" hidden="1">Produccion!$A$6:$A$26</definedName>
    <definedName name="_xlchart.v1.1" hidden="1">Produccion!$K$6:$K$26</definedName>
    <definedName name="_xlchart.v1.2" hidden="1">Empleo!$A$6:$A$26</definedName>
    <definedName name="_xlchart.v1.3" hidden="1">Empleo!$K$6:$K$26</definedName>
    <definedName name="_xlchart.v1.4" hidden="1">'Ingreso Laboral'!$A$6:$A$26</definedName>
    <definedName name="_xlchart.v1.5" hidden="1">'Ingreso Laboral'!$K$6:$K$26</definedName>
    <definedName name="_xlchart.v1.6" hidden="1">PIB!$A$6:$A$26</definedName>
    <definedName name="_xlchart.v1.7" hidden="1">PIB!$K$6:$K$26</definedName>
    <definedName name="_xleta.DELTA" hidden="1" xlm="1">#NAME?</definedName>
    <definedName name="_xleta.INDEX" hidden="1" xlm="1">#NAME?</definedName>
    <definedName name="_xleta.SUM" hidden="1" xlm="1">#NAME?</definedName>
    <definedName name="_xleta.VALUE" hidden="1" xlm="1">#NAME?</definedName>
    <definedName name="A_21x21">'Matrices Nacionales'!$C$49:$W$69</definedName>
    <definedName name="A_22x22">'Matrices Nacionales'!$C$126:$X$147</definedName>
    <definedName name="A_CEPALFIGARO">MRIO!$C$4:$HY$24</definedName>
    <definedName name="Aplicar_Escala">'Estimulos Internacionales'!$O$44</definedName>
    <definedName name="_xlnm.Print_Area" localSheetId="4">'Resumen Ejecutivo'!$A$1:$T$31</definedName>
    <definedName name="B_21x21">'Matrices Nacionales'!$C$174:$W$194</definedName>
    <definedName name="Coef_Contribuciones">'Informacion Empleo'!$J$6:$J$26</definedName>
    <definedName name="Coef_IMixtos">'Informacion Empleo'!$K$6:$K$26</definedName>
    <definedName name="Coef_IngresoTotal">'Informacion Empleo'!$L$6:$L$26</definedName>
    <definedName name="Coef_Sueldos">'Informacion Empleo'!$I$6:$I$26</definedName>
    <definedName name="Coef_trabajo">'Informacion Empleo'!$E$6:$E$26</definedName>
    <definedName name="Coef_trabajo_Alta">'Informacion Empleo'!$L$58:$L$78</definedName>
    <definedName name="Coef_trabajo_Baja">'Informacion Empleo'!$J$58:$J$78</definedName>
    <definedName name="Coef_trabajo_Formal">'Informacion Empleo'!$H$84:$H$104</definedName>
    <definedName name="Coef_trabajo_H">'Informacion Empleo'!$H$32:$H$52</definedName>
    <definedName name="Coef_trabajo_Informal">'Informacion Empleo'!$I$84:$I$104</definedName>
    <definedName name="Coef_trabajo_M">'Informacion Empleo'!$I$32:$I$52</definedName>
    <definedName name="Coef_trabajo_Media">'Informacion Empleo'!$K$58:$K$78</definedName>
    <definedName name="Coef_trabajo_Rural">'Informacion Empleo'!$I$110:$I$130</definedName>
    <definedName name="Coef_trabajo_Urbano">'Informacion Empleo'!$H$110:$H$130</definedName>
    <definedName name="Contribuciones21">'Matrices Nacionales'!$C$42:$W$42</definedName>
    <definedName name="DeltaF21">'Estimulos Nacionales'!$D$8:$D$28</definedName>
    <definedName name="DeltaF21c">'Estimulos Nacionales'!$H$8:$H$28</definedName>
    <definedName name="DeltaF22">'Estimulos Nacionales'!$D$8:$D$29</definedName>
    <definedName name="DeltaF22c">'Estimulos Nacionales'!$H$8:$H$29</definedName>
    <definedName name="DF_MRIO">'Estimulos Internacionales'!$E$41:$E$271</definedName>
    <definedName name="EDirecto_21">Produccion!$D$6:$D$26</definedName>
    <definedName name="EIDirecto_21">Produccion!$E$6:$E$26</definedName>
    <definedName name="EIIndirecto_21">Produccion!$H$6:$H$26</definedName>
    <definedName name="EIndirecto21">Produccion!$G$6:$G$26</definedName>
    <definedName name="EInducido21">Produccion!$J$6:$J$26</definedName>
    <definedName name="EInicial_21">Produccion!$C$6:$C$26</definedName>
    <definedName name="EmpleoTotal21">'Informacion Empleo'!$C$32:$C$52</definedName>
    <definedName name="ETotal_21">Produccion!$K$6:$K$26</definedName>
    <definedName name="Exp_Destino">Exportaciones!$B$6:$K$26</definedName>
    <definedName name="Export_21">'Matrices Nacionales'!$AC$12:$AC$32</definedName>
    <definedName name="Factor_Escala">'Estimulos Internacionales'!$O$46:$O$56</definedName>
    <definedName name="G_21x21">'Matrices Nacionales'!$C$201:$W$221</definedName>
    <definedName name="Importaciones">'Matrices Nacionales'!$C$35:$W$35</definedName>
    <definedName name="IngresoMixto">'Matrices Nacionales'!$C$43:$W$43</definedName>
    <definedName name="L_21">'Matrices Nacionales'!$C$150:$X$171</definedName>
    <definedName name="L_21x21">'Matrices Nacionales'!$C$73:$W$93</definedName>
    <definedName name="L_22x22">'Matrices Nacionales'!$C$150:$X$171</definedName>
    <definedName name="L_CEPALFIGARO">MRIO!$C$29:$HY$49</definedName>
    <definedName name="PIB">Parametros!$C$4</definedName>
    <definedName name="PMConsumo">Parametros!$C$5</definedName>
    <definedName name="Salarios21">'Matrices Nacionales'!$C$40:$W$40</definedName>
    <definedName name="SalariosNetos21">'Matrices Nacionales'!$C$41:$W$41</definedName>
    <definedName name="solver_adj" localSheetId="2" hidden="1">'Estimulos Nacionales'!$D$8:$D$28</definedName>
    <definedName name="solver_eng" localSheetId="6" hidden="1">1</definedName>
    <definedName name="solver_eng" localSheetId="2" hidden="1">1</definedName>
    <definedName name="solver_eng" localSheetId="7" hidden="1">1</definedName>
    <definedName name="solver_lin" localSheetId="6" hidden="1">2</definedName>
    <definedName name="solver_lin" localSheetId="2" hidden="1">2</definedName>
    <definedName name="solver_lin" localSheetId="7" hidden="1">2</definedName>
    <definedName name="solver_neg" localSheetId="6" hidden="1">1</definedName>
    <definedName name="solver_neg" localSheetId="2" hidden="1">1</definedName>
    <definedName name="solver_neg" localSheetId="7" hidden="1">1</definedName>
    <definedName name="solver_num" localSheetId="6" hidden="1">0</definedName>
    <definedName name="solver_num" localSheetId="2" hidden="1">0</definedName>
    <definedName name="solver_num" localSheetId="7" hidden="1">0</definedName>
    <definedName name="solver_opt" localSheetId="6" hidden="1">Empleo!$J$71</definedName>
    <definedName name="solver_opt" localSheetId="2" hidden="1">'Estimulos Nacionales'!$I$34</definedName>
    <definedName name="solver_opt" localSheetId="7" hidden="1">'Ingreso Laboral'!$H$71</definedName>
    <definedName name="solver_typ" localSheetId="6" hidden="1">1</definedName>
    <definedName name="solver_typ" localSheetId="2" hidden="1">1</definedName>
    <definedName name="solver_typ" localSheetId="7" hidden="1">1</definedName>
    <definedName name="solver_val" localSheetId="6" hidden="1">0</definedName>
    <definedName name="solver_val" localSheetId="2" hidden="1">0</definedName>
    <definedName name="solver_val" localSheetId="7" hidden="1">0</definedName>
    <definedName name="solver_ver" localSheetId="6" hidden="1">2</definedName>
    <definedName name="solver_ver" localSheetId="2" hidden="1">2</definedName>
    <definedName name="solver_ver" localSheetId="7" hidden="1">2</definedName>
    <definedName name="TC">Parametros!$C$3</definedName>
    <definedName name="ValorAgregado21">'Matrices Nacionales'!$C$38:$W$38</definedName>
    <definedName name="VBP_21">'Matrices Nacionales'!$C$46:$W$46</definedName>
    <definedName name="VBP_22">'Matrices Nacionales'!$C$123:$X$123</definedName>
    <definedName name="VBP_MRIO">'Estimulos Internacionales'!$D$41:$D$271</definedName>
    <definedName name="Z_21x21">'Matrices Nacionales'!$C$12:$W$32</definedName>
    <definedName name="Z_22x22">'Matrices Nacionales'!$C$100:$X$121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9" l="1"/>
  <c r="C24" i="9"/>
  <c r="D23" i="9"/>
  <c r="C23" i="9"/>
  <c r="D22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D15" i="9"/>
  <c r="C15" i="9"/>
  <c r="D14" i="9"/>
  <c r="C14" i="9"/>
  <c r="D13" i="9"/>
  <c r="C13" i="9"/>
  <c r="D12" i="9"/>
  <c r="C12" i="9"/>
  <c r="D11" i="9"/>
  <c r="C11" i="9"/>
  <c r="D10" i="9"/>
  <c r="C10" i="9"/>
  <c r="D9" i="9"/>
  <c r="C9" i="9"/>
  <c r="D8" i="9"/>
  <c r="C8" i="9"/>
  <c r="D7" i="9"/>
  <c r="C7" i="9"/>
  <c r="D6" i="9"/>
  <c r="C6" i="9"/>
  <c r="D5" i="9"/>
  <c r="C5" i="9"/>
  <c r="D4" i="9"/>
  <c r="C4" i="9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H30" i="3"/>
  <c r="D30" i="3"/>
  <c r="E30" i="3" s="1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00" i="12"/>
  <c r="E30" i="4"/>
  <c r="E29" i="4"/>
  <c r="E27" i="4"/>
  <c r="J41" i="4"/>
  <c r="C41" i="4" s="1"/>
  <c r="J42" i="4"/>
  <c r="C42" i="4" s="1"/>
  <c r="J43" i="4"/>
  <c r="D43" i="4" s="1"/>
  <c r="J44" i="4"/>
  <c r="D44" i="4" s="1"/>
  <c r="J45" i="4"/>
  <c r="C45" i="4" s="1"/>
  <c r="J46" i="4"/>
  <c r="D46" i="4" s="1"/>
  <c r="J47" i="4"/>
  <c r="C47" i="4" s="1"/>
  <c r="J48" i="4"/>
  <c r="D48" i="4" s="1"/>
  <c r="J49" i="4"/>
  <c r="D49" i="4" s="1"/>
  <c r="J50" i="4"/>
  <c r="D50" i="4" s="1"/>
  <c r="J51" i="4"/>
  <c r="C51" i="4" s="1"/>
  <c r="J52" i="4"/>
  <c r="D52" i="4" s="1"/>
  <c r="J53" i="4"/>
  <c r="D53" i="4" s="1"/>
  <c r="J54" i="4"/>
  <c r="D54" i="4" s="1"/>
  <c r="J55" i="4"/>
  <c r="C55" i="4" s="1"/>
  <c r="J56" i="4"/>
  <c r="D56" i="4" s="1"/>
  <c r="J57" i="4"/>
  <c r="C57" i="4" s="1"/>
  <c r="J58" i="4"/>
  <c r="D58" i="4" s="1"/>
  <c r="J59" i="4"/>
  <c r="C59" i="4" s="1"/>
  <c r="J60" i="4"/>
  <c r="C60" i="4" s="1"/>
  <c r="J61" i="4"/>
  <c r="C61" i="4" s="1"/>
  <c r="J62" i="4"/>
  <c r="D62" i="4" s="1"/>
  <c r="J63" i="4"/>
  <c r="C63" i="4" s="1"/>
  <c r="J64" i="4"/>
  <c r="D64" i="4" s="1"/>
  <c r="J65" i="4"/>
  <c r="C65" i="4" s="1"/>
  <c r="J66" i="4"/>
  <c r="C66" i="4" s="1"/>
  <c r="J67" i="4"/>
  <c r="D67" i="4" s="1"/>
  <c r="J68" i="4"/>
  <c r="C68" i="4" s="1"/>
  <c r="J69" i="4"/>
  <c r="C69" i="4" s="1"/>
  <c r="J70" i="4"/>
  <c r="D70" i="4" s="1"/>
  <c r="J71" i="4"/>
  <c r="C71" i="4" s="1"/>
  <c r="J72" i="4"/>
  <c r="D72" i="4" s="1"/>
  <c r="J73" i="4"/>
  <c r="C73" i="4" s="1"/>
  <c r="J74" i="4"/>
  <c r="C74" i="4" s="1"/>
  <c r="J75" i="4"/>
  <c r="C75" i="4" s="1"/>
  <c r="J76" i="4"/>
  <c r="D76" i="4" s="1"/>
  <c r="J77" i="4"/>
  <c r="C77" i="4" s="1"/>
  <c r="J78" i="4"/>
  <c r="C78" i="4" s="1"/>
  <c r="J79" i="4"/>
  <c r="D79" i="4" s="1"/>
  <c r="J80" i="4"/>
  <c r="C80" i="4" s="1"/>
  <c r="J81" i="4"/>
  <c r="C81" i="4" s="1"/>
  <c r="J82" i="4"/>
  <c r="D82" i="4" s="1"/>
  <c r="J83" i="4"/>
  <c r="C83" i="4" s="1"/>
  <c r="J84" i="4"/>
  <c r="C84" i="4" s="1"/>
  <c r="J85" i="4"/>
  <c r="C85" i="4" s="1"/>
  <c r="J86" i="4"/>
  <c r="C86" i="4" s="1"/>
  <c r="J87" i="4"/>
  <c r="C87" i="4" s="1"/>
  <c r="J88" i="4"/>
  <c r="D88" i="4" s="1"/>
  <c r="J89" i="4"/>
  <c r="C89" i="4" s="1"/>
  <c r="J90" i="4"/>
  <c r="C90" i="4" s="1"/>
  <c r="J91" i="4"/>
  <c r="D91" i="4" s="1"/>
  <c r="J92" i="4"/>
  <c r="C92" i="4" s="1"/>
  <c r="J93" i="4"/>
  <c r="C93" i="4" s="1"/>
  <c r="J94" i="4"/>
  <c r="D94" i="4" s="1"/>
  <c r="J95" i="4"/>
  <c r="C95" i="4" s="1"/>
  <c r="J96" i="4"/>
  <c r="C96" i="4" s="1"/>
  <c r="J97" i="4"/>
  <c r="C97" i="4" s="1"/>
  <c r="J98" i="4"/>
  <c r="D98" i="4" s="1"/>
  <c r="J99" i="4"/>
  <c r="C99" i="4" s="1"/>
  <c r="J100" i="4"/>
  <c r="D100" i="4" s="1"/>
  <c r="J101" i="4"/>
  <c r="C101" i="4" s="1"/>
  <c r="J102" i="4"/>
  <c r="D102" i="4" s="1"/>
  <c r="J103" i="4"/>
  <c r="D103" i="4" s="1"/>
  <c r="J104" i="4"/>
  <c r="C104" i="4" s="1"/>
  <c r="J105" i="4"/>
  <c r="C105" i="4" s="1"/>
  <c r="J106" i="4"/>
  <c r="D106" i="4" s="1"/>
  <c r="J107" i="4"/>
  <c r="C107" i="4" s="1"/>
  <c r="J108" i="4"/>
  <c r="C108" i="4" s="1"/>
  <c r="J109" i="4"/>
  <c r="D109" i="4" s="1"/>
  <c r="J110" i="4"/>
  <c r="C110" i="4" s="1"/>
  <c r="J111" i="4"/>
  <c r="C111" i="4" s="1"/>
  <c r="J112" i="4"/>
  <c r="D112" i="4" s="1"/>
  <c r="J113" i="4"/>
  <c r="D113" i="4" s="1"/>
  <c r="J114" i="4"/>
  <c r="C114" i="4" s="1"/>
  <c r="J115" i="4"/>
  <c r="D115" i="4" s="1"/>
  <c r="J116" i="4"/>
  <c r="D116" i="4" s="1"/>
  <c r="J117" i="4"/>
  <c r="C117" i="4" s="1"/>
  <c r="J118" i="4"/>
  <c r="D118" i="4" s="1"/>
  <c r="J119" i="4"/>
  <c r="C119" i="4" s="1"/>
  <c r="J120" i="4"/>
  <c r="C120" i="4" s="1"/>
  <c r="J121" i="4"/>
  <c r="C121" i="4" s="1"/>
  <c r="J122" i="4"/>
  <c r="D122" i="4" s="1"/>
  <c r="J123" i="4"/>
  <c r="C123" i="4" s="1"/>
  <c r="J124" i="4"/>
  <c r="D124" i="4" s="1"/>
  <c r="J125" i="4"/>
  <c r="C125" i="4" s="1"/>
  <c r="J126" i="4"/>
  <c r="C126" i="4" s="1"/>
  <c r="J127" i="4"/>
  <c r="D127" i="4" s="1"/>
  <c r="J128" i="4"/>
  <c r="C128" i="4" s="1"/>
  <c r="J129" i="4"/>
  <c r="C129" i="4" s="1"/>
  <c r="J130" i="4"/>
  <c r="D130" i="4" s="1"/>
  <c r="J131" i="4"/>
  <c r="C131" i="4" s="1"/>
  <c r="J132" i="4"/>
  <c r="C132" i="4" s="1"/>
  <c r="J133" i="4"/>
  <c r="D133" i="4" s="1"/>
  <c r="J134" i="4"/>
  <c r="C134" i="4" s="1"/>
  <c r="J135" i="4"/>
  <c r="C135" i="4" s="1"/>
  <c r="J136" i="4"/>
  <c r="D136" i="4" s="1"/>
  <c r="J137" i="4"/>
  <c r="C137" i="4" s="1"/>
  <c r="J138" i="4"/>
  <c r="D138" i="4" s="1"/>
  <c r="J139" i="4"/>
  <c r="D139" i="4" s="1"/>
  <c r="J140" i="4"/>
  <c r="C140" i="4" s="1"/>
  <c r="J141" i="4"/>
  <c r="C141" i="4" s="1"/>
  <c r="J142" i="4"/>
  <c r="D142" i="4" s="1"/>
  <c r="J143" i="4"/>
  <c r="C143" i="4" s="1"/>
  <c r="J144" i="4"/>
  <c r="C144" i="4" s="1"/>
  <c r="J145" i="4"/>
  <c r="C145" i="4" s="1"/>
  <c r="J146" i="4"/>
  <c r="C146" i="4" s="1"/>
  <c r="J147" i="4"/>
  <c r="C147" i="4" s="1"/>
  <c r="J148" i="4"/>
  <c r="D148" i="4" s="1"/>
  <c r="J149" i="4"/>
  <c r="C149" i="4" s="1"/>
  <c r="J150" i="4"/>
  <c r="C150" i="4" s="1"/>
  <c r="J151" i="4"/>
  <c r="D151" i="4" s="1"/>
  <c r="J152" i="4"/>
  <c r="D152" i="4" s="1"/>
  <c r="J153" i="4"/>
  <c r="C153" i="4" s="1"/>
  <c r="J154" i="4"/>
  <c r="D154" i="4" s="1"/>
  <c r="J155" i="4"/>
  <c r="C155" i="4" s="1"/>
  <c r="J156" i="4"/>
  <c r="C156" i="4" s="1"/>
  <c r="J157" i="4"/>
  <c r="C157" i="4" s="1"/>
  <c r="J158" i="4"/>
  <c r="C158" i="4" s="1"/>
  <c r="J159" i="4"/>
  <c r="C159" i="4" s="1"/>
  <c r="J160" i="4"/>
  <c r="D160" i="4" s="1"/>
  <c r="J161" i="4"/>
  <c r="C161" i="4" s="1"/>
  <c r="J162" i="4"/>
  <c r="C162" i="4" s="1"/>
  <c r="J163" i="4"/>
  <c r="D163" i="4" s="1"/>
  <c r="J164" i="4"/>
  <c r="C164" i="4" s="1"/>
  <c r="J165" i="4"/>
  <c r="C165" i="4" s="1"/>
  <c r="J166" i="4"/>
  <c r="D166" i="4" s="1"/>
  <c r="J167" i="4"/>
  <c r="C167" i="4" s="1"/>
  <c r="J168" i="4"/>
  <c r="C168" i="4" s="1"/>
  <c r="J169" i="4"/>
  <c r="C169" i="4" s="1"/>
  <c r="J170" i="4"/>
  <c r="D170" i="4" s="1"/>
  <c r="J171" i="4"/>
  <c r="C171" i="4" s="1"/>
  <c r="J172" i="4"/>
  <c r="D172" i="4" s="1"/>
  <c r="J173" i="4"/>
  <c r="C173" i="4" s="1"/>
  <c r="J174" i="4"/>
  <c r="D174" i="4" s="1"/>
  <c r="J175" i="4"/>
  <c r="D175" i="4" s="1"/>
  <c r="J176" i="4"/>
  <c r="C176" i="4" s="1"/>
  <c r="J177" i="4"/>
  <c r="C177" i="4" s="1"/>
  <c r="J178" i="4"/>
  <c r="D178" i="4" s="1"/>
  <c r="J179" i="4"/>
  <c r="C179" i="4" s="1"/>
  <c r="J180" i="4"/>
  <c r="C180" i="4" s="1"/>
  <c r="J181" i="4"/>
  <c r="D181" i="4" s="1"/>
  <c r="J182" i="4"/>
  <c r="D182" i="4" s="1"/>
  <c r="J183" i="4"/>
  <c r="C183" i="4" s="1"/>
  <c r="J184" i="4"/>
  <c r="D184" i="4" s="1"/>
  <c r="J185" i="4"/>
  <c r="C185" i="4" s="1"/>
  <c r="J186" i="4"/>
  <c r="C186" i="4" s="1"/>
  <c r="J187" i="4"/>
  <c r="D187" i="4" s="1"/>
  <c r="J188" i="4"/>
  <c r="C188" i="4" s="1"/>
  <c r="J189" i="4"/>
  <c r="C189" i="4" s="1"/>
  <c r="J190" i="4"/>
  <c r="D190" i="4" s="1"/>
  <c r="J191" i="4"/>
  <c r="C191" i="4" s="1"/>
  <c r="J192" i="4"/>
  <c r="C192" i="4" s="1"/>
  <c r="J193" i="4"/>
  <c r="D193" i="4" s="1"/>
  <c r="J194" i="4"/>
  <c r="C194" i="4" s="1"/>
  <c r="J195" i="4"/>
  <c r="C195" i="4" s="1"/>
  <c r="J196" i="4"/>
  <c r="D196" i="4" s="1"/>
  <c r="J197" i="4"/>
  <c r="C197" i="4" s="1"/>
  <c r="J198" i="4"/>
  <c r="C198" i="4" s="1"/>
  <c r="J199" i="4"/>
  <c r="D199" i="4" s="1"/>
  <c r="J200" i="4"/>
  <c r="C200" i="4" s="1"/>
  <c r="J201" i="4"/>
  <c r="C201" i="4" s="1"/>
  <c r="J202" i="4"/>
  <c r="D202" i="4" s="1"/>
  <c r="J203" i="4"/>
  <c r="C203" i="4" s="1"/>
  <c r="J204" i="4"/>
  <c r="C204" i="4" s="1"/>
  <c r="J205" i="4"/>
  <c r="C205" i="4" s="1"/>
  <c r="J206" i="4"/>
  <c r="D206" i="4" s="1"/>
  <c r="J207" i="4"/>
  <c r="C207" i="4" s="1"/>
  <c r="J208" i="4"/>
  <c r="D208" i="4" s="1"/>
  <c r="J209" i="4"/>
  <c r="D209" i="4" s="1"/>
  <c r="J210" i="4"/>
  <c r="C210" i="4" s="1"/>
  <c r="J211" i="4"/>
  <c r="D211" i="4" s="1"/>
  <c r="J212" i="4"/>
  <c r="D212" i="4" s="1"/>
  <c r="J213" i="4"/>
  <c r="C213" i="4" s="1"/>
  <c r="J214" i="4"/>
  <c r="D214" i="4" s="1"/>
  <c r="J215" i="4"/>
  <c r="C215" i="4" s="1"/>
  <c r="J216" i="4"/>
  <c r="C216" i="4" s="1"/>
  <c r="J217" i="4"/>
  <c r="C217" i="4" s="1"/>
  <c r="J218" i="4"/>
  <c r="D218" i="4" s="1"/>
  <c r="J219" i="4"/>
  <c r="C219" i="4" s="1"/>
  <c r="J220" i="4"/>
  <c r="D220" i="4" s="1"/>
  <c r="J221" i="4"/>
  <c r="C221" i="4" s="1"/>
  <c r="J222" i="4"/>
  <c r="D222" i="4" s="1"/>
  <c r="J223" i="4"/>
  <c r="D223" i="4" s="1"/>
  <c r="J224" i="4"/>
  <c r="C224" i="4" s="1"/>
  <c r="J225" i="4"/>
  <c r="C225" i="4" s="1"/>
  <c r="J226" i="4"/>
  <c r="D226" i="4" s="1"/>
  <c r="J227" i="4"/>
  <c r="C227" i="4" s="1"/>
  <c r="J228" i="4"/>
  <c r="C228" i="4" s="1"/>
  <c r="J229" i="4"/>
  <c r="C229" i="4" s="1"/>
  <c r="J230" i="4"/>
  <c r="D230" i="4" s="1"/>
  <c r="J231" i="4"/>
  <c r="C231" i="4" s="1"/>
  <c r="J232" i="4"/>
  <c r="D232" i="4" s="1"/>
  <c r="J233" i="4"/>
  <c r="C233" i="4" s="1"/>
  <c r="J234" i="4"/>
  <c r="C234" i="4" s="1"/>
  <c r="J235" i="4"/>
  <c r="D235" i="4" s="1"/>
  <c r="J236" i="4"/>
  <c r="C236" i="4" s="1"/>
  <c r="J237" i="4"/>
  <c r="C237" i="4" s="1"/>
  <c r="J238" i="4"/>
  <c r="D238" i="4" s="1"/>
  <c r="J239" i="4"/>
  <c r="C239" i="4" s="1"/>
  <c r="J240" i="4"/>
  <c r="C240" i="4" s="1"/>
  <c r="J241" i="4"/>
  <c r="C241" i="4" s="1"/>
  <c r="J242" i="4"/>
  <c r="D242" i="4" s="1"/>
  <c r="J243" i="4"/>
  <c r="C243" i="4" s="1"/>
  <c r="J244" i="4"/>
  <c r="D244" i="4" s="1"/>
  <c r="J245" i="4"/>
  <c r="C245" i="4" s="1"/>
  <c r="J246" i="4"/>
  <c r="C246" i="4" s="1"/>
  <c r="J247" i="4"/>
  <c r="D247" i="4" s="1"/>
  <c r="J248" i="4"/>
  <c r="D248" i="4" s="1"/>
  <c r="J249" i="4"/>
  <c r="C249" i="4" s="1"/>
  <c r="J250" i="4"/>
  <c r="D250" i="4" s="1"/>
  <c r="J251" i="4"/>
  <c r="C251" i="4" s="1"/>
  <c r="J252" i="4"/>
  <c r="C252" i="4" s="1"/>
  <c r="J253" i="4"/>
  <c r="D253" i="4" s="1"/>
  <c r="J254" i="4"/>
  <c r="C254" i="4" s="1"/>
  <c r="J255" i="4"/>
  <c r="C255" i="4" s="1"/>
  <c r="J256" i="4"/>
  <c r="D256" i="4" s="1"/>
  <c r="J257" i="4"/>
  <c r="D257" i="4" s="1"/>
  <c r="J258" i="4"/>
  <c r="D258" i="4" s="1"/>
  <c r="J259" i="4"/>
  <c r="C259" i="4" s="1"/>
  <c r="J260" i="4"/>
  <c r="D260" i="4" s="1"/>
  <c r="J261" i="4"/>
  <c r="C261" i="4" s="1"/>
  <c r="J262" i="4"/>
  <c r="D262" i="4" s="1"/>
  <c r="J263" i="4"/>
  <c r="C263" i="4" s="1"/>
  <c r="J264" i="4"/>
  <c r="C264" i="4" s="1"/>
  <c r="J265" i="4"/>
  <c r="C265" i="4" s="1"/>
  <c r="J266" i="4"/>
  <c r="D266" i="4" s="1"/>
  <c r="J267" i="4"/>
  <c r="C267" i="4" s="1"/>
  <c r="J268" i="4"/>
  <c r="D268" i="4" s="1"/>
  <c r="J269" i="4"/>
  <c r="D269" i="4" s="1"/>
  <c r="J270" i="4"/>
  <c r="C270" i="4" s="1"/>
  <c r="J271" i="4"/>
  <c r="C271" i="4" s="1"/>
  <c r="E8" i="4"/>
  <c r="E25" i="4" s="1"/>
  <c r="K1" i="5"/>
  <c r="B1" i="5"/>
  <c r="A1" i="17"/>
  <c r="A1" i="8"/>
  <c r="A1" i="6"/>
  <c r="A1" i="7"/>
  <c r="E15" i="4" l="1"/>
  <c r="E17" i="4"/>
  <c r="E16" i="4"/>
  <c r="E18" i="4"/>
  <c r="E28" i="4"/>
  <c r="I30" i="3"/>
  <c r="E33" i="4"/>
  <c r="E34" i="4"/>
  <c r="E14" i="4"/>
  <c r="E26" i="4"/>
  <c r="E31" i="4"/>
  <c r="E20" i="4"/>
  <c r="E22" i="4"/>
  <c r="E23" i="4"/>
  <c r="E21" i="4"/>
  <c r="E24" i="4"/>
  <c r="E19" i="4"/>
  <c r="E32" i="4"/>
  <c r="D249" i="4"/>
  <c r="C256" i="4"/>
  <c r="C142" i="4"/>
  <c r="C50" i="4"/>
  <c r="C220" i="4"/>
  <c r="D146" i="4"/>
  <c r="C106" i="4"/>
  <c r="D162" i="4"/>
  <c r="C113" i="4"/>
  <c r="C112" i="4"/>
  <c r="C257" i="4"/>
  <c r="D145" i="4"/>
  <c r="D245" i="4"/>
  <c r="D125" i="4"/>
  <c r="D241" i="4"/>
  <c r="D121" i="4"/>
  <c r="C232" i="4"/>
  <c r="D161" i="4"/>
  <c r="C109" i="4"/>
  <c r="C160" i="4"/>
  <c r="D97" i="4"/>
  <c r="D159" i="4"/>
  <c r="D41" i="4"/>
  <c r="C187" i="4"/>
  <c r="D186" i="4"/>
  <c r="D134" i="4"/>
  <c r="D90" i="4"/>
  <c r="C258" i="4"/>
  <c r="D89" i="4"/>
  <c r="D185" i="4"/>
  <c r="D126" i="4"/>
  <c r="D68" i="4"/>
  <c r="C211" i="4"/>
  <c r="C67" i="4"/>
  <c r="D270" i="4"/>
  <c r="C253" i="4"/>
  <c r="D233" i="4"/>
  <c r="D210" i="4"/>
  <c r="D140" i="4"/>
  <c r="D104" i="4"/>
  <c r="D66" i="4"/>
  <c r="C184" i="4"/>
  <c r="D158" i="4"/>
  <c r="C124" i="4"/>
  <c r="C88" i="4"/>
  <c r="D65" i="4"/>
  <c r="C151" i="4"/>
  <c r="C79" i="4"/>
  <c r="C248" i="4"/>
  <c r="C175" i="4"/>
  <c r="C103" i="4"/>
  <c r="C266" i="4"/>
  <c r="C115" i="4"/>
  <c r="D265" i="4"/>
  <c r="C247" i="4"/>
  <c r="C222" i="4"/>
  <c r="D197" i="4"/>
  <c r="C174" i="4"/>
  <c r="D149" i="4"/>
  <c r="C138" i="4"/>
  <c r="D114" i="4"/>
  <c r="C102" i="4"/>
  <c r="D77" i="4"/>
  <c r="C53" i="4"/>
  <c r="C212" i="4"/>
  <c r="C269" i="4"/>
  <c r="C209" i="4"/>
  <c r="C139" i="4"/>
  <c r="D78" i="4"/>
  <c r="D246" i="4"/>
  <c r="D221" i="4"/>
  <c r="D173" i="4"/>
  <c r="D137" i="4"/>
  <c r="D101" i="4"/>
  <c r="C52" i="4"/>
  <c r="D234" i="4"/>
  <c r="C223" i="4"/>
  <c r="D150" i="4"/>
  <c r="C54" i="4"/>
  <c r="D198" i="4"/>
  <c r="C196" i="4"/>
  <c r="C148" i="4"/>
  <c r="C76" i="4"/>
  <c r="D183" i="4"/>
  <c r="C182" i="4"/>
  <c r="C170" i="4"/>
  <c r="D169" i="4"/>
  <c r="C193" i="4"/>
  <c r="C49" i="4"/>
  <c r="C242" i="4"/>
  <c r="D147" i="4"/>
  <c r="C122" i="4"/>
  <c r="C98" i="4"/>
  <c r="C70" i="4"/>
  <c r="D195" i="4"/>
  <c r="D157" i="4"/>
  <c r="D51" i="4"/>
  <c r="D194" i="4"/>
  <c r="C133" i="4"/>
  <c r="D75" i="4"/>
  <c r="D231" i="4"/>
  <c r="C181" i="4"/>
  <c r="D74" i="4"/>
  <c r="C218" i="4"/>
  <c r="C178" i="4"/>
  <c r="D86" i="4"/>
  <c r="D255" i="4"/>
  <c r="C230" i="4"/>
  <c r="D217" i="4"/>
  <c r="C206" i="4"/>
  <c r="D176" i="4"/>
  <c r="D111" i="4"/>
  <c r="D73" i="4"/>
  <c r="C62" i="4"/>
  <c r="D219" i="4"/>
  <c r="D254" i="4"/>
  <c r="D229" i="4"/>
  <c r="D205" i="4"/>
  <c r="D123" i="4"/>
  <c r="D110" i="4"/>
  <c r="D85" i="4"/>
  <c r="D61" i="4"/>
  <c r="D87" i="4"/>
  <c r="D267" i="4"/>
  <c r="C214" i="4"/>
  <c r="C72" i="4"/>
  <c r="D240" i="4"/>
  <c r="D168" i="4"/>
  <c r="D132" i="4"/>
  <c r="C166" i="4"/>
  <c r="D60" i="4"/>
  <c r="C235" i="4"/>
  <c r="C199" i="4"/>
  <c r="C154" i="4"/>
  <c r="C118" i="4"/>
  <c r="C82" i="4"/>
  <c r="C56" i="4"/>
  <c r="C260" i="4"/>
  <c r="C244" i="4"/>
  <c r="D224" i="4"/>
  <c r="C208" i="4"/>
  <c r="D188" i="4"/>
  <c r="C100" i="4"/>
  <c r="D80" i="4"/>
  <c r="D55" i="4"/>
  <c r="D259" i="4"/>
  <c r="D252" i="4"/>
  <c r="D243" i="4"/>
  <c r="D207" i="4"/>
  <c r="D171" i="4"/>
  <c r="C152" i="4"/>
  <c r="D135" i="4"/>
  <c r="C116" i="4"/>
  <c r="D99" i="4"/>
  <c r="C64" i="4"/>
  <c r="C48" i="4"/>
  <c r="C44" i="4"/>
  <c r="C43" i="4"/>
  <c r="D204" i="4"/>
  <c r="D96" i="4"/>
  <c r="D42" i="4"/>
  <c r="D200" i="4"/>
  <c r="D164" i="4"/>
  <c r="C226" i="4"/>
  <c r="C190" i="4"/>
  <c r="C163" i="4"/>
  <c r="C127" i="4"/>
  <c r="C91" i="4"/>
  <c r="C172" i="4"/>
  <c r="C136" i="4"/>
  <c r="C250" i="4"/>
  <c r="D216" i="4"/>
  <c r="D180" i="4"/>
  <c r="D144" i="4"/>
  <c r="D108" i="4"/>
  <c r="D63" i="4"/>
  <c r="C238" i="4"/>
  <c r="C202" i="4"/>
  <c r="C130" i="4"/>
  <c r="C94" i="4"/>
  <c r="D264" i="4"/>
  <c r="D236" i="4"/>
  <c r="D128" i="4"/>
  <c r="D92" i="4"/>
  <c r="D271" i="4"/>
  <c r="C262" i="4"/>
  <c r="C58" i="4"/>
  <c r="D261" i="4"/>
  <c r="D228" i="4"/>
  <c r="D192" i="4"/>
  <c r="D156" i="4"/>
  <c r="D120" i="4"/>
  <c r="D84" i="4"/>
  <c r="C46" i="4"/>
  <c r="D237" i="4"/>
  <c r="D225" i="4"/>
  <c r="D213" i="4"/>
  <c r="D201" i="4"/>
  <c r="D189" i="4"/>
  <c r="D177" i="4"/>
  <c r="D165" i="4"/>
  <c r="D153" i="4"/>
  <c r="D141" i="4"/>
  <c r="D129" i="4"/>
  <c r="D117" i="4"/>
  <c r="D105" i="4"/>
  <c r="D93" i="4"/>
  <c r="D81" i="4"/>
  <c r="D69" i="4"/>
  <c r="D57" i="4"/>
  <c r="D45" i="4"/>
  <c r="D263" i="4"/>
  <c r="D251" i="4"/>
  <c r="D239" i="4"/>
  <c r="D227" i="4"/>
  <c r="D215" i="4"/>
  <c r="D203" i="4"/>
  <c r="D191" i="4"/>
  <c r="D179" i="4"/>
  <c r="D167" i="4"/>
  <c r="D155" i="4"/>
  <c r="D143" i="4"/>
  <c r="D131" i="4"/>
  <c r="D119" i="4"/>
  <c r="D107" i="4"/>
  <c r="D95" i="4"/>
  <c r="D83" i="4"/>
  <c r="D71" i="4"/>
  <c r="D59" i="4"/>
  <c r="D47" i="4"/>
  <c r="C268" i="4"/>
  <c r="C68" i="16" l="1"/>
  <c r="I38" i="12"/>
  <c r="J38" i="12"/>
  <c r="K38" i="12"/>
  <c r="L38" i="12"/>
  <c r="M38" i="12"/>
  <c r="N38" i="12"/>
  <c r="O38" i="12"/>
  <c r="P38" i="12"/>
  <c r="Q38" i="12"/>
  <c r="R38" i="12"/>
  <c r="S38" i="12"/>
  <c r="T38" i="12"/>
  <c r="X38" i="12" s="1"/>
  <c r="U38" i="12"/>
  <c r="V38" i="12"/>
  <c r="W38" i="12"/>
  <c r="H38" i="12"/>
  <c r="G38" i="12"/>
  <c r="F38" i="12"/>
  <c r="C62" i="16"/>
  <c r="E38" i="12"/>
  <c r="C38" i="12"/>
  <c r="D38" i="12"/>
  <c r="B60" i="16"/>
  <c r="C34" i="12"/>
  <c r="C46" i="12" s="1"/>
  <c r="X45" i="12"/>
  <c r="X43" i="12"/>
  <c r="X42" i="12"/>
  <c r="X41" i="12"/>
  <c r="D131" i="11"/>
  <c r="E48" i="16" s="1"/>
  <c r="E131" i="11"/>
  <c r="E49" i="16" s="1"/>
  <c r="C131" i="11"/>
  <c r="D105" i="11"/>
  <c r="E105" i="11"/>
  <c r="E47" i="16" s="1"/>
  <c r="C105" i="11"/>
  <c r="D79" i="11"/>
  <c r="E79" i="11"/>
  <c r="E44" i="16" s="1"/>
  <c r="F79" i="11"/>
  <c r="E45" i="16" s="1"/>
  <c r="C79" i="11"/>
  <c r="E43" i="16" s="1"/>
  <c r="C6" i="16"/>
  <c r="C59" i="16"/>
  <c r="B59" i="16"/>
  <c r="E46" i="16" l="1"/>
  <c r="C67" i="16"/>
  <c r="B67" i="16"/>
  <c r="C60" i="16"/>
  <c r="B61" i="16"/>
  <c r="C61" i="16"/>
  <c r="B65" i="16"/>
  <c r="C65" i="16"/>
  <c r="B63" i="16"/>
  <c r="C63" i="16"/>
  <c r="B66" i="16"/>
  <c r="C64" i="16"/>
  <c r="B62" i="16"/>
  <c r="B68" i="16"/>
  <c r="B64" i="16" l="1"/>
  <c r="B69" i="16" s="1"/>
  <c r="C66" i="16"/>
  <c r="C69" i="16" s="1"/>
  <c r="E53" i="11"/>
  <c r="D53" i="11"/>
  <c r="C53" i="11"/>
  <c r="G62" i="16" l="1"/>
  <c r="G61" i="16"/>
  <c r="G67" i="16"/>
  <c r="G60" i="16"/>
  <c r="G63" i="16"/>
  <c r="G64" i="16"/>
  <c r="G65" i="16"/>
  <c r="G68" i="16"/>
  <c r="G59" i="16"/>
  <c r="G66" i="16"/>
  <c r="E42" i="16"/>
  <c r="F113" i="16" s="1"/>
  <c r="E41" i="16"/>
  <c r="F112" i="16" s="1"/>
  <c r="F120" i="16"/>
  <c r="F119" i="16"/>
  <c r="F118" i="16"/>
  <c r="F117" i="16"/>
  <c r="F116" i="16"/>
  <c r="F115" i="16"/>
  <c r="F114" i="16"/>
  <c r="D35" i="16"/>
  <c r="C35" i="16"/>
  <c r="D34" i="16"/>
  <c r="C34" i="16"/>
  <c r="D33" i="16"/>
  <c r="C33" i="16"/>
  <c r="D32" i="16"/>
  <c r="C32" i="16"/>
  <c r="D31" i="16"/>
  <c r="C31" i="16"/>
  <c r="D30" i="16"/>
  <c r="C30" i="16"/>
  <c r="D29" i="16"/>
  <c r="C29" i="16"/>
  <c r="D28" i="16"/>
  <c r="C28" i="16"/>
  <c r="D27" i="16"/>
  <c r="C27" i="16"/>
  <c r="D26" i="16"/>
  <c r="C26" i="16"/>
  <c r="D25" i="16"/>
  <c r="C25" i="16"/>
  <c r="D24" i="16"/>
  <c r="C24" i="16"/>
  <c r="D23" i="16"/>
  <c r="C23" i="16"/>
  <c r="D22" i="16"/>
  <c r="C22" i="16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C7" i="16"/>
  <c r="D36" i="16" l="1"/>
  <c r="C36" i="16"/>
  <c r="G58" i="11"/>
  <c r="C27" i="11"/>
  <c r="C123" i="12"/>
  <c r="AD12" i="12"/>
  <c r="X12" i="12"/>
  <c r="C6" i="8" a="1"/>
  <c r="C6" i="8" s="1"/>
  <c r="D6" i="8" l="1" a="1"/>
  <c r="D6" i="8" s="1"/>
  <c r="AE12" i="12"/>
  <c r="C8" i="3" a="1"/>
  <c r="C8" i="3" s="1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D100" i="12"/>
  <c r="C100" i="12"/>
  <c r="X44" i="12"/>
  <c r="X40" i="12"/>
  <c r="X37" i="12"/>
  <c r="X36" i="12"/>
  <c r="X35" i="12"/>
  <c r="AC34" i="12"/>
  <c r="AB34" i="12"/>
  <c r="AA34" i="12"/>
  <c r="Z34" i="12"/>
  <c r="Y34" i="12"/>
  <c r="W34" i="12"/>
  <c r="W46" i="12" s="1"/>
  <c r="W123" i="12" s="1"/>
  <c r="V34" i="12"/>
  <c r="V46" i="12" s="1"/>
  <c r="V123" i="12" s="1"/>
  <c r="U34" i="12"/>
  <c r="U46" i="12" s="1"/>
  <c r="U123" i="12" s="1"/>
  <c r="T34" i="12"/>
  <c r="T46" i="12" s="1"/>
  <c r="T123" i="12" s="1"/>
  <c r="S34" i="12"/>
  <c r="S46" i="12" s="1"/>
  <c r="S123" i="12" s="1"/>
  <c r="R34" i="12"/>
  <c r="R46" i="12" s="1"/>
  <c r="R123" i="12" s="1"/>
  <c r="Q34" i="12"/>
  <c r="Q46" i="12" s="1"/>
  <c r="Q123" i="12" s="1"/>
  <c r="P34" i="12"/>
  <c r="P46" i="12" s="1"/>
  <c r="P123" i="12" s="1"/>
  <c r="O34" i="12"/>
  <c r="O46" i="12" s="1"/>
  <c r="O123" i="12" s="1"/>
  <c r="N34" i="12"/>
  <c r="N46" i="12" s="1"/>
  <c r="N123" i="12" s="1"/>
  <c r="M34" i="12"/>
  <c r="M46" i="12" s="1"/>
  <c r="M123" i="12" s="1"/>
  <c r="L34" i="12"/>
  <c r="L46" i="12" s="1"/>
  <c r="L123" i="12" s="1"/>
  <c r="K34" i="12"/>
  <c r="K46" i="12" s="1"/>
  <c r="K123" i="12" s="1"/>
  <c r="J34" i="12"/>
  <c r="J46" i="12" s="1"/>
  <c r="J123" i="12" s="1"/>
  <c r="I34" i="12"/>
  <c r="I46" i="12" s="1"/>
  <c r="I123" i="12" s="1"/>
  <c r="H34" i="12"/>
  <c r="H46" i="12" s="1"/>
  <c r="H123" i="12" s="1"/>
  <c r="G34" i="12"/>
  <c r="G46" i="12" s="1"/>
  <c r="G123" i="12" s="1"/>
  <c r="F34" i="12"/>
  <c r="F46" i="12" s="1"/>
  <c r="F123" i="12" s="1"/>
  <c r="E34" i="12"/>
  <c r="E46" i="12" s="1"/>
  <c r="E123" i="12" s="1"/>
  <c r="D34" i="12"/>
  <c r="D46" i="12" s="1"/>
  <c r="AD32" i="12"/>
  <c r="X32" i="12"/>
  <c r="AD31" i="12"/>
  <c r="X31" i="12"/>
  <c r="AD30" i="12"/>
  <c r="X30" i="12"/>
  <c r="AD29" i="12"/>
  <c r="X29" i="12"/>
  <c r="AD28" i="12"/>
  <c r="X28" i="12"/>
  <c r="AD27" i="12"/>
  <c r="X27" i="12"/>
  <c r="AD26" i="12"/>
  <c r="X26" i="12"/>
  <c r="AD25" i="12"/>
  <c r="X25" i="12"/>
  <c r="AD24" i="12"/>
  <c r="X24" i="12"/>
  <c r="AD23" i="12"/>
  <c r="X23" i="12"/>
  <c r="AD22" i="12"/>
  <c r="X22" i="12"/>
  <c r="AD21" i="12"/>
  <c r="X21" i="12"/>
  <c r="AD20" i="12"/>
  <c r="X20" i="12"/>
  <c r="AD19" i="12"/>
  <c r="X19" i="12"/>
  <c r="AD18" i="12"/>
  <c r="X18" i="12"/>
  <c r="AD17" i="12"/>
  <c r="X17" i="12"/>
  <c r="AD16" i="12"/>
  <c r="X16" i="12"/>
  <c r="AD15" i="12"/>
  <c r="X15" i="12"/>
  <c r="AD14" i="12"/>
  <c r="X14" i="12"/>
  <c r="AD13" i="12"/>
  <c r="AD34" i="12" s="1"/>
  <c r="X13" i="12"/>
  <c r="G130" i="11"/>
  <c r="F130" i="11"/>
  <c r="G129" i="11"/>
  <c r="F129" i="11"/>
  <c r="G128" i="11"/>
  <c r="F128" i="11"/>
  <c r="G127" i="11"/>
  <c r="F127" i="11"/>
  <c r="G126" i="11"/>
  <c r="F126" i="11"/>
  <c r="G125" i="11"/>
  <c r="F125" i="11"/>
  <c r="G124" i="11"/>
  <c r="F124" i="11"/>
  <c r="G123" i="11"/>
  <c r="F123" i="11"/>
  <c r="G122" i="11"/>
  <c r="F122" i="11"/>
  <c r="G121" i="11"/>
  <c r="F121" i="11"/>
  <c r="G120" i="11"/>
  <c r="F120" i="11"/>
  <c r="G119" i="11"/>
  <c r="F119" i="11"/>
  <c r="G118" i="11"/>
  <c r="F118" i="11"/>
  <c r="G117" i="11"/>
  <c r="F117" i="11"/>
  <c r="G116" i="11"/>
  <c r="F116" i="11"/>
  <c r="G115" i="11"/>
  <c r="F115" i="11"/>
  <c r="G114" i="11"/>
  <c r="F114" i="11"/>
  <c r="G113" i="11"/>
  <c r="F113" i="11"/>
  <c r="G112" i="11"/>
  <c r="F112" i="11"/>
  <c r="G111" i="11"/>
  <c r="F111" i="11"/>
  <c r="G110" i="11"/>
  <c r="F110" i="11"/>
  <c r="G104" i="11"/>
  <c r="F104" i="11"/>
  <c r="G103" i="11"/>
  <c r="F103" i="11"/>
  <c r="G102" i="11"/>
  <c r="F102" i="11"/>
  <c r="G101" i="11"/>
  <c r="F101" i="11"/>
  <c r="G100" i="11"/>
  <c r="F100" i="11"/>
  <c r="G99" i="11"/>
  <c r="F99" i="11"/>
  <c r="G98" i="11"/>
  <c r="F98" i="11"/>
  <c r="G97" i="11"/>
  <c r="F97" i="11"/>
  <c r="G96" i="11"/>
  <c r="F96" i="11"/>
  <c r="G95" i="11"/>
  <c r="F95" i="11"/>
  <c r="G94" i="11"/>
  <c r="F94" i="11"/>
  <c r="G93" i="11"/>
  <c r="F93" i="11"/>
  <c r="G92" i="11"/>
  <c r="F92" i="11"/>
  <c r="G91" i="11"/>
  <c r="F91" i="11"/>
  <c r="G90" i="11"/>
  <c r="F90" i="11"/>
  <c r="G89" i="11"/>
  <c r="F89" i="11"/>
  <c r="G88" i="11"/>
  <c r="F88" i="11"/>
  <c r="G87" i="11"/>
  <c r="F87" i="11"/>
  <c r="G86" i="11"/>
  <c r="F86" i="11"/>
  <c r="G85" i="11"/>
  <c r="F85" i="11"/>
  <c r="G84" i="11"/>
  <c r="F84" i="11"/>
  <c r="I78" i="11"/>
  <c r="H78" i="11"/>
  <c r="G78" i="11"/>
  <c r="I77" i="11"/>
  <c r="H77" i="11"/>
  <c r="G77" i="11"/>
  <c r="I76" i="11"/>
  <c r="H76" i="11"/>
  <c r="G76" i="11"/>
  <c r="I75" i="11"/>
  <c r="H75" i="11"/>
  <c r="G75" i="11"/>
  <c r="I74" i="11"/>
  <c r="H74" i="11"/>
  <c r="G74" i="11"/>
  <c r="I73" i="11"/>
  <c r="H73" i="11"/>
  <c r="G73" i="11"/>
  <c r="I72" i="11"/>
  <c r="H72" i="11"/>
  <c r="G72" i="11"/>
  <c r="I71" i="11"/>
  <c r="H71" i="11"/>
  <c r="G71" i="11"/>
  <c r="I70" i="11"/>
  <c r="H70" i="11"/>
  <c r="G70" i="11"/>
  <c r="I69" i="11"/>
  <c r="H69" i="11"/>
  <c r="G69" i="11"/>
  <c r="I68" i="11"/>
  <c r="H68" i="11"/>
  <c r="G68" i="11"/>
  <c r="I67" i="11"/>
  <c r="H67" i="11"/>
  <c r="G67" i="11"/>
  <c r="I66" i="11"/>
  <c r="H66" i="11"/>
  <c r="G66" i="11"/>
  <c r="I65" i="11"/>
  <c r="H65" i="11"/>
  <c r="G65" i="11"/>
  <c r="I64" i="11"/>
  <c r="H64" i="11"/>
  <c r="G64" i="11"/>
  <c r="I63" i="11"/>
  <c r="H63" i="11"/>
  <c r="G63" i="11"/>
  <c r="I62" i="11"/>
  <c r="H62" i="11"/>
  <c r="G62" i="11"/>
  <c r="I61" i="11"/>
  <c r="H61" i="11"/>
  <c r="G61" i="11"/>
  <c r="I60" i="11"/>
  <c r="H60" i="11"/>
  <c r="G60" i="11"/>
  <c r="I59" i="11"/>
  <c r="H59" i="11"/>
  <c r="G59" i="11"/>
  <c r="I58" i="11"/>
  <c r="H58" i="11"/>
  <c r="G52" i="11"/>
  <c r="F52" i="11"/>
  <c r="G51" i="11"/>
  <c r="F51" i="11"/>
  <c r="G50" i="11"/>
  <c r="F50" i="11"/>
  <c r="G49" i="11"/>
  <c r="F49" i="11"/>
  <c r="G48" i="11"/>
  <c r="F48" i="11"/>
  <c r="G47" i="11"/>
  <c r="F47" i="11"/>
  <c r="G46" i="11"/>
  <c r="F46" i="11"/>
  <c r="G45" i="11"/>
  <c r="F45" i="11"/>
  <c r="G44" i="11"/>
  <c r="F44" i="11"/>
  <c r="G43" i="11"/>
  <c r="F43" i="11"/>
  <c r="G42" i="11"/>
  <c r="F42" i="11"/>
  <c r="G41" i="11"/>
  <c r="F41" i="11"/>
  <c r="G40" i="11"/>
  <c r="F40" i="11"/>
  <c r="G39" i="11"/>
  <c r="F39" i="11"/>
  <c r="G38" i="11"/>
  <c r="F38" i="11"/>
  <c r="G37" i="11"/>
  <c r="F37" i="11"/>
  <c r="G36" i="11"/>
  <c r="F36" i="11"/>
  <c r="G35" i="11"/>
  <c r="F35" i="11"/>
  <c r="G34" i="11"/>
  <c r="F34" i="11"/>
  <c r="G33" i="11"/>
  <c r="F33" i="11"/>
  <c r="G32" i="11"/>
  <c r="F32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L8" i="4"/>
  <c r="K8" i="4"/>
  <c r="J8" i="4"/>
  <c r="I8" i="4"/>
  <c r="H8" i="4"/>
  <c r="G8" i="4"/>
  <c r="F8" i="4"/>
  <c r="D8" i="4"/>
  <c r="C8" i="4"/>
  <c r="I6" i="11" l="1" a="1"/>
  <c r="I6" i="11" s="1"/>
  <c r="D11" i="10" a="1"/>
  <c r="D11" i="10" s="1"/>
  <c r="C7" i="10"/>
  <c r="J6" i="11" a="1"/>
  <c r="J6" i="11" s="1"/>
  <c r="K6" i="11" a="1"/>
  <c r="C11" i="10" a="1"/>
  <c r="X46" i="12"/>
  <c r="E6" i="11" a="1"/>
  <c r="I110" i="11" a="1"/>
  <c r="I110" i="11" s="1"/>
  <c r="C49" i="16" s="1"/>
  <c r="D123" i="12"/>
  <c r="J58" i="11" a="1"/>
  <c r="J58" i="11" s="1"/>
  <c r="C43" i="16" s="1"/>
  <c r="H32" i="11" a="1"/>
  <c r="H32" i="11" s="1"/>
  <c r="C41" i="16" s="1"/>
  <c r="H110" i="11" a="1"/>
  <c r="H110" i="11" s="1"/>
  <c r="C48" i="16" s="1"/>
  <c r="I84" i="11" a="1"/>
  <c r="I84" i="11" s="1"/>
  <c r="C47" i="16" s="1"/>
  <c r="H84" i="11" a="1"/>
  <c r="H84" i="11" s="1"/>
  <c r="C46" i="16" s="1"/>
  <c r="K58" i="11" a="1"/>
  <c r="K58" i="11" s="1"/>
  <c r="C44" i="16" s="1"/>
  <c r="L58" i="11" a="1"/>
  <c r="L58" i="11" s="1"/>
  <c r="C45" i="16" s="1"/>
  <c r="I32" i="11" a="1"/>
  <c r="I32" i="11" s="1"/>
  <c r="C42" i="16" s="1"/>
  <c r="C6" i="6" a="1"/>
  <c r="C6" i="6" s="1"/>
  <c r="D6" i="6" a="1"/>
  <c r="D6" i="6" s="1"/>
  <c r="I25" i="4"/>
  <c r="I31" i="4"/>
  <c r="I29" i="4"/>
  <c r="I27" i="4"/>
  <c r="I24" i="4"/>
  <c r="I33" i="4"/>
  <c r="F207" i="4" s="1"/>
  <c r="E207" i="4" s="1"/>
  <c r="I30" i="4"/>
  <c r="I17" i="4"/>
  <c r="I16" i="4"/>
  <c r="I23" i="4"/>
  <c r="I22" i="4"/>
  <c r="F196" i="4" s="1"/>
  <c r="E196" i="4" s="1"/>
  <c r="I32" i="4"/>
  <c r="I15" i="4"/>
  <c r="I26" i="4"/>
  <c r="I14" i="4"/>
  <c r="I34" i="4"/>
  <c r="I21" i="4"/>
  <c r="I20" i="4"/>
  <c r="I19" i="4"/>
  <c r="I18" i="4"/>
  <c r="I28" i="4"/>
  <c r="L34" i="4"/>
  <c r="F271" i="4" s="1"/>
  <c r="E271" i="4" s="1"/>
  <c r="L22" i="4"/>
  <c r="F259" i="4" s="1"/>
  <c r="E259" i="4" s="1"/>
  <c r="L16" i="4"/>
  <c r="F253" i="4" s="1"/>
  <c r="E253" i="4" s="1"/>
  <c r="L26" i="4"/>
  <c r="L25" i="4"/>
  <c r="L33" i="4"/>
  <c r="L21" i="4"/>
  <c r="F258" i="4" s="1"/>
  <c r="E258" i="4" s="1"/>
  <c r="L31" i="4"/>
  <c r="L17" i="4"/>
  <c r="F254" i="4" s="1"/>
  <c r="E254" i="4" s="1"/>
  <c r="L28" i="4"/>
  <c r="F265" i="4" s="1"/>
  <c r="E265" i="4" s="1"/>
  <c r="L14" i="4"/>
  <c r="F251" i="4" s="1"/>
  <c r="E251" i="4" s="1"/>
  <c r="L32" i="4"/>
  <c r="L20" i="4"/>
  <c r="F257" i="4" s="1"/>
  <c r="E257" i="4" s="1"/>
  <c r="L19" i="4"/>
  <c r="F256" i="4" s="1"/>
  <c r="E256" i="4" s="1"/>
  <c r="L30" i="4"/>
  <c r="F267" i="4" s="1"/>
  <c r="E267" i="4" s="1"/>
  <c r="L29" i="4"/>
  <c r="F266" i="4" s="1"/>
  <c r="E266" i="4" s="1"/>
  <c r="L24" i="4"/>
  <c r="L27" i="4"/>
  <c r="L23" i="4"/>
  <c r="L18" i="4"/>
  <c r="L15" i="4"/>
  <c r="F252" i="4" s="1"/>
  <c r="E252" i="4" s="1"/>
  <c r="C31" i="4"/>
  <c r="C19" i="4"/>
  <c r="C28" i="4"/>
  <c r="C15" i="4"/>
  <c r="C14" i="4"/>
  <c r="C22" i="4"/>
  <c r="C30" i="4"/>
  <c r="F78" i="4" s="1"/>
  <c r="E78" i="4" s="1"/>
  <c r="C18" i="4"/>
  <c r="C27" i="4"/>
  <c r="C33" i="4"/>
  <c r="F81" i="4" s="1"/>
  <c r="E81" i="4" s="1"/>
  <c r="C29" i="4"/>
  <c r="C17" i="4"/>
  <c r="C16" i="4"/>
  <c r="C26" i="4"/>
  <c r="C25" i="4"/>
  <c r="C24" i="4"/>
  <c r="C23" i="4"/>
  <c r="C34" i="4"/>
  <c r="F82" i="4" s="1"/>
  <c r="E82" i="4" s="1"/>
  <c r="C32" i="4"/>
  <c r="F80" i="4" s="1"/>
  <c r="E80" i="4" s="1"/>
  <c r="C20" i="4"/>
  <c r="C21" i="4"/>
  <c r="J28" i="4"/>
  <c r="J16" i="4"/>
  <c r="J23" i="4"/>
  <c r="F218" i="4" s="1"/>
  <c r="E218" i="4" s="1"/>
  <c r="J19" i="4"/>
  <c r="J27" i="4"/>
  <c r="F222" i="4" s="1"/>
  <c r="E222" i="4" s="1"/>
  <c r="J15" i="4"/>
  <c r="F210" i="4" s="1"/>
  <c r="E210" i="4" s="1"/>
  <c r="J22" i="4"/>
  <c r="F217" i="4" s="1"/>
  <c r="E217" i="4" s="1"/>
  <c r="J33" i="4"/>
  <c r="F228" i="4" s="1"/>
  <c r="E228" i="4" s="1"/>
  <c r="J30" i="4"/>
  <c r="F225" i="4" s="1"/>
  <c r="E225" i="4" s="1"/>
  <c r="J26" i="4"/>
  <c r="J14" i="4"/>
  <c r="F209" i="4" s="1"/>
  <c r="E209" i="4" s="1"/>
  <c r="J24" i="4"/>
  <c r="J34" i="4"/>
  <c r="J21" i="4"/>
  <c r="F216" i="4" s="1"/>
  <c r="E216" i="4" s="1"/>
  <c r="J20" i="4"/>
  <c r="F215" i="4" s="1"/>
  <c r="E215" i="4" s="1"/>
  <c r="J31" i="4"/>
  <c r="F226" i="4" s="1"/>
  <c r="E226" i="4" s="1"/>
  <c r="J29" i="4"/>
  <c r="J17" i="4"/>
  <c r="F212" i="4" s="1"/>
  <c r="E212" i="4" s="1"/>
  <c r="J25" i="4"/>
  <c r="J32" i="4"/>
  <c r="F227" i="4" s="1"/>
  <c r="E227" i="4" s="1"/>
  <c r="J18" i="4"/>
  <c r="F213" i="4" s="1"/>
  <c r="E213" i="4" s="1"/>
  <c r="K31" i="4"/>
  <c r="K19" i="4"/>
  <c r="K28" i="4"/>
  <c r="K27" i="4"/>
  <c r="K26" i="4"/>
  <c r="F242" i="4" s="1"/>
  <c r="E242" i="4" s="1"/>
  <c r="K21" i="4"/>
  <c r="F237" i="4" s="1"/>
  <c r="E237" i="4" s="1"/>
  <c r="K30" i="4"/>
  <c r="F246" i="4" s="1"/>
  <c r="E246" i="4" s="1"/>
  <c r="K18" i="4"/>
  <c r="F234" i="4" s="1"/>
  <c r="E234" i="4" s="1"/>
  <c r="K15" i="4"/>
  <c r="F231" i="4" s="1"/>
  <c r="E231" i="4" s="1"/>
  <c r="K34" i="4"/>
  <c r="F250" i="4" s="1"/>
  <c r="E250" i="4" s="1"/>
  <c r="K29" i="4"/>
  <c r="F245" i="4" s="1"/>
  <c r="E245" i="4" s="1"/>
  <c r="K17" i="4"/>
  <c r="K24" i="4"/>
  <c r="F240" i="4" s="1"/>
  <c r="E240" i="4" s="1"/>
  <c r="K23" i="4"/>
  <c r="K32" i="4"/>
  <c r="K20" i="4"/>
  <c r="F236" i="4" s="1"/>
  <c r="E236" i="4" s="1"/>
  <c r="K16" i="4"/>
  <c r="F232" i="4" s="1"/>
  <c r="E232" i="4" s="1"/>
  <c r="K14" i="4"/>
  <c r="K25" i="4"/>
  <c r="F241" i="4" s="1"/>
  <c r="E241" i="4" s="1"/>
  <c r="K22" i="4"/>
  <c r="F238" i="4" s="1"/>
  <c r="E238" i="4" s="1"/>
  <c r="K33" i="4"/>
  <c r="F249" i="4" s="1"/>
  <c r="E249" i="4" s="1"/>
  <c r="D34" i="4"/>
  <c r="F103" i="4" s="1"/>
  <c r="E103" i="4" s="1"/>
  <c r="D22" i="4"/>
  <c r="F91" i="4" s="1"/>
  <c r="E91" i="4" s="1"/>
  <c r="D16" i="4"/>
  <c r="F85" i="4" s="1"/>
  <c r="E85" i="4" s="1"/>
  <c r="D33" i="4"/>
  <c r="D21" i="4"/>
  <c r="D31" i="4"/>
  <c r="D17" i="4"/>
  <c r="D15" i="4"/>
  <c r="D14" i="4"/>
  <c r="D25" i="4"/>
  <c r="F94" i="4" s="1"/>
  <c r="E94" i="4" s="1"/>
  <c r="D32" i="4"/>
  <c r="F101" i="4" s="1"/>
  <c r="E101" i="4" s="1"/>
  <c r="D20" i="4"/>
  <c r="F89" i="4" s="1"/>
  <c r="E89" i="4" s="1"/>
  <c r="D30" i="4"/>
  <c r="F99" i="4" s="1"/>
  <c r="E99" i="4" s="1"/>
  <c r="D27" i="4"/>
  <c r="F96" i="4" s="1"/>
  <c r="E96" i="4" s="1"/>
  <c r="D24" i="4"/>
  <c r="F93" i="4" s="1"/>
  <c r="E93" i="4" s="1"/>
  <c r="D23" i="4"/>
  <c r="D19" i="4"/>
  <c r="F88" i="4" s="1"/>
  <c r="E88" i="4" s="1"/>
  <c r="D18" i="4"/>
  <c r="D29" i="4"/>
  <c r="D28" i="4"/>
  <c r="F97" i="4" s="1"/>
  <c r="E97" i="4" s="1"/>
  <c r="D26" i="4"/>
  <c r="F95" i="4" s="1"/>
  <c r="E95" i="4" s="1"/>
  <c r="F28" i="4"/>
  <c r="F139" i="4" s="1"/>
  <c r="E139" i="4" s="1"/>
  <c r="F16" i="4"/>
  <c r="F127" i="4" s="1"/>
  <c r="E127" i="4" s="1"/>
  <c r="F25" i="4"/>
  <c r="F136" i="4" s="1"/>
  <c r="E136" i="4" s="1"/>
  <c r="F24" i="4"/>
  <c r="F135" i="4" s="1"/>
  <c r="E135" i="4" s="1"/>
  <c r="F34" i="4"/>
  <c r="F145" i="4" s="1"/>
  <c r="E145" i="4" s="1"/>
  <c r="F27" i="4"/>
  <c r="F138" i="4" s="1"/>
  <c r="E138" i="4" s="1"/>
  <c r="F15" i="4"/>
  <c r="F22" i="4"/>
  <c r="F133" i="4" s="1"/>
  <c r="E133" i="4" s="1"/>
  <c r="F21" i="4"/>
  <c r="F20" i="4"/>
  <c r="F131" i="4" s="1"/>
  <c r="E131" i="4" s="1"/>
  <c r="F31" i="4"/>
  <c r="F18" i="4"/>
  <c r="F129" i="4" s="1"/>
  <c r="E129" i="4" s="1"/>
  <c r="F26" i="4"/>
  <c r="F137" i="4" s="1"/>
  <c r="E137" i="4" s="1"/>
  <c r="F14" i="4"/>
  <c r="F33" i="4"/>
  <c r="F144" i="4" s="1"/>
  <c r="E144" i="4" s="1"/>
  <c r="F19" i="4"/>
  <c r="F130" i="4" s="1"/>
  <c r="E130" i="4" s="1"/>
  <c r="F30" i="4"/>
  <c r="F141" i="4" s="1"/>
  <c r="E141" i="4" s="1"/>
  <c r="F29" i="4"/>
  <c r="F140" i="4" s="1"/>
  <c r="E140" i="4" s="1"/>
  <c r="F17" i="4"/>
  <c r="F23" i="4"/>
  <c r="F32" i="4"/>
  <c r="G31" i="4"/>
  <c r="G19" i="4"/>
  <c r="G23" i="4"/>
  <c r="F155" i="4" s="1"/>
  <c r="E155" i="4" s="1"/>
  <c r="G34" i="4"/>
  <c r="G21" i="4"/>
  <c r="F153" i="4" s="1"/>
  <c r="E153" i="4" s="1"/>
  <c r="G30" i="4"/>
  <c r="F162" i="4" s="1"/>
  <c r="E162" i="4" s="1"/>
  <c r="G18" i="4"/>
  <c r="F150" i="4" s="1"/>
  <c r="E150" i="4" s="1"/>
  <c r="G29" i="4"/>
  <c r="G17" i="4"/>
  <c r="F149" i="4" s="1"/>
  <c r="E149" i="4" s="1"/>
  <c r="G16" i="4"/>
  <c r="G15" i="4"/>
  <c r="G14" i="4"/>
  <c r="G32" i="4"/>
  <c r="G20" i="4"/>
  <c r="F152" i="4" s="1"/>
  <c r="E152" i="4" s="1"/>
  <c r="G28" i="4"/>
  <c r="F160" i="4" s="1"/>
  <c r="E160" i="4" s="1"/>
  <c r="G27" i="4"/>
  <c r="F159" i="4" s="1"/>
  <c r="E159" i="4" s="1"/>
  <c r="G26" i="4"/>
  <c r="G25" i="4"/>
  <c r="F157" i="4" s="1"/>
  <c r="E157" i="4" s="1"/>
  <c r="G24" i="4"/>
  <c r="F156" i="4" s="1"/>
  <c r="E156" i="4" s="1"/>
  <c r="G22" i="4"/>
  <c r="F154" i="4" s="1"/>
  <c r="E154" i="4" s="1"/>
  <c r="G33" i="4"/>
  <c r="F165" i="4" s="1"/>
  <c r="E165" i="4" s="1"/>
  <c r="H34" i="4"/>
  <c r="H22" i="4"/>
  <c r="H31" i="4"/>
  <c r="H30" i="4"/>
  <c r="H29" i="4"/>
  <c r="H33" i="4"/>
  <c r="F186" i="4" s="1"/>
  <c r="E186" i="4" s="1"/>
  <c r="H21" i="4"/>
  <c r="H19" i="4"/>
  <c r="H18" i="4"/>
  <c r="H17" i="4"/>
  <c r="H16" i="4"/>
  <c r="H15" i="4"/>
  <c r="H24" i="4"/>
  <c r="H32" i="4"/>
  <c r="H20" i="4"/>
  <c r="H28" i="4"/>
  <c r="H27" i="4"/>
  <c r="H14" i="4"/>
  <c r="H25" i="4"/>
  <c r="H23" i="4"/>
  <c r="H26" i="4"/>
  <c r="F163" i="4"/>
  <c r="E163" i="4" s="1"/>
  <c r="F151" i="4"/>
  <c r="E151" i="4" s="1"/>
  <c r="F158" i="4"/>
  <c r="E158" i="4" s="1"/>
  <c r="F201" i="4"/>
  <c r="E201" i="4" s="1"/>
  <c r="F143" i="4"/>
  <c r="E143" i="4" s="1"/>
  <c r="F142" i="4"/>
  <c r="E142" i="4" s="1"/>
  <c r="F128" i="4"/>
  <c r="E128" i="4" s="1"/>
  <c r="F211" i="4"/>
  <c r="E211" i="4" s="1"/>
  <c r="F229" i="4"/>
  <c r="E229" i="4" s="1"/>
  <c r="F235" i="4"/>
  <c r="E235" i="4" s="1"/>
  <c r="F239" i="4"/>
  <c r="E239" i="4" s="1"/>
  <c r="F243" i="4"/>
  <c r="E243" i="4" s="1"/>
  <c r="F270" i="4"/>
  <c r="E270" i="4" s="1"/>
  <c r="F263" i="4"/>
  <c r="E263" i="4" s="1"/>
  <c r="F268" i="4"/>
  <c r="E268" i="4" s="1"/>
  <c r="F264" i="4"/>
  <c r="E264" i="4" s="1"/>
  <c r="F262" i="4"/>
  <c r="E262" i="4" s="1"/>
  <c r="F261" i="4"/>
  <c r="E261" i="4" s="1"/>
  <c r="F100" i="4"/>
  <c r="E100" i="4" s="1"/>
  <c r="F86" i="4"/>
  <c r="E86" i="4" s="1"/>
  <c r="F92" i="4"/>
  <c r="E92" i="4" s="1"/>
  <c r="F126" i="4"/>
  <c r="E126" i="4" s="1"/>
  <c r="F134" i="4"/>
  <c r="E134" i="4" s="1"/>
  <c r="F161" i="4"/>
  <c r="E161" i="4" s="1"/>
  <c r="F147" i="4"/>
  <c r="E147" i="4" s="1"/>
  <c r="F175" i="4"/>
  <c r="E175" i="4" s="1"/>
  <c r="F181" i="4"/>
  <c r="E181" i="4" s="1"/>
  <c r="F219" i="4"/>
  <c r="E219" i="4" s="1"/>
  <c r="F224" i="4"/>
  <c r="E224" i="4" s="1"/>
  <c r="F214" i="4"/>
  <c r="E214" i="4" s="1"/>
  <c r="F244" i="4"/>
  <c r="E244" i="4" s="1"/>
  <c r="F248" i="4"/>
  <c r="E248" i="4" s="1"/>
  <c r="F102" i="4"/>
  <c r="E102" i="4" s="1"/>
  <c r="F90" i="4"/>
  <c r="E90" i="4" s="1"/>
  <c r="F87" i="4"/>
  <c r="E87" i="4" s="1"/>
  <c r="F115" i="4"/>
  <c r="E115" i="4" s="1"/>
  <c r="F112" i="4"/>
  <c r="E112" i="4" s="1"/>
  <c r="F110" i="4"/>
  <c r="E110" i="4" s="1"/>
  <c r="F109" i="4"/>
  <c r="E109" i="4" s="1"/>
  <c r="F122" i="4"/>
  <c r="E122" i="4" s="1"/>
  <c r="F108" i="4"/>
  <c r="E108" i="4" s="1"/>
  <c r="F113" i="4"/>
  <c r="E113" i="4" s="1"/>
  <c r="F124" i="4"/>
  <c r="E124" i="4" s="1"/>
  <c r="F123" i="4"/>
  <c r="E123" i="4" s="1"/>
  <c r="F121" i="4"/>
  <c r="E121" i="4" s="1"/>
  <c r="F118" i="4"/>
  <c r="E118" i="4" s="1"/>
  <c r="F106" i="4"/>
  <c r="E106" i="4" s="1"/>
  <c r="F104" i="4"/>
  <c r="E104" i="4" s="1"/>
  <c r="F107" i="4"/>
  <c r="E107" i="4" s="1"/>
  <c r="F132" i="4"/>
  <c r="E132" i="4" s="1"/>
  <c r="F148" i="4"/>
  <c r="E148" i="4" s="1"/>
  <c r="F169" i="4"/>
  <c r="E169" i="4" s="1"/>
  <c r="F187" i="4"/>
  <c r="E187" i="4" s="1"/>
  <c r="F117" i="4"/>
  <c r="E117" i="4" s="1"/>
  <c r="F120" i="4"/>
  <c r="E120" i="4" s="1"/>
  <c r="F119" i="4"/>
  <c r="E119" i="4" s="1"/>
  <c r="F255" i="4"/>
  <c r="E255" i="4" s="1"/>
  <c r="F98" i="4"/>
  <c r="E98" i="4" s="1"/>
  <c r="F84" i="4"/>
  <c r="E84" i="4" s="1"/>
  <c r="F223" i="4"/>
  <c r="E223" i="4" s="1"/>
  <c r="F221" i="4"/>
  <c r="E221" i="4" s="1"/>
  <c r="F116" i="4"/>
  <c r="E116" i="4" s="1"/>
  <c r="F114" i="4"/>
  <c r="E114" i="4" s="1"/>
  <c r="F260" i="4"/>
  <c r="E260" i="4" s="1"/>
  <c r="G6" i="8" a="1"/>
  <c r="G6" i="8" s="1"/>
  <c r="F166" i="4"/>
  <c r="E166" i="4" s="1"/>
  <c r="F164" i="4"/>
  <c r="E164" i="4" s="1"/>
  <c r="F111" i="4"/>
  <c r="E111" i="4" s="1"/>
  <c r="F208" i="4"/>
  <c r="E208" i="4" s="1"/>
  <c r="F185" i="4"/>
  <c r="E185" i="4" s="1"/>
  <c r="F17" i="9"/>
  <c r="F24" i="10" s="1"/>
  <c r="X123" i="12"/>
  <c r="J16" i="3"/>
  <c r="AE18" i="12"/>
  <c r="AE24" i="12"/>
  <c r="AE30" i="12"/>
  <c r="X34" i="12"/>
  <c r="F5" i="9"/>
  <c r="F12" i="10" s="1"/>
  <c r="F13" i="9"/>
  <c r="F20" i="10" s="1"/>
  <c r="J18" i="3"/>
  <c r="F10" i="9"/>
  <c r="F17" i="10" s="1"/>
  <c r="F16" i="9"/>
  <c r="F23" i="10" s="1"/>
  <c r="J17" i="3"/>
  <c r="F22" i="9"/>
  <c r="F29" i="10" s="1"/>
  <c r="F11" i="3"/>
  <c r="J10" i="3"/>
  <c r="J12" i="3"/>
  <c r="F23" i="3"/>
  <c r="J21" i="3"/>
  <c r="J22" i="3"/>
  <c r="F18" i="3"/>
  <c r="F9" i="9"/>
  <c r="F16" i="10" s="1"/>
  <c r="F21" i="9"/>
  <c r="F28" i="10" s="1"/>
  <c r="AE15" i="12"/>
  <c r="AE21" i="12"/>
  <c r="AE27" i="12"/>
  <c r="AE16" i="12"/>
  <c r="AE22" i="12"/>
  <c r="AE28" i="12"/>
  <c r="F19" i="9"/>
  <c r="F26" i="10" s="1"/>
  <c r="F8" i="9"/>
  <c r="F15" i="10" s="1"/>
  <c r="F20" i="9"/>
  <c r="F27" i="10" s="1"/>
  <c r="AE13" i="12"/>
  <c r="H3" i="12" s="1"/>
  <c r="AE19" i="12"/>
  <c r="AE25" i="12"/>
  <c r="AE31" i="12"/>
  <c r="AE14" i="12"/>
  <c r="AE20" i="12"/>
  <c r="AE26" i="12"/>
  <c r="AE32" i="12"/>
  <c r="F4" i="9"/>
  <c r="F11" i="10" s="1"/>
  <c r="F6" i="9"/>
  <c r="F13" i="10" s="1"/>
  <c r="F12" i="9"/>
  <c r="F19" i="10" s="1"/>
  <c r="F18" i="9"/>
  <c r="F25" i="10" s="1"/>
  <c r="F24" i="9"/>
  <c r="F31" i="10" s="1"/>
  <c r="AE17" i="12"/>
  <c r="AE23" i="12"/>
  <c r="AE29" i="12"/>
  <c r="F15" i="9"/>
  <c r="F22" i="10" s="1"/>
  <c r="F7" i="9"/>
  <c r="F14" i="10" s="1"/>
  <c r="F11" i="9"/>
  <c r="F18" i="10" s="1"/>
  <c r="F14" i="9"/>
  <c r="F21" i="10" s="1"/>
  <c r="F23" i="9"/>
  <c r="F30" i="10" s="1"/>
  <c r="F247" i="4"/>
  <c r="E247" i="4" s="1"/>
  <c r="F105" i="4"/>
  <c r="E105" i="4" s="1"/>
  <c r="F206" i="4"/>
  <c r="E206" i="4" s="1"/>
  <c r="F269" i="4"/>
  <c r="E269" i="4" s="1"/>
  <c r="F220" i="4"/>
  <c r="E220" i="4" s="1"/>
  <c r="F233" i="4"/>
  <c r="E233" i="4" s="1"/>
  <c r="J11" i="3"/>
  <c r="F22" i="3"/>
  <c r="J23" i="3"/>
  <c r="F12" i="3"/>
  <c r="F16" i="3"/>
  <c r="F17" i="3"/>
  <c r="F10" i="3"/>
  <c r="F21" i="3"/>
  <c r="C26" i="9"/>
  <c r="D26" i="9"/>
  <c r="E24" i="16" l="1"/>
  <c r="E28" i="16"/>
  <c r="G29" i="16"/>
  <c r="E23" i="16"/>
  <c r="E19" i="16"/>
  <c r="G30" i="16"/>
  <c r="E26" i="16"/>
  <c r="G21" i="16"/>
  <c r="G35" i="16"/>
  <c r="I35" i="16" s="1"/>
  <c r="E16" i="16"/>
  <c r="G23" i="16"/>
  <c r="E35" i="16"/>
  <c r="F35" i="16" s="1"/>
  <c r="G19" i="16"/>
  <c r="E34" i="16"/>
  <c r="E18" i="16"/>
  <c r="G31" i="16"/>
  <c r="G20" i="16"/>
  <c r="E22" i="16"/>
  <c r="G25" i="16"/>
  <c r="E25" i="16"/>
  <c r="E20" i="16"/>
  <c r="G17" i="16"/>
  <c r="G32" i="16"/>
  <c r="G27" i="16"/>
  <c r="G16" i="16"/>
  <c r="G28" i="16"/>
  <c r="E32" i="16"/>
  <c r="E21" i="16"/>
  <c r="G26" i="16"/>
  <c r="E30" i="16"/>
  <c r="E27" i="16"/>
  <c r="E31" i="16"/>
  <c r="G22" i="16"/>
  <c r="E17" i="16"/>
  <c r="G34" i="16"/>
  <c r="E33" i="16"/>
  <c r="G24" i="16"/>
  <c r="G33" i="16"/>
  <c r="G18" i="16"/>
  <c r="E29" i="16"/>
  <c r="E6" i="11"/>
  <c r="AE34" i="12"/>
  <c r="C11" i="10"/>
  <c r="G11" i="10" s="1"/>
  <c r="G30" i="10"/>
  <c r="G26" i="10"/>
  <c r="G22" i="10"/>
  <c r="G18" i="10"/>
  <c r="G14" i="10"/>
  <c r="G29" i="10"/>
  <c r="G25" i="10"/>
  <c r="G21" i="10"/>
  <c r="G17" i="10"/>
  <c r="G13" i="10"/>
  <c r="G27" i="10"/>
  <c r="G23" i="10"/>
  <c r="G19" i="10"/>
  <c r="G15" i="10"/>
  <c r="G28" i="10"/>
  <c r="G24" i="10"/>
  <c r="G20" i="10"/>
  <c r="G16" i="10"/>
  <c r="G12" i="10"/>
  <c r="G31" i="10"/>
  <c r="K6" i="11"/>
  <c r="L10" i="11"/>
  <c r="L22" i="11"/>
  <c r="L11" i="11"/>
  <c r="L23" i="11"/>
  <c r="L12" i="11"/>
  <c r="L24" i="11"/>
  <c r="L25" i="11"/>
  <c r="L14" i="11"/>
  <c r="L17" i="11"/>
  <c r="L18" i="11"/>
  <c r="L8" i="11"/>
  <c r="L13" i="11"/>
  <c r="L26" i="11"/>
  <c r="L16" i="11"/>
  <c r="L9" i="11"/>
  <c r="L15" i="11"/>
  <c r="L19" i="11"/>
  <c r="L20" i="11"/>
  <c r="L21" i="11"/>
  <c r="L7" i="11"/>
  <c r="L6" i="11"/>
  <c r="J6" i="8" a="1"/>
  <c r="J6" i="8" s="1"/>
  <c r="G6" i="6" a="1"/>
  <c r="G6" i="6" s="1"/>
  <c r="D9" i="4"/>
  <c r="D36" i="4" s="1"/>
  <c r="F83" i="4"/>
  <c r="E83" i="4" s="1"/>
  <c r="L9" i="4"/>
  <c r="L36" i="4" s="1"/>
  <c r="J9" i="4"/>
  <c r="J36" i="4" s="1"/>
  <c r="H9" i="4"/>
  <c r="H36" i="4" s="1"/>
  <c r="F9" i="4"/>
  <c r="F36" i="4" s="1"/>
  <c r="F125" i="4"/>
  <c r="E125" i="4" s="1"/>
  <c r="E9" i="4"/>
  <c r="E36" i="4" s="1"/>
  <c r="F146" i="4"/>
  <c r="E146" i="4" s="1"/>
  <c r="G9" i="4"/>
  <c r="G36" i="4" s="1"/>
  <c r="F230" i="4"/>
  <c r="E230" i="4" s="1"/>
  <c r="K9" i="4"/>
  <c r="K36" i="4" s="1"/>
  <c r="I9" i="4"/>
  <c r="I36" i="4" s="1"/>
  <c r="C9" i="4"/>
  <c r="C36" i="4" s="1"/>
  <c r="F193" i="4"/>
  <c r="E193" i="4" s="1"/>
  <c r="F188" i="4"/>
  <c r="E188" i="4" s="1"/>
  <c r="F195" i="4"/>
  <c r="E195" i="4" s="1"/>
  <c r="F202" i="4"/>
  <c r="E202" i="4" s="1"/>
  <c r="F194" i="4"/>
  <c r="E194" i="4" s="1"/>
  <c r="F189" i="4"/>
  <c r="E189" i="4" s="1"/>
  <c r="F205" i="4"/>
  <c r="E205" i="4" s="1"/>
  <c r="F191" i="4"/>
  <c r="E191" i="4" s="1"/>
  <c r="F197" i="4"/>
  <c r="E197" i="4" s="1"/>
  <c r="F198" i="4"/>
  <c r="E198" i="4" s="1"/>
  <c r="F203" i="4"/>
  <c r="E203" i="4" s="1"/>
  <c r="F199" i="4"/>
  <c r="E199" i="4" s="1"/>
  <c r="F192" i="4"/>
  <c r="E192" i="4" s="1"/>
  <c r="F200" i="4"/>
  <c r="E200" i="4" s="1"/>
  <c r="F204" i="4"/>
  <c r="E204" i="4" s="1"/>
  <c r="F190" i="4"/>
  <c r="E190" i="4" s="1"/>
  <c r="F176" i="4"/>
  <c r="E176" i="4" s="1"/>
  <c r="F168" i="4"/>
  <c r="E168" i="4" s="1"/>
  <c r="F173" i="4"/>
  <c r="E173" i="4" s="1"/>
  <c r="F178" i="4"/>
  <c r="E178" i="4" s="1"/>
  <c r="F174" i="4"/>
  <c r="E174" i="4" s="1"/>
  <c r="F179" i="4"/>
  <c r="E179" i="4" s="1"/>
  <c r="F177" i="4"/>
  <c r="E177" i="4" s="1"/>
  <c r="F184" i="4"/>
  <c r="E184" i="4" s="1"/>
  <c r="F172" i="4"/>
  <c r="E172" i="4" s="1"/>
  <c r="F180" i="4"/>
  <c r="E180" i="4" s="1"/>
  <c r="F170" i="4"/>
  <c r="E170" i="4" s="1"/>
  <c r="F167" i="4"/>
  <c r="E167" i="4" s="1"/>
  <c r="F171" i="4"/>
  <c r="E171" i="4" s="1"/>
  <c r="F182" i="4"/>
  <c r="E182" i="4" s="1"/>
  <c r="F183" i="4"/>
  <c r="E183" i="4" s="1"/>
  <c r="F73" i="4"/>
  <c r="E73" i="4" s="1"/>
  <c r="F67" i="4"/>
  <c r="E67" i="4" s="1"/>
  <c r="F63" i="4"/>
  <c r="E63" i="4" s="1"/>
  <c r="F68" i="4"/>
  <c r="E68" i="4" s="1"/>
  <c r="F65" i="4"/>
  <c r="E65" i="4" s="1"/>
  <c r="F75" i="4"/>
  <c r="E75" i="4" s="1"/>
  <c r="F77" i="4"/>
  <c r="E77" i="4" s="1"/>
  <c r="F74" i="4"/>
  <c r="E74" i="4" s="1"/>
  <c r="F66" i="4"/>
  <c r="E66" i="4" s="1"/>
  <c r="F70" i="4"/>
  <c r="E70" i="4" s="1"/>
  <c r="F62" i="4"/>
  <c r="E62" i="4" s="1"/>
  <c r="F71" i="4"/>
  <c r="E71" i="4" s="1"/>
  <c r="F64" i="4"/>
  <c r="E64" i="4" s="1"/>
  <c r="F76" i="4"/>
  <c r="E76" i="4" s="1"/>
  <c r="F72" i="4"/>
  <c r="E72" i="4" s="1"/>
  <c r="F79" i="4"/>
  <c r="E79" i="4" s="1"/>
  <c r="F69" i="4"/>
  <c r="E69" i="4" s="1"/>
  <c r="J24" i="3"/>
  <c r="F24" i="3"/>
  <c r="J25" i="3"/>
  <c r="F25" i="3"/>
  <c r="F26" i="3"/>
  <c r="J26" i="3"/>
  <c r="J19" i="3"/>
  <c r="F19" i="3"/>
  <c r="F8" i="3"/>
  <c r="J8" i="3"/>
  <c r="J20" i="3"/>
  <c r="F20" i="3"/>
  <c r="C30" i="3"/>
  <c r="F30" i="3" s="1"/>
  <c r="F14" i="3"/>
  <c r="J14" i="3"/>
  <c r="J27" i="3"/>
  <c r="F27" i="3"/>
  <c r="J15" i="3"/>
  <c r="F15" i="3"/>
  <c r="F28" i="3"/>
  <c r="J28" i="3"/>
  <c r="C28" i="8"/>
  <c r="J9" i="3"/>
  <c r="F9" i="3"/>
  <c r="J13" i="3"/>
  <c r="F13" i="3"/>
  <c r="I27" i="16" l="1"/>
  <c r="F27" i="16"/>
  <c r="I34" i="16"/>
  <c r="F34" i="16"/>
  <c r="I32" i="16"/>
  <c r="F32" i="16"/>
  <c r="I23" i="16"/>
  <c r="F23" i="16"/>
  <c r="I17" i="16"/>
  <c r="F17" i="16"/>
  <c r="F22" i="16"/>
  <c r="I22" i="16"/>
  <c r="I21" i="16"/>
  <c r="F21" i="16"/>
  <c r="F25" i="16"/>
  <c r="I25" i="16"/>
  <c r="I30" i="16"/>
  <c r="F30" i="16"/>
  <c r="C6" i="7" a="1"/>
  <c r="C6" i="7" s="1"/>
  <c r="D59" i="16"/>
  <c r="D67" i="16"/>
  <c r="F67" i="16" s="1"/>
  <c r="D66" i="16"/>
  <c r="F66" i="16" s="1"/>
  <c r="D68" i="16"/>
  <c r="F68" i="16" s="1"/>
  <c r="D65" i="16"/>
  <c r="F65" i="16" s="1"/>
  <c r="E4" i="9" a="1"/>
  <c r="E4" i="9" s="1"/>
  <c r="E11" i="10" a="1"/>
  <c r="E11" i="10" s="1"/>
  <c r="D61" i="16"/>
  <c r="F61" i="16" s="1"/>
  <c r="D60" i="16"/>
  <c r="F60" i="16" s="1"/>
  <c r="D64" i="16"/>
  <c r="F64" i="16" s="1"/>
  <c r="C8" i="16"/>
  <c r="D62" i="16"/>
  <c r="F62" i="16" s="1"/>
  <c r="G15" i="16"/>
  <c r="D63" i="16"/>
  <c r="F63" i="16" s="1"/>
  <c r="E15" i="16"/>
  <c r="E36" i="16" s="1"/>
  <c r="D6" i="7" a="1"/>
  <c r="D6" i="7" s="1"/>
  <c r="F26" i="16"/>
  <c r="I26" i="16"/>
  <c r="F20" i="16"/>
  <c r="I20" i="16"/>
  <c r="G6" i="7" a="1"/>
  <c r="G6" i="7" s="1"/>
  <c r="I31" i="16"/>
  <c r="F31" i="16"/>
  <c r="I18" i="16"/>
  <c r="F18" i="16"/>
  <c r="I29" i="16"/>
  <c r="F29" i="16"/>
  <c r="I33" i="16"/>
  <c r="F33" i="16"/>
  <c r="F28" i="16"/>
  <c r="I28" i="16"/>
  <c r="C6" i="17" a="1"/>
  <c r="C6" i="17" s="1"/>
  <c r="C28" i="17" s="1"/>
  <c r="D6" i="17" a="1"/>
  <c r="D6" i="17" s="1"/>
  <c r="D28" i="17" s="1"/>
  <c r="G6" i="17" a="1"/>
  <c r="G6" i="17" s="1"/>
  <c r="G28" i="17" s="1"/>
  <c r="I24" i="16"/>
  <c r="F24" i="16"/>
  <c r="I16" i="16"/>
  <c r="F16" i="16"/>
  <c r="I19" i="16"/>
  <c r="F19" i="16"/>
  <c r="G98" i="7"/>
  <c r="H102" i="16"/>
  <c r="H89" i="16"/>
  <c r="H88" i="16"/>
  <c r="H101" i="16"/>
  <c r="G106" i="7"/>
  <c r="G104" i="7"/>
  <c r="G93" i="7"/>
  <c r="H97" i="16"/>
  <c r="G90" i="7"/>
  <c r="H103" i="16"/>
  <c r="G105" i="7"/>
  <c r="H106" i="16"/>
  <c r="H99" i="16"/>
  <c r="H94" i="16"/>
  <c r="H107" i="16"/>
  <c r="H100" i="16"/>
  <c r="G99" i="7"/>
  <c r="G96" i="7"/>
  <c r="H90" i="16"/>
  <c r="H98" i="16"/>
  <c r="G102" i="7"/>
  <c r="G91" i="7"/>
  <c r="G94" i="7"/>
  <c r="G97" i="7"/>
  <c r="G100" i="7"/>
  <c r="G103" i="7"/>
  <c r="G108" i="7"/>
  <c r="G107" i="7"/>
  <c r="H92" i="16"/>
  <c r="H95" i="16"/>
  <c r="G89" i="7"/>
  <c r="H91" i="16"/>
  <c r="H105" i="16"/>
  <c r="G95" i="7"/>
  <c r="H104" i="16"/>
  <c r="H96" i="16"/>
  <c r="H93" i="16"/>
  <c r="G101" i="7"/>
  <c r="G92" i="7"/>
  <c r="J6" i="17" a="1"/>
  <c r="J6" i="17" s="1"/>
  <c r="M36" i="4"/>
  <c r="E16" i="8" a="1"/>
  <c r="E16" i="8" s="1"/>
  <c r="E24" i="8" a="1"/>
  <c r="E24" i="8" s="1"/>
  <c r="E23" i="8" a="1"/>
  <c r="E23" i="8" s="1"/>
  <c r="E10" i="8" a="1"/>
  <c r="E10" i="8" s="1"/>
  <c r="E7" i="8" a="1"/>
  <c r="E7" i="8" s="1"/>
  <c r="E26" i="8" a="1"/>
  <c r="E26" i="8" s="1"/>
  <c r="E15" i="8" a="1"/>
  <c r="E15" i="8" s="1"/>
  <c r="E12" i="8" a="1"/>
  <c r="E12" i="8" s="1"/>
  <c r="E22" i="8" a="1"/>
  <c r="E22" i="8" s="1"/>
  <c r="E8" i="8" a="1"/>
  <c r="E8" i="8" s="1"/>
  <c r="E18" i="8" a="1"/>
  <c r="E18" i="8" s="1"/>
  <c r="E25" i="8" a="1"/>
  <c r="E25" i="8" s="1"/>
  <c r="E14" i="8" a="1"/>
  <c r="E14" i="8" s="1"/>
  <c r="E13" i="8" a="1"/>
  <c r="E13" i="8" s="1"/>
  <c r="E11" i="8" a="1"/>
  <c r="E11" i="8" s="1"/>
  <c r="E9" i="8" a="1"/>
  <c r="E9" i="8" s="1"/>
  <c r="E19" i="8" a="1"/>
  <c r="E19" i="8" s="1"/>
  <c r="E17" i="8" a="1"/>
  <c r="E17" i="8" s="1"/>
  <c r="E6" i="8" a="1"/>
  <c r="E6" i="8" s="1"/>
  <c r="E21" i="8" a="1"/>
  <c r="E21" i="8" s="1"/>
  <c r="E20" i="8" a="1"/>
  <c r="E20" i="8" s="1"/>
  <c r="C28" i="7"/>
  <c r="D13" i="5" s="1"/>
  <c r="M9" i="4"/>
  <c r="D11" i="5"/>
  <c r="O1" i="5"/>
  <c r="J30" i="3"/>
  <c r="G36" i="16" l="1"/>
  <c r="I15" i="16"/>
  <c r="F15" i="16"/>
  <c r="F36" i="16" s="1"/>
  <c r="D69" i="16"/>
  <c r="F59" i="16"/>
  <c r="C9" i="16"/>
  <c r="D45" i="16"/>
  <c r="D41" i="16"/>
  <c r="D48" i="16"/>
  <c r="D44" i="16"/>
  <c r="C11" i="16"/>
  <c r="D49" i="16"/>
  <c r="D43" i="16"/>
  <c r="C10" i="16"/>
  <c r="D47" i="16"/>
  <c r="D46" i="16"/>
  <c r="D42" i="16"/>
  <c r="E66" i="16"/>
  <c r="G88" i="7"/>
  <c r="G109" i="7" s="1"/>
  <c r="H87" i="16"/>
  <c r="H108" i="16" s="1"/>
  <c r="J6" i="6" a="1"/>
  <c r="J6" i="6" s="1"/>
  <c r="J6" i="7" a="1"/>
  <c r="J6" i="7" s="1"/>
  <c r="E6" i="17" a="1"/>
  <c r="E6" i="17" s="1"/>
  <c r="C95" i="7"/>
  <c r="C93" i="7"/>
  <c r="C96" i="7"/>
  <c r="C98" i="7"/>
  <c r="C107" i="7"/>
  <c r="C100" i="7"/>
  <c r="C102" i="7"/>
  <c r="C104" i="7"/>
  <c r="C106" i="7"/>
  <c r="C94" i="7"/>
  <c r="C105" i="7"/>
  <c r="C88" i="7"/>
  <c r="C97" i="7"/>
  <c r="C99" i="7"/>
  <c r="C108" i="7"/>
  <c r="C101" i="7"/>
  <c r="C89" i="7"/>
  <c r="C90" i="7"/>
  <c r="C103" i="7"/>
  <c r="C91" i="7"/>
  <c r="C92" i="7"/>
  <c r="H21" i="8" a="1"/>
  <c r="H21" i="8" s="1"/>
  <c r="B103" i="7" s="1"/>
  <c r="D102" i="16"/>
  <c r="H15" i="8" a="1"/>
  <c r="H15" i="8" s="1"/>
  <c r="B97" i="7" s="1"/>
  <c r="D96" i="16"/>
  <c r="C80" i="16"/>
  <c r="D87" i="16"/>
  <c r="H17" i="8" a="1"/>
  <c r="H17" i="8" s="1"/>
  <c r="B99" i="7" s="1"/>
  <c r="D98" i="16"/>
  <c r="H26" i="8" a="1"/>
  <c r="H26" i="8" s="1"/>
  <c r="B108" i="7" s="1"/>
  <c r="D107" i="16"/>
  <c r="H19" i="8" a="1"/>
  <c r="H19" i="8" s="1"/>
  <c r="B101" i="7" s="1"/>
  <c r="D100" i="16"/>
  <c r="H10" i="8" a="1"/>
  <c r="H10" i="8" s="1"/>
  <c r="B92" i="7" s="1"/>
  <c r="D91" i="16"/>
  <c r="H23" i="8" a="1"/>
  <c r="H23" i="8" s="1"/>
  <c r="B105" i="7" s="1"/>
  <c r="D104" i="16"/>
  <c r="H11" i="8" a="1"/>
  <c r="H11" i="8" s="1"/>
  <c r="B93" i="7" s="1"/>
  <c r="D92" i="16"/>
  <c r="H13" i="8" a="1"/>
  <c r="H13" i="8" s="1"/>
  <c r="B95" i="7" s="1"/>
  <c r="D94" i="16"/>
  <c r="H24" i="8" a="1"/>
  <c r="H24" i="8" s="1"/>
  <c r="B106" i="7" s="1"/>
  <c r="D105" i="16"/>
  <c r="H16" i="8" a="1"/>
  <c r="H16" i="8" s="1"/>
  <c r="B98" i="7" s="1"/>
  <c r="D97" i="16"/>
  <c r="H9" i="8" a="1"/>
  <c r="H9" i="8" s="1"/>
  <c r="B91" i="7" s="1"/>
  <c r="D90" i="16"/>
  <c r="H14" i="8" a="1"/>
  <c r="H14" i="8" s="1"/>
  <c r="B96" i="7" s="1"/>
  <c r="D95" i="16"/>
  <c r="H25" i="8" a="1"/>
  <c r="H25" i="8" s="1"/>
  <c r="B107" i="7" s="1"/>
  <c r="D106" i="16"/>
  <c r="H7" i="8" a="1"/>
  <c r="H7" i="8" s="1"/>
  <c r="B89" i="7" s="1"/>
  <c r="D88" i="16"/>
  <c r="H18" i="8" a="1"/>
  <c r="H18" i="8" s="1"/>
  <c r="B100" i="7" s="1"/>
  <c r="D99" i="16"/>
  <c r="H8" i="8" a="1"/>
  <c r="H8" i="8" s="1"/>
  <c r="B90" i="7" s="1"/>
  <c r="D89" i="16"/>
  <c r="H20" i="8" a="1"/>
  <c r="H20" i="8" s="1"/>
  <c r="B102" i="7" s="1"/>
  <c r="D101" i="16"/>
  <c r="H22" i="8" a="1"/>
  <c r="H22" i="8" s="1"/>
  <c r="B104" i="7" s="1"/>
  <c r="D103" i="16"/>
  <c r="H12" i="8" a="1"/>
  <c r="H12" i="8" s="1"/>
  <c r="B94" i="7" s="1"/>
  <c r="D93" i="16"/>
  <c r="H6" i="8" a="1"/>
  <c r="H6" i="8" s="1"/>
  <c r="B88" i="7" s="1"/>
  <c r="E6" i="7" a="1"/>
  <c r="E6" i="7" s="1"/>
  <c r="E6" i="6" a="1"/>
  <c r="E6" i="6" s="1"/>
  <c r="F6" i="8" a="1"/>
  <c r="F6" i="8" s="1"/>
  <c r="E28" i="8"/>
  <c r="D28" i="8"/>
  <c r="C28" i="6"/>
  <c r="D12" i="5" s="1"/>
  <c r="F44" i="16" l="1"/>
  <c r="E115" i="16"/>
  <c r="F48" i="16"/>
  <c r="E119" i="16"/>
  <c r="F41" i="16"/>
  <c r="E112" i="16"/>
  <c r="F45" i="16"/>
  <c r="E116" i="16"/>
  <c r="F42" i="16"/>
  <c r="E113" i="16"/>
  <c r="F46" i="16"/>
  <c r="E117" i="16"/>
  <c r="F69" i="16"/>
  <c r="E64" i="16"/>
  <c r="E62" i="16"/>
  <c r="E60" i="16"/>
  <c r="E68" i="16"/>
  <c r="E67" i="16"/>
  <c r="E61" i="16"/>
  <c r="E63" i="16"/>
  <c r="E118" i="16"/>
  <c r="F47" i="16"/>
  <c r="E114" i="16"/>
  <c r="F43" i="16"/>
  <c r="H15" i="16"/>
  <c r="H22" i="16"/>
  <c r="H17" i="16"/>
  <c r="H24" i="16"/>
  <c r="H32" i="16"/>
  <c r="H28" i="16"/>
  <c r="I36" i="16"/>
  <c r="H21" i="16"/>
  <c r="H19" i="16"/>
  <c r="H31" i="16"/>
  <c r="H35" i="16"/>
  <c r="H16" i="16"/>
  <c r="H26" i="16"/>
  <c r="H29" i="16"/>
  <c r="H18" i="16"/>
  <c r="H34" i="16"/>
  <c r="H20" i="16"/>
  <c r="H30" i="16"/>
  <c r="H25" i="16"/>
  <c r="H27" i="16"/>
  <c r="H33" i="16"/>
  <c r="H23" i="16"/>
  <c r="F49" i="16"/>
  <c r="E120" i="16"/>
  <c r="E65" i="16"/>
  <c r="E59" i="16"/>
  <c r="B109" i="7"/>
  <c r="H6" i="17" a="1"/>
  <c r="H6" i="17" s="1"/>
  <c r="E101" i="16"/>
  <c r="F101" i="16" s="1"/>
  <c r="D102" i="7"/>
  <c r="E102" i="7" s="1"/>
  <c r="E89" i="16"/>
  <c r="F89" i="16" s="1"/>
  <c r="D90" i="7"/>
  <c r="E90" i="7" s="1"/>
  <c r="E100" i="16"/>
  <c r="F100" i="16" s="1"/>
  <c r="D101" i="7"/>
  <c r="E101" i="7" s="1"/>
  <c r="E90" i="16"/>
  <c r="F90" i="16" s="1"/>
  <c r="D91" i="7"/>
  <c r="E91" i="7" s="1"/>
  <c r="E97" i="16"/>
  <c r="F97" i="16" s="1"/>
  <c r="D98" i="7"/>
  <c r="E98" i="7" s="1"/>
  <c r="F24" i="17"/>
  <c r="F20" i="17"/>
  <c r="F16" i="17"/>
  <c r="F12" i="17"/>
  <c r="F8" i="17"/>
  <c r="F23" i="17"/>
  <c r="F15" i="17"/>
  <c r="F19" i="17"/>
  <c r="F7" i="17"/>
  <c r="F11" i="17"/>
  <c r="F25" i="17"/>
  <c r="F21" i="17"/>
  <c r="F17" i="17"/>
  <c r="F13" i="17"/>
  <c r="F9" i="17"/>
  <c r="F14" i="17"/>
  <c r="F10" i="17"/>
  <c r="F18" i="17"/>
  <c r="F26" i="17"/>
  <c r="F22" i="17"/>
  <c r="E107" i="16"/>
  <c r="F107" i="16" s="1"/>
  <c r="D108" i="7"/>
  <c r="E108" i="7" s="1"/>
  <c r="C98" i="16"/>
  <c r="E102" i="16"/>
  <c r="F102" i="16" s="1"/>
  <c r="D103" i="7"/>
  <c r="E103" i="7" s="1"/>
  <c r="E105" i="16"/>
  <c r="F105" i="16" s="1"/>
  <c r="D106" i="7"/>
  <c r="E106" i="7" s="1"/>
  <c r="D88" i="7"/>
  <c r="E88" i="7" s="1"/>
  <c r="E88" i="16"/>
  <c r="F88" i="16" s="1"/>
  <c r="D89" i="7"/>
  <c r="E89" i="7" s="1"/>
  <c r="E94" i="16"/>
  <c r="F94" i="16" s="1"/>
  <c r="D95" i="7"/>
  <c r="E95" i="7" s="1"/>
  <c r="J28" i="17"/>
  <c r="E91" i="16"/>
  <c r="F91" i="16" s="1"/>
  <c r="D92" i="7"/>
  <c r="E92" i="7" s="1"/>
  <c r="E99" i="16"/>
  <c r="F99" i="16" s="1"/>
  <c r="D100" i="7"/>
  <c r="E100" i="7" s="1"/>
  <c r="E93" i="16"/>
  <c r="F93" i="16" s="1"/>
  <c r="D94" i="7"/>
  <c r="E94" i="7" s="1"/>
  <c r="E92" i="16"/>
  <c r="F92" i="16" s="1"/>
  <c r="D93" i="7"/>
  <c r="E93" i="7" s="1"/>
  <c r="E106" i="16"/>
  <c r="F106" i="16" s="1"/>
  <c r="D107" i="7"/>
  <c r="E107" i="7" s="1"/>
  <c r="E98" i="16"/>
  <c r="F98" i="16" s="1"/>
  <c r="D99" i="7"/>
  <c r="E99" i="7" s="1"/>
  <c r="E103" i="16"/>
  <c r="F103" i="16" s="1"/>
  <c r="D104" i="7"/>
  <c r="E104" i="7" s="1"/>
  <c r="E95" i="16"/>
  <c r="F95" i="16" s="1"/>
  <c r="D96" i="7"/>
  <c r="E96" i="7" s="1"/>
  <c r="E104" i="16"/>
  <c r="F104" i="16" s="1"/>
  <c r="D105" i="7"/>
  <c r="E105" i="7" s="1"/>
  <c r="E96" i="16"/>
  <c r="F96" i="16" s="1"/>
  <c r="D97" i="7"/>
  <c r="E97" i="7" s="1"/>
  <c r="C109" i="7"/>
  <c r="C116" i="16"/>
  <c r="C89" i="16"/>
  <c r="C92" i="16"/>
  <c r="C101" i="16"/>
  <c r="C95" i="16"/>
  <c r="C91" i="16"/>
  <c r="C100" i="16"/>
  <c r="C94" i="16"/>
  <c r="C103" i="16"/>
  <c r="C87" i="16"/>
  <c r="D108" i="16"/>
  <c r="C114" i="16"/>
  <c r="C105" i="16"/>
  <c r="C93" i="16"/>
  <c r="C117" i="16"/>
  <c r="C115" i="16"/>
  <c r="C82" i="16"/>
  <c r="C79" i="16"/>
  <c r="H6" i="7" a="1"/>
  <c r="H6" i="7" s="1"/>
  <c r="C81" i="16"/>
  <c r="E87" i="16"/>
  <c r="C90" i="16"/>
  <c r="C119" i="16"/>
  <c r="C96" i="16"/>
  <c r="C106" i="16"/>
  <c r="C120" i="16"/>
  <c r="C99" i="16"/>
  <c r="C88" i="16"/>
  <c r="C107" i="16"/>
  <c r="C112" i="16"/>
  <c r="C102" i="16"/>
  <c r="C113" i="16"/>
  <c r="C97" i="16"/>
  <c r="C104" i="16"/>
  <c r="C118" i="16"/>
  <c r="H6" i="6" a="1"/>
  <c r="H6" i="6" s="1"/>
  <c r="I6" i="8" a="1"/>
  <c r="I6" i="8" s="1"/>
  <c r="E11" i="5"/>
  <c r="H28" i="8"/>
  <c r="J11" i="5" s="1"/>
  <c r="F21" i="6"/>
  <c r="F23" i="6"/>
  <c r="F11" i="6"/>
  <c r="F8" i="6"/>
  <c r="F11" i="5"/>
  <c r="D116" i="16" l="1"/>
  <c r="G116" i="16" s="1"/>
  <c r="D109" i="7"/>
  <c r="E109" i="7"/>
  <c r="F109" i="7" s="1"/>
  <c r="E108" i="16"/>
  <c r="I24" i="17"/>
  <c r="K24" i="17" s="1"/>
  <c r="C78" i="17" s="1"/>
  <c r="I20" i="17"/>
  <c r="K20" i="17" s="1"/>
  <c r="C74" i="17" s="1"/>
  <c r="I16" i="17"/>
  <c r="K16" i="17" s="1"/>
  <c r="C70" i="17" s="1"/>
  <c r="I12" i="17"/>
  <c r="K12" i="17" s="1"/>
  <c r="C66" i="17" s="1"/>
  <c r="I8" i="17"/>
  <c r="K8" i="17" s="1"/>
  <c r="C62" i="17" s="1"/>
  <c r="I19" i="17"/>
  <c r="K19" i="17" s="1"/>
  <c r="C73" i="17" s="1"/>
  <c r="I15" i="17"/>
  <c r="K15" i="17" s="1"/>
  <c r="C69" i="17" s="1"/>
  <c r="I18" i="17"/>
  <c r="K18" i="17" s="1"/>
  <c r="C72" i="17" s="1"/>
  <c r="I23" i="17"/>
  <c r="K23" i="17" s="1"/>
  <c r="C77" i="17" s="1"/>
  <c r="I7" i="17"/>
  <c r="K7" i="17" s="1"/>
  <c r="C61" i="17" s="1"/>
  <c r="I26" i="17"/>
  <c r="K26" i="17" s="1"/>
  <c r="C80" i="17" s="1"/>
  <c r="I11" i="17"/>
  <c r="K11" i="17" s="1"/>
  <c r="C65" i="17" s="1"/>
  <c r="I22" i="17"/>
  <c r="K22" i="17" s="1"/>
  <c r="C76" i="17" s="1"/>
  <c r="I14" i="17"/>
  <c r="K14" i="17" s="1"/>
  <c r="C68" i="17" s="1"/>
  <c r="I10" i="17"/>
  <c r="K10" i="17" s="1"/>
  <c r="C64" i="17" s="1"/>
  <c r="I25" i="17"/>
  <c r="K25" i="17" s="1"/>
  <c r="C79" i="17" s="1"/>
  <c r="I21" i="17"/>
  <c r="K21" i="17" s="1"/>
  <c r="C75" i="17" s="1"/>
  <c r="I17" i="17"/>
  <c r="K17" i="17" s="1"/>
  <c r="C71" i="17" s="1"/>
  <c r="I13" i="17"/>
  <c r="K13" i="17" s="1"/>
  <c r="C67" i="17" s="1"/>
  <c r="I9" i="17"/>
  <c r="K9" i="17" s="1"/>
  <c r="C63" i="17" s="1"/>
  <c r="F6" i="17"/>
  <c r="F28" i="17" s="1"/>
  <c r="E28" i="17"/>
  <c r="D119" i="16"/>
  <c r="G119" i="16" s="1"/>
  <c r="D114" i="16"/>
  <c r="G114" i="16" s="1"/>
  <c r="D115" i="16"/>
  <c r="G115" i="16" s="1"/>
  <c r="D120" i="16"/>
  <c r="G120" i="16" s="1"/>
  <c r="D112" i="16"/>
  <c r="G112" i="16" s="1"/>
  <c r="D117" i="16"/>
  <c r="G117" i="16" s="1"/>
  <c r="D118" i="16"/>
  <c r="G118" i="16" s="1"/>
  <c r="D113" i="16"/>
  <c r="G113" i="16" s="1"/>
  <c r="C108" i="16"/>
  <c r="F87" i="16"/>
  <c r="F7" i="6"/>
  <c r="F28" i="8"/>
  <c r="G11" i="5" s="1"/>
  <c r="F15" i="7"/>
  <c r="F25" i="6"/>
  <c r="F20" i="6"/>
  <c r="F17" i="7"/>
  <c r="F8" i="7"/>
  <c r="D28" i="7"/>
  <c r="E13" i="5" s="1"/>
  <c r="F23" i="7"/>
  <c r="F10" i="6"/>
  <c r="F7" i="7"/>
  <c r="F15" i="6"/>
  <c r="F22" i="6"/>
  <c r="F21" i="7"/>
  <c r="F26" i="6"/>
  <c r="F19" i="6"/>
  <c r="F22" i="7"/>
  <c r="F13" i="7"/>
  <c r="F14" i="6"/>
  <c r="F16" i="6"/>
  <c r="F20" i="7"/>
  <c r="D28" i="6"/>
  <c r="E12" i="5" s="1"/>
  <c r="F18" i="6"/>
  <c r="F25" i="7"/>
  <c r="F11" i="7"/>
  <c r="F12" i="7"/>
  <c r="F10" i="7"/>
  <c r="F9" i="7"/>
  <c r="E28" i="6"/>
  <c r="F6" i="6"/>
  <c r="F19" i="7"/>
  <c r="F18" i="7"/>
  <c r="F12" i="6"/>
  <c r="F24" i="7"/>
  <c r="F24" i="6"/>
  <c r="F14" i="7"/>
  <c r="F13" i="6"/>
  <c r="F9" i="6"/>
  <c r="F26" i="7"/>
  <c r="F17" i="6"/>
  <c r="F16" i="7"/>
  <c r="F6" i="7"/>
  <c r="E28" i="7"/>
  <c r="G28" i="8"/>
  <c r="F106" i="7" l="1"/>
  <c r="F99" i="7"/>
  <c r="F89" i="7"/>
  <c r="F104" i="7"/>
  <c r="F90" i="7"/>
  <c r="F92" i="7"/>
  <c r="F94" i="7"/>
  <c r="F98" i="7"/>
  <c r="F96" i="7"/>
  <c r="F108" i="7"/>
  <c r="F102" i="7"/>
  <c r="F91" i="7"/>
  <c r="F107" i="7"/>
  <c r="F105" i="7"/>
  <c r="F97" i="7"/>
  <c r="F88" i="7"/>
  <c r="F101" i="7"/>
  <c r="F93" i="7"/>
  <c r="F103" i="7"/>
  <c r="F95" i="7"/>
  <c r="F100" i="7"/>
  <c r="I6" i="17"/>
  <c r="H28" i="17"/>
  <c r="F108" i="16"/>
  <c r="G87" i="16" s="1"/>
  <c r="H28" i="6"/>
  <c r="J12" i="5" s="1"/>
  <c r="I28" i="8"/>
  <c r="D7" i="5" s="1"/>
  <c r="F28" i="6"/>
  <c r="G12" i="5" s="1"/>
  <c r="F28" i="7"/>
  <c r="G13" i="5" s="1"/>
  <c r="F12" i="5"/>
  <c r="K16" i="8"/>
  <c r="K23" i="8"/>
  <c r="K10" i="8"/>
  <c r="K22" i="8"/>
  <c r="K9" i="8"/>
  <c r="K20" i="8"/>
  <c r="K7" i="8"/>
  <c r="K19" i="8"/>
  <c r="K18" i="8"/>
  <c r="K17" i="8"/>
  <c r="K26" i="8"/>
  <c r="K13" i="8"/>
  <c r="K25" i="8"/>
  <c r="K12" i="8"/>
  <c r="K11" i="8"/>
  <c r="K24" i="8"/>
  <c r="K21" i="8"/>
  <c r="K15" i="8"/>
  <c r="K8" i="8"/>
  <c r="K14" i="8"/>
  <c r="H28" i="7"/>
  <c r="J13" i="5" s="1"/>
  <c r="I26" i="7"/>
  <c r="I14" i="7"/>
  <c r="I23" i="7"/>
  <c r="I11" i="7"/>
  <c r="I22" i="7"/>
  <c r="I10" i="7"/>
  <c r="I18" i="7"/>
  <c r="I17" i="7"/>
  <c r="I7" i="7"/>
  <c r="I25" i="7"/>
  <c r="I20" i="7"/>
  <c r="I9" i="7"/>
  <c r="I24" i="7"/>
  <c r="I21" i="7"/>
  <c r="I15" i="7"/>
  <c r="I19" i="7"/>
  <c r="I16" i="7"/>
  <c r="I13" i="7"/>
  <c r="I12" i="7"/>
  <c r="I8" i="7"/>
  <c r="I11" i="5"/>
  <c r="I18" i="6"/>
  <c r="I21" i="6"/>
  <c r="I9" i="6"/>
  <c r="I22" i="6"/>
  <c r="I7" i="6"/>
  <c r="I20" i="6"/>
  <c r="I16" i="6"/>
  <c r="I17" i="6"/>
  <c r="I12" i="6"/>
  <c r="I11" i="6"/>
  <c r="I25" i="6"/>
  <c r="I8" i="6"/>
  <c r="I26" i="6"/>
  <c r="I24" i="6"/>
  <c r="I23" i="6"/>
  <c r="I19" i="6"/>
  <c r="I15" i="6"/>
  <c r="I14" i="6"/>
  <c r="I13" i="6"/>
  <c r="I10" i="6"/>
  <c r="F13" i="5"/>
  <c r="I28" i="17" l="1"/>
  <c r="K6" i="17"/>
  <c r="C60" i="17" s="1"/>
  <c r="G108" i="16"/>
  <c r="G105" i="16"/>
  <c r="G90" i="16"/>
  <c r="G103" i="16"/>
  <c r="G98" i="16"/>
  <c r="G97" i="16"/>
  <c r="G100" i="16"/>
  <c r="G94" i="16"/>
  <c r="G89" i="16"/>
  <c r="G99" i="16"/>
  <c r="G96" i="16"/>
  <c r="G95" i="16"/>
  <c r="G102" i="16"/>
  <c r="G92" i="16"/>
  <c r="G104" i="16"/>
  <c r="G91" i="16"/>
  <c r="G106" i="16"/>
  <c r="G88" i="16"/>
  <c r="G101" i="16"/>
  <c r="G107" i="16"/>
  <c r="G93" i="16"/>
  <c r="K11" i="5"/>
  <c r="G28" i="7"/>
  <c r="I13" i="5" s="1"/>
  <c r="I6" i="7"/>
  <c r="I28" i="7" s="1"/>
  <c r="K13" i="5" s="1"/>
  <c r="J28" i="8"/>
  <c r="K6" i="8"/>
  <c r="I6" i="6"/>
  <c r="I28" i="6" s="1"/>
  <c r="K12" i="5" s="1"/>
  <c r="G28" i="6"/>
  <c r="C33" i="17" l="1" a="1"/>
  <c r="C33" i="17" s="1"/>
  <c r="C55" i="17" s="1"/>
  <c r="D33" i="17" a="1"/>
  <c r="G33" i="17" a="1"/>
  <c r="G33" i="17" s="1"/>
  <c r="G55" i="17" s="1"/>
  <c r="C82" i="17"/>
  <c r="K28" i="17"/>
  <c r="L6" i="8" a="1"/>
  <c r="L6" i="8" s="1"/>
  <c r="G60" i="7" a="1"/>
  <c r="G60" i="7" s="1"/>
  <c r="F60" i="7" a="1"/>
  <c r="F60" i="7" s="1"/>
  <c r="C60" i="7" a="1"/>
  <c r="C60" i="7" s="1"/>
  <c r="H33" i="7" a="1"/>
  <c r="H33" i="7" s="1"/>
  <c r="D33" i="7" a="1"/>
  <c r="D33" i="7" s="1"/>
  <c r="C33" i="7" a="1"/>
  <c r="C33" i="7" s="1"/>
  <c r="D60" i="7" a="1"/>
  <c r="D60" i="7" s="1"/>
  <c r="G33" i="7" a="1"/>
  <c r="G33" i="7" s="1"/>
  <c r="F33" i="7" a="1"/>
  <c r="F33" i="7" s="1"/>
  <c r="K25" i="6"/>
  <c r="K13" i="6"/>
  <c r="K16" i="6"/>
  <c r="K26" i="6"/>
  <c r="K11" i="6"/>
  <c r="K24" i="6"/>
  <c r="K10" i="6"/>
  <c r="K21" i="6"/>
  <c r="K7" i="6"/>
  <c r="K22" i="6"/>
  <c r="K17" i="6"/>
  <c r="K15" i="6"/>
  <c r="K9" i="6"/>
  <c r="K12" i="6"/>
  <c r="K23" i="6"/>
  <c r="K20" i="6"/>
  <c r="K19" i="6"/>
  <c r="K18" i="6"/>
  <c r="K14" i="6"/>
  <c r="K8" i="6"/>
  <c r="C36" i="5"/>
  <c r="E35" i="5"/>
  <c r="F34" i="5"/>
  <c r="G29" i="5"/>
  <c r="I27" i="5"/>
  <c r="K28" i="8"/>
  <c r="E38" i="5"/>
  <c r="E37" i="5"/>
  <c r="E36" i="5"/>
  <c r="C35" i="5"/>
  <c r="C34" i="5"/>
  <c r="C29" i="5"/>
  <c r="C28" i="5"/>
  <c r="C27" i="5"/>
  <c r="C26" i="5"/>
  <c r="C25" i="5"/>
  <c r="C38" i="5"/>
  <c r="C37" i="5"/>
  <c r="E29" i="5"/>
  <c r="I25" i="5"/>
  <c r="F35" i="5"/>
  <c r="G26" i="5"/>
  <c r="E25" i="5"/>
  <c r="I37" i="5"/>
  <c r="G36" i="5"/>
  <c r="F26" i="5"/>
  <c r="I38" i="5"/>
  <c r="G37" i="5"/>
  <c r="E34" i="5"/>
  <c r="I28" i="5"/>
  <c r="G25" i="5"/>
  <c r="I35" i="5"/>
  <c r="F28" i="5"/>
  <c r="E28" i="5"/>
  <c r="I26" i="5"/>
  <c r="G35" i="5"/>
  <c r="I29" i="5"/>
  <c r="E26" i="5"/>
  <c r="F38" i="5"/>
  <c r="I36" i="5"/>
  <c r="F29" i="5"/>
  <c r="F36" i="5"/>
  <c r="G27" i="5"/>
  <c r="F27" i="5"/>
  <c r="I34" i="5"/>
  <c r="E27" i="5"/>
  <c r="G34" i="5"/>
  <c r="G28" i="5"/>
  <c r="F25" i="5"/>
  <c r="G38" i="5"/>
  <c r="F37" i="5"/>
  <c r="L11" i="5"/>
  <c r="I12" i="5"/>
  <c r="K21" i="7"/>
  <c r="D75" i="17" s="1"/>
  <c r="E75" i="17" s="1"/>
  <c r="K9" i="7"/>
  <c r="D63" i="17" s="1"/>
  <c r="E63" i="17" s="1"/>
  <c r="K18" i="7"/>
  <c r="D72" i="17" s="1"/>
  <c r="E72" i="17" s="1"/>
  <c r="K17" i="7"/>
  <c r="D71" i="17" s="1"/>
  <c r="E71" i="17" s="1"/>
  <c r="K25" i="7"/>
  <c r="D79" i="17" s="1"/>
  <c r="E79" i="17" s="1"/>
  <c r="K13" i="7"/>
  <c r="D67" i="17" s="1"/>
  <c r="E67" i="17" s="1"/>
  <c r="K24" i="7"/>
  <c r="D78" i="17" s="1"/>
  <c r="E78" i="17" s="1"/>
  <c r="K12" i="7"/>
  <c r="D66" i="17" s="1"/>
  <c r="E66" i="17" s="1"/>
  <c r="K15" i="7"/>
  <c r="D69" i="17" s="1"/>
  <c r="E69" i="17" s="1"/>
  <c r="K14" i="7"/>
  <c r="D68" i="17" s="1"/>
  <c r="E68" i="17" s="1"/>
  <c r="K8" i="7"/>
  <c r="D62" i="17" s="1"/>
  <c r="E62" i="17" s="1"/>
  <c r="K19" i="7"/>
  <c r="D73" i="17" s="1"/>
  <c r="E73" i="17" s="1"/>
  <c r="K11" i="7"/>
  <c r="D65" i="17" s="1"/>
  <c r="E65" i="17" s="1"/>
  <c r="K10" i="7"/>
  <c r="D64" i="17" s="1"/>
  <c r="E64" i="17" s="1"/>
  <c r="K7" i="7"/>
  <c r="D61" i="17" s="1"/>
  <c r="E61" i="17" s="1"/>
  <c r="K26" i="7"/>
  <c r="D80" i="17" s="1"/>
  <c r="E80" i="17" s="1"/>
  <c r="K23" i="7"/>
  <c r="D77" i="17" s="1"/>
  <c r="E77" i="17" s="1"/>
  <c r="K22" i="7"/>
  <c r="D76" i="17" s="1"/>
  <c r="E76" i="17" s="1"/>
  <c r="K20" i="7"/>
  <c r="D74" i="17" s="1"/>
  <c r="E74" i="17" s="1"/>
  <c r="K16" i="7"/>
  <c r="D70" i="17" s="1"/>
  <c r="E70" i="17" s="1"/>
  <c r="D33" i="17" l="1"/>
  <c r="E33" i="17" s="1"/>
  <c r="E35" i="17"/>
  <c r="H35" i="17" s="1"/>
  <c r="E47" i="17"/>
  <c r="H47" i="17" s="1"/>
  <c r="E36" i="17"/>
  <c r="H36" i="17" s="1"/>
  <c r="E34" i="17"/>
  <c r="H34" i="17" s="1"/>
  <c r="E45" i="17"/>
  <c r="H45" i="17" s="1"/>
  <c r="E46" i="17"/>
  <c r="H46" i="17" s="1"/>
  <c r="E48" i="17"/>
  <c r="H48" i="17" s="1"/>
  <c r="E51" i="17"/>
  <c r="H51" i="17" s="1"/>
  <c r="E52" i="17"/>
  <c r="H52" i="17" s="1"/>
  <c r="E43" i="17"/>
  <c r="H43" i="17" s="1"/>
  <c r="E50" i="17"/>
  <c r="H50" i="17" s="1"/>
  <c r="E38" i="17"/>
  <c r="H38" i="17" s="1"/>
  <c r="E44" i="17"/>
  <c r="H44" i="17" s="1"/>
  <c r="E53" i="17"/>
  <c r="H53" i="17" s="1"/>
  <c r="E39" i="17"/>
  <c r="H39" i="17" s="1"/>
  <c r="E42" i="17"/>
  <c r="H42" i="17" s="1"/>
  <c r="E37" i="17"/>
  <c r="H37" i="17" s="1"/>
  <c r="E40" i="17"/>
  <c r="H40" i="17" s="1"/>
  <c r="E49" i="17"/>
  <c r="H49" i="17" s="1"/>
  <c r="E41" i="17"/>
  <c r="H41" i="17" s="1"/>
  <c r="Q11" i="5"/>
  <c r="L28" i="8"/>
  <c r="H28" i="5"/>
  <c r="H34" i="5"/>
  <c r="H36" i="5"/>
  <c r="H27" i="5"/>
  <c r="D5" i="5"/>
  <c r="B4" i="5"/>
  <c r="H35" i="5"/>
  <c r="H26" i="5"/>
  <c r="H38" i="5"/>
  <c r="R11" i="5"/>
  <c r="D6" i="5"/>
  <c r="H37" i="5"/>
  <c r="H25" i="5"/>
  <c r="M11" i="5"/>
  <c r="H29" i="5"/>
  <c r="P11" i="5"/>
  <c r="O11" i="5"/>
  <c r="S11" i="5"/>
  <c r="J28" i="6"/>
  <c r="K6" i="6"/>
  <c r="L6" i="6" s="1" a="1"/>
  <c r="L6" i="6" s="1"/>
  <c r="J28" i="7"/>
  <c r="K6" i="7"/>
  <c r="S35" i="5" l="1"/>
  <c r="S29" i="5"/>
  <c r="S28" i="5"/>
  <c r="S27" i="5"/>
  <c r="S26" i="5"/>
  <c r="S25" i="5"/>
  <c r="R27" i="5"/>
  <c r="R25" i="5"/>
  <c r="R28" i="5"/>
  <c r="R29" i="5"/>
  <c r="R26" i="5"/>
  <c r="J35" i="17"/>
  <c r="J33" i="17"/>
  <c r="H33" i="17"/>
  <c r="H55" i="17" s="1"/>
  <c r="J43" i="17"/>
  <c r="J36" i="17"/>
  <c r="J45" i="17"/>
  <c r="J38" i="17"/>
  <c r="J41" i="17"/>
  <c r="J53" i="17"/>
  <c r="J46" i="17"/>
  <c r="J37" i="17"/>
  <c r="J40" i="17"/>
  <c r="J51" i="17"/>
  <c r="L6" i="7" a="1"/>
  <c r="L6" i="7" s="1"/>
  <c r="D60" i="17"/>
  <c r="E60" i="17" s="1"/>
  <c r="J42" i="17"/>
  <c r="J34" i="17"/>
  <c r="J44" i="17"/>
  <c r="J48" i="17"/>
  <c r="J39" i="17"/>
  <c r="J47" i="17"/>
  <c r="J49" i="17"/>
  <c r="J52" i="17"/>
  <c r="J50" i="17"/>
  <c r="D55" i="17"/>
  <c r="E55" i="17"/>
  <c r="F55" i="7"/>
  <c r="D20" i="5" s="1"/>
  <c r="C82" i="7"/>
  <c r="N18" i="5" s="1"/>
  <c r="C55" i="7"/>
  <c r="K18" i="5" s="1"/>
  <c r="G55" i="7"/>
  <c r="D19" i="5" s="1"/>
  <c r="F82" i="7"/>
  <c r="R18" i="5" s="1"/>
  <c r="I35" i="7"/>
  <c r="I37" i="7"/>
  <c r="E73" i="7"/>
  <c r="E47" i="7"/>
  <c r="E46" i="7"/>
  <c r="E44" i="7"/>
  <c r="E36" i="7"/>
  <c r="E78" i="7"/>
  <c r="E76" i="7"/>
  <c r="H69" i="7"/>
  <c r="I45" i="7"/>
  <c r="E80" i="7"/>
  <c r="H66" i="7"/>
  <c r="I34" i="7"/>
  <c r="I47" i="7"/>
  <c r="I53" i="7"/>
  <c r="I51" i="7"/>
  <c r="H62" i="7"/>
  <c r="E62" i="7"/>
  <c r="H65" i="7"/>
  <c r="E49" i="7"/>
  <c r="E66" i="7"/>
  <c r="I39" i="7"/>
  <c r="E40" i="7"/>
  <c r="I43" i="7"/>
  <c r="E35" i="7"/>
  <c r="I46" i="7"/>
  <c r="E48" i="7"/>
  <c r="H64" i="7"/>
  <c r="E51" i="7"/>
  <c r="L12" i="5"/>
  <c r="I44" i="7"/>
  <c r="E39" i="7"/>
  <c r="I40" i="7"/>
  <c r="E37" i="7"/>
  <c r="E52" i="7"/>
  <c r="H68" i="7"/>
  <c r="H75" i="7"/>
  <c r="E64" i="7"/>
  <c r="E67" i="7"/>
  <c r="H78" i="7"/>
  <c r="I36" i="7"/>
  <c r="E50" i="7"/>
  <c r="D55" i="7"/>
  <c r="E33" i="7"/>
  <c r="E65" i="7"/>
  <c r="E68" i="7"/>
  <c r="I41" i="7"/>
  <c r="I48" i="7"/>
  <c r="E45" i="7"/>
  <c r="E77" i="7"/>
  <c r="H60" i="7"/>
  <c r="G82" i="7"/>
  <c r="R19" i="5" s="1"/>
  <c r="H79" i="7"/>
  <c r="H73" i="7"/>
  <c r="I50" i="7"/>
  <c r="I42" i="7"/>
  <c r="I38" i="7"/>
  <c r="R37" i="5"/>
  <c r="L26" i="5"/>
  <c r="N25" i="5"/>
  <c r="K28" i="7"/>
  <c r="P38" i="5"/>
  <c r="P37" i="5"/>
  <c r="O36" i="5"/>
  <c r="L35" i="5"/>
  <c r="O26" i="5"/>
  <c r="R38" i="5"/>
  <c r="L37" i="5"/>
  <c r="O28" i="5"/>
  <c r="L27" i="5"/>
  <c r="O38" i="5"/>
  <c r="R34" i="5"/>
  <c r="P29" i="5"/>
  <c r="N28" i="5"/>
  <c r="O35" i="5"/>
  <c r="R36" i="5"/>
  <c r="O29" i="5"/>
  <c r="N26" i="5"/>
  <c r="N38" i="5"/>
  <c r="N29" i="5"/>
  <c r="P36" i="5"/>
  <c r="L38" i="5"/>
  <c r="L29" i="5"/>
  <c r="N36" i="5"/>
  <c r="P27" i="5"/>
  <c r="O34" i="5"/>
  <c r="N27" i="5"/>
  <c r="N34" i="5"/>
  <c r="P25" i="5"/>
  <c r="O37" i="5"/>
  <c r="R35" i="5"/>
  <c r="L34" i="5"/>
  <c r="O25" i="5"/>
  <c r="N37" i="5"/>
  <c r="P28" i="5"/>
  <c r="L25" i="5"/>
  <c r="P35" i="5"/>
  <c r="L28" i="5"/>
  <c r="L36" i="5"/>
  <c r="N35" i="5"/>
  <c r="P34" i="5"/>
  <c r="O27" i="5"/>
  <c r="P26" i="5"/>
  <c r="S34" i="5"/>
  <c r="S38" i="5"/>
  <c r="S37" i="5"/>
  <c r="S36" i="5"/>
  <c r="E34" i="7"/>
  <c r="E79" i="7"/>
  <c r="E71" i="7"/>
  <c r="H72" i="7"/>
  <c r="H67" i="7"/>
  <c r="D82" i="7"/>
  <c r="N19" i="5" s="1"/>
  <c r="E60" i="7"/>
  <c r="H76" i="7"/>
  <c r="H80" i="7"/>
  <c r="H77" i="7"/>
  <c r="H71" i="7"/>
  <c r="H55" i="7"/>
  <c r="I33" i="7"/>
  <c r="E43" i="7"/>
  <c r="E63" i="7"/>
  <c r="I49" i="7"/>
  <c r="I52" i="7"/>
  <c r="E42" i="7"/>
  <c r="E41" i="7"/>
  <c r="E69" i="7"/>
  <c r="E75" i="7"/>
  <c r="L13" i="5"/>
  <c r="E53" i="7"/>
  <c r="E38" i="7"/>
  <c r="K28" i="6"/>
  <c r="E70" i="7"/>
  <c r="E61" i="7"/>
  <c r="H61" i="7"/>
  <c r="H70" i="7"/>
  <c r="E72" i="7"/>
  <c r="E74" i="7"/>
  <c r="H63" i="7"/>
  <c r="H74" i="7"/>
  <c r="D82" i="17" l="1"/>
  <c r="E82" i="17" s="1"/>
  <c r="Q12" i="5"/>
  <c r="L28" i="6"/>
  <c r="F20" i="5"/>
  <c r="Q13" i="5"/>
  <c r="L28" i="7"/>
  <c r="I55" i="7"/>
  <c r="E20" i="5" s="1"/>
  <c r="F19" i="5"/>
  <c r="I18" i="5"/>
  <c r="E82" i="7"/>
  <c r="N21" i="5" s="1"/>
  <c r="O18" i="5" s="1"/>
  <c r="E55" i="7"/>
  <c r="I21" i="5" s="1"/>
  <c r="H82" i="7"/>
  <c r="R21" i="5" s="1"/>
  <c r="S18" i="5" s="1"/>
  <c r="Q38" i="5"/>
  <c r="R13" i="5"/>
  <c r="O4" i="5"/>
  <c r="Q27" i="5"/>
  <c r="Q29" i="5"/>
  <c r="Q5" i="5"/>
  <c r="M13" i="5"/>
  <c r="Q26" i="5"/>
  <c r="Q36" i="5"/>
  <c r="Q34" i="5"/>
  <c r="Q25" i="5"/>
  <c r="Q37" i="5"/>
  <c r="Q6" i="5"/>
  <c r="Q28" i="5"/>
  <c r="Q35" i="5"/>
  <c r="O13" i="5"/>
  <c r="S13" i="5"/>
  <c r="P13" i="5"/>
  <c r="J18" i="5"/>
  <c r="K5" i="5"/>
  <c r="R12" i="5"/>
  <c r="M12" i="5"/>
  <c r="K7" i="5"/>
  <c r="K6" i="5"/>
  <c r="I4" i="5"/>
  <c r="P12" i="5"/>
  <c r="O12" i="5"/>
  <c r="S12" i="5"/>
  <c r="J19" i="5"/>
  <c r="I19" i="5"/>
  <c r="K19" i="5"/>
  <c r="D18" i="5"/>
  <c r="D21" i="5" s="1"/>
  <c r="F18" i="5"/>
  <c r="E18" i="5" l="1"/>
  <c r="E19" i="5"/>
  <c r="Q7" i="5"/>
  <c r="O19" i="5"/>
  <c r="S1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<sst xmlns="http://schemas.openxmlformats.org/spreadsheetml/2006/main" count="2009" uniqueCount="636">
  <si>
    <t>Estímulos Nacionales — Ingreso de Escenarios</t>
  </si>
  <si>
    <t>Ingrese el monto del estímulo por sector. Use la columna D para el escenario base y H para el alternativo.</t>
  </si>
  <si>
    <t>Especifique el sector donde usted considere que se realizará la inversión, el gasto o la exportación según su política</t>
  </si>
  <si>
    <t>Escenario Base</t>
  </si>
  <si>
    <t>Escenario Alternativo</t>
  </si>
  <si>
    <t>Sector</t>
  </si>
  <si>
    <t>PIB (MUSD)</t>
  </si>
  <si>
    <t>MUSD</t>
  </si>
  <si>
    <t>Guaraníes (millones)</t>
  </si>
  <si>
    <t>% PIB Sector</t>
  </si>
  <si>
    <t>Agricultura, ganadería, caza y pesca</t>
  </si>
  <si>
    <t>Minería</t>
  </si>
  <si>
    <t>Alimentos, bebidas y tabacos</t>
  </si>
  <si>
    <t>Textiles, confecciones y calzado</t>
  </si>
  <si>
    <t>Madera, papel y cartón</t>
  </si>
  <si>
    <t>Química, farmacia y caucho</t>
  </si>
  <si>
    <t>Minerales no metálicos</t>
  </si>
  <si>
    <t>Hierro y acero</t>
  </si>
  <si>
    <t>Productos de metal</t>
  </si>
  <si>
    <t>Maquinaria, equipo y vehículos</t>
  </si>
  <si>
    <t>Otras manufacturas y reparación</t>
  </si>
  <si>
    <t>Electricidad, gas, y agua</t>
  </si>
  <si>
    <t>Construcción</t>
  </si>
  <si>
    <t>Comercio al por mayor y menor</t>
  </si>
  <si>
    <t>Transporte</t>
  </si>
  <si>
    <t>Turismo (aloj., alimentación y recreación)</t>
  </si>
  <si>
    <t>Telecomunicaciones, edición y servicios de info.</t>
  </si>
  <si>
    <t>Finanzas y seguros</t>
  </si>
  <si>
    <t>Servicios inmobiliarios</t>
  </si>
  <si>
    <t>Servicios a las empresas</t>
  </si>
  <si>
    <t>Otros servicios</t>
  </si>
  <si>
    <t>Total</t>
  </si>
  <si>
    <t>Simulador de Impacto  ·  Matriz Insumo-Producto del Paraguay</t>
  </si>
  <si>
    <t>Guía rápida de uso  —  efectos sobre producción, valor agregado, empleo y comercio</t>
  </si>
  <si>
    <t>1</t>
  </si>
  <si>
    <t>Análisis de Impacto Nacional</t>
  </si>
  <si>
    <t>Evalúa el efecto de cambios en la demanda final doméstica sobre producción, valor agregado y empleo.</t>
  </si>
  <si>
    <t>Abra la hoja «Estímulos Nacionales».</t>
  </si>
  <si>
    <t>2</t>
  </si>
  <si>
    <t>3</t>
  </si>
  <si>
    <t>Análisis de Impacto Comparado</t>
  </si>
  <si>
    <t>Compara dos escenarios alternativos de inversión o gasto sobre las mismas variables.</t>
  </si>
  <si>
    <t>Compare ambos escenarios en el «Resumen Ejecutivo» y detalles en las siguientes.</t>
  </si>
  <si>
    <t>Análisis de Impacto Internacional</t>
  </si>
  <si>
    <t>Evalúa el efecto sobre Paraguay de cambios en la demanda de otros países (marco MRIO).</t>
  </si>
  <si>
    <t>Abra la hoja «Estímulos Internacionales».</t>
  </si>
  <si>
    <t>Ingrese el shock (%) por región en el Panel (Modo A) o por sector (Modo B).</t>
  </si>
  <si>
    <t>Sugerencia:  solo las celdas resaltadas son editables. No modifique las hojas intermedias (Matrices Nacionales, MRIO, Parámetros).</t>
  </si>
  <si>
    <t>Créditos y Referencias</t>
  </si>
  <si>
    <t>La herramienta</t>
  </si>
  <si>
    <t>Simulador de Impacto basado en la Matriz Insumo-Producto (MIP) del Paraguay</t>
  </si>
  <si>
    <t>Marco analítico:   MIP doméstica del Paraguay (2024) integrada a un marco multirregional (MRIO) FIGARO-CEPAL.</t>
  </si>
  <si>
    <t>Equipo técnico</t>
  </si>
  <si>
    <t>Autor / Consultor:   Nicolás Garrido  ·  Economista</t>
  </si>
  <si>
    <t>Responsable técnico (RBSA):   Túlio Cravo  ·  Especialista en Política Pública y Productividad, OIT ROLAC (Lima)</t>
  </si>
  <si>
    <t xml:space="preserve">Backstopping técnico:   </t>
  </si>
  <si>
    <t>Datos y fuentes</t>
  </si>
  <si>
    <t>•</t>
  </si>
  <si>
    <t>Matriz Insumo-Producto del Paraguay, 2024 — elaborada conjuntamente por CEPAL y OIT.</t>
  </si>
  <si>
    <t>Base multirregional FIGARO-CEPAL (64 países × 50 sectores).</t>
  </si>
  <si>
    <t>Estadísticas de empleo del Paraguay — registros administrativos y/o Encuesta Permanente de Hogares.</t>
  </si>
  <si>
    <t>4</t>
  </si>
  <si>
    <t>Referencias metodológicas</t>
  </si>
  <si>
    <t>›</t>
  </si>
  <si>
    <t>Durán Lima, J. E., &amp; Santacruz Banacloche, S. (2021). Análisis económicos a partir de matrices de insumo-producto: definiciones, indicadores y aplicaciones para América Latina (LC/TS.2021/177). CEPAL, Santiago de Chile.</t>
  </si>
  <si>
    <t>CEPAL (2016). La matriz de insumo-producto de América del Sur: principales supuestos y consideraciones metodológicas.</t>
  </si>
  <si>
    <t>Durán, J., &amp; Zaclicever, D. (2014). América Latina y el Caribe en las cadenas internacionales de valor. Serie Comercio Internacional N.° 124. CEPAL, Santiago de Chile.</t>
  </si>
  <si>
    <t>Miller, R. E., &amp; Blair, P. D. (2009). Input-Output Analysis: Foundations and Extensions. Cambridge University Press.</t>
  </si>
  <si>
    <t>© Organización Internacional del Trabajo (OIT).</t>
  </si>
  <si>
    <t>Panel de Escenarios Internacionales — Shocks de Demanda Externa</t>
  </si>
  <si>
    <t>Modo A: shock % uniforme por región con controles ▲▼  |  Modo B: shock diferenciado por sector  |  Ambos modos alimentan el vector ΔF automáticamente</t>
  </si>
  <si>
    <t>▌  MODO A — Shock uniforme por región</t>
  </si>
  <si>
    <t>Use las flechas ▲▼ en la fila 7 o escriba directamente el % en la fila 8. El valor se propaga a todos los sectores de esa región en la Tabla.</t>
  </si>
  <si>
    <t>Brasil</t>
  </si>
  <si>
    <t>Unión Europea (27)</t>
  </si>
  <si>
    <t>China</t>
  </si>
  <si>
    <t>Estados Unidos</t>
  </si>
  <si>
    <t>Argentina</t>
  </si>
  <si>
    <t>Asia-Pacífico</t>
  </si>
  <si>
    <t>América Latina resto</t>
  </si>
  <si>
    <t>Mercosur resto</t>
  </si>
  <si>
    <t>Reino Unido</t>
  </si>
  <si>
    <t>Resto del mundo</t>
  </si>
  <si>
    <t>Shock %</t>
  </si>
  <si>
    <t>← ingrese aquí o use ▲▼</t>
  </si>
  <si>
    <t>ΔF (MUSD)</t>
  </si>
  <si>
    <t>▌  MODO B — Shock diferenciado por sector y región</t>
  </si>
  <si>
    <t>Por defecto cada celda hereda el shock % del Modo A. Escriba un valor para sobreescribir ese par sector-región.</t>
  </si>
  <si>
    <t>Cód.</t>
  </si>
  <si>
    <t>UE27</t>
  </si>
  <si>
    <t>USA</t>
  </si>
  <si>
    <t>Asia</t>
  </si>
  <si>
    <t>LAC</t>
  </si>
  <si>
    <t>MCS</t>
  </si>
  <si>
    <t>Gbr</t>
  </si>
  <si>
    <t>ROW</t>
  </si>
  <si>
    <t>AGR</t>
  </si>
  <si>
    <t>MNE</t>
  </si>
  <si>
    <t>ALI</t>
  </si>
  <si>
    <t>TEX</t>
  </si>
  <si>
    <t>MAD</t>
  </si>
  <si>
    <t>QUI</t>
  </si>
  <si>
    <t>MNM</t>
  </si>
  <si>
    <t>HIE</t>
  </si>
  <si>
    <t>MET</t>
  </si>
  <si>
    <t>MAQ</t>
  </si>
  <si>
    <t>OMF</t>
  </si>
  <si>
    <t>EGA</t>
  </si>
  <si>
    <t>CON</t>
  </si>
  <si>
    <t>COM</t>
  </si>
  <si>
    <t>TRA</t>
  </si>
  <si>
    <t>TUR</t>
  </si>
  <si>
    <t>TIC</t>
  </si>
  <si>
    <t>FIN</t>
  </si>
  <si>
    <t>INM</t>
  </si>
  <si>
    <t>SEM</t>
  </si>
  <si>
    <t>OTS</t>
  </si>
  <si>
    <t>ΔF TOTAL</t>
  </si>
  <si>
    <t>Variación total de demanda por región (MUSD)</t>
  </si>
  <si>
    <t>#</t>
  </si>
  <si>
    <t>Región</t>
  </si>
  <si>
    <t>Valor Agregado</t>
  </si>
  <si>
    <t>VBP</t>
  </si>
  <si>
    <t>ΔF</t>
  </si>
  <si>
    <t>Shock%</t>
  </si>
  <si>
    <t>PY</t>
  </si>
  <si>
    <t>ARG</t>
  </si>
  <si>
    <t>BRA</t>
  </si>
  <si>
    <t>CHN</t>
  </si>
  <si>
    <t>GBR</t>
  </si>
  <si>
    <t>ASIA</t>
  </si>
  <si>
    <t xml:space="preserve"> PRODUCCIÓN</t>
  </si>
  <si>
    <t>VALOR AGREGADO (PIB)</t>
  </si>
  <si>
    <t>EMPLEO</t>
  </si>
  <si>
    <t>% del PIB 2024</t>
  </si>
  <si>
    <t>% empleo base total</t>
  </si>
  <si>
    <t>Multiplicador</t>
  </si>
  <si>
    <t>Multiplicador VA</t>
  </si>
  <si>
    <t>Empleos / MUSD Producidos</t>
  </si>
  <si>
    <t>Ef. indirecto</t>
  </si>
  <si>
    <t>VA / Producción</t>
  </si>
  <si>
    <t>% Mujeres generado</t>
  </si>
  <si>
    <t xml:space="preserve">  DESCOMPOSICIÓN DEL IMPACTO POR CANAL  (absoluto en MUSD/miles y relativo)</t>
  </si>
  <si>
    <t>Indicador</t>
  </si>
  <si>
    <t>Efecto Inicial</t>
  </si>
  <si>
    <t>Directo Nacional</t>
  </si>
  <si>
    <t>Directo Internacional</t>
  </si>
  <si>
    <t>Dir. Total</t>
  </si>
  <si>
    <t>Indirecto Nacional</t>
  </si>
  <si>
    <t>Indirecto Internacional</t>
  </si>
  <si>
    <t>Indirecto Total</t>
  </si>
  <si>
    <t>Inducido</t>
  </si>
  <si>
    <t>TOTAL</t>
  </si>
  <si>
    <t>% Nac.</t>
  </si>
  <si>
    <t>% Intl.</t>
  </si>
  <si>
    <t>% Inducido</t>
  </si>
  <si>
    <t>Δ/PIB o Δ/Emp.base</t>
  </si>
  <si>
    <t>Retención local</t>
  </si>
  <si>
    <t xml:space="preserve">  Producción (MUSD)</t>
  </si>
  <si>
    <t xml:space="preserve">  Valor Agregado (MUSD)</t>
  </si>
  <si>
    <t xml:space="preserve">  Empleo</t>
  </si>
  <si>
    <t xml:space="preserve">  Dir. Nac. = encadenamiento doméstico directo · Ind. Nac. = indirecto doméstico · Intl. = vía MRIO (socios comerciales) · Inducido = consumo inducido · Δ/PIB = ΔVar / PIB 2024 · Retención local = % que queda en Paraguay</t>
  </si>
  <si>
    <t xml:space="preserve">  CALIDAD DEL EMPLEO GENERADO  (absoluto en trabajadores · % relativo a base y al total generado)</t>
  </si>
  <si>
    <t>Calificación</t>
  </si>
  <si>
    <t>Empleos</t>
  </si>
  <si>
    <t>%</t>
  </si>
  <si>
    <t>% sobre total empleo generado</t>
  </si>
  <si>
    <t>Sexo</t>
  </si>
  <si>
    <t>Contratos</t>
  </si>
  <si>
    <t>Area</t>
  </si>
  <si>
    <t xml:space="preserve">  Calificación Alta</t>
  </si>
  <si>
    <t>Mujeres</t>
  </si>
  <si>
    <t>Formal</t>
  </si>
  <si>
    <t>Urbano</t>
  </si>
  <si>
    <t xml:space="preserve">  Calificación Media</t>
  </si>
  <si>
    <t>Hombres</t>
  </si>
  <si>
    <t>Informal</t>
  </si>
  <si>
    <t>Rural</t>
  </si>
  <si>
    <t xml:space="preserve">  Calificación Baja</t>
  </si>
  <si>
    <t xml:space="preserve"> TOP 5 — ΔProducción  (MUSD · absoluto y relativo)</t>
  </si>
  <si>
    <t>TOP 5 — ΔEmpleo  (absoluto y relativo)</t>
  </si>
  <si>
    <t>ΔMUSD total</t>
  </si>
  <si>
    <t>Dir.</t>
  </si>
  <si>
    <t>Ind.</t>
  </si>
  <si>
    <t>% del total</t>
  </si>
  <si>
    <t>% VA base sector</t>
  </si>
  <si>
    <t>Δ total</t>
  </si>
  <si>
    <t>% Emp. base sector</t>
  </si>
  <si>
    <t>Emp/MUSD</t>
  </si>
  <si>
    <t>Peores  5 — ΔProducción  (MUSD · absoluto y relativo)</t>
  </si>
  <si>
    <t>Peores 5 — ΔEmpleo  (absoluto y relativo)</t>
  </si>
  <si>
    <t>Efecto Directo</t>
  </si>
  <si>
    <t>Efecto Indirecto</t>
  </si>
  <si>
    <t>Efecto Inducido</t>
  </si>
  <si>
    <t>Efecto Total</t>
  </si>
  <si>
    <t>Crecimiento Sectorial</t>
  </si>
  <si>
    <t>Nacional</t>
  </si>
  <si>
    <t>Internacional</t>
  </si>
  <si>
    <t>Totales</t>
  </si>
  <si>
    <t>Empleo Por Género</t>
  </si>
  <si>
    <t>Empleo por Nivel Educativo</t>
  </si>
  <si>
    <t>Bajo</t>
  </si>
  <si>
    <t>Medio</t>
  </si>
  <si>
    <t>Alto</t>
  </si>
  <si>
    <t>Empleo Por Área</t>
  </si>
  <si>
    <t>Urbanos</t>
  </si>
  <si>
    <t>Rurales</t>
  </si>
  <si>
    <t>Producción por sector (millones de USD)  ·  Fuente: MIP Paraguay 2023</t>
  </si>
  <si>
    <t>Produccion (MUSD)</t>
  </si>
  <si>
    <t>Encadenamientos Productivos — Paraguay</t>
  </si>
  <si>
    <t>Índices de Rasmussen-Hirschman basados en la inversa de Leontief</t>
  </si>
  <si>
    <t>Encad. Hacia Atrás
(Poder dispersión)</t>
  </si>
  <si>
    <t>Encad. Hacia Adelante
(Sensibilidad)</t>
  </si>
  <si>
    <t>Empleo por cada MUSD</t>
  </si>
  <si>
    <t>Tipo de Sector</t>
  </si>
  <si>
    <t>Retención de Valor, Contenido Importado (por origen) y Empleo por Sector</t>
  </si>
  <si>
    <t>Análisis estructural de encadenamientos · retención y empleo = MIP-MRIO Paraguay · composición del insumo importado = enfoque híbrido (magnitud MIP × origen FIGARO 2018)</t>
  </si>
  <si>
    <t>Benchmark Mercosur (VA/VBP):</t>
  </si>
  <si>
    <t>← editable · semáforo de retención</t>
  </si>
  <si>
    <t>Promedio nacional (VA/VBP):</t>
  </si>
  <si>
    <t>Banda del semáforo (±):</t>
  </si>
  <si>
    <t>Retención
Valor</t>
  </si>
  <si>
    <t>Import.
total</t>
  </si>
  <si>
    <t>Empleo
(e/MUSD)</t>
  </si>
  <si>
    <t>Tipo de
encadenamiento</t>
  </si>
  <si>
    <t>Lectura semáforo</t>
  </si>
  <si>
    <t>Notas metodológicas — enfoque híbrido</t>
  </si>
  <si>
    <t>Información de Empleo — Paraguay</t>
  </si>
  <si>
    <t>Fuente: datos de empleo de Paraguay</t>
  </si>
  <si>
    <t xml:space="preserve">Información de empleo </t>
  </si>
  <si>
    <t>Empleo
Total</t>
  </si>
  <si>
    <t>% del
total</t>
  </si>
  <si>
    <t>Coeficientes. Empleos por cada MUSD</t>
  </si>
  <si>
    <t>Por sexo</t>
  </si>
  <si>
    <t>Proporción</t>
  </si>
  <si>
    <t>Coeficientes</t>
  </si>
  <si>
    <t>% Hombres</t>
  </si>
  <si>
    <t>% Mujeres</t>
  </si>
  <si>
    <t>Hombres por cada MUSD</t>
  </si>
  <si>
    <t>Mujeres por cada MUSD</t>
  </si>
  <si>
    <t>Por nivel de calificación</t>
  </si>
  <si>
    <t>Baja
calificación</t>
  </si>
  <si>
    <t>Media
calificación</t>
  </si>
  <si>
    <t>Alta
calificación</t>
  </si>
  <si>
    <t>% Baja</t>
  </si>
  <si>
    <t>% Media</t>
  </si>
  <si>
    <t>% Alta</t>
  </si>
  <si>
    <t>Baja por cada MUSD</t>
  </si>
  <si>
    <t>Media por cada MUSD</t>
  </si>
  <si>
    <t>Alta por cada MUSD</t>
  </si>
  <si>
    <t>Por Situación Laboral</t>
  </si>
  <si>
    <t>Formales por cada MUSD</t>
  </si>
  <si>
    <t>Informales por cada MUSD</t>
  </si>
  <si>
    <t>Por Area</t>
  </si>
  <si>
    <t>% Urbano</t>
  </si>
  <si>
    <t>% Rural</t>
  </si>
  <si>
    <t>Urbano por cada MUSD</t>
  </si>
  <si>
    <t>Rural por cada MUSD</t>
  </si>
  <si>
    <t>Matriz de insumo-producto</t>
  </si>
  <si>
    <t>Doméstica a precio básico, actividad por actividad</t>
  </si>
  <si>
    <t>Supuesto: estructura de ventas fija por producto</t>
  </si>
  <si>
    <t>Millones de Dólares (MUSD)</t>
  </si>
  <si>
    <t>Matrices de cálculo intermedio (Coeficientes Técnicos y Multiplicadores)</t>
  </si>
  <si>
    <t>Actividad</t>
  </si>
  <si>
    <t>Demanda Intermedia</t>
  </si>
  <si>
    <t>Consumo de hogares</t>
  </si>
  <si>
    <t>Consumo de gobierno</t>
  </si>
  <si>
    <t>Formación bruta de capital fijo</t>
  </si>
  <si>
    <t>Variación de existencias</t>
  </si>
  <si>
    <t>Exportaciones</t>
  </si>
  <si>
    <t>Demanda Final</t>
  </si>
  <si>
    <t>Producción precio básico</t>
  </si>
  <si>
    <t xml:space="preserve">Importaciones precios cif </t>
  </si>
  <si>
    <t>Impuestos sobre productos</t>
  </si>
  <si>
    <t>Derechos de importación</t>
  </si>
  <si>
    <t xml:space="preserve">Valor agregado </t>
  </si>
  <si>
    <t>Remuneraciones de asalariados</t>
  </si>
  <si>
    <t>Excedente bruto de explotación</t>
  </si>
  <si>
    <t>Impuestos netos sobre la producción</t>
  </si>
  <si>
    <t>Producción precios básicos</t>
  </si>
  <si>
    <t>Coeficientes Técnicos</t>
  </si>
  <si>
    <t>Multiplicadores</t>
  </si>
  <si>
    <t>Transacciones Inducidas</t>
  </si>
  <si>
    <t>Coeficientes Técnicos Inducidos</t>
  </si>
  <si>
    <t>Multiplicadores Inducidos</t>
  </si>
  <si>
    <t>Coeficientes Técnicos Ghosh</t>
  </si>
  <si>
    <t>Multiplicadores Ghosh</t>
  </si>
  <si>
    <t>cod</t>
  </si>
  <si>
    <t>Interpretación: cada celda muestra qué fracción de la producción de cada par región-sector j proviene de Paraguay sector i. Las columnas PY×PY (destacadas en azul) son los coeficientes técnicos domésticos de la MIP paraguaya. Las columnas de otras regiones capturan la participación de Paraguay en cadenas de valor externas.  Efecto directo: ΔX_PY_directo = A_PY × ΔF</t>
  </si>
  <si>
    <t>PY
AGR</t>
  </si>
  <si>
    <t>PY
MNE</t>
  </si>
  <si>
    <t>PY
ALI</t>
  </si>
  <si>
    <t>PY
TEX</t>
  </si>
  <si>
    <t>PY
MAD</t>
  </si>
  <si>
    <t>PY
QUI</t>
  </si>
  <si>
    <t>PY
MNM</t>
  </si>
  <si>
    <t>PY
HIE</t>
  </si>
  <si>
    <t>PY
MET</t>
  </si>
  <si>
    <t>PY
MAQ</t>
  </si>
  <si>
    <t>PY
OMF</t>
  </si>
  <si>
    <t>PY
EGA</t>
  </si>
  <si>
    <t>PY
CON</t>
  </si>
  <si>
    <t>PY
COM</t>
  </si>
  <si>
    <t>PY
TRA</t>
  </si>
  <si>
    <t>PY
TUR</t>
  </si>
  <si>
    <t>PY
TIC</t>
  </si>
  <si>
    <t>PY
FIN</t>
  </si>
  <si>
    <t>PY
INM</t>
  </si>
  <si>
    <t>PY
SEM</t>
  </si>
  <si>
    <t>PY
OTS</t>
  </si>
  <si>
    <t>BRA
AGR</t>
  </si>
  <si>
    <t>BRA
MNE</t>
  </si>
  <si>
    <t>BRA
ALI</t>
  </si>
  <si>
    <t>BRA
TEX</t>
  </si>
  <si>
    <t>BRA
MAD</t>
  </si>
  <si>
    <t>BRA
QUI</t>
  </si>
  <si>
    <t>BRA
MNM</t>
  </si>
  <si>
    <t>BRA
HIE</t>
  </si>
  <si>
    <t>BRA
MET</t>
  </si>
  <si>
    <t>BRA
MAQ</t>
  </si>
  <si>
    <t>BRA
OMF</t>
  </si>
  <si>
    <t>BRA
EGA</t>
  </si>
  <si>
    <t>BRA
CON</t>
  </si>
  <si>
    <t>BRA
COM</t>
  </si>
  <si>
    <t>BRA
TRA</t>
  </si>
  <si>
    <t>BRA
TUR</t>
  </si>
  <si>
    <t>BRA
TIC</t>
  </si>
  <si>
    <t>BRA
FIN</t>
  </si>
  <si>
    <t>BRA
INM</t>
  </si>
  <si>
    <t>BRA
SEM</t>
  </si>
  <si>
    <t>BRA
OTS</t>
  </si>
  <si>
    <t>UE27
AGR</t>
  </si>
  <si>
    <t>UE27
MNE</t>
  </si>
  <si>
    <t>UE27
ALI</t>
  </si>
  <si>
    <t>UE27
TEX</t>
  </si>
  <si>
    <t>UE27
MAD</t>
  </si>
  <si>
    <t>UE27
QUI</t>
  </si>
  <si>
    <t>UE27
MNM</t>
  </si>
  <si>
    <t>UE27
HIE</t>
  </si>
  <si>
    <t>UE27
MET</t>
  </si>
  <si>
    <t>UE27
MAQ</t>
  </si>
  <si>
    <t>UE27
OMF</t>
  </si>
  <si>
    <t>UE27
EGA</t>
  </si>
  <si>
    <t>UE27
CON</t>
  </si>
  <si>
    <t>UE27
COM</t>
  </si>
  <si>
    <t>UE27
TRA</t>
  </si>
  <si>
    <t>UE27
TUR</t>
  </si>
  <si>
    <t>UE27
TIC</t>
  </si>
  <si>
    <t>UE27
FIN</t>
  </si>
  <si>
    <t>UE27
INM</t>
  </si>
  <si>
    <t>UE27
SEM</t>
  </si>
  <si>
    <t>UE27
OTS</t>
  </si>
  <si>
    <t>CHN
AGR</t>
  </si>
  <si>
    <t>CHN
MNE</t>
  </si>
  <si>
    <t>CHN
ALI</t>
  </si>
  <si>
    <t>CHN
TEX</t>
  </si>
  <si>
    <t>CHN
MAD</t>
  </si>
  <si>
    <t>CHN
QUI</t>
  </si>
  <si>
    <t>CHN
MNM</t>
  </si>
  <si>
    <t>CHN
HIE</t>
  </si>
  <si>
    <t>CHN
MET</t>
  </si>
  <si>
    <t>CHN
MAQ</t>
  </si>
  <si>
    <t>CHN
OMF</t>
  </si>
  <si>
    <t>CHN
EGA</t>
  </si>
  <si>
    <t>CHN
CON</t>
  </si>
  <si>
    <t>CHN
COM</t>
  </si>
  <si>
    <t>CHN
TRA</t>
  </si>
  <si>
    <t>CHN
TUR</t>
  </si>
  <si>
    <t>CHN
TIC</t>
  </si>
  <si>
    <t>CHN
FIN</t>
  </si>
  <si>
    <t>CHN
INM</t>
  </si>
  <si>
    <t>CHN
SEM</t>
  </si>
  <si>
    <t>CHN
OTS</t>
  </si>
  <si>
    <t>USA
AGR</t>
  </si>
  <si>
    <t>USA
MNE</t>
  </si>
  <si>
    <t>USA
ALI</t>
  </si>
  <si>
    <t>USA
TEX</t>
  </si>
  <si>
    <t>USA
MAD</t>
  </si>
  <si>
    <t>USA
QUI</t>
  </si>
  <si>
    <t>USA
MNM</t>
  </si>
  <si>
    <t>USA
HIE</t>
  </si>
  <si>
    <t>USA
MET</t>
  </si>
  <si>
    <t>USA
MAQ</t>
  </si>
  <si>
    <t>USA
OMF</t>
  </si>
  <si>
    <t>USA
EGA</t>
  </si>
  <si>
    <t>USA
CON</t>
  </si>
  <si>
    <t>USA
COM</t>
  </si>
  <si>
    <t>USA
TRA</t>
  </si>
  <si>
    <t>USA
TUR</t>
  </si>
  <si>
    <t>USA
TIC</t>
  </si>
  <si>
    <t>USA
FIN</t>
  </si>
  <si>
    <t>USA
INM</t>
  </si>
  <si>
    <t>USA
SEM</t>
  </si>
  <si>
    <t>USA
OTS</t>
  </si>
  <si>
    <t>ARG
AGR</t>
  </si>
  <si>
    <t>ARG
MNE</t>
  </si>
  <si>
    <t>ARG
ALI</t>
  </si>
  <si>
    <t>ARG
TEX</t>
  </si>
  <si>
    <t>ARG
MAD</t>
  </si>
  <si>
    <t>ARG
QUI</t>
  </si>
  <si>
    <t>ARG
MNM</t>
  </si>
  <si>
    <t>ARG
HIE</t>
  </si>
  <si>
    <t>ARG
MET</t>
  </si>
  <si>
    <t>ARG
MAQ</t>
  </si>
  <si>
    <t>ARG
OMF</t>
  </si>
  <si>
    <t>ARG
EGA</t>
  </si>
  <si>
    <t>ARG
CON</t>
  </si>
  <si>
    <t>ARG
COM</t>
  </si>
  <si>
    <t>ARG
TRA</t>
  </si>
  <si>
    <t>ARG
TUR</t>
  </si>
  <si>
    <t>ARG
TIC</t>
  </si>
  <si>
    <t>ARG
FIN</t>
  </si>
  <si>
    <t>ARG
INM</t>
  </si>
  <si>
    <t>ARG
SEM</t>
  </si>
  <si>
    <t>ARG
OTS</t>
  </si>
  <si>
    <t>ASIA
AGR</t>
  </si>
  <si>
    <t>ASIA
MNE</t>
  </si>
  <si>
    <t>ASIA
ALI</t>
  </si>
  <si>
    <t>ASIA
TEX</t>
  </si>
  <si>
    <t>ASIA
MAD</t>
  </si>
  <si>
    <t>ASIA
QUI</t>
  </si>
  <si>
    <t>ASIA
MNM</t>
  </si>
  <si>
    <t>ASIA
HIE</t>
  </si>
  <si>
    <t>ASIA
MET</t>
  </si>
  <si>
    <t>ASIA
MAQ</t>
  </si>
  <si>
    <t>ASIA
OMF</t>
  </si>
  <si>
    <t>ASIA
EGA</t>
  </si>
  <si>
    <t>ASIA
CON</t>
  </si>
  <si>
    <t>ASIA
COM</t>
  </si>
  <si>
    <t>ASIA
TRA</t>
  </si>
  <si>
    <t>ASIA
TUR</t>
  </si>
  <si>
    <t>ASIA
TIC</t>
  </si>
  <si>
    <t>ASIA
FIN</t>
  </si>
  <si>
    <t>ASIA
INM</t>
  </si>
  <si>
    <t>ASIA
SEM</t>
  </si>
  <si>
    <t>ASIA
OTS</t>
  </si>
  <si>
    <t>LAC
AGR</t>
  </si>
  <si>
    <t>LAC
MNE</t>
  </si>
  <si>
    <t>LAC
ALI</t>
  </si>
  <si>
    <t>LAC
TEX</t>
  </si>
  <si>
    <t>LAC
MAD</t>
  </si>
  <si>
    <t>LAC
QUI</t>
  </si>
  <si>
    <t>LAC
MNM</t>
  </si>
  <si>
    <t>LAC
HIE</t>
  </si>
  <si>
    <t>LAC
MET</t>
  </si>
  <si>
    <t>LAC
MAQ</t>
  </si>
  <si>
    <t>LAC
OMF</t>
  </si>
  <si>
    <t>LAC
EGA</t>
  </si>
  <si>
    <t>LAC
CON</t>
  </si>
  <si>
    <t>LAC
COM</t>
  </si>
  <si>
    <t>LAC
TRA</t>
  </si>
  <si>
    <t>LAC
TUR</t>
  </si>
  <si>
    <t>LAC
TIC</t>
  </si>
  <si>
    <t>LAC
FIN</t>
  </si>
  <si>
    <t>LAC
INM</t>
  </si>
  <si>
    <t>LAC
SEM</t>
  </si>
  <si>
    <t>LAC
OTS</t>
  </si>
  <si>
    <t>MCS
AGR</t>
  </si>
  <si>
    <t>MCS
MNE</t>
  </si>
  <si>
    <t>MCS
ALI</t>
  </si>
  <si>
    <t>MCS
TEX</t>
  </si>
  <si>
    <t>MCS
MAD</t>
  </si>
  <si>
    <t>MCS
QUI</t>
  </si>
  <si>
    <t>MCS
MNM</t>
  </si>
  <si>
    <t>MCS
HIE</t>
  </si>
  <si>
    <t>MCS
MET</t>
  </si>
  <si>
    <t>MCS
MAQ</t>
  </si>
  <si>
    <t>MCS
OMF</t>
  </si>
  <si>
    <t>MCS
EGA</t>
  </si>
  <si>
    <t>MCS
CON</t>
  </si>
  <si>
    <t>MCS
COM</t>
  </si>
  <si>
    <t>MCS
TRA</t>
  </si>
  <si>
    <t>MCS
TUR</t>
  </si>
  <si>
    <t>MCS
TIC</t>
  </si>
  <si>
    <t>MCS
FIN</t>
  </si>
  <si>
    <t>MCS
INM</t>
  </si>
  <si>
    <t>MCS
SEM</t>
  </si>
  <si>
    <t>MCS
OTS</t>
  </si>
  <si>
    <t>GBR
AGR</t>
  </si>
  <si>
    <t>GBR
MNE</t>
  </si>
  <si>
    <t>GBR
ALI</t>
  </si>
  <si>
    <t>GBR
TEX</t>
  </si>
  <si>
    <t>GBR
MAD</t>
  </si>
  <si>
    <t>GBR
QUI</t>
  </si>
  <si>
    <t>GBR
MNM</t>
  </si>
  <si>
    <t>GBR
HIE</t>
  </si>
  <si>
    <t>GBR
MET</t>
  </si>
  <si>
    <t>GBR
MAQ</t>
  </si>
  <si>
    <t>GBR
OMF</t>
  </si>
  <si>
    <t>GBR
EGA</t>
  </si>
  <si>
    <t>GBR
CON</t>
  </si>
  <si>
    <t>GBR
COM</t>
  </si>
  <si>
    <t>GBR
TRA</t>
  </si>
  <si>
    <t>GBR
TUR</t>
  </si>
  <si>
    <t>GBR
TIC</t>
  </si>
  <si>
    <t>GBR
FIN</t>
  </si>
  <si>
    <t>GBR
INM</t>
  </si>
  <si>
    <t>GBR
SEM</t>
  </si>
  <si>
    <t>GBR
OTS</t>
  </si>
  <si>
    <t>ROW
AGR</t>
  </si>
  <si>
    <t>ROW
MNE</t>
  </si>
  <si>
    <t>ROW
ALI</t>
  </si>
  <si>
    <t>ROW
TEX</t>
  </si>
  <si>
    <t>ROW
MAD</t>
  </si>
  <si>
    <t>ROW
QUI</t>
  </si>
  <si>
    <t>ROW
MNM</t>
  </si>
  <si>
    <t>ROW
HIE</t>
  </si>
  <si>
    <t>ROW
MET</t>
  </si>
  <si>
    <t>ROW
MAQ</t>
  </si>
  <si>
    <t>ROW
OMF</t>
  </si>
  <si>
    <t>ROW
EGA</t>
  </si>
  <si>
    <t>ROW
CON</t>
  </si>
  <si>
    <t>ROW
COM</t>
  </si>
  <si>
    <t>ROW
TRA</t>
  </si>
  <si>
    <t>ROW
TUR</t>
  </si>
  <si>
    <t>ROW
TIC</t>
  </si>
  <si>
    <t>ROW
FIN</t>
  </si>
  <si>
    <t>ROW
INM</t>
  </si>
  <si>
    <t>ROW
SEM</t>
  </si>
  <si>
    <t>ROW
OTS</t>
  </si>
  <si>
    <t>Parámetros</t>
  </si>
  <si>
    <t>Tipo de Cambio (PYG/USD)</t>
  </si>
  <si>
    <t>PIB de Referencia (2024)</t>
  </si>
  <si>
    <t>Indique los sectores que reciben un estímulo que representa el cambio de demanda.</t>
  </si>
  <si>
    <t>Ingrese el Estímulo Base en la columna D y el Alternativo en la columna H en dólares de EEUU</t>
  </si>
  <si>
    <t>Matrix L</t>
  </si>
  <si>
    <t>Interpretación: L_PY[i,j] indica cuántas unidades adicionales produce Paraguay sector i por cada unidad de demanda final generada en el par región-sector j. El bloque PY×PY (destacado en azul) son los multiplicadores de Leontief domésticos. Efecto total: ΔX_PY_total = L_PY × ΔF  |  Efecto indirecto: ΔX_indirecto = ΔX_total − ΔX_directo</t>
  </si>
  <si>
    <t>VBP a 22 sectores</t>
  </si>
  <si>
    <t>Empleo Asociado a las Exportaciones</t>
  </si>
  <si>
    <t>Análisis estructural · línea base 2024 · no depende del escenario simulado</t>
  </si>
  <si>
    <t>1 · Síntesis</t>
  </si>
  <si>
    <t>Exportaciones totales (MUSD)</t>
  </si>
  <si>
    <t>Producción activada (MUSD)</t>
  </si>
  <si>
    <t>Empleo exportador (personas)</t>
  </si>
  <si>
    <t>Participación en el empleo nacional</t>
  </si>
  <si>
    <t>Multiplicador de empleo exportador</t>
  </si>
  <si>
    <t>Empleos por MUSD exportado</t>
  </si>
  <si>
    <t>2 · Empleo exportador por sector</t>
  </si>
  <si>
    <t>Exportaciones
(MUSD)</t>
  </si>
  <si>
    <t>Producción
activada (MUSD)</t>
  </si>
  <si>
    <t>Empleo
directo</t>
  </si>
  <si>
    <t>Empleo
indirecto</t>
  </si>
  <si>
    <t>Empleo
total</t>
  </si>
  <si>
    <t>% del empleo
exportador</t>
  </si>
  <si>
    <t>Empleos por
MUSD export.</t>
  </si>
  <si>
    <t>3 · Composición del empleo exportador frente al promedio nacional</t>
  </si>
  <si>
    <t>Dimensión</t>
  </si>
  <si>
    <t>Categoría</t>
  </si>
  <si>
    <t>Empleo
exportador</t>
  </si>
  <si>
    <t>% del empleo
nacional</t>
  </si>
  <si>
    <t>Brecha
(pp)</t>
  </si>
  <si>
    <t>Baja</t>
  </si>
  <si>
    <t>Media</t>
  </si>
  <si>
    <t>Alta</t>
  </si>
  <si>
    <t>Formalidad</t>
  </si>
  <si>
    <t>Área</t>
  </si>
  <si>
    <t>4 · Empleo exportador por destino</t>
  </si>
  <si>
    <t>Zona reservada. Requiere estadísticas de comercio bilateral por sector y destino (BCP o COMTRADE/BACI). La estructura de destino de FIGARO-CEPAL 2018 no es utilizable para Paraguay: asigna 4.804 MUSD a servicios profesionales, omite las exportaciones de electricidad y no registra ventas de alimentos hacia la UE-27.</t>
  </si>
  <si>
    <t>Metodología: E = ê · L · x, donde x es el vector de exportaciones de la MIP 2024, L la inversa de Leontief doméstica y ê los coeficientes de empleo. El empleo directo corresponde al sector exportador; el indirecto, a la cadena de proveedores nacionales. Las proporciones por sexo, calificación, formalidad y área provienen de la EPHC 2024 a nivel de rama.</t>
  </si>
  <si>
    <t>5 · Escenario simulado — empleo activado por el estímulo internacional</t>
  </si>
  <si>
    <t>Bloque dinámico: se recalcula con el escenario cargado en la hoja Estímulos Internacionales. Considera el canal internacional (efecto directo + indirecto); el efecto inducido se reporta por separado porque se derrama sobre toda la economía vía consumo y no constituye empleo exportador en sentido estricto.</t>
  </si>
  <si>
    <t>5.1 · Síntesis del escenario</t>
  </si>
  <si>
    <t>Producción activada — canal internacional (MUSD)</t>
  </si>
  <si>
    <t>Empleo activado — directo (personas)</t>
  </si>
  <si>
    <t>Empleo activado — indirecto (personas)</t>
  </si>
  <si>
    <t>Empleo activado — total exportador (personas)</t>
  </si>
  <si>
    <t>5.2 · Empleo activado por sector</t>
  </si>
  <si>
    <t>% del empleo
activado</t>
  </si>
  <si>
    <t>Efecto inducido
(referencia)</t>
  </si>
  <si>
    <t>5.3 · Perfil del empleo activado frente a la canasta exportadora actual</t>
  </si>
  <si>
    <t>Empleo
activado</t>
  </si>
  <si>
    <t>% canasta
exportadora</t>
  </si>
  <si>
    <t>% empleo
nacional</t>
  </si>
  <si>
    <t>Brecha vs.
canasta (pp)</t>
  </si>
  <si>
    <t>Matriz de exportaciones por sector y destino — MUSD 2024 (solo bienes)</t>
  </si>
  <si>
    <t>Anclas: BCP Reporte de Comercio Exterior dic-2024 (soja, carne bovina, arroz, harina de soja, energía eléctrica, maquila). Pin UE-27: Eurostat Comext 2024 por sección CUCI. Residuos distribuidos en proporción a los destinos identificados. Servicios sin dato = 0.</t>
  </si>
  <si>
    <t>4.1 · Exportaciones, producción y empleo activado por región de destino</t>
  </si>
  <si>
    <t>% del empleo
por destino</t>
  </si>
  <si>
    <t>% de las
exportaciones</t>
  </si>
  <si>
    <t>TOTAL BIENES</t>
  </si>
  <si>
    <t>MIP Paraguay 2024 · CEPAL / OIT</t>
  </si>
  <si>
    <t xml:space="preserve">   Sueldos y salarios</t>
  </si>
  <si>
    <t xml:space="preserve">   Contribuciones sociales</t>
  </si>
  <si>
    <t>Ingreso mixto</t>
  </si>
  <si>
    <t>Ingreso Laboral</t>
  </si>
  <si>
    <t xml:space="preserve">Información de Ingreso </t>
  </si>
  <si>
    <t>Coeficiente de Sueldos por cada MUSD</t>
  </si>
  <si>
    <t>Coeficiente Contribuciones</t>
  </si>
  <si>
    <t>Coeficiente Ingresos Mixtos</t>
  </si>
  <si>
    <t>Composición del Ingreso generado</t>
  </si>
  <si>
    <t>Composición del Ingreso (MUSD)</t>
  </si>
  <si>
    <t>Sueldos y Salarios</t>
  </si>
  <si>
    <t>Ingreso Mixto</t>
  </si>
  <si>
    <t>Ingreso laboral</t>
  </si>
  <si>
    <t>Costo Laboral</t>
  </si>
  <si>
    <t>Contribuciones</t>
  </si>
  <si>
    <t>Costo Total = Ingreso + Contribuciones</t>
  </si>
  <si>
    <t>Estructura</t>
  </si>
  <si>
    <t>% Ingreso Mixto</t>
  </si>
  <si>
    <t>Calidad del Ingreso Generado</t>
  </si>
  <si>
    <t>Consulte resultados en «Resumen Ejecutivo», y detalles en «Producción», «Empleo», «Ingreso Laboral» y «PIB».</t>
  </si>
  <si>
    <t>Empleo de Exportación (Número de Personas)</t>
  </si>
  <si>
    <t>Número de Trabajadores</t>
  </si>
  <si>
    <t>Por Tipo de Contrato</t>
  </si>
  <si>
    <t>Ingreso medio (USD/año) por individuo</t>
  </si>
  <si>
    <t>Número de Personas Empleadas</t>
  </si>
  <si>
    <t>Ingreso Medio</t>
  </si>
  <si>
    <t>Miles de Trabajadores</t>
  </si>
  <si>
    <t>Fuente: MIP Paraguay 2024</t>
  </si>
  <si>
    <t>Fuente: MIP Paraguay 2023</t>
  </si>
  <si>
    <t>Valor Agregado (MUSD)</t>
  </si>
  <si>
    <t>Empleo</t>
  </si>
  <si>
    <t>Directo</t>
  </si>
  <si>
    <t>Indirecto</t>
  </si>
  <si>
    <t>PYG/USD</t>
  </si>
  <si>
    <t>VBP 2018 (FIGARO)</t>
  </si>
  <si>
    <t>Factor</t>
  </si>
  <si>
    <t>VA 2018 (FIGARO)</t>
  </si>
  <si>
    <t>Factor 2018→2024</t>
  </si>
  <si>
    <t>Fuente / nota</t>
  </si>
  <si>
    <t>MIP 2024 / FIGARO 2018 — derivado</t>
  </si>
  <si>
    <t>PIB nominal USD corrientes</t>
  </si>
  <si>
    <t>PIB nominal USD — alta volatilidad cambiaria</t>
  </si>
  <si>
    <t>Ponderado; Japón cae por depreciación del yen</t>
  </si>
  <si>
    <t>Ponderado, dominado por México</t>
  </si>
  <si>
    <t>Uruguay y Bolivia</t>
  </si>
  <si>
    <t>Ponderado; incluye Rusia, Canadá, Turquía, Suiza</t>
  </si>
  <si>
    <t>Los factores son aproximados y editables. Antes de usarlos en un producto publicado conviene validarlos contra el World Economic Outlook del FMI. El de Paraguay se obtiene de la propia matriz: 78.041,2 / 68.794,6.</t>
  </si>
  <si>
    <t>Exportaciones por Sector y Destino</t>
  </si>
  <si>
    <t>Aplicar Escala</t>
  </si>
  <si>
    <t>Diferencia de Ingreso Laboral (MUSD)</t>
  </si>
  <si>
    <t>Propension Marginal a Consumir</t>
  </si>
  <si>
    <t>Entre 0 y 1. Si cambia, Recalcule</t>
  </si>
  <si>
    <t>Ingreso Laboral Total (MUSD)</t>
  </si>
  <si>
    <t>Variación de demanda total en la región</t>
  </si>
  <si>
    <t>Versión / fecha:   v10.3  · Octubre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</si>
</sst>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&quot;$&quot;* #,##0_);_(&quot;$&quot;* \(#,##0\);_(&quot;$&quot;* &quot;-&quot;_);_(@_)"/>
    <numFmt numFmtId="165" formatCode="_(* #,##0_);_(* \(#,##0\);_(* &quot;-&quot;_);_(@_)"/>
    <numFmt numFmtId="166" formatCode="0.0000"/>
    <numFmt numFmtId="167" formatCode="_ * #,##0.00_ ;_ * \-#,##0.00_ ;_ * &quot;-&quot;_ ;_ @_ "/>
    <numFmt numFmtId="168" formatCode="mmm\.yyyy"/>
    <numFmt numFmtId="169" formatCode="0.000000"/>
    <numFmt numFmtId="170" formatCode="#,##0.000"/>
    <numFmt numFmtId="171" formatCode="0.0&quot;%&quot;"/>
    <numFmt numFmtId="172" formatCode="#,##0.0"/>
    <numFmt numFmtId="173" formatCode="0.00&quot;%&quot;"/>
    <numFmt numFmtId="174" formatCode="0.0000000"/>
    <numFmt numFmtId="175" formatCode="0.00000"/>
    <numFmt numFmtId="176" formatCode="0.0%"/>
    <numFmt numFmtId="177" formatCode="0.0"/>
    <numFmt numFmtId="178" formatCode="0.000"/>
    <numFmt numFmtId="179" formatCode="0.000%"/>
    <numFmt numFmtId="180" formatCode="0.00&quot;×&quot;"/>
    <numFmt numFmtId="181" formatCode="#,##0.0&quot; MUSD&quot;"/>
    <numFmt numFmtId="182" formatCode="\+0.0;\-0.0;0.0"/>
  </numFmts>
  <fonts count="116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1"/>
      <color theme="1"/>
      <name val="Aptos Narrow"/>
      <family val="2"/>
      <scheme val="minor"/>
    </font>
    <font>
      <sz val="10"/>
      <name val="MS Sans Serif"/>
      <family val="2"/>
    </font>
    <font>
      <sz val="10"/>
      <color indexed="8"/>
      <name val="MS Sans Serif"/>
      <family val="2"/>
    </font>
    <font>
      <sz val="10"/>
      <color rgb="FF1A1A1A"/>
      <name val="Calibri"/>
      <family val="2"/>
    </font>
    <font>
      <b/>
      <sz val="13"/>
      <color rgb="FFFFFFFF"/>
      <name val="Calibri"/>
      <family val="2"/>
    </font>
    <font>
      <b/>
      <sz val="11"/>
      <color rgb="FF2C3E50"/>
      <name val="Calibri"/>
      <family val="2"/>
    </font>
    <font>
      <sz val="9"/>
      <color rgb="FF1A1A1A"/>
      <name val="Calibri"/>
      <family val="2"/>
    </font>
    <font>
      <b/>
      <sz val="10"/>
      <color rgb="FF2980B9"/>
      <name val="Calibri"/>
      <family val="2"/>
    </font>
    <font>
      <i/>
      <sz val="8"/>
      <color rgb="FF717D7E"/>
      <name val="Calibri"/>
      <family val="2"/>
    </font>
    <font>
      <b/>
      <sz val="9"/>
      <color rgb="FFFFFFFF"/>
      <name val="Calibri"/>
      <family val="2"/>
    </font>
    <font>
      <b/>
      <sz val="9"/>
      <color rgb="FF717D7E"/>
      <name val="Calibri"/>
      <family val="2"/>
    </font>
    <font>
      <sz val="8"/>
      <color rgb="FF1A1A1A"/>
      <name val="Calibri"/>
      <family val="2"/>
    </font>
    <font>
      <i/>
      <sz val="7"/>
      <color rgb="FF717D7E"/>
      <name val="Calibri"/>
      <family val="2"/>
    </font>
    <font>
      <sz val="8"/>
      <color rgb="FF717D7E"/>
      <name val="Calibri"/>
      <family val="2"/>
    </font>
    <font>
      <b/>
      <sz val="10"/>
      <color rgb="FF2C3E50"/>
      <name val="Calibri"/>
      <family val="2"/>
    </font>
    <font>
      <b/>
      <sz val="9"/>
      <color rgb="FF2C3E50"/>
      <name val="Calibri"/>
      <family val="2"/>
    </font>
    <font>
      <i/>
      <sz val="9"/>
      <color rgb="FF2980B9"/>
      <name val="Calibri"/>
      <family val="2"/>
    </font>
    <font>
      <b/>
      <sz val="8"/>
      <color rgb="FFFFFFFF"/>
      <name val="Calibri"/>
      <family val="2"/>
    </font>
    <font>
      <b/>
      <sz val="7"/>
      <color rgb="FF2C3E50"/>
      <name val="Calibri"/>
      <family val="2"/>
    </font>
    <font>
      <sz val="7"/>
      <color rgb="FF1A1A1A"/>
      <name val="Calibri"/>
      <family val="2"/>
    </font>
    <font>
      <b/>
      <sz val="8"/>
      <color rgb="FF717D7E"/>
      <name val="Calibri"/>
      <family val="2"/>
    </font>
    <font>
      <i/>
      <sz val="7"/>
      <color rgb="FF2C3E50"/>
      <name val="Calibri"/>
      <family val="2"/>
    </font>
    <font>
      <sz val="9"/>
      <name val="Calibri"/>
      <family val="2"/>
    </font>
    <font>
      <b/>
      <sz val="10"/>
      <color rgb="FFFFFFFF"/>
      <name val="Calibri"/>
      <family val="2"/>
    </font>
    <font>
      <b/>
      <sz val="13"/>
      <color rgb="FF2980B9"/>
      <name val="Calibri"/>
      <family val="2"/>
    </font>
    <font>
      <sz val="10"/>
      <color theme="0"/>
      <name val="Calibri"/>
      <family val="2"/>
    </font>
    <font>
      <b/>
      <sz val="15"/>
      <color rgb="FFFFFFFF"/>
      <name val="Calibri"/>
      <family val="2"/>
    </font>
    <font>
      <b/>
      <sz val="13"/>
      <color rgb="FFFFFFFF"/>
      <name val="Calibri"/>
      <family val="2"/>
    </font>
    <font>
      <i/>
      <sz val="8"/>
      <color rgb="FF717D7E"/>
      <name val="Calibri"/>
      <family val="2"/>
    </font>
    <font>
      <b/>
      <sz val="28"/>
      <color rgb="FFFFFFFF"/>
      <name val="Calibri"/>
      <family val="2"/>
    </font>
    <font>
      <sz val="9"/>
      <color rgb="FFBDC3C7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2C3E50"/>
      <name val="Calibri"/>
      <family val="2"/>
    </font>
    <font>
      <sz val="11"/>
      <color rgb="FF1A1A1A"/>
      <name val="Calibri"/>
      <family val="2"/>
    </font>
    <font>
      <b/>
      <sz val="11"/>
      <color rgb="FF3D566E"/>
      <name val="Calibri"/>
      <family val="2"/>
    </font>
    <font>
      <b/>
      <sz val="11"/>
      <color rgb="FF2980B9"/>
      <name val="Calibri"/>
      <family val="2"/>
    </font>
    <font>
      <sz val="11"/>
      <color rgb="FF3D566E"/>
      <name val="Calibri"/>
      <family val="2"/>
    </font>
    <font>
      <b/>
      <sz val="11"/>
      <color rgb="FF1A6B8A"/>
      <name val="Calibri"/>
      <family val="2"/>
    </font>
    <font>
      <sz val="11"/>
      <color rgb="FF1A6B8A"/>
      <name val="Calibri"/>
      <family val="2"/>
    </font>
    <font>
      <b/>
      <sz val="11"/>
      <color rgb="FF2C3E50"/>
      <name val="Calibri"/>
      <family val="2"/>
    </font>
    <font>
      <b/>
      <sz val="12"/>
      <color rgb="FFFFFFFF"/>
      <name val="Calibri"/>
      <family val="2"/>
    </font>
    <font>
      <b/>
      <sz val="12"/>
      <color rgb="FF1A6B8A"/>
      <name val="Calibri"/>
      <family val="2"/>
    </font>
    <font>
      <sz val="10"/>
      <color rgb="FF1A6B8A"/>
      <name val="Calibri"/>
      <family val="2"/>
    </font>
    <font>
      <sz val="12"/>
      <name val="Calibri"/>
      <family val="2"/>
    </font>
    <font>
      <b/>
      <sz val="15"/>
      <color rgb="FFFFFFFF"/>
      <name val="Calibri"/>
      <family val="2"/>
    </font>
    <font>
      <sz val="10"/>
      <color rgb="FFD5DCE4"/>
      <name val="Calibri"/>
      <family val="2"/>
    </font>
    <font>
      <b/>
      <sz val="11"/>
      <color rgb="FFFFFFFF"/>
      <name val="Calibri"/>
      <family val="2"/>
    </font>
    <font>
      <b/>
      <sz val="12"/>
      <color rgb="FF2C3E50"/>
      <name val="Calibri"/>
      <family val="2"/>
    </font>
    <font>
      <i/>
      <sz val="9.5"/>
      <color rgb="FF5D6D7E"/>
      <name val="Calibri"/>
      <family val="2"/>
    </font>
    <font>
      <b/>
      <sz val="10"/>
      <color rgb="FFFFFFFF"/>
      <name val="Calibri"/>
      <family val="2"/>
    </font>
    <font>
      <sz val="10"/>
      <color rgb="FF1A1A1A"/>
      <name val="Calibri"/>
      <family val="2"/>
    </font>
    <font>
      <i/>
      <sz val="9"/>
      <color rgb="FF2C3E50"/>
      <name val="Calibri"/>
      <family val="2"/>
    </font>
    <font>
      <b/>
      <sz val="10"/>
      <color rgb="FF1A1A1A"/>
      <name val="Calibri"/>
      <family val="2"/>
    </font>
    <font>
      <b/>
      <sz val="12"/>
      <color rgb="FF16897E"/>
      <name val="Calibri"/>
      <family val="2"/>
    </font>
    <font>
      <sz val="9.5"/>
      <color rgb="FF1A1A1A"/>
      <name val="Calibri"/>
      <family val="2"/>
    </font>
    <font>
      <i/>
      <sz val="8.5"/>
      <color rgb="FF5D6D7E"/>
      <name val="Calibri"/>
      <family val="2"/>
    </font>
    <font>
      <b/>
      <sz val="14"/>
      <color rgb="FFFFFFFF"/>
      <name val="Calibri"/>
      <family val="2"/>
    </font>
    <font>
      <b/>
      <sz val="10"/>
      <color rgb="FF2C3E50"/>
      <name val="Calibri"/>
      <family val="2"/>
    </font>
    <font>
      <b/>
      <sz val="11"/>
      <color rgb="FF0000FF"/>
      <name val="Calibri"/>
      <family val="2"/>
    </font>
    <font>
      <b/>
      <sz val="11"/>
      <color rgb="FF2C3E50"/>
      <name val="Calibri"/>
      <family val="2"/>
    </font>
    <font>
      <b/>
      <sz val="9"/>
      <color rgb="FF2C3E50"/>
      <name val="Calibri"/>
      <family val="2"/>
    </font>
    <font>
      <sz val="9"/>
      <color rgb="FF1A1A1A"/>
      <name val="Calibri"/>
      <family val="2"/>
    </font>
    <font>
      <b/>
      <sz val="8.5"/>
      <color rgb="FFFFFFFF"/>
      <name val="Calibri"/>
      <family val="2"/>
    </font>
    <font>
      <sz val="9"/>
      <color rgb="FFD5DCE4"/>
      <name val="Calibri"/>
      <family val="2"/>
    </font>
    <font>
      <sz val="8.5"/>
      <color rgb="FF1A1A1A"/>
      <name val="Calibri"/>
      <family val="2"/>
    </font>
    <font>
      <b/>
      <sz val="12"/>
      <color theme="0"/>
      <name val="Calibri"/>
      <family val="2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Calibri"/>
      <family val="2"/>
    </font>
    <font>
      <sz val="10"/>
      <color rgb="FFFFFFFF"/>
      <name val="Calibri"/>
      <family val="2"/>
    </font>
    <font>
      <sz val="11"/>
      <color rgb="FFFFFFFF"/>
      <name val="Calibri"/>
      <family val="2"/>
    </font>
    <font>
      <sz val="14"/>
      <color rgb="FFFFFFFF"/>
      <name val="Calibri"/>
      <family val="2"/>
    </font>
    <font>
      <sz val="12"/>
      <color rgb="FFFFFFFF"/>
      <name val="Calibri"/>
      <family val="2"/>
    </font>
    <font>
      <sz val="14"/>
      <color rgb="FF1A1A1A"/>
      <name val="Calibri"/>
      <family val="2"/>
    </font>
    <font>
      <sz val="14"/>
      <color rgb="FF3D566E"/>
      <name val="Calibri"/>
      <family val="2"/>
    </font>
    <font>
      <sz val="14"/>
      <color rgb="FF1A6B8A"/>
      <name val="Calibri"/>
      <family val="2"/>
    </font>
    <font>
      <sz val="14"/>
      <color rgb="FF717D7E"/>
      <name val="Calibri"/>
      <family val="2"/>
    </font>
    <font>
      <b/>
      <sz val="14"/>
      <color rgb="FF1A6B8A"/>
      <name val="Calibri"/>
      <family val="2"/>
    </font>
    <font>
      <sz val="14"/>
      <color rgb="FF2980B9"/>
      <name val="Calibri"/>
      <family val="2"/>
    </font>
    <font>
      <b/>
      <sz val="14"/>
      <color rgb="FF2980B9"/>
      <name val="Calibri"/>
      <family val="2"/>
    </font>
    <font>
      <i/>
      <sz val="14"/>
      <color rgb="FF717D7E"/>
      <name val="Calibri"/>
      <family val="2"/>
    </font>
    <font>
      <sz val="12"/>
      <color rgb="FF1A1A1A"/>
      <name val="Calibri"/>
      <family val="2"/>
    </font>
    <font>
      <b/>
      <sz val="14"/>
      <color rgb="FFFFC000"/>
      <name val="Calibri"/>
      <family val="2"/>
    </font>
    <font>
      <b/>
      <sz val="12"/>
      <color rgb="FF7A3800"/>
      <name val="Calibri"/>
      <family val="2"/>
    </font>
    <font>
      <b/>
      <sz val="11"/>
      <color rgb="FF7A3800"/>
      <name val="Calibri"/>
      <family val="2"/>
    </font>
    <font>
      <sz val="10"/>
      <color rgb="FF7A3800"/>
      <name val="Calibri"/>
      <family val="2"/>
    </font>
    <font>
      <b/>
      <sz val="12"/>
      <color rgb="FF005700"/>
      <name val="Calibri"/>
      <family val="2"/>
    </font>
    <font>
      <b/>
      <sz val="11"/>
      <color rgb="FF005700"/>
      <name val="Calibri"/>
      <family val="2"/>
    </font>
    <font>
      <sz val="10"/>
      <color rgb="FF005700"/>
      <name val="Calibri"/>
      <family val="2"/>
    </font>
    <font>
      <i/>
      <sz val="8"/>
      <color rgb="FF3F4D4E"/>
      <name val="Calibri"/>
      <family val="2"/>
    </font>
    <font>
      <sz val="8"/>
      <color rgb="FF3F4D4E"/>
      <name val="Calibri"/>
      <family val="2"/>
    </font>
    <font>
      <sz val="14"/>
      <color rgb="FF3F4D4E"/>
      <name val="Calibri"/>
      <family val="2"/>
    </font>
    <font>
      <sz val="7"/>
      <color rgb="FF3F4D4E"/>
      <name val="Calibri"/>
      <family val="2"/>
    </font>
    <font>
      <i/>
      <sz val="8"/>
      <color theme="0"/>
      <name val="Calibri"/>
      <family val="2"/>
    </font>
    <font>
      <sz val="12"/>
      <color rgb="FF5D6D7E"/>
      <name val="Calibri"/>
      <family val="2"/>
    </font>
    <font>
      <i/>
      <sz val="11"/>
      <color rgb="FF2980B9"/>
      <name val="Aptos Narrow"/>
      <scheme val="minor"/>
    </font>
    <font>
      <sz val="11"/>
      <color rgb="FF000000"/>
      <name val="Aptos Narrow"/>
    </font>
    <font>
      <sz val="12"/>
      <color rgb="FF000000"/>
      <name val="Aptos Narrow"/>
    </font>
    <font>
      <b/>
      <sz val="9"/>
      <color rgb="FF1A1A1A"/>
      <name val="Calibri"/>
      <family val="2"/>
    </font>
    <font>
      <i/>
      <sz val="8.5"/>
      <color rgb="FF717D7E"/>
      <name val="Calibri"/>
      <family val="2"/>
    </font>
    <font>
      <sz val="9"/>
      <color rgb="FF717D7E"/>
      <name val="Calibri"/>
      <family val="2"/>
    </font>
    <font>
      <b/>
      <sz val="9"/>
      <name val="Calibri"/>
      <family val="2"/>
    </font>
    <font>
      <i/>
      <sz val="11"/>
      <color rgb="FF3D566E"/>
      <name val="Calibri"/>
      <family val="2"/>
    </font>
    <font>
      <sz val="11"/>
      <name val="Calibri"/>
      <family val="2"/>
    </font>
    <font>
      <sz val="9"/>
      <color theme="1"/>
      <name val="Aptos Narrow"/>
      <family val="2"/>
      <scheme val="minor"/>
    </font>
    <font>
      <b/>
      <sz val="11"/>
      <name val="Calibri"/>
      <family val="2"/>
    </font>
    <font>
      <b/>
      <sz val="24"/>
      <color rgb="FF2C3E5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3EAA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C3E50"/>
      </patternFill>
    </fill>
    <fill>
      <patternFill patternType="solid">
        <fgColor rgb="FFFFFFFF"/>
      </patternFill>
    </fill>
    <fill>
      <patternFill patternType="solid">
        <fgColor rgb="FFF4F6F7"/>
      </patternFill>
    </fill>
    <fill>
      <patternFill patternType="solid">
        <fgColor rgb="FFEAF4FB"/>
      </patternFill>
    </fill>
    <fill>
      <patternFill patternType="solid">
        <fgColor rgb="FF2980B9"/>
      </patternFill>
    </fill>
    <fill>
      <patternFill patternType="solid">
        <fgColor rgb="FF3D566E"/>
      </patternFill>
    </fill>
    <fill>
      <patternFill patternType="solid">
        <fgColor rgb="FF1A6B8A"/>
      </patternFill>
    </fill>
    <fill>
      <patternFill patternType="solid">
        <fgColor rgb="FFEAF0F6"/>
      </patternFill>
    </fill>
    <fill>
      <patternFill patternType="solid">
        <fgColor rgb="FFF0F5F9"/>
      </patternFill>
    </fill>
    <fill>
      <patternFill patternType="solid">
        <fgColor rgb="FFF0F7FF"/>
      </patternFill>
    </fill>
    <fill>
      <patternFill patternType="solid">
        <fgColor rgb="FFF2F2F2"/>
      </patternFill>
    </fill>
    <fill>
      <patternFill patternType="solid">
        <fgColor rgb="FFF9F9F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8EDF2"/>
      </patternFill>
    </fill>
    <fill>
      <patternFill patternType="solid">
        <fgColor rgb="FFD1E8F0"/>
      </patternFill>
    </fill>
    <fill>
      <patternFill patternType="solid">
        <fgColor rgb="FFDBEAFE"/>
      </patternFill>
    </fill>
    <fill>
      <patternFill patternType="solid">
        <fgColor rgb="FFD5F5E3"/>
      </patternFill>
    </fill>
    <fill>
      <patternFill patternType="solid">
        <fgColor rgb="FFFEF3C7"/>
      </patternFill>
    </fill>
    <fill>
      <patternFill patternType="solid">
        <fgColor rgb="FF2C3E50"/>
      </patternFill>
    </fill>
    <fill>
      <patternFill patternType="solid">
        <fgColor rgb="FF16897E"/>
      </patternFill>
    </fill>
    <fill>
      <patternFill patternType="solid">
        <fgColor rgb="FFFFFFFF"/>
      </patternFill>
    </fill>
    <fill>
      <patternFill patternType="solid">
        <fgColor rgb="FF1F9E93"/>
      </patternFill>
    </fill>
    <fill>
      <patternFill patternType="solid">
        <fgColor rgb="FFF4F6F7"/>
      </patternFill>
    </fill>
    <fill>
      <patternFill patternType="solid">
        <fgColor rgb="FFECF0F1"/>
      </patternFill>
    </fill>
    <fill>
      <patternFill patternType="solid">
        <fgColor rgb="FFFFF9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4F6F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/>
      <diagonal/>
    </border>
    <border>
      <left style="thin">
        <color rgb="FF2980B9"/>
      </left>
      <right style="thin">
        <color rgb="FF2980B9"/>
      </right>
      <top style="thin">
        <color rgb="FF2980B9"/>
      </top>
      <bottom style="thin">
        <color rgb="FF2980B9"/>
      </bottom>
      <diagonal/>
    </border>
    <border>
      <left/>
      <right/>
      <top/>
      <bottom style="thin">
        <color rgb="FFD5D8DC"/>
      </bottom>
      <diagonal/>
    </border>
    <border>
      <left style="thin">
        <color rgb="FF1A1A1A"/>
      </left>
      <right style="thin">
        <color rgb="FF1A1A1A"/>
      </right>
      <top style="thin">
        <color rgb="FF1A1A1A"/>
      </top>
      <bottom style="thin">
        <color rgb="FF1A1A1A"/>
      </bottom>
      <diagonal/>
    </border>
    <border>
      <left style="medium">
        <color rgb="FFFFFFFF"/>
      </left>
      <right style="medium">
        <color rgb="FFFFFFFF"/>
      </right>
      <top/>
      <bottom style="thin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thin">
        <color rgb="FFE8E8E8"/>
      </bottom>
      <diagonal/>
    </border>
    <border>
      <left style="thin">
        <color rgb="FFBFBFBF"/>
      </left>
      <right/>
      <top/>
      <bottom style="thin">
        <color rgb="FFE8E8E8"/>
      </bottom>
      <diagonal/>
    </border>
    <border>
      <left style="medium">
        <color rgb="FF2C3E50"/>
      </left>
      <right/>
      <top/>
      <bottom style="thin">
        <color rgb="FFE8E8E8"/>
      </bottom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medium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medium">
        <color rgb="FFBFBFBF"/>
      </left>
      <right/>
      <top/>
      <bottom style="thin">
        <color rgb="FFE8E8E8"/>
      </bottom>
      <diagonal/>
    </border>
    <border>
      <left style="medium">
        <color rgb="FFFFFFFF"/>
      </left>
      <right/>
      <top/>
      <bottom style="thin">
        <color indexed="64"/>
      </bottom>
      <diagonal/>
    </border>
    <border>
      <left style="medium">
        <color rgb="FFFFFFFF"/>
      </left>
      <right/>
      <top/>
      <bottom style="thin">
        <color theme="0"/>
      </bottom>
      <diagonal/>
    </border>
    <border>
      <left/>
      <right/>
      <top/>
      <bottom/>
      <diagonal/>
    </border>
    <border>
      <left/>
      <right/>
      <top/>
      <bottom style="medium">
        <color rgb="FF16897E"/>
      </bottom>
      <diagonal/>
    </border>
    <border>
      <left/>
      <right/>
      <top/>
      <bottom/>
      <diagonal/>
    </border>
    <border>
      <left style="medium">
        <color rgb="FF16897E"/>
      </left>
      <right/>
      <top/>
      <bottom/>
      <diagonal/>
    </border>
    <border>
      <left style="thin">
        <color rgb="FF16897E"/>
      </left>
      <right style="thin">
        <color rgb="FF16897E"/>
      </right>
      <top style="thin">
        <color rgb="FF16897E"/>
      </top>
      <bottom style="thin">
        <color rgb="FF16897E"/>
      </bottom>
      <diagonal/>
    </border>
    <border>
      <left style="thin">
        <color rgb="FFD5DBDB"/>
      </left>
      <right style="thin">
        <color rgb="FFD5DBDB"/>
      </right>
      <top style="thin">
        <color rgb="FFD5DBDB"/>
      </top>
      <bottom style="thin">
        <color rgb="FFD5DBDB"/>
      </bottom>
      <diagonal/>
    </border>
    <border>
      <left/>
      <right/>
      <top/>
      <bottom style="thin">
        <color rgb="FFD5DBDB"/>
      </bottom>
      <diagonal/>
    </border>
    <border>
      <left style="thin">
        <color rgb="FFD5D8DC"/>
      </left>
      <right style="thin">
        <color rgb="FFD5D8DC"/>
      </right>
      <top style="thin">
        <color rgb="FFD5D8DC"/>
      </top>
      <bottom style="thin">
        <color rgb="FFD5D8DC"/>
      </bottom>
      <diagonal/>
    </border>
    <border>
      <left/>
      <right style="thin">
        <color rgb="FFD5D8DC"/>
      </right>
      <top style="thin">
        <color rgb="FFD5D8DC"/>
      </top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 style="thin">
        <color rgb="FFD5D8DC"/>
      </bottom>
      <diagonal/>
    </border>
    <border>
      <left style="thin">
        <color rgb="FFD5D8DC"/>
      </left>
      <right style="thin">
        <color rgb="FFD5D8DC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11">
    <xf numFmtId="0" fontId="0" fillId="0" borderId="24"/>
    <xf numFmtId="165" fontId="1" fillId="0" borderId="24"/>
    <xf numFmtId="0" fontId="2" fillId="0" borderId="24"/>
    <xf numFmtId="0" fontId="4" fillId="0" borderId="24"/>
    <xf numFmtId="0" fontId="6" fillId="0" borderId="24"/>
    <xf numFmtId="0" fontId="8" fillId="0" borderId="24"/>
    <xf numFmtId="0" fontId="9" fillId="0" borderId="24"/>
    <xf numFmtId="0" fontId="4" fillId="0" borderId="24"/>
    <xf numFmtId="0" fontId="10" fillId="0" borderId="24"/>
    <xf numFmtId="0" fontId="6" fillId="0" borderId="24"/>
    <xf numFmtId="9" fontId="1" fillId="0" borderId="24"/>
  </cellStyleXfs>
  <cellXfs count="544">
    <xf numFmtId="0" fontId="0" fillId="0" borderId="0" xfId="0" applyBorder="1"/>
    <xf numFmtId="0" fontId="0" fillId="2" borderId="0" xfId="0" applyFill="1" applyBorder="1"/>
    <xf numFmtId="0" fontId="2" fillId="3" borderId="0" xfId="2" applyFill="1" applyBorder="1"/>
    <xf numFmtId="0" fontId="0" fillId="4" borderId="0" xfId="0" applyFill="1" applyBorder="1"/>
    <xf numFmtId="0" fontId="5" fillId="0" borderId="0" xfId="3" applyFont="1" applyBorder="1"/>
    <xf numFmtId="0" fontId="3" fillId="0" borderId="0" xfId="5" applyFont="1" applyBorder="1"/>
    <xf numFmtId="0" fontId="7" fillId="0" borderId="1" xfId="3" applyFont="1" applyBorder="1"/>
    <xf numFmtId="3" fontId="5" fillId="0" borderId="0" xfId="3" applyNumberFormat="1" applyFont="1" applyBorder="1" applyAlignment="1">
      <alignment horizontal="right"/>
    </xf>
    <xf numFmtId="3" fontId="5" fillId="0" borderId="0" xfId="3" applyNumberFormat="1" applyFont="1" applyBorder="1"/>
    <xf numFmtId="3" fontId="7" fillId="0" borderId="1" xfId="3" applyNumberFormat="1" applyFont="1" applyBorder="1"/>
    <xf numFmtId="0" fontId="5" fillId="0" borderId="0" xfId="3" applyFont="1" applyBorder="1" applyAlignment="1">
      <alignment horizontal="left"/>
    </xf>
    <xf numFmtId="166" fontId="3" fillId="0" borderId="0" xfId="5" applyNumberFormat="1" applyFont="1" applyBorder="1" applyAlignment="1">
      <alignment horizontal="center"/>
    </xf>
    <xf numFmtId="2" fontId="3" fillId="0" borderId="0" xfId="5" applyNumberFormat="1" applyFont="1" applyBorder="1"/>
    <xf numFmtId="0" fontId="3" fillId="0" borderId="0" xfId="5" applyFont="1" applyBorder="1" applyAlignment="1">
      <alignment horizontal="left"/>
    </xf>
    <xf numFmtId="166" fontId="3" fillId="0" borderId="0" xfId="5" applyNumberFormat="1" applyFont="1" applyBorder="1"/>
    <xf numFmtId="0" fontId="0" fillId="0" borderId="0" xfId="0" applyBorder="1" applyAlignment="1">
      <alignment horizontal="left"/>
    </xf>
    <xf numFmtId="0" fontId="8" fillId="0" borderId="0" xfId="5" applyBorder="1"/>
    <xf numFmtId="4" fontId="8" fillId="0" borderId="0" xfId="5" applyNumberFormat="1" applyBorder="1"/>
    <xf numFmtId="0" fontId="11" fillId="0" borderId="4" xfId="0" applyFont="1" applyBorder="1" applyAlignment="1">
      <alignment horizontal="left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6" borderId="0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7" fillId="5" borderId="4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left" vertical="center"/>
    </xf>
    <xf numFmtId="0" fontId="11" fillId="6" borderId="4" xfId="0" applyFont="1" applyFill="1" applyBorder="1" applyAlignment="1">
      <alignment horizontal="left" vertical="center"/>
    </xf>
    <xf numFmtId="4" fontId="17" fillId="5" borderId="4" xfId="0" applyNumberFormat="1" applyFont="1" applyFill="1" applyBorder="1" applyAlignment="1">
      <alignment horizontal="right" vertical="center"/>
    </xf>
    <xf numFmtId="0" fontId="18" fillId="7" borderId="4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65" fontId="11" fillId="0" borderId="4" xfId="1" applyFont="1" applyBorder="1" applyAlignment="1">
      <alignment horizontal="left" vertical="center"/>
    </xf>
    <xf numFmtId="4" fontId="17" fillId="5" borderId="4" xfId="1" applyNumberFormat="1" applyFont="1" applyFill="1" applyBorder="1" applyAlignment="1">
      <alignment horizontal="right" vertical="center"/>
    </xf>
    <xf numFmtId="167" fontId="11" fillId="0" borderId="4" xfId="1" applyNumberFormat="1" applyFont="1" applyBorder="1" applyAlignment="1">
      <alignment horizontal="left" vertical="center"/>
    </xf>
    <xf numFmtId="168" fontId="11" fillId="0" borderId="4" xfId="0" applyNumberFormat="1" applyFont="1" applyBorder="1" applyAlignment="1">
      <alignment horizontal="left" vertical="center"/>
    </xf>
    <xf numFmtId="0" fontId="19" fillId="0" borderId="0" xfId="0" applyFont="1" applyBorder="1"/>
    <xf numFmtId="0" fontId="13" fillId="0" borderId="0" xfId="4" applyFont="1" applyBorder="1"/>
    <xf numFmtId="0" fontId="16" fillId="0" borderId="0" xfId="3" applyFont="1" applyBorder="1"/>
    <xf numFmtId="0" fontId="19" fillId="0" borderId="0" xfId="3" applyFont="1" applyBorder="1"/>
    <xf numFmtId="0" fontId="21" fillId="0" borderId="0" xfId="3" applyFont="1" applyBorder="1"/>
    <xf numFmtId="0" fontId="19" fillId="0" borderId="0" xfId="4" applyFont="1" applyBorder="1"/>
    <xf numFmtId="0" fontId="19" fillId="0" borderId="0" xfId="6" applyFont="1" applyBorder="1" applyAlignment="1">
      <alignment horizontal="left"/>
    </xf>
    <xf numFmtId="0" fontId="19" fillId="0" borderId="2" xfId="3" applyFont="1" applyBorder="1"/>
    <xf numFmtId="0" fontId="19" fillId="0" borderId="2" xfId="5" applyFont="1" applyBorder="1"/>
    <xf numFmtId="0" fontId="25" fillId="5" borderId="0" xfId="3" applyFont="1" applyFill="1" applyBorder="1" applyAlignment="1">
      <alignment horizontal="center" vertical="center" wrapText="1"/>
    </xf>
    <xf numFmtId="0" fontId="19" fillId="0" borderId="1" xfId="3" applyFont="1" applyBorder="1"/>
    <xf numFmtId="0" fontId="19" fillId="0" borderId="1" xfId="5" applyFont="1" applyBorder="1"/>
    <xf numFmtId="0" fontId="19" fillId="0" borderId="0" xfId="3" applyFont="1" applyBorder="1" applyAlignment="1">
      <alignment horizontal="center" wrapText="1"/>
    </xf>
    <xf numFmtId="0" fontId="19" fillId="0" borderId="0" xfId="5" applyFont="1" applyBorder="1" applyAlignment="1">
      <alignment horizontal="center" vertical="center" wrapText="1"/>
    </xf>
    <xf numFmtId="0" fontId="19" fillId="0" borderId="0" xfId="7" applyFont="1" applyBorder="1" applyAlignment="1">
      <alignment horizontal="center" vertical="center" wrapText="1"/>
    </xf>
    <xf numFmtId="0" fontId="25" fillId="5" borderId="0" xfId="5" applyFont="1" applyFill="1" applyBorder="1" applyAlignment="1">
      <alignment horizontal="center" vertical="center" wrapText="1"/>
    </xf>
    <xf numFmtId="0" fontId="19" fillId="0" borderId="3" xfId="3" applyFont="1" applyBorder="1"/>
    <xf numFmtId="0" fontId="19" fillId="0" borderId="3" xfId="3" applyFont="1" applyBorder="1" applyAlignment="1">
      <alignment horizontal="center"/>
    </xf>
    <xf numFmtId="0" fontId="19" fillId="0" borderId="0" xfId="3" applyFont="1" applyBorder="1" applyAlignment="1">
      <alignment horizontal="center"/>
    </xf>
    <xf numFmtId="0" fontId="19" fillId="7" borderId="0" xfId="0" applyFont="1" applyFill="1" applyBorder="1"/>
    <xf numFmtId="3" fontId="19" fillId="7" borderId="0" xfId="3" applyNumberFormat="1" applyFont="1" applyFill="1" applyBorder="1" applyAlignment="1">
      <alignment horizontal="right"/>
    </xf>
    <xf numFmtId="3" fontId="19" fillId="7" borderId="0" xfId="3" applyNumberFormat="1" applyFont="1" applyFill="1" applyBorder="1"/>
    <xf numFmtId="3" fontId="19" fillId="7" borderId="0" xfId="0" applyNumberFormat="1" applyFont="1" applyFill="1" applyBorder="1"/>
    <xf numFmtId="0" fontId="19" fillId="7" borderId="0" xfId="5" applyFont="1" applyFill="1" applyBorder="1"/>
    <xf numFmtId="0" fontId="19" fillId="6" borderId="0" xfId="0" applyFont="1" applyFill="1" applyBorder="1"/>
    <xf numFmtId="3" fontId="19" fillId="6" borderId="0" xfId="3" applyNumberFormat="1" applyFont="1" applyFill="1" applyBorder="1" applyAlignment="1">
      <alignment horizontal="right"/>
    </xf>
    <xf numFmtId="3" fontId="19" fillId="6" borderId="0" xfId="3" applyNumberFormat="1" applyFont="1" applyFill="1" applyBorder="1"/>
    <xf numFmtId="3" fontId="19" fillId="6" borderId="0" xfId="0" applyNumberFormat="1" applyFont="1" applyFill="1" applyBorder="1"/>
    <xf numFmtId="0" fontId="19" fillId="6" borderId="0" xfId="5" applyFont="1" applyFill="1" applyBorder="1"/>
    <xf numFmtId="0" fontId="25" fillId="5" borderId="0" xfId="0" applyFont="1" applyFill="1" applyBorder="1" applyAlignment="1">
      <alignment horizontal="center" vertical="center" wrapText="1"/>
    </xf>
    <xf numFmtId="0" fontId="25" fillId="5" borderId="0" xfId="0" applyFont="1" applyFill="1" applyBorder="1" applyAlignment="1">
      <alignment horizontal="center" textRotation="90"/>
    </xf>
    <xf numFmtId="0" fontId="26" fillId="7" borderId="0" xfId="0" applyFont="1" applyFill="1" applyBorder="1" applyAlignment="1">
      <alignment horizontal="center" vertical="center"/>
    </xf>
    <xf numFmtId="0" fontId="26" fillId="7" borderId="0" xfId="0" applyFont="1" applyFill="1" applyBorder="1" applyAlignment="1">
      <alignment horizontal="left" vertical="center"/>
    </xf>
    <xf numFmtId="169" fontId="27" fillId="7" borderId="0" xfId="0" applyNumberFormat="1" applyFont="1" applyFill="1" applyBorder="1"/>
    <xf numFmtId="0" fontId="26" fillId="6" borderId="0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left" vertical="center"/>
    </xf>
    <xf numFmtId="169" fontId="27" fillId="6" borderId="0" xfId="0" applyNumberFormat="1" applyFont="1" applyFill="1" applyBorder="1"/>
    <xf numFmtId="0" fontId="26" fillId="6" borderId="0" xfId="0" applyFont="1" applyFill="1" applyBorder="1"/>
    <xf numFmtId="0" fontId="26" fillId="7" borderId="0" xfId="0" applyFont="1" applyFill="1" applyBorder="1"/>
    <xf numFmtId="169" fontId="27" fillId="6" borderId="0" xfId="0" applyNumberFormat="1" applyFont="1" applyFill="1" applyBorder="1" applyAlignment="1">
      <alignment horizontal="center" textRotation="90"/>
    </xf>
    <xf numFmtId="0" fontId="0" fillId="5" borderId="0" xfId="0" applyFill="1" applyBorder="1"/>
    <xf numFmtId="0" fontId="17" fillId="5" borderId="16" xfId="0" applyFont="1" applyFill="1" applyBorder="1" applyAlignment="1">
      <alignment horizontal="center" vertical="center" wrapText="1"/>
    </xf>
    <xf numFmtId="0" fontId="17" fillId="10" borderId="17" xfId="0" applyFont="1" applyFill="1" applyBorder="1" applyAlignment="1">
      <alignment horizontal="center" vertical="center" wrapText="1"/>
    </xf>
    <xf numFmtId="0" fontId="17" fillId="11" borderId="17" xfId="0" applyFont="1" applyFill="1" applyBorder="1" applyAlignment="1">
      <alignment horizontal="center" vertical="center" wrapText="1"/>
    </xf>
    <xf numFmtId="0" fontId="17" fillId="5" borderId="0" xfId="0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0" fontId="25" fillId="5" borderId="7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25" fillId="5" borderId="10" xfId="0" applyFont="1" applyFill="1" applyBorder="1" applyAlignment="1">
      <alignment horizontal="left" vertical="center"/>
    </xf>
    <xf numFmtId="0" fontId="25" fillId="5" borderId="10" xfId="0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 wrapText="1"/>
    </xf>
    <xf numFmtId="0" fontId="25" fillId="10" borderId="11" xfId="0" applyFont="1" applyFill="1" applyBorder="1" applyAlignment="1">
      <alignment horizontal="center" vertical="center" wrapText="1"/>
    </xf>
    <xf numFmtId="0" fontId="25" fillId="9" borderId="10" xfId="0" applyFont="1" applyFill="1" applyBorder="1" applyAlignment="1">
      <alignment horizontal="center" vertical="center" wrapText="1"/>
    </xf>
    <xf numFmtId="0" fontId="25" fillId="10" borderId="10" xfId="0" applyFont="1" applyFill="1" applyBorder="1" applyAlignment="1">
      <alignment horizontal="center" vertical="center" wrapText="1"/>
    </xf>
    <xf numFmtId="0" fontId="25" fillId="11" borderId="11" xfId="0" applyFont="1" applyFill="1" applyBorder="1" applyAlignment="1">
      <alignment horizontal="center" vertical="center" wrapText="1"/>
    </xf>
    <xf numFmtId="0" fontId="25" fillId="11" borderId="10" xfId="0" applyFont="1" applyFill="1" applyBorder="1" applyAlignment="1">
      <alignment horizontal="center" vertical="center" wrapText="1"/>
    </xf>
    <xf numFmtId="0" fontId="28" fillId="7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170" fontId="17" fillId="5" borderId="4" xfId="0" applyNumberFormat="1" applyFont="1" applyFill="1" applyBorder="1" applyAlignment="1">
      <alignment horizontal="left" vertical="center"/>
    </xf>
    <xf numFmtId="0" fontId="30" fillId="0" borderId="4" xfId="0" applyFont="1" applyBorder="1"/>
    <xf numFmtId="0" fontId="30" fillId="5" borderId="4" xfId="0" applyFont="1" applyFill="1" applyBorder="1"/>
    <xf numFmtId="0" fontId="25" fillId="10" borderId="4" xfId="5" applyFont="1" applyFill="1" applyBorder="1" applyAlignment="1">
      <alignment horizontal="center" vertical="center" wrapText="1"/>
    </xf>
    <xf numFmtId="0" fontId="25" fillId="5" borderId="4" xfId="5" applyFont="1" applyFill="1" applyBorder="1" applyAlignment="1">
      <alignment horizontal="center" vertical="center"/>
    </xf>
    <xf numFmtId="0" fontId="30" fillId="7" borderId="4" xfId="0" applyFont="1" applyFill="1" applyBorder="1"/>
    <xf numFmtId="171" fontId="31" fillId="5" borderId="4" xfId="0" applyNumberFormat="1" applyFont="1" applyFill="1" applyBorder="1" applyAlignment="1">
      <alignment horizontal="center" vertical="center"/>
    </xf>
    <xf numFmtId="172" fontId="17" fillId="5" borderId="4" xfId="5" applyNumberFormat="1" applyFont="1" applyFill="1" applyBorder="1" applyAlignment="1">
      <alignment horizontal="center" vertical="center"/>
    </xf>
    <xf numFmtId="172" fontId="17" fillId="5" borderId="4" xfId="0" applyNumberFormat="1" applyFont="1" applyFill="1" applyBorder="1" applyAlignment="1">
      <alignment horizontal="center" vertical="center"/>
    </xf>
    <xf numFmtId="0" fontId="28" fillId="14" borderId="12" xfId="5" applyFont="1" applyFill="1" applyBorder="1" applyAlignment="1">
      <alignment horizontal="center" vertical="center"/>
    </xf>
    <xf numFmtId="0" fontId="14" fillId="14" borderId="12" xfId="5" applyFont="1" applyFill="1" applyBorder="1" applyAlignment="1">
      <alignment horizontal="left" vertical="center"/>
    </xf>
    <xf numFmtId="0" fontId="28" fillId="6" borderId="12" xfId="5" applyFont="1" applyFill="1" applyBorder="1" applyAlignment="1">
      <alignment horizontal="center" vertical="center"/>
    </xf>
    <xf numFmtId="0" fontId="14" fillId="6" borderId="12" xfId="5" applyFont="1" applyFill="1" applyBorder="1" applyAlignment="1">
      <alignment horizontal="left" vertical="center"/>
    </xf>
    <xf numFmtId="0" fontId="30" fillId="0" borderId="4" xfId="5" applyFont="1" applyBorder="1"/>
    <xf numFmtId="4" fontId="30" fillId="0" borderId="4" xfId="5" applyNumberFormat="1" applyFont="1" applyBorder="1"/>
    <xf numFmtId="173" fontId="30" fillId="0" borderId="4" xfId="5" applyNumberFormat="1" applyFont="1" applyBorder="1"/>
    <xf numFmtId="0" fontId="20" fillId="6" borderId="4" xfId="0" applyFont="1" applyFill="1" applyBorder="1" applyAlignment="1">
      <alignment horizontal="right" vertical="center"/>
    </xf>
    <xf numFmtId="0" fontId="20" fillId="6" borderId="4" xfId="0" applyFont="1" applyFill="1" applyBorder="1" applyAlignment="1">
      <alignment horizontal="left" vertical="center"/>
    </xf>
    <xf numFmtId="0" fontId="22" fillId="7" borderId="4" xfId="0" applyFont="1" applyFill="1" applyBorder="1" applyAlignment="1">
      <alignment horizontal="right" vertical="center"/>
    </xf>
    <xf numFmtId="0" fontId="30" fillId="7" borderId="4" xfId="5" applyFont="1" applyFill="1" applyBorder="1"/>
    <xf numFmtId="1" fontId="30" fillId="7" borderId="4" xfId="5" applyNumberFormat="1" applyFont="1" applyFill="1" applyBorder="1"/>
    <xf numFmtId="0" fontId="25" fillId="5" borderId="4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14" fillId="14" borderId="12" xfId="0" applyFont="1" applyFill="1" applyBorder="1" applyAlignment="1">
      <alignment horizontal="left" vertical="center"/>
    </xf>
    <xf numFmtId="0" fontId="14" fillId="6" borderId="12" xfId="0" applyFont="1" applyFill="1" applyBorder="1" applyAlignment="1">
      <alignment horizontal="left" vertical="center"/>
    </xf>
    <xf numFmtId="171" fontId="30" fillId="0" borderId="4" xfId="5" applyNumberFormat="1" applyFont="1" applyBorder="1"/>
    <xf numFmtId="172" fontId="30" fillId="0" borderId="4" xfId="5" applyNumberFormat="1" applyFont="1" applyBorder="1"/>
    <xf numFmtId="169" fontId="0" fillId="0" borderId="0" xfId="0" applyNumberFormat="1" applyBorder="1"/>
    <xf numFmtId="174" fontId="0" fillId="0" borderId="0" xfId="0" applyNumberFormat="1" applyBorder="1"/>
    <xf numFmtId="175" fontId="0" fillId="0" borderId="0" xfId="0" applyNumberFormat="1" applyBorder="1"/>
    <xf numFmtId="0" fontId="33" fillId="5" borderId="4" xfId="0" applyFont="1" applyFill="1" applyBorder="1" applyAlignment="1">
      <alignment horizontal="left" vertical="center"/>
    </xf>
    <xf numFmtId="0" fontId="17" fillId="5" borderId="17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 wrapText="1"/>
    </xf>
    <xf numFmtId="3" fontId="14" fillId="7" borderId="13" xfId="0" applyNumberFormat="1" applyFont="1" applyFill="1" applyBorder="1" applyAlignment="1">
      <alignment horizontal="right" vertical="center"/>
    </xf>
    <xf numFmtId="3" fontId="14" fillId="6" borderId="13" xfId="0" applyNumberFormat="1" applyFont="1" applyFill="1" applyBorder="1" applyAlignment="1">
      <alignment horizontal="right" vertical="center"/>
    </xf>
    <xf numFmtId="0" fontId="31" fillId="5" borderId="0" xfId="0" applyFont="1" applyFill="1" applyBorder="1" applyAlignment="1">
      <alignment horizontal="left" vertical="center"/>
    </xf>
    <xf numFmtId="3" fontId="31" fillId="5" borderId="15" xfId="0" applyNumberFormat="1" applyFont="1" applyFill="1" applyBorder="1" applyAlignment="1">
      <alignment horizontal="right" vertical="center"/>
    </xf>
    <xf numFmtId="171" fontId="31" fillId="5" borderId="9" xfId="0" applyNumberFormat="1" applyFont="1" applyFill="1" applyBorder="1" applyAlignment="1">
      <alignment horizontal="right" vertical="center"/>
    </xf>
    <xf numFmtId="9" fontId="14" fillId="7" borderId="19" xfId="10" applyFont="1" applyFill="1" applyBorder="1" applyAlignment="1">
      <alignment horizontal="center" vertical="center"/>
    </xf>
    <xf numFmtId="176" fontId="14" fillId="7" borderId="13" xfId="10" applyNumberFormat="1" applyFont="1" applyFill="1" applyBorder="1" applyAlignment="1">
      <alignment horizontal="center" vertical="center"/>
    </xf>
    <xf numFmtId="176" fontId="14" fillId="6" borderId="13" xfId="10" applyNumberFormat="1" applyFont="1" applyFill="1" applyBorder="1" applyAlignment="1">
      <alignment horizontal="center" vertical="center"/>
    </xf>
    <xf numFmtId="9" fontId="14" fillId="6" borderId="19" xfId="0" applyNumberFormat="1" applyFont="1" applyFill="1" applyBorder="1" applyAlignment="1">
      <alignment horizontal="center" vertical="center"/>
    </xf>
    <xf numFmtId="9" fontId="14" fillId="7" borderId="19" xfId="0" applyNumberFormat="1" applyFont="1" applyFill="1" applyBorder="1" applyAlignment="1">
      <alignment horizontal="center" vertical="center"/>
    </xf>
    <xf numFmtId="1" fontId="14" fillId="7" borderId="19" xfId="0" applyNumberFormat="1" applyFont="1" applyFill="1" applyBorder="1" applyAlignment="1">
      <alignment horizontal="center" vertical="center"/>
    </xf>
    <xf numFmtId="1" fontId="14" fillId="6" borderId="19" xfId="0" applyNumberFormat="1" applyFont="1" applyFill="1" applyBorder="1" applyAlignment="1">
      <alignment horizontal="center" vertical="center"/>
    </xf>
    <xf numFmtId="3" fontId="14" fillId="7" borderId="13" xfId="0" applyNumberFormat="1" applyFont="1" applyFill="1" applyBorder="1" applyAlignment="1">
      <alignment horizontal="center" vertical="center"/>
    </xf>
    <xf numFmtId="3" fontId="14" fillId="6" borderId="13" xfId="0" applyNumberFormat="1" applyFont="1" applyFill="1" applyBorder="1" applyAlignment="1">
      <alignment horizontal="center" vertical="center"/>
    </xf>
    <xf numFmtId="9" fontId="31" fillId="5" borderId="9" xfId="0" applyNumberFormat="1" applyFont="1" applyFill="1" applyBorder="1" applyAlignment="1">
      <alignment horizontal="center" vertical="center"/>
    </xf>
    <xf numFmtId="0" fontId="25" fillId="11" borderId="20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177" fontId="14" fillId="7" borderId="19" xfId="0" applyNumberFormat="1" applyFont="1" applyFill="1" applyBorder="1" applyAlignment="1">
      <alignment horizontal="center" vertical="center"/>
    </xf>
    <xf numFmtId="177" fontId="14" fillId="6" borderId="19" xfId="0" applyNumberFormat="1" applyFont="1" applyFill="1" applyBorder="1" applyAlignment="1">
      <alignment horizontal="center" vertical="center"/>
    </xf>
    <xf numFmtId="4" fontId="17" fillId="5" borderId="4" xfId="0" applyNumberFormat="1" applyFont="1" applyFill="1" applyBorder="1" applyAlignment="1">
      <alignment horizontal="center" vertical="center"/>
    </xf>
    <xf numFmtId="0" fontId="29" fillId="0" borderId="4" xfId="5" applyFont="1" applyBorder="1" applyAlignment="1">
      <alignment vertical="center" wrapText="1"/>
    </xf>
    <xf numFmtId="0" fontId="29" fillId="0" borderId="4" xfId="5" applyFont="1" applyBorder="1" applyAlignment="1">
      <alignment horizontal="left" vertical="center" wrapText="1"/>
    </xf>
    <xf numFmtId="9" fontId="32" fillId="8" borderId="5" xfId="10" applyFont="1" applyFill="1" applyBorder="1" applyAlignment="1">
      <alignment horizontal="center" vertical="center"/>
    </xf>
    <xf numFmtId="9" fontId="24" fillId="15" borderId="12" xfId="10" applyFont="1" applyFill="1" applyBorder="1" applyAlignment="1">
      <alignment horizontal="center" vertical="center"/>
    </xf>
    <xf numFmtId="9" fontId="24" fillId="16" borderId="12" xfId="10" applyFont="1" applyFill="1" applyBorder="1" applyAlignment="1">
      <alignment horizontal="center" vertical="center"/>
    </xf>
    <xf numFmtId="164" fontId="14" fillId="7" borderId="4" xfId="0" applyNumberFormat="1" applyFont="1" applyFill="1" applyBorder="1" applyAlignment="1">
      <alignment horizontal="right" vertical="center" indent="2"/>
    </xf>
    <xf numFmtId="164" fontId="17" fillId="5" borderId="4" xfId="0" applyNumberFormat="1" applyFont="1" applyFill="1" applyBorder="1" applyAlignment="1">
      <alignment horizontal="right" vertical="center" indent="2"/>
    </xf>
    <xf numFmtId="165" fontId="15" fillId="8" borderId="4" xfId="1" applyFont="1" applyFill="1" applyBorder="1" applyAlignment="1">
      <alignment horizontal="center" vertical="center"/>
    </xf>
    <xf numFmtId="4" fontId="14" fillId="7" borderId="4" xfId="0" applyNumberFormat="1" applyFont="1" applyFill="1" applyBorder="1" applyAlignment="1">
      <alignment horizontal="right" vertical="center"/>
    </xf>
    <xf numFmtId="165" fontId="15" fillId="8" borderId="4" xfId="1" applyFont="1" applyFill="1" applyBorder="1" applyAlignment="1" applyProtection="1">
      <alignment horizontal="center" vertical="center"/>
      <protection locked="0"/>
    </xf>
    <xf numFmtId="3" fontId="14" fillId="7" borderId="12" xfId="1" applyNumberFormat="1" applyFont="1" applyFill="1" applyBorder="1" applyAlignment="1">
      <alignment horizontal="right" vertical="center" indent="2"/>
    </xf>
    <xf numFmtId="3" fontId="14" fillId="7" borderId="13" xfId="1" applyNumberFormat="1" applyFont="1" applyFill="1" applyBorder="1" applyAlignment="1">
      <alignment horizontal="right" vertical="center" indent="2"/>
    </xf>
    <xf numFmtId="3" fontId="23" fillId="12" borderId="14" xfId="1" applyNumberFormat="1" applyFont="1" applyFill="1" applyBorder="1" applyAlignment="1">
      <alignment horizontal="right" vertical="center" indent="2"/>
    </xf>
    <xf numFmtId="3" fontId="14" fillId="6" borderId="12" xfId="1" applyNumberFormat="1" applyFont="1" applyFill="1" applyBorder="1" applyAlignment="1">
      <alignment horizontal="right" vertical="center" indent="2"/>
    </xf>
    <xf numFmtId="3" fontId="14" fillId="6" borderId="13" xfId="1" applyNumberFormat="1" applyFont="1" applyFill="1" applyBorder="1" applyAlignment="1">
      <alignment horizontal="right" vertical="center" indent="2"/>
    </xf>
    <xf numFmtId="3" fontId="23" fillId="13" borderId="14" xfId="1" applyNumberFormat="1" applyFont="1" applyFill="1" applyBorder="1" applyAlignment="1">
      <alignment horizontal="right" vertical="center" indent="2"/>
    </xf>
    <xf numFmtId="165" fontId="11" fillId="0" borderId="4" xfId="1" applyFont="1" applyBorder="1" applyAlignment="1">
      <alignment horizontal="right" vertical="center" indent="2"/>
    </xf>
    <xf numFmtId="3" fontId="17" fillId="5" borderId="4" xfId="1" applyNumberFormat="1" applyFont="1" applyFill="1" applyBorder="1" applyAlignment="1">
      <alignment horizontal="right" vertical="center" indent="2"/>
    </xf>
    <xf numFmtId="3" fontId="17" fillId="5" borderId="15" xfId="1" applyNumberFormat="1" applyFont="1" applyFill="1" applyBorder="1" applyAlignment="1">
      <alignment horizontal="right" vertical="center" indent="2"/>
    </xf>
    <xf numFmtId="3" fontId="17" fillId="5" borderId="9" xfId="1" applyNumberFormat="1" applyFont="1" applyFill="1" applyBorder="1" applyAlignment="1">
      <alignment horizontal="right" vertical="center" indent="2"/>
    </xf>
    <xf numFmtId="172" fontId="23" fillId="12" borderId="14" xfId="1" applyNumberFormat="1" applyFont="1" applyFill="1" applyBorder="1" applyAlignment="1">
      <alignment horizontal="right" vertical="center" indent="2"/>
    </xf>
    <xf numFmtId="172" fontId="23" fillId="13" borderId="14" xfId="1" applyNumberFormat="1" applyFont="1" applyFill="1" applyBorder="1" applyAlignment="1">
      <alignment horizontal="right" vertical="center" indent="2"/>
    </xf>
    <xf numFmtId="172" fontId="17" fillId="5" borderId="4" xfId="1" applyNumberFormat="1" applyFont="1" applyFill="1" applyBorder="1" applyAlignment="1">
      <alignment horizontal="right" vertical="center" indent="2"/>
    </xf>
    <xf numFmtId="172" fontId="17" fillId="5" borderId="15" xfId="1" applyNumberFormat="1" applyFont="1" applyFill="1" applyBorder="1" applyAlignment="1">
      <alignment horizontal="right" vertical="center" indent="2"/>
    </xf>
    <xf numFmtId="172" fontId="17" fillId="5" borderId="9" xfId="1" applyNumberFormat="1" applyFont="1" applyFill="1" applyBorder="1" applyAlignment="1">
      <alignment horizontal="right" vertical="center" indent="2"/>
    </xf>
    <xf numFmtId="9" fontId="8" fillId="0" borderId="0" xfId="10" applyFont="1" applyBorder="1"/>
    <xf numFmtId="0" fontId="0" fillId="0" borderId="0" xfId="0" applyBorder="1" applyAlignment="1">
      <alignment horizontal="right" indent="2"/>
    </xf>
    <xf numFmtId="0" fontId="11" fillId="0" borderId="4" xfId="0" applyFont="1" applyBorder="1" applyAlignment="1">
      <alignment horizontal="right" vertical="center"/>
    </xf>
    <xf numFmtId="9" fontId="24" fillId="17" borderId="12" xfId="10" applyFont="1" applyFill="1" applyBorder="1" applyAlignment="1">
      <alignment horizontal="center" vertical="center"/>
    </xf>
    <xf numFmtId="165" fontId="1" fillId="18" borderId="4" xfId="1" applyFill="1" applyBorder="1"/>
    <xf numFmtId="0" fontId="0" fillId="19" borderId="0" xfId="0" applyFill="1" applyBorder="1"/>
    <xf numFmtId="172" fontId="42" fillId="7" borderId="0" xfId="0" applyNumberFormat="1" applyFont="1" applyFill="1" applyBorder="1" applyAlignment="1">
      <alignment horizontal="center" vertical="center"/>
    </xf>
    <xf numFmtId="172" fontId="45" fillId="20" borderId="0" xfId="0" applyNumberFormat="1" applyFont="1" applyFill="1" applyBorder="1" applyAlignment="1">
      <alignment horizontal="center" vertical="center"/>
    </xf>
    <xf numFmtId="172" fontId="47" fillId="22" borderId="0" xfId="0" applyNumberFormat="1" applyFont="1" applyFill="1" applyBorder="1" applyAlignment="1">
      <alignment horizontal="center" vertical="center"/>
    </xf>
    <xf numFmtId="172" fontId="39" fillId="5" borderId="0" xfId="0" applyNumberFormat="1" applyFont="1" applyFill="1" applyBorder="1" applyAlignment="1">
      <alignment horizontal="center" vertical="center"/>
    </xf>
    <xf numFmtId="176" fontId="43" fillId="12" borderId="0" xfId="0" applyNumberFormat="1" applyFont="1" applyFill="1" applyBorder="1" applyAlignment="1">
      <alignment horizontal="center" vertical="center"/>
    </xf>
    <xf numFmtId="176" fontId="44" fillId="21" borderId="0" xfId="0" applyNumberFormat="1" applyFont="1" applyFill="1" applyBorder="1" applyAlignment="1">
      <alignment horizontal="center" vertical="center"/>
    </xf>
    <xf numFmtId="10" fontId="46" fillId="22" borderId="0" xfId="0" applyNumberFormat="1" applyFont="1" applyFill="1" applyBorder="1" applyAlignment="1">
      <alignment horizontal="center" vertical="center"/>
    </xf>
    <xf numFmtId="176" fontId="48" fillId="12" borderId="0" xfId="0" applyNumberFormat="1" applyFont="1" applyFill="1" applyBorder="1" applyAlignment="1">
      <alignment horizontal="center" vertical="center"/>
    </xf>
    <xf numFmtId="172" fontId="42" fillId="6" borderId="0" xfId="0" applyNumberFormat="1" applyFont="1" applyFill="1" applyBorder="1" applyAlignment="1">
      <alignment horizontal="center" vertical="center"/>
    </xf>
    <xf numFmtId="0" fontId="42" fillId="19" borderId="0" xfId="0" applyFont="1" applyFill="1" applyBorder="1" applyAlignment="1">
      <alignment horizontal="center" vertical="center"/>
    </xf>
    <xf numFmtId="176" fontId="23" fillId="12" borderId="14" xfId="1" applyNumberFormat="1" applyFont="1" applyFill="1" applyBorder="1" applyAlignment="1">
      <alignment horizontal="right" vertical="center" indent="2"/>
    </xf>
    <xf numFmtId="176" fontId="23" fillId="13" borderId="14" xfId="1" applyNumberFormat="1" applyFont="1" applyFill="1" applyBorder="1" applyAlignment="1">
      <alignment horizontal="right" vertical="center" indent="2"/>
    </xf>
    <xf numFmtId="176" fontId="17" fillId="5" borderId="9" xfId="1" applyNumberFormat="1" applyFont="1" applyFill="1" applyBorder="1" applyAlignment="1">
      <alignment horizontal="right" vertical="center" indent="2"/>
    </xf>
    <xf numFmtId="0" fontId="0" fillId="4" borderId="4" xfId="0" applyFill="1" applyBorder="1"/>
    <xf numFmtId="176" fontId="14" fillId="7" borderId="6" xfId="0" applyNumberFormat="1" applyFont="1" applyFill="1" applyBorder="1" applyAlignment="1">
      <alignment horizontal="right" vertical="center"/>
    </xf>
    <xf numFmtId="176" fontId="14" fillId="6" borderId="6" xfId="0" applyNumberFormat="1" applyFont="1" applyFill="1" applyBorder="1" applyAlignment="1">
      <alignment horizontal="right" vertical="center"/>
    </xf>
    <xf numFmtId="176" fontId="17" fillId="5" borderId="4" xfId="0" applyNumberFormat="1" applyFont="1" applyFill="1" applyBorder="1" applyAlignment="1">
      <alignment horizontal="right" vertical="center"/>
    </xf>
    <xf numFmtId="0" fontId="52" fillId="0" borderId="22" xfId="2" applyFont="1" applyBorder="1" applyAlignment="1">
      <alignment horizontal="left" vertical="center"/>
    </xf>
    <xf numFmtId="0" fontId="52" fillId="0" borderId="22" xfId="0" applyFont="1" applyBorder="1" applyAlignment="1">
      <alignment horizontal="left" vertical="center"/>
    </xf>
    <xf numFmtId="0" fontId="55" fillId="24" borderId="22" xfId="2" applyFont="1" applyFill="1" applyBorder="1" applyAlignment="1">
      <alignment horizontal="center" vertical="center"/>
    </xf>
    <xf numFmtId="0" fontId="56" fillId="26" borderId="23" xfId="2" applyFont="1" applyFill="1" applyBorder="1" applyAlignment="1">
      <alignment horizontal="left" vertical="center" indent="1"/>
    </xf>
    <xf numFmtId="0" fontId="52" fillId="0" borderId="23" xfId="2" applyFont="1" applyBorder="1" applyAlignment="1">
      <alignment horizontal="left" vertical="center"/>
    </xf>
    <xf numFmtId="0" fontId="58" fillId="27" borderId="22" xfId="2" applyFont="1" applyFill="1" applyBorder="1" applyAlignment="1">
      <alignment horizontal="center" vertical="center"/>
    </xf>
    <xf numFmtId="0" fontId="59" fillId="28" borderId="22" xfId="2" applyFont="1" applyFill="1" applyBorder="1" applyAlignment="1">
      <alignment horizontal="left" vertical="center" indent="1"/>
    </xf>
    <xf numFmtId="0" fontId="59" fillId="26" borderId="22" xfId="2" applyFont="1" applyFill="1" applyBorder="1" applyAlignment="1">
      <alignment horizontal="left" vertical="center" indent="1"/>
    </xf>
    <xf numFmtId="0" fontId="58" fillId="27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indent="1"/>
    </xf>
    <xf numFmtId="0" fontId="55" fillId="24" borderId="22" xfId="0" applyFont="1" applyFill="1" applyBorder="1" applyAlignment="1">
      <alignment horizontal="center" vertical="center"/>
    </xf>
    <xf numFmtId="0" fontId="56" fillId="26" borderId="23" xfId="0" applyFont="1" applyFill="1" applyBorder="1" applyAlignment="1">
      <alignment horizontal="left" vertical="center" indent="1"/>
    </xf>
    <xf numFmtId="0" fontId="52" fillId="0" borderId="23" xfId="0" applyFont="1" applyBorder="1" applyAlignment="1">
      <alignment horizontal="left" vertical="center"/>
    </xf>
    <xf numFmtId="0" fontId="62" fillId="28" borderId="22" xfId="0" applyFont="1" applyFill="1" applyBorder="1" applyAlignment="1">
      <alignment horizontal="center" vertical="center"/>
    </xf>
    <xf numFmtId="0" fontId="59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center"/>
    </xf>
    <xf numFmtId="0" fontId="59" fillId="26" borderId="22" xfId="0" applyFont="1" applyFill="1" applyBorder="1" applyAlignment="1">
      <alignment horizontal="left" vertical="center" wrapText="1" indent="1"/>
    </xf>
    <xf numFmtId="0" fontId="62" fillId="28" borderId="22" xfId="0" applyFont="1" applyFill="1" applyBorder="1" applyAlignment="1">
      <alignment horizontal="center" vertical="top"/>
    </xf>
    <xf numFmtId="0" fontId="63" fillId="28" borderId="22" xfId="0" applyFont="1" applyFill="1" applyBorder="1" applyAlignment="1">
      <alignment horizontal="left" vertical="center" wrapText="1" indent="1"/>
    </xf>
    <xf numFmtId="0" fontId="62" fillId="26" borderId="22" xfId="0" applyFont="1" applyFill="1" applyBorder="1" applyAlignment="1">
      <alignment horizontal="center" vertical="top"/>
    </xf>
    <xf numFmtId="0" fontId="63" fillId="26" borderId="22" xfId="0" applyFont="1" applyFill="1" applyBorder="1" applyAlignment="1">
      <alignment horizontal="left" vertical="center" wrapText="1" indent="1"/>
    </xf>
    <xf numFmtId="176" fontId="67" fillId="30" borderId="26" xfId="0" applyNumberFormat="1" applyFont="1" applyFill="1" applyBorder="1" applyAlignment="1">
      <alignment horizontal="center" vertical="center"/>
    </xf>
    <xf numFmtId="176" fontId="68" fillId="26" borderId="27" xfId="0" applyNumberFormat="1" applyFont="1" applyFill="1" applyBorder="1" applyAlignment="1">
      <alignment horizontal="center" vertical="center"/>
    </xf>
    <xf numFmtId="0" fontId="69" fillId="28" borderId="28" xfId="0" applyFont="1" applyFill="1" applyBorder="1" applyAlignment="1">
      <alignment horizontal="center" vertical="center"/>
    </xf>
    <xf numFmtId="176" fontId="61" fillId="28" borderId="28" xfId="0" applyNumberFormat="1" applyFont="1" applyFill="1" applyBorder="1" applyAlignment="1">
      <alignment horizontal="center" vertical="center"/>
    </xf>
    <xf numFmtId="176" fontId="59" fillId="28" borderId="28" xfId="0" applyNumberFormat="1" applyFont="1" applyFill="1" applyBorder="1" applyAlignment="1">
      <alignment horizontal="center" vertical="center"/>
    </xf>
    <xf numFmtId="0" fontId="70" fillId="28" borderId="28" xfId="0" applyFont="1" applyFill="1" applyBorder="1" applyAlignment="1">
      <alignment horizontal="left" vertical="center" indent="1"/>
    </xf>
    <xf numFmtId="0" fontId="69" fillId="26" borderId="28" xfId="0" applyFont="1" applyFill="1" applyBorder="1" applyAlignment="1">
      <alignment horizontal="center" vertical="center"/>
    </xf>
    <xf numFmtId="176" fontId="61" fillId="26" borderId="28" xfId="0" applyNumberFormat="1" applyFont="1" applyFill="1" applyBorder="1" applyAlignment="1">
      <alignment horizontal="center" vertical="center"/>
    </xf>
    <xf numFmtId="176" fontId="59" fillId="26" borderId="28" xfId="0" applyNumberFormat="1" applyFont="1" applyFill="1" applyBorder="1" applyAlignment="1">
      <alignment horizontal="center" vertical="center"/>
    </xf>
    <xf numFmtId="0" fontId="70" fillId="26" borderId="28" xfId="0" applyFont="1" applyFill="1" applyBorder="1" applyAlignment="1">
      <alignment horizontal="left" vertical="center" indent="1"/>
    </xf>
    <xf numFmtId="0" fontId="64" fillId="0" borderId="22" xfId="0" applyFont="1" applyBorder="1" applyAlignment="1">
      <alignment horizontal="left" vertical="center" indent="1"/>
    </xf>
    <xf numFmtId="0" fontId="71" fillId="24" borderId="23" xfId="0" applyFont="1" applyFill="1" applyBorder="1" applyAlignment="1">
      <alignment horizontal="center" vertical="center" wrapText="1"/>
    </xf>
    <xf numFmtId="172" fontId="63" fillId="28" borderId="28" xfId="0" applyNumberFormat="1" applyFont="1" applyFill="1" applyBorder="1" applyAlignment="1">
      <alignment horizontal="center" vertical="center"/>
    </xf>
    <xf numFmtId="178" fontId="73" fillId="28" borderId="28" xfId="0" applyNumberFormat="1" applyFont="1" applyFill="1" applyBorder="1" applyAlignment="1">
      <alignment horizontal="left" vertical="center" indent="1"/>
    </xf>
    <xf numFmtId="172" fontId="63" fillId="26" borderId="28" xfId="0" applyNumberFormat="1" applyFont="1" applyFill="1" applyBorder="1" applyAlignment="1">
      <alignment horizontal="center" vertical="center"/>
    </xf>
    <xf numFmtId="178" fontId="73" fillId="26" borderId="28" xfId="0" applyNumberFormat="1" applyFont="1" applyFill="1" applyBorder="1" applyAlignment="1">
      <alignment horizontal="left" vertical="center" indent="1"/>
    </xf>
    <xf numFmtId="0" fontId="0" fillId="0" borderId="24" xfId="0"/>
    <xf numFmtId="0" fontId="11" fillId="26" borderId="22" xfId="2" applyFont="1" applyFill="1" applyBorder="1" applyAlignment="1">
      <alignment horizontal="left" vertical="center" indent="1"/>
    </xf>
    <xf numFmtId="0" fontId="11" fillId="28" borderId="22" xfId="2" applyFont="1" applyFill="1" applyBorder="1" applyAlignment="1">
      <alignment horizontal="left" vertical="center" indent="1"/>
    </xf>
    <xf numFmtId="0" fontId="11" fillId="28" borderId="22" xfId="0" applyFont="1" applyFill="1" applyBorder="1" applyAlignment="1">
      <alignment horizontal="left" vertical="center" indent="1"/>
    </xf>
    <xf numFmtId="165" fontId="15" fillId="8" borderId="5" xfId="1" applyFont="1" applyFill="1" applyBorder="1" applyAlignment="1">
      <alignment horizontal="right" vertical="center" indent="2"/>
    </xf>
    <xf numFmtId="165" fontId="15" fillId="8" borderId="5" xfId="1" applyFont="1" applyFill="1" applyBorder="1" applyAlignment="1" applyProtection="1">
      <alignment horizontal="right" vertical="center" indent="2"/>
      <protection locked="0"/>
    </xf>
    <xf numFmtId="3" fontId="45" fillId="20" borderId="0" xfId="0" applyNumberFormat="1" applyFont="1" applyFill="1" applyBorder="1" applyAlignment="1">
      <alignment horizontal="center" vertical="center"/>
    </xf>
    <xf numFmtId="3" fontId="39" fillId="5" borderId="0" xfId="0" applyNumberFormat="1" applyFont="1" applyFill="1" applyBorder="1" applyAlignment="1">
      <alignment horizontal="center" vertical="center"/>
    </xf>
    <xf numFmtId="3" fontId="47" fillId="22" borderId="0" xfId="0" applyNumberFormat="1" applyFont="1" applyFill="1" applyBorder="1" applyAlignment="1">
      <alignment horizontal="center" vertical="center"/>
    </xf>
    <xf numFmtId="3" fontId="42" fillId="7" borderId="0" xfId="0" applyNumberFormat="1" applyFont="1" applyFill="1" applyBorder="1" applyAlignment="1">
      <alignment horizontal="center" vertical="center"/>
    </xf>
    <xf numFmtId="0" fontId="76" fillId="0" borderId="0" xfId="0" applyFont="1" applyBorder="1"/>
    <xf numFmtId="0" fontId="25" fillId="32" borderId="9" xfId="0" applyFont="1" applyFill="1" applyBorder="1" applyAlignment="1">
      <alignment horizontal="center" vertical="center" wrapText="1"/>
    </xf>
    <xf numFmtId="0" fontId="25" fillId="32" borderId="11" xfId="0" applyFont="1" applyFill="1" applyBorder="1" applyAlignment="1">
      <alignment horizontal="center" vertical="center" wrapText="1"/>
    </xf>
    <xf numFmtId="3" fontId="14" fillId="7" borderId="6" xfId="0" applyNumberFormat="1" applyFont="1" applyFill="1" applyBorder="1" applyAlignment="1">
      <alignment horizontal="right" vertical="center" indent="2"/>
    </xf>
    <xf numFmtId="3" fontId="14" fillId="6" borderId="6" xfId="0" applyNumberFormat="1" applyFont="1" applyFill="1" applyBorder="1" applyAlignment="1">
      <alignment horizontal="right" vertical="center" indent="2"/>
    </xf>
    <xf numFmtId="0" fontId="75" fillId="19" borderId="0" xfId="0" applyFont="1" applyFill="1" applyBorder="1"/>
    <xf numFmtId="0" fontId="78" fillId="9" borderId="4" xfId="0" applyFont="1" applyFill="1" applyBorder="1" applyAlignment="1">
      <alignment horizontal="center" vertical="center" wrapText="1"/>
    </xf>
    <xf numFmtId="0" fontId="78" fillId="10" borderId="4" xfId="0" applyFont="1" applyFill="1" applyBorder="1" applyAlignment="1">
      <alignment horizontal="center" vertical="center" wrapText="1"/>
    </xf>
    <xf numFmtId="0" fontId="78" fillId="5" borderId="4" xfId="0" applyFont="1" applyFill="1" applyBorder="1" applyAlignment="1">
      <alignment horizontal="center" vertical="center" wrapText="1"/>
    </xf>
    <xf numFmtId="0" fontId="76" fillId="19" borderId="0" xfId="0" applyFont="1" applyFill="1" applyBorder="1"/>
    <xf numFmtId="0" fontId="80" fillId="10" borderId="4" xfId="0" applyFont="1" applyFill="1" applyBorder="1" applyAlignment="1">
      <alignment horizontal="center" vertical="center" wrapText="1"/>
    </xf>
    <xf numFmtId="0" fontId="80" fillId="11" borderId="4" xfId="0" applyFont="1" applyFill="1" applyBorder="1" applyAlignment="1">
      <alignment horizontal="center" vertical="center" wrapText="1"/>
    </xf>
    <xf numFmtId="0" fontId="79" fillId="11" borderId="4" xfId="0" applyFont="1" applyFill="1" applyBorder="1" applyAlignment="1">
      <alignment horizontal="center" vertical="center" wrapText="1"/>
    </xf>
    <xf numFmtId="0" fontId="78" fillId="11" borderId="4" xfId="0" applyFont="1" applyFill="1" applyBorder="1" applyAlignment="1">
      <alignment horizontal="center" vertical="center" wrapText="1"/>
    </xf>
    <xf numFmtId="3" fontId="81" fillId="9" borderId="4" xfId="0" applyNumberFormat="1" applyFont="1" applyFill="1" applyBorder="1" applyAlignment="1">
      <alignment horizontal="right" vertical="center" indent="2"/>
    </xf>
    <xf numFmtId="3" fontId="81" fillId="10" borderId="4" xfId="0" applyNumberFormat="1" applyFont="1" applyFill="1" applyBorder="1" applyAlignment="1">
      <alignment horizontal="right" vertical="center" indent="2"/>
    </xf>
    <xf numFmtId="176" fontId="44" fillId="12" borderId="4" xfId="0" applyNumberFormat="1" applyFont="1" applyFill="1" applyBorder="1" applyAlignment="1">
      <alignment horizontal="center" vertical="center"/>
    </xf>
    <xf numFmtId="176" fontId="43" fillId="12" borderId="4" xfId="0" applyNumberFormat="1" applyFont="1" applyFill="1" applyBorder="1" applyAlignment="1">
      <alignment horizontal="center" vertical="center"/>
    </xf>
    <xf numFmtId="3" fontId="50" fillId="12" borderId="4" xfId="0" applyNumberFormat="1" applyFont="1" applyFill="1" applyBorder="1" applyAlignment="1">
      <alignment horizontal="center" vertical="center"/>
    </xf>
    <xf numFmtId="176" fontId="46" fillId="12" borderId="4" xfId="0" applyNumberFormat="1" applyFont="1" applyFill="1" applyBorder="1" applyAlignment="1">
      <alignment horizontal="center" vertical="center"/>
    </xf>
    <xf numFmtId="179" fontId="51" fillId="12" borderId="4" xfId="0" applyNumberFormat="1" applyFont="1" applyFill="1" applyBorder="1" applyAlignment="1">
      <alignment horizontal="center" vertical="center"/>
    </xf>
    <xf numFmtId="165" fontId="1" fillId="31" borderId="24" xfId="1" applyFill="1" applyAlignment="1">
      <alignment horizontal="center"/>
    </xf>
    <xf numFmtId="0" fontId="80" fillId="5" borderId="4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171" fontId="21" fillId="0" borderId="4" xfId="0" applyNumberFormat="1" applyFont="1" applyBorder="1" applyAlignment="1">
      <alignment horizontal="center" vertical="center"/>
    </xf>
    <xf numFmtId="171" fontId="21" fillId="0" borderId="4" xfId="5" applyNumberFormat="1" applyFont="1" applyBorder="1" applyAlignment="1">
      <alignment horizontal="center" vertical="center"/>
    </xf>
    <xf numFmtId="172" fontId="17" fillId="5" borderId="4" xfId="5" applyNumberFormat="1" applyFont="1" applyFill="1" applyBorder="1" applyAlignment="1">
      <alignment horizontal="center" vertical="center" wrapText="1"/>
    </xf>
    <xf numFmtId="172" fontId="17" fillId="5" borderId="4" xfId="0" applyNumberFormat="1" applyFont="1" applyFill="1" applyBorder="1" applyAlignment="1">
      <alignment horizontal="center" vertical="center" wrapText="1"/>
    </xf>
    <xf numFmtId="9" fontId="24" fillId="14" borderId="12" xfId="0" applyNumberFormat="1" applyFont="1" applyFill="1" applyBorder="1" applyAlignment="1">
      <alignment horizontal="center" vertical="center"/>
    </xf>
    <xf numFmtId="3" fontId="14" fillId="7" borderId="4" xfId="0" applyNumberFormat="1" applyFont="1" applyFill="1" applyBorder="1" applyAlignment="1">
      <alignment horizontal="right" vertical="center" indent="2"/>
    </xf>
    <xf numFmtId="3" fontId="14" fillId="6" borderId="4" xfId="0" applyNumberFormat="1" applyFont="1" applyFill="1" applyBorder="1" applyAlignment="1">
      <alignment horizontal="right" vertical="center" indent="2"/>
    </xf>
    <xf numFmtId="0" fontId="34" fillId="5" borderId="4" xfId="0" applyFont="1" applyFill="1" applyBorder="1" applyAlignment="1">
      <alignment vertical="center"/>
    </xf>
    <xf numFmtId="0" fontId="82" fillId="19" borderId="0" xfId="0" applyFont="1" applyFill="1" applyBorder="1" applyAlignment="1">
      <alignment horizontal="center" vertical="center"/>
    </xf>
    <xf numFmtId="0" fontId="80" fillId="9" borderId="4" xfId="0" applyFont="1" applyFill="1" applyBorder="1" applyAlignment="1">
      <alignment horizontal="center" vertical="center" wrapText="1"/>
    </xf>
    <xf numFmtId="0" fontId="65" fillId="11" borderId="0" xfId="0" applyFont="1" applyFill="1" applyBorder="1" applyAlignment="1">
      <alignment horizontal="center" vertical="center"/>
    </xf>
    <xf numFmtId="172" fontId="65" fillId="11" borderId="0" xfId="0" applyNumberFormat="1" applyFont="1" applyFill="1" applyBorder="1" applyAlignment="1">
      <alignment horizontal="center" vertical="center"/>
    </xf>
    <xf numFmtId="172" fontId="83" fillId="7" borderId="0" xfId="0" applyNumberFormat="1" applyFont="1" applyFill="1" applyBorder="1" applyAlignment="1">
      <alignment horizontal="center" vertical="center"/>
    </xf>
    <xf numFmtId="172" fontId="84" fillId="7" borderId="0" xfId="0" applyNumberFormat="1" applyFont="1" applyFill="1" applyBorder="1" applyAlignment="1">
      <alignment horizontal="center" vertical="center"/>
    </xf>
    <xf numFmtId="176" fontId="86" fillId="12" borderId="0" xfId="0" applyNumberFormat="1" applyFont="1" applyFill="1" applyBorder="1" applyAlignment="1">
      <alignment horizontal="center" vertical="center"/>
    </xf>
    <xf numFmtId="0" fontId="65" fillId="9" borderId="0" xfId="0" applyFont="1" applyFill="1" applyBorder="1" applyAlignment="1">
      <alignment horizontal="center" vertical="center"/>
    </xf>
    <xf numFmtId="3" fontId="65" fillId="9" borderId="0" xfId="0" applyNumberFormat="1" applyFont="1" applyFill="1" applyBorder="1" applyAlignment="1">
      <alignment horizontal="center" vertical="center"/>
    </xf>
    <xf numFmtId="3" fontId="83" fillId="7" borderId="0" xfId="0" applyNumberFormat="1" applyFont="1" applyFill="1" applyBorder="1" applyAlignment="1">
      <alignment horizontal="center" vertical="center"/>
    </xf>
    <xf numFmtId="3" fontId="87" fillId="7" borderId="0" xfId="0" applyNumberFormat="1" applyFont="1" applyFill="1" applyBorder="1" applyAlignment="1">
      <alignment horizontal="center" vertical="center"/>
    </xf>
    <xf numFmtId="176" fontId="88" fillId="12" borderId="0" xfId="0" applyNumberFormat="1" applyFont="1" applyFill="1" applyBorder="1" applyAlignment="1">
      <alignment horizontal="center" vertical="center"/>
    </xf>
    <xf numFmtId="172" fontId="83" fillId="6" borderId="0" xfId="0" applyNumberFormat="1" applyFont="1" applyFill="1" applyBorder="1" applyAlignment="1">
      <alignment horizontal="center" vertical="center"/>
    </xf>
    <xf numFmtId="172" fontId="84" fillId="6" borderId="0" xfId="0" applyNumberFormat="1" applyFont="1" applyFill="1" applyBorder="1" applyAlignment="1">
      <alignment horizontal="center" vertical="center"/>
    </xf>
    <xf numFmtId="176" fontId="85" fillId="6" borderId="0" xfId="0" applyNumberFormat="1" applyFont="1" applyFill="1" applyBorder="1" applyAlignment="1">
      <alignment horizontal="center" vertical="center"/>
    </xf>
    <xf numFmtId="3" fontId="83" fillId="6" borderId="0" xfId="0" applyNumberFormat="1" applyFont="1" applyFill="1" applyBorder="1" applyAlignment="1">
      <alignment horizontal="center" vertical="center"/>
    </xf>
    <xf numFmtId="3" fontId="87" fillId="6" borderId="0" xfId="0" applyNumberFormat="1" applyFont="1" applyFill="1" applyBorder="1" applyAlignment="1">
      <alignment horizontal="center" vertical="center"/>
    </xf>
    <xf numFmtId="177" fontId="85" fillId="6" borderId="0" xfId="0" applyNumberFormat="1" applyFont="1" applyFill="1" applyBorder="1" applyAlignment="1">
      <alignment horizontal="center" vertical="center"/>
    </xf>
    <xf numFmtId="0" fontId="81" fillId="5" borderId="4" xfId="0" applyFont="1" applyFill="1" applyBorder="1" applyAlignment="1">
      <alignment horizontal="center" vertical="center" wrapText="1"/>
    </xf>
    <xf numFmtId="1" fontId="14" fillId="7" borderId="6" xfId="1" applyNumberFormat="1" applyFont="1" applyFill="1" applyBorder="1" applyAlignment="1">
      <alignment horizontal="center" vertical="center"/>
    </xf>
    <xf numFmtId="1" fontId="14" fillId="6" borderId="6" xfId="1" applyNumberFormat="1" applyFont="1" applyFill="1" applyBorder="1" applyAlignment="1">
      <alignment horizontal="center" vertical="center"/>
    </xf>
    <xf numFmtId="178" fontId="14" fillId="7" borderId="6" xfId="1" applyNumberFormat="1" applyFont="1" applyFill="1" applyBorder="1" applyAlignment="1">
      <alignment horizontal="center" vertical="center"/>
    </xf>
    <xf numFmtId="178" fontId="14" fillId="6" borderId="6" xfId="1" applyNumberFormat="1" applyFont="1" applyFill="1" applyBorder="1" applyAlignment="1">
      <alignment horizontal="center" vertical="center"/>
    </xf>
    <xf numFmtId="1" fontId="14" fillId="7" borderId="6" xfId="1" applyNumberFormat="1" applyFont="1" applyFill="1" applyBorder="1" applyAlignment="1">
      <alignment horizontal="left" vertical="center"/>
    </xf>
    <xf numFmtId="1" fontId="14" fillId="6" borderId="6" xfId="1" applyNumberFormat="1" applyFont="1" applyFill="1" applyBorder="1" applyAlignment="1">
      <alignment horizontal="left" vertical="center"/>
    </xf>
    <xf numFmtId="3" fontId="92" fillId="23" borderId="4" xfId="0" applyNumberFormat="1" applyFont="1" applyFill="1" applyBorder="1" applyAlignment="1">
      <alignment horizontal="center" vertical="center"/>
    </xf>
    <xf numFmtId="176" fontId="93" fillId="23" borderId="4" xfId="0" applyNumberFormat="1" applyFont="1" applyFill="1" applyBorder="1" applyAlignment="1">
      <alignment horizontal="center" vertical="center"/>
    </xf>
    <xf numFmtId="179" fontId="94" fillId="23" borderId="4" xfId="0" applyNumberFormat="1" applyFont="1" applyFill="1" applyBorder="1" applyAlignment="1">
      <alignment horizontal="center" vertical="center"/>
    </xf>
    <xf numFmtId="3" fontId="95" fillId="22" borderId="4" xfId="0" applyNumberFormat="1" applyFont="1" applyFill="1" applyBorder="1" applyAlignment="1">
      <alignment horizontal="center" vertical="center"/>
    </xf>
    <xf numFmtId="176" fontId="96" fillId="22" borderId="4" xfId="0" applyNumberFormat="1" applyFont="1" applyFill="1" applyBorder="1" applyAlignment="1">
      <alignment horizontal="center" vertical="center"/>
    </xf>
    <xf numFmtId="179" fontId="97" fillId="22" borderId="4" xfId="0" applyNumberFormat="1" applyFont="1" applyFill="1" applyBorder="1" applyAlignment="1">
      <alignment horizontal="center" vertical="center"/>
    </xf>
    <xf numFmtId="0" fontId="98" fillId="7" borderId="4" xfId="0" applyFont="1" applyFill="1" applyBorder="1" applyAlignment="1">
      <alignment horizontal="left" vertical="center"/>
    </xf>
    <xf numFmtId="1" fontId="99" fillId="7" borderId="4" xfId="0" applyNumberFormat="1" applyFont="1" applyFill="1" applyBorder="1" applyAlignment="1">
      <alignment horizontal="center" vertical="center"/>
    </xf>
    <xf numFmtId="176" fontId="100" fillId="7" borderId="0" xfId="0" applyNumberFormat="1" applyFont="1" applyFill="1" applyBorder="1" applyAlignment="1">
      <alignment horizontal="center" vertical="center"/>
    </xf>
    <xf numFmtId="177" fontId="100" fillId="7" borderId="0" xfId="0" applyNumberFormat="1" applyFont="1" applyFill="1" applyBorder="1" applyAlignment="1">
      <alignment horizontal="center" vertical="center"/>
    </xf>
    <xf numFmtId="0" fontId="101" fillId="7" borderId="2" xfId="0" applyFont="1" applyFill="1" applyBorder="1" applyAlignment="1">
      <alignment horizontal="center" vertical="center"/>
    </xf>
    <xf numFmtId="0" fontId="101" fillId="7" borderId="0" xfId="8" applyFont="1" applyFill="1" applyBorder="1" applyAlignment="1">
      <alignment horizontal="center" vertical="center"/>
    </xf>
    <xf numFmtId="0" fontId="101" fillId="7" borderId="0" xfId="3" applyFont="1" applyFill="1" applyBorder="1" applyAlignment="1">
      <alignment horizontal="center" vertical="center"/>
    </xf>
    <xf numFmtId="0" fontId="101" fillId="7" borderId="2" xfId="3" applyFont="1" applyFill="1" applyBorder="1" applyAlignment="1">
      <alignment horizontal="center" vertical="center"/>
    </xf>
    <xf numFmtId="0" fontId="16" fillId="6" borderId="4" xfId="5" applyFont="1" applyFill="1" applyBorder="1" applyAlignment="1">
      <alignment vertical="center"/>
    </xf>
    <xf numFmtId="4" fontId="17" fillId="5" borderId="4" xfId="1" applyNumberFormat="1" applyFont="1" applyFill="1" applyBorder="1" applyAlignment="1">
      <alignment horizontal="center" vertical="center"/>
    </xf>
    <xf numFmtId="0" fontId="11" fillId="28" borderId="22" xfId="0" applyFont="1" applyFill="1" applyBorder="1" applyAlignment="1">
      <alignment horizontal="left" vertical="center" wrapText="1" indent="1"/>
    </xf>
    <xf numFmtId="0" fontId="12" fillId="5" borderId="24" xfId="0" applyFont="1" applyFill="1" applyAlignment="1">
      <alignment horizontal="left" vertical="center"/>
    </xf>
    <xf numFmtId="0" fontId="17" fillId="9" borderId="24" xfId="0" applyFont="1" applyFill="1" applyAlignment="1">
      <alignment horizontal="center" vertical="center"/>
    </xf>
    <xf numFmtId="0" fontId="16" fillId="6" borderId="24" xfId="0" applyFont="1" applyFill="1" applyAlignment="1">
      <alignment horizontal="left" vertical="center"/>
    </xf>
    <xf numFmtId="0" fontId="17" fillId="11" borderId="8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3" fontId="17" fillId="5" borderId="4" xfId="0" applyNumberFormat="1" applyFont="1" applyFill="1" applyBorder="1" applyAlignment="1">
      <alignment horizontal="right" vertical="center"/>
    </xf>
    <xf numFmtId="0" fontId="17" fillId="9" borderId="24" xfId="0" applyFont="1" applyFill="1" applyAlignment="1">
      <alignment horizontal="center" vertical="center" wrapText="1"/>
    </xf>
    <xf numFmtId="0" fontId="8" fillId="0" borderId="24" xfId="5"/>
    <xf numFmtId="4" fontId="8" fillId="0" borderId="24" xfId="5" applyNumberFormat="1"/>
    <xf numFmtId="9" fontId="8" fillId="0" borderId="24" xfId="10" applyFont="1"/>
    <xf numFmtId="171" fontId="24" fillId="0" borderId="4" xfId="5" applyNumberFormat="1" applyFont="1" applyBorder="1"/>
    <xf numFmtId="9" fontId="104" fillId="0" borderId="0" xfId="5" applyNumberFormat="1" applyFont="1" applyBorder="1"/>
    <xf numFmtId="0" fontId="26" fillId="6" borderId="0" xfId="0" applyFont="1" applyFill="1" applyBorder="1" applyAlignment="1">
      <alignment horizontal="center"/>
    </xf>
    <xf numFmtId="0" fontId="26" fillId="7" borderId="0" xfId="0" applyFont="1" applyFill="1" applyBorder="1" applyAlignment="1">
      <alignment horizontal="center"/>
    </xf>
    <xf numFmtId="0" fontId="26" fillId="7" borderId="24" xfId="0" applyFont="1" applyFill="1" applyAlignment="1">
      <alignment horizontal="center" vertical="center" wrapText="1"/>
    </xf>
    <xf numFmtId="0" fontId="26" fillId="7" borderId="24" xfId="0" applyFont="1" applyFill="1" applyAlignment="1">
      <alignment horizontal="center" vertical="center"/>
    </xf>
    <xf numFmtId="0" fontId="26" fillId="7" borderId="24" xfId="0" applyFont="1" applyFill="1" applyAlignment="1">
      <alignment horizontal="left" vertical="center"/>
    </xf>
    <xf numFmtId="169" fontId="27" fillId="7" borderId="24" xfId="0" applyNumberFormat="1" applyFont="1" applyFill="1"/>
    <xf numFmtId="0" fontId="13" fillId="26" borderId="24" xfId="0" applyFont="1" applyFill="1"/>
    <xf numFmtId="169" fontId="42" fillId="7" borderId="24" xfId="0" applyNumberFormat="1" applyFont="1" applyFill="1"/>
    <xf numFmtId="0" fontId="8" fillId="0" borderId="24" xfId="0" applyFont="1"/>
    <xf numFmtId="0" fontId="90" fillId="0" borderId="0" xfId="3" applyFont="1" applyBorder="1"/>
    <xf numFmtId="3" fontId="0" fillId="0" borderId="0" xfId="0" applyNumberFormat="1" applyBorder="1"/>
    <xf numFmtId="0" fontId="14" fillId="33" borderId="24" xfId="0" applyFont="1" applyFill="1" applyAlignment="1">
      <alignment horizontal="left" vertical="center"/>
    </xf>
    <xf numFmtId="0" fontId="14" fillId="34" borderId="24" xfId="0" applyFont="1" applyFill="1" applyAlignment="1">
      <alignment horizontal="left" vertical="center"/>
    </xf>
    <xf numFmtId="0" fontId="19" fillId="28" borderId="24" xfId="0" applyFont="1" applyFill="1"/>
    <xf numFmtId="0" fontId="19" fillId="26" borderId="24" xfId="0" applyFont="1" applyFill="1"/>
    <xf numFmtId="0" fontId="19" fillId="28" borderId="24" xfId="5" applyFont="1" applyFill="1"/>
    <xf numFmtId="0" fontId="19" fillId="26" borderId="24" xfId="5" applyFont="1" applyFill="1"/>
    <xf numFmtId="3" fontId="14" fillId="28" borderId="19" xfId="0" applyNumberFormat="1" applyFont="1" applyFill="1" applyBorder="1" applyAlignment="1">
      <alignment horizontal="right" vertical="center"/>
    </xf>
    <xf numFmtId="3" fontId="14" fillId="26" borderId="19" xfId="0" applyNumberFormat="1" applyFont="1" applyFill="1" applyBorder="1" applyAlignment="1">
      <alignment horizontal="right" vertical="center"/>
    </xf>
    <xf numFmtId="0" fontId="14" fillId="28" borderId="29" xfId="0" applyFont="1" applyFill="1" applyBorder="1" applyAlignment="1">
      <alignment horizontal="left" vertical="center" indent="1"/>
    </xf>
    <xf numFmtId="172" fontId="22" fillId="28" borderId="29" xfId="0" applyNumberFormat="1" applyFont="1" applyFill="1" applyBorder="1" applyAlignment="1">
      <alignment horizontal="right" vertical="center" indent="1"/>
    </xf>
    <xf numFmtId="0" fontId="14" fillId="26" borderId="29" xfId="0" applyFont="1" applyFill="1" applyBorder="1" applyAlignment="1">
      <alignment horizontal="left" vertical="center" indent="1"/>
    </xf>
    <xf numFmtId="172" fontId="22" fillId="26" borderId="29" xfId="0" applyNumberFormat="1" applyFont="1" applyFill="1" applyBorder="1" applyAlignment="1">
      <alignment horizontal="right" vertical="center" indent="1"/>
    </xf>
    <xf numFmtId="3" fontId="22" fillId="28" borderId="29" xfId="0" applyNumberFormat="1" applyFont="1" applyFill="1" applyBorder="1" applyAlignment="1">
      <alignment horizontal="right" vertical="center" indent="1"/>
    </xf>
    <xf numFmtId="176" fontId="22" fillId="26" borderId="29" xfId="0" applyNumberFormat="1" applyFont="1" applyFill="1" applyBorder="1" applyAlignment="1">
      <alignment horizontal="right" vertical="center" indent="1"/>
    </xf>
    <xf numFmtId="178" fontId="22" fillId="28" borderId="29" xfId="0" applyNumberFormat="1" applyFont="1" applyFill="1" applyBorder="1" applyAlignment="1">
      <alignment horizontal="right" vertical="center" indent="1"/>
    </xf>
    <xf numFmtId="0" fontId="71" fillId="24" borderId="29" xfId="0" applyFont="1" applyFill="1" applyBorder="1" applyAlignment="1">
      <alignment horizontal="center" vertical="center" wrapText="1"/>
    </xf>
    <xf numFmtId="0" fontId="71" fillId="24" borderId="29" xfId="0" applyFont="1" applyFill="1" applyBorder="1" applyAlignment="1">
      <alignment horizontal="left" vertical="center" wrapText="1"/>
    </xf>
    <xf numFmtId="0" fontId="23" fillId="28" borderId="29" xfId="0" applyFont="1" applyFill="1" applyBorder="1" applyAlignment="1">
      <alignment horizontal="center" vertical="center"/>
    </xf>
    <xf numFmtId="172" fontId="14" fillId="28" borderId="29" xfId="0" applyNumberFormat="1" applyFont="1" applyFill="1" applyBorder="1" applyAlignment="1">
      <alignment horizontal="right" vertical="center" indent="1"/>
    </xf>
    <xf numFmtId="3" fontId="14" fillId="28" borderId="29" xfId="0" applyNumberFormat="1" applyFont="1" applyFill="1" applyBorder="1" applyAlignment="1">
      <alignment horizontal="right" vertical="center" indent="1"/>
    </xf>
    <xf numFmtId="3" fontId="107" fillId="28" borderId="29" xfId="0" applyNumberFormat="1" applyFont="1" applyFill="1" applyBorder="1" applyAlignment="1">
      <alignment horizontal="right" vertical="center" indent="1"/>
    </xf>
    <xf numFmtId="176" fontId="14" fillId="28" borderId="29" xfId="0" applyNumberFormat="1" applyFont="1" applyFill="1" applyBorder="1" applyAlignment="1">
      <alignment horizontal="right" vertical="center" indent="1"/>
    </xf>
    <xf numFmtId="0" fontId="23" fillId="26" borderId="29" xfId="0" applyFont="1" applyFill="1" applyBorder="1" applyAlignment="1">
      <alignment horizontal="center" vertical="center"/>
    </xf>
    <xf numFmtId="172" fontId="14" fillId="26" borderId="29" xfId="0" applyNumberFormat="1" applyFont="1" applyFill="1" applyBorder="1" applyAlignment="1">
      <alignment horizontal="right" vertical="center" indent="1"/>
    </xf>
    <xf numFmtId="3" fontId="14" fillId="26" borderId="29" xfId="0" applyNumberFormat="1" applyFont="1" applyFill="1" applyBorder="1" applyAlignment="1">
      <alignment horizontal="right" vertical="center" indent="1"/>
    </xf>
    <xf numFmtId="3" fontId="107" fillId="26" borderId="29" xfId="0" applyNumberFormat="1" applyFont="1" applyFill="1" applyBorder="1" applyAlignment="1">
      <alignment horizontal="right" vertical="center" indent="1"/>
    </xf>
    <xf numFmtId="176" fontId="14" fillId="26" borderId="29" xfId="0" applyNumberFormat="1" applyFont="1" applyFill="1" applyBorder="1" applyAlignment="1">
      <alignment horizontal="right" vertical="center" indent="1"/>
    </xf>
    <xf numFmtId="0" fontId="17" fillId="24" borderId="29" xfId="0" applyFont="1" applyFill="1" applyBorder="1"/>
    <xf numFmtId="0" fontId="17" fillId="24" borderId="29" xfId="0" applyFont="1" applyFill="1" applyBorder="1" applyAlignment="1">
      <alignment horizontal="left" vertical="center" indent="1"/>
    </xf>
    <xf numFmtId="172" fontId="17" fillId="24" borderId="29" xfId="0" applyNumberFormat="1" applyFont="1" applyFill="1" applyBorder="1" applyAlignment="1">
      <alignment horizontal="right" vertical="center" indent="1"/>
    </xf>
    <xf numFmtId="3" fontId="17" fillId="24" borderId="29" xfId="0" applyNumberFormat="1" applyFont="1" applyFill="1" applyBorder="1" applyAlignment="1">
      <alignment horizontal="right" vertical="center" indent="1"/>
    </xf>
    <xf numFmtId="176" fontId="17" fillId="24" borderId="29" xfId="0" applyNumberFormat="1" applyFont="1" applyFill="1" applyBorder="1" applyAlignment="1">
      <alignment horizontal="right" vertical="center" indent="1"/>
    </xf>
    <xf numFmtId="182" fontId="23" fillId="28" borderId="29" xfId="0" applyNumberFormat="1" applyFont="1" applyFill="1" applyBorder="1" applyAlignment="1">
      <alignment horizontal="right" vertical="center" indent="1"/>
    </xf>
    <xf numFmtId="182" fontId="23" fillId="26" borderId="29" xfId="0" applyNumberFormat="1" applyFont="1" applyFill="1" applyBorder="1" applyAlignment="1">
      <alignment horizontal="right" vertical="center" indent="1"/>
    </xf>
    <xf numFmtId="0" fontId="23" fillId="0" borderId="24" xfId="0" applyFont="1" applyAlignment="1">
      <alignment horizontal="left" vertical="center" indent="1"/>
    </xf>
    <xf numFmtId="3" fontId="22" fillId="26" borderId="29" xfId="0" applyNumberFormat="1" applyFont="1" applyFill="1" applyBorder="1" applyAlignment="1">
      <alignment horizontal="right" vertical="center" indent="1"/>
    </xf>
    <xf numFmtId="3" fontId="15" fillId="28" borderId="29" xfId="0" applyNumberFormat="1" applyFont="1" applyFill="1" applyBorder="1" applyAlignment="1">
      <alignment horizontal="right" vertical="center" indent="1"/>
    </xf>
    <xf numFmtId="3" fontId="109" fillId="28" borderId="29" xfId="0" applyNumberFormat="1" applyFont="1" applyFill="1" applyBorder="1" applyAlignment="1">
      <alignment horizontal="right" vertical="center" indent="1"/>
    </xf>
    <xf numFmtId="3" fontId="109" fillId="26" borderId="29" xfId="0" applyNumberFormat="1" applyFont="1" applyFill="1" applyBorder="1" applyAlignment="1">
      <alignment horizontal="right" vertical="center" indent="1"/>
    </xf>
    <xf numFmtId="176" fontId="109" fillId="28" borderId="29" xfId="0" applyNumberFormat="1" applyFont="1" applyFill="1" applyBorder="1" applyAlignment="1">
      <alignment horizontal="right" vertical="center" indent="1"/>
    </xf>
    <xf numFmtId="176" fontId="109" fillId="26" borderId="29" xfId="0" applyNumberFormat="1" applyFont="1" applyFill="1" applyBorder="1" applyAlignment="1">
      <alignment horizontal="right" vertical="center" indent="1"/>
    </xf>
    <xf numFmtId="0" fontId="22" fillId="0" borderId="24" xfId="0" applyFont="1"/>
    <xf numFmtId="0" fontId="17" fillId="24" borderId="24" xfId="0" applyFont="1" applyFill="1"/>
    <xf numFmtId="0" fontId="17" fillId="24" borderId="24" xfId="0" applyFont="1" applyFill="1" applyAlignment="1">
      <alignment horizontal="center"/>
    </xf>
    <xf numFmtId="172" fontId="30" fillId="0" borderId="24" xfId="0" applyNumberFormat="1" applyFont="1"/>
    <xf numFmtId="0" fontId="30" fillId="0" borderId="24" xfId="0" applyFont="1"/>
    <xf numFmtId="0" fontId="30" fillId="24" borderId="24" xfId="0" applyFont="1" applyFill="1"/>
    <xf numFmtId="0" fontId="111" fillId="0" borderId="24" xfId="3" applyFont="1" applyAlignment="1">
      <alignment horizontal="left"/>
    </xf>
    <xf numFmtId="3" fontId="5" fillId="0" borderId="24" xfId="3" applyNumberFormat="1" applyFont="1" applyAlignment="1">
      <alignment horizontal="right"/>
    </xf>
    <xf numFmtId="0" fontId="112" fillId="0" borderId="24" xfId="3" applyFont="1" applyAlignment="1">
      <alignment horizontal="left"/>
    </xf>
    <xf numFmtId="3" fontId="5" fillId="0" borderId="24" xfId="5" applyNumberFormat="1" applyFont="1" applyAlignment="1">
      <alignment horizontal="right"/>
    </xf>
    <xf numFmtId="3" fontId="5" fillId="0" borderId="24" xfId="0" applyNumberFormat="1" applyFont="1" applyAlignment="1">
      <alignment horizontal="right"/>
    </xf>
    <xf numFmtId="3" fontId="5" fillId="0" borderId="24" xfId="3" applyNumberFormat="1" applyFont="1"/>
    <xf numFmtId="172" fontId="0" fillId="0" borderId="24" xfId="0" applyNumberFormat="1"/>
    <xf numFmtId="4" fontId="14" fillId="7" borderId="13" xfId="0" applyNumberFormat="1" applyFont="1" applyFill="1" applyBorder="1" applyAlignment="1">
      <alignment horizontal="center" vertical="center"/>
    </xf>
    <xf numFmtId="4" fontId="14" fillId="6" borderId="13" xfId="0" applyNumberFormat="1" applyFont="1" applyFill="1" applyBorder="1" applyAlignment="1">
      <alignment horizontal="center" vertical="center"/>
    </xf>
    <xf numFmtId="1" fontId="14" fillId="35" borderId="6" xfId="1" applyNumberFormat="1" applyFont="1" applyFill="1" applyBorder="1" applyAlignment="1">
      <alignment horizontal="center" vertical="center"/>
    </xf>
    <xf numFmtId="9" fontId="113" fillId="0" borderId="24" xfId="10" applyFont="1" applyAlignment="1">
      <alignment horizontal="center"/>
    </xf>
    <xf numFmtId="0" fontId="17" fillId="36" borderId="8" xfId="0" applyFont="1" applyFill="1" applyBorder="1" applyAlignment="1">
      <alignment horizontal="center" vertical="center"/>
    </xf>
    <xf numFmtId="0" fontId="25" fillId="36" borderId="11" xfId="0" applyFont="1" applyFill="1" applyBorder="1" applyAlignment="1">
      <alignment horizontal="center" vertical="center" wrapText="1"/>
    </xf>
    <xf numFmtId="0" fontId="25" fillId="36" borderId="10" xfId="0" applyFont="1" applyFill="1" applyBorder="1" applyAlignment="1">
      <alignment horizontal="center" vertical="center" wrapText="1"/>
    </xf>
    <xf numFmtId="0" fontId="17" fillId="37" borderId="8" xfId="0" applyFont="1" applyFill="1" applyBorder="1" applyAlignment="1">
      <alignment horizontal="center" vertical="center"/>
    </xf>
    <xf numFmtId="0" fontId="25" fillId="37" borderId="11" xfId="0" applyFont="1" applyFill="1" applyBorder="1" applyAlignment="1">
      <alignment horizontal="center" vertical="center" wrapText="1"/>
    </xf>
    <xf numFmtId="0" fontId="25" fillId="37" borderId="10" xfId="0" applyFont="1" applyFill="1" applyBorder="1" applyAlignment="1">
      <alignment horizontal="center" vertical="center" wrapText="1"/>
    </xf>
    <xf numFmtId="0" fontId="25" fillId="38" borderId="9" xfId="0" applyFont="1" applyFill="1" applyBorder="1" applyAlignment="1">
      <alignment horizontal="center" vertical="center" wrapText="1"/>
    </xf>
    <xf numFmtId="0" fontId="25" fillId="38" borderId="11" xfId="0" applyFont="1" applyFill="1" applyBorder="1" applyAlignment="1">
      <alignment horizontal="center" vertical="center" wrapText="1"/>
    </xf>
    <xf numFmtId="0" fontId="25" fillId="37" borderId="20" xfId="0" applyFont="1" applyFill="1" applyBorder="1" applyAlignment="1">
      <alignment horizontal="center" vertical="center" wrapText="1"/>
    </xf>
    <xf numFmtId="0" fontId="25" fillId="37" borderId="1" xfId="0" applyFont="1" applyFill="1" applyBorder="1" applyAlignment="1">
      <alignment horizontal="center" vertical="center" wrapText="1"/>
    </xf>
    <xf numFmtId="0" fontId="33" fillId="5" borderId="4" xfId="0" applyFont="1" applyFill="1" applyBorder="1" applyAlignment="1">
      <alignment horizontal="left" vertical="center" wrapText="1"/>
    </xf>
    <xf numFmtId="0" fontId="71" fillId="36" borderId="29" xfId="0" applyFont="1" applyFill="1" applyBorder="1" applyAlignment="1">
      <alignment horizontal="center" vertical="center" wrapText="1"/>
    </xf>
    <xf numFmtId="172" fontId="114" fillId="38" borderId="0" xfId="0" applyNumberFormat="1" applyFont="1" applyFill="1" applyBorder="1" applyAlignment="1">
      <alignment horizontal="center" vertical="center"/>
    </xf>
    <xf numFmtId="3" fontId="114" fillId="38" borderId="0" xfId="0" applyNumberFormat="1" applyFont="1" applyFill="1" applyBorder="1" applyAlignment="1">
      <alignment horizontal="center" vertical="center"/>
    </xf>
    <xf numFmtId="176" fontId="112" fillId="38" borderId="0" xfId="0" applyNumberFormat="1" applyFont="1" applyFill="1" applyBorder="1" applyAlignment="1">
      <alignment horizontal="center" vertical="center"/>
    </xf>
    <xf numFmtId="0" fontId="115" fillId="0" borderId="4" xfId="0" applyFont="1" applyBorder="1" applyAlignment="1">
      <alignment horizontal="left" vertical="center"/>
    </xf>
    <xf numFmtId="172" fontId="109" fillId="0" borderId="24" xfId="0" applyNumberFormat="1" applyFont="1"/>
    <xf numFmtId="178" fontId="109" fillId="0" borderId="24" xfId="0" applyNumberFormat="1" applyFont="1"/>
    <xf numFmtId="172" fontId="109" fillId="0" borderId="24" xfId="5" applyNumberFormat="1" applyFont="1"/>
    <xf numFmtId="172" fontId="110" fillId="0" borderId="24" xfId="5" applyNumberFormat="1" applyFont="1" applyAlignment="1">
      <alignment horizontal="center"/>
    </xf>
    <xf numFmtId="0" fontId="61" fillId="28" borderId="29" xfId="0" applyFont="1" applyFill="1" applyBorder="1" applyAlignment="1">
      <alignment horizontal="center"/>
    </xf>
    <xf numFmtId="178" fontId="15" fillId="28" borderId="29" xfId="0" applyNumberFormat="1" applyFont="1" applyFill="1" applyBorder="1" applyAlignment="1">
      <alignment horizontal="center"/>
    </xf>
    <xf numFmtId="0" fontId="21" fillId="28" borderId="29" xfId="0" applyFont="1" applyFill="1" applyBorder="1" applyAlignment="1">
      <alignment horizontal="left"/>
    </xf>
    <xf numFmtId="0" fontId="61" fillId="26" borderId="29" xfId="0" applyFont="1" applyFill="1" applyBorder="1" applyAlignment="1">
      <alignment horizontal="center"/>
    </xf>
    <xf numFmtId="178" fontId="15" fillId="26" borderId="29" xfId="0" applyNumberFormat="1" applyFont="1" applyFill="1" applyBorder="1" applyAlignment="1">
      <alignment horizontal="center"/>
    </xf>
    <xf numFmtId="0" fontId="21" fillId="26" borderId="29" xfId="0" applyFont="1" applyFill="1" applyBorder="1" applyAlignment="1">
      <alignment horizontal="left"/>
    </xf>
    <xf numFmtId="0" fontId="110" fillId="0" borderId="29" xfId="0" applyFont="1" applyBorder="1" applyAlignment="1">
      <alignment horizontal="center" wrapText="1"/>
    </xf>
    <xf numFmtId="172" fontId="0" fillId="0" borderId="0" xfId="0" applyNumberFormat="1" applyBorder="1"/>
    <xf numFmtId="0" fontId="0" fillId="38" borderId="0" xfId="0" applyFill="1" applyBorder="1"/>
    <xf numFmtId="172" fontId="30" fillId="17" borderId="24" xfId="0" applyNumberFormat="1" applyFont="1" applyFill="1"/>
    <xf numFmtId="172" fontId="14" fillId="7" borderId="13" xfId="1" applyNumberFormat="1" applyFont="1" applyFill="1" applyBorder="1" applyAlignment="1">
      <alignment horizontal="right" vertical="center" indent="2"/>
    </xf>
    <xf numFmtId="172" fontId="14" fillId="6" borderId="13" xfId="1" applyNumberFormat="1" applyFont="1" applyFill="1" applyBorder="1" applyAlignment="1">
      <alignment horizontal="right" vertical="center" indent="2"/>
    </xf>
    <xf numFmtId="167" fontId="1" fillId="18" borderId="4" xfId="1" applyNumberFormat="1" applyFill="1" applyBorder="1"/>
    <xf numFmtId="0" fontId="54" fillId="24" borderId="24" xfId="2" applyFont="1" applyFill="1" applyAlignment="1">
      <alignment horizontal="left" vertical="center" indent="1"/>
    </xf>
    <xf numFmtId="0" fontId="2" fillId="3" borderId="0" xfId="2" applyFill="1" applyBorder="1"/>
    <xf numFmtId="0" fontId="0" fillId="0" borderId="0" xfId="0" applyBorder="1"/>
    <xf numFmtId="0" fontId="53" fillId="24" borderId="24" xfId="2" applyFont="1" applyFill="1" applyAlignment="1">
      <alignment horizontal="left" vertical="center" indent="1"/>
    </xf>
    <xf numFmtId="0" fontId="57" fillId="26" borderId="24" xfId="2" applyFont="1" applyFill="1" applyAlignment="1">
      <alignment horizontal="left" vertical="center" wrapText="1" indent="1"/>
    </xf>
    <xf numFmtId="0" fontId="60" fillId="29" borderId="25" xfId="2" applyFont="1" applyFill="1" applyBorder="1" applyAlignment="1">
      <alignment horizontal="left" vertical="center" wrapText="1" indent="1"/>
    </xf>
    <xf numFmtId="0" fontId="52" fillId="25" borderId="24" xfId="2" applyFont="1" applyFill="1" applyAlignment="1">
      <alignment horizontal="left" vertical="center"/>
    </xf>
    <xf numFmtId="0" fontId="52" fillId="28" borderId="24" xfId="0" applyFont="1" applyFill="1" applyAlignment="1">
      <alignment horizontal="left" vertical="center" wrapText="1" indent="1"/>
    </xf>
    <xf numFmtId="0" fontId="64" fillId="29" borderId="25" xfId="0" applyFont="1" applyFill="1" applyBorder="1" applyAlignment="1">
      <alignment horizontal="left" vertical="center" wrapText="1" indent="1"/>
    </xf>
    <xf numFmtId="0" fontId="61" fillId="28" borderId="24" xfId="0" applyFont="1" applyFill="1" applyAlignment="1">
      <alignment horizontal="left" vertical="center" wrapText="1" indent="1"/>
    </xf>
    <xf numFmtId="0" fontId="52" fillId="26" borderId="24" xfId="0" applyFont="1" applyFill="1" applyAlignment="1">
      <alignment horizontal="left" vertical="center" wrapText="1" indent="1"/>
    </xf>
    <xf numFmtId="0" fontId="52" fillId="25" borderId="24" xfId="0" applyFont="1" applyFill="1" applyAlignment="1">
      <alignment horizontal="left" vertical="center"/>
    </xf>
    <xf numFmtId="0" fontId="0" fillId="2" borderId="0" xfId="0" applyFill="1" applyBorder="1"/>
    <xf numFmtId="0" fontId="54" fillId="24" borderId="24" xfId="0" applyFont="1" applyFill="1" applyAlignment="1">
      <alignment horizontal="left" vertical="center" indent="1"/>
    </xf>
    <xf numFmtId="0" fontId="53" fillId="24" borderId="24" xfId="0" applyFont="1" applyFill="1" applyAlignment="1">
      <alignment horizontal="left" vertical="center" indent="1"/>
    </xf>
    <xf numFmtId="0" fontId="52" fillId="28" borderId="24" xfId="0" applyFont="1" applyFill="1" applyAlignment="1">
      <alignment horizontal="left" vertical="center" indent="1"/>
    </xf>
    <xf numFmtId="0" fontId="16" fillId="0" borderId="24" xfId="0" applyFont="1" applyAlignment="1">
      <alignment vertical="top" wrapText="1"/>
    </xf>
    <xf numFmtId="0" fontId="0" fillId="0" borderId="24" xfId="0"/>
    <xf numFmtId="0" fontId="12" fillId="5" borderId="24" xfId="5" applyFont="1" applyFill="1" applyAlignment="1">
      <alignment horizontal="left" vertical="center"/>
    </xf>
    <xf numFmtId="0" fontId="31" fillId="10" borderId="24" xfId="5" applyFont="1" applyFill="1" applyAlignment="1">
      <alignment horizontal="left" vertical="center"/>
    </xf>
    <xf numFmtId="0" fontId="19" fillId="7" borderId="24" xfId="5" applyFont="1" applyFill="1" applyAlignment="1">
      <alignment horizontal="left" vertical="center" wrapText="1"/>
    </xf>
    <xf numFmtId="0" fontId="31" fillId="11" borderId="24" xfId="5" applyFont="1" applyFill="1" applyAlignment="1">
      <alignment horizontal="left" vertical="center"/>
    </xf>
    <xf numFmtId="172" fontId="19" fillId="7" borderId="24" xfId="5" applyNumberFormat="1" applyFont="1" applyFill="1" applyAlignment="1">
      <alignment horizontal="left" vertical="center" wrapText="1"/>
    </xf>
    <xf numFmtId="0" fontId="90" fillId="7" borderId="24" xfId="0" applyFont="1" applyFill="1" applyAlignment="1">
      <alignment horizontal="left" vertical="center"/>
    </xf>
    <xf numFmtId="0" fontId="76" fillId="0" borderId="0" xfId="0" applyFont="1" applyBorder="1"/>
    <xf numFmtId="180" fontId="39" fillId="10" borderId="24" xfId="0" applyNumberFormat="1" applyFont="1" applyFill="1" applyAlignment="1">
      <alignment horizontal="center" vertical="center"/>
    </xf>
    <xf numFmtId="181" fontId="37" fillId="10" borderId="24" xfId="0" applyNumberFormat="1" applyFont="1" applyFill="1" applyAlignment="1">
      <alignment horizontal="center" vertical="center"/>
    </xf>
    <xf numFmtId="0" fontId="38" fillId="11" borderId="24" xfId="0" applyFont="1" applyFill="1" applyAlignment="1">
      <alignment horizontal="left" vertical="center"/>
    </xf>
    <xf numFmtId="0" fontId="49" fillId="9" borderId="24" xfId="0" applyFont="1" applyFill="1" applyAlignment="1">
      <alignment horizontal="left" vertical="center"/>
    </xf>
    <xf numFmtId="3" fontId="37" fillId="9" borderId="24" xfId="0" applyNumberFormat="1" applyFont="1" applyFill="1" applyAlignment="1">
      <alignment horizontal="center" vertical="center"/>
    </xf>
    <xf numFmtId="0" fontId="80" fillId="10" borderId="24" xfId="0" applyFont="1" applyFill="1" applyAlignment="1">
      <alignment horizontal="center" vertical="center" wrapText="1"/>
    </xf>
    <xf numFmtId="0" fontId="102" fillId="5" borderId="24" xfId="0" applyFont="1" applyFill="1" applyAlignment="1">
      <alignment horizontal="center" vertical="center"/>
    </xf>
    <xf numFmtId="0" fontId="38" fillId="9" borderId="24" xfId="0" applyFont="1" applyFill="1" applyAlignment="1">
      <alignment horizontal="left" vertical="center"/>
    </xf>
    <xf numFmtId="0" fontId="56" fillId="7" borderId="24" xfId="0" applyFont="1" applyFill="1" applyAlignment="1">
      <alignment horizontal="left" vertical="center"/>
    </xf>
    <xf numFmtId="0" fontId="65" fillId="9" borderId="24" xfId="0" applyFont="1" applyFill="1" applyAlignment="1">
      <alignment horizontal="left" vertical="center"/>
    </xf>
    <xf numFmtId="0" fontId="40" fillId="5" borderId="24" xfId="0" applyFont="1" applyFill="1" applyAlignment="1">
      <alignment horizontal="left" vertical="center"/>
    </xf>
    <xf numFmtId="0" fontId="80" fillId="5" borderId="24" xfId="0" applyFont="1" applyFill="1" applyAlignment="1">
      <alignment horizontal="center" vertical="center" wrapText="1"/>
    </xf>
    <xf numFmtId="0" fontId="78" fillId="9" borderId="24" xfId="0" applyFont="1" applyFill="1" applyAlignment="1">
      <alignment horizontal="center" vertical="center" wrapText="1"/>
    </xf>
    <xf numFmtId="0" fontId="77" fillId="5" borderId="24" xfId="0" applyFont="1" applyFill="1" applyAlignment="1">
      <alignment horizontal="left" vertical="center"/>
    </xf>
    <xf numFmtId="0" fontId="0" fillId="0" borderId="0" xfId="0" applyBorder="1" applyAlignment="1">
      <alignment horizontal="left"/>
    </xf>
    <xf numFmtId="181" fontId="35" fillId="11" borderId="24" xfId="0" applyNumberFormat="1" applyFont="1" applyFill="1" applyAlignment="1">
      <alignment horizontal="center" vertical="center"/>
    </xf>
    <xf numFmtId="10" fontId="39" fillId="11" borderId="24" xfId="0" applyNumberFormat="1" applyFont="1" applyFill="1" applyAlignment="1">
      <alignment horizontal="center" vertical="center"/>
    </xf>
    <xf numFmtId="181" fontId="39" fillId="10" borderId="24" xfId="0" applyNumberFormat="1" applyFont="1" applyFill="1" applyAlignment="1">
      <alignment horizontal="center" vertical="center"/>
    </xf>
    <xf numFmtId="179" fontId="39" fillId="9" borderId="24" xfId="0" applyNumberFormat="1" applyFont="1" applyFill="1" applyAlignment="1">
      <alignment horizontal="center" vertical="center"/>
    </xf>
    <xf numFmtId="0" fontId="36" fillId="6" borderId="24" xfId="0" applyFont="1" applyFill="1" applyAlignment="1">
      <alignment horizontal="left" vertical="center"/>
    </xf>
    <xf numFmtId="0" fontId="90" fillId="6" borderId="24" xfId="0" applyFont="1" applyFill="1" applyAlignment="1">
      <alignment horizontal="left" vertical="center"/>
    </xf>
    <xf numFmtId="0" fontId="78" fillId="11" borderId="24" xfId="0" applyFont="1" applyFill="1" applyAlignment="1">
      <alignment horizontal="center" vertical="center" wrapText="1"/>
    </xf>
    <xf numFmtId="177" fontId="39" fillId="9" borderId="24" xfId="0" applyNumberFormat="1" applyFont="1" applyFill="1" applyAlignment="1">
      <alignment horizontal="center" vertical="center"/>
    </xf>
    <xf numFmtId="0" fontId="22" fillId="6" borderId="24" xfId="0" applyFont="1" applyFill="1" applyAlignment="1">
      <alignment horizontal="left" vertical="center"/>
    </xf>
    <xf numFmtId="179" fontId="44" fillId="21" borderId="24" xfId="0" applyNumberFormat="1" applyFont="1" applyFill="1" applyAlignment="1">
      <alignment horizontal="center" vertical="center"/>
    </xf>
    <xf numFmtId="0" fontId="81" fillId="10" borderId="24" xfId="0" applyFont="1" applyFill="1" applyAlignment="1">
      <alignment horizontal="center" vertical="center" wrapText="1"/>
    </xf>
    <xf numFmtId="0" fontId="81" fillId="5" borderId="24" xfId="0" applyFont="1" applyFill="1" applyAlignment="1">
      <alignment horizontal="center" vertical="center" wrapText="1"/>
    </xf>
    <xf numFmtId="0" fontId="41" fillId="7" borderId="24" xfId="0" applyFont="1" applyFill="1" applyAlignment="1">
      <alignment horizontal="left" vertical="center"/>
    </xf>
    <xf numFmtId="0" fontId="65" fillId="10" borderId="24" xfId="0" applyFont="1" applyFill="1" applyAlignment="1">
      <alignment horizontal="left" vertical="center"/>
    </xf>
    <xf numFmtId="181" fontId="37" fillId="11" borderId="24" xfId="0" applyNumberFormat="1" applyFont="1" applyFill="1" applyAlignment="1">
      <alignment horizontal="center" vertical="center"/>
    </xf>
    <xf numFmtId="0" fontId="38" fillId="10" borderId="24" xfId="0" applyFont="1" applyFill="1" applyAlignment="1">
      <alignment horizontal="left" vertical="center"/>
    </xf>
    <xf numFmtId="180" fontId="39" fillId="11" borderId="24" xfId="0" applyNumberFormat="1" applyFont="1" applyFill="1" applyAlignment="1">
      <alignment horizontal="center" vertical="center"/>
    </xf>
    <xf numFmtId="0" fontId="78" fillId="5" borderId="24" xfId="0" applyFont="1" applyFill="1" applyAlignment="1">
      <alignment horizontal="center" vertical="center" wrapText="1"/>
    </xf>
    <xf numFmtId="0" fontId="65" fillId="11" borderId="24" xfId="0" applyFont="1" applyFill="1" applyAlignment="1">
      <alignment horizontal="left" vertical="center"/>
    </xf>
    <xf numFmtId="0" fontId="80" fillId="11" borderId="24" xfId="0" applyFont="1" applyFill="1" applyAlignment="1">
      <alignment horizontal="center" vertical="center" wrapText="1"/>
    </xf>
    <xf numFmtId="0" fontId="80" fillId="9" borderId="24" xfId="0" applyFont="1" applyFill="1" applyAlignment="1">
      <alignment horizontal="center" vertical="center" wrapText="1"/>
    </xf>
    <xf numFmtId="176" fontId="44" fillId="12" borderId="24" xfId="0" applyNumberFormat="1" applyFont="1" applyFill="1" applyAlignment="1">
      <alignment horizontal="center" vertical="center"/>
    </xf>
    <xf numFmtId="176" fontId="39" fillId="9" borderId="24" xfId="0" applyNumberFormat="1" applyFont="1" applyFill="1" applyAlignment="1">
      <alignment horizontal="center" vertical="center"/>
    </xf>
    <xf numFmtId="0" fontId="78" fillId="10" borderId="24" xfId="0" applyFont="1" applyFill="1" applyAlignment="1">
      <alignment horizontal="center" vertical="center" wrapText="1"/>
    </xf>
    <xf numFmtId="176" fontId="43" fillId="12" borderId="24" xfId="0" applyNumberFormat="1" applyFont="1" applyFill="1" applyAlignment="1">
      <alignment horizontal="center" vertical="center"/>
    </xf>
    <xf numFmtId="176" fontId="39" fillId="11" borderId="24" xfId="0" applyNumberFormat="1" applyFont="1" applyFill="1" applyAlignment="1">
      <alignment horizontal="center" vertical="center"/>
    </xf>
    <xf numFmtId="0" fontId="91" fillId="11" borderId="24" xfId="0" applyFont="1" applyFill="1" applyAlignment="1">
      <alignment horizontal="left" vertical="center"/>
    </xf>
    <xf numFmtId="179" fontId="43" fillId="21" borderId="24" xfId="0" applyNumberFormat="1" applyFont="1" applyFill="1" applyAlignment="1">
      <alignment horizontal="center" vertical="center"/>
    </xf>
    <xf numFmtId="10" fontId="39" fillId="10" borderId="24" xfId="0" applyNumberFormat="1" applyFont="1" applyFill="1" applyAlignment="1">
      <alignment horizontal="center" vertical="center"/>
    </xf>
    <xf numFmtId="0" fontId="91" fillId="9" borderId="24" xfId="0" applyFont="1" applyFill="1" applyAlignment="1">
      <alignment horizontal="left" vertical="center"/>
    </xf>
    <xf numFmtId="0" fontId="81" fillId="9" borderId="24" xfId="0" applyFont="1" applyFill="1" applyAlignment="1">
      <alignment horizontal="center" vertical="center" wrapText="1"/>
    </xf>
    <xf numFmtId="0" fontId="81" fillId="38" borderId="24" xfId="0" applyFont="1" applyFill="1" applyAlignment="1">
      <alignment horizontal="center" vertical="center" wrapText="1"/>
    </xf>
    <xf numFmtId="0" fontId="89" fillId="6" borderId="24" xfId="0" applyFont="1" applyFill="1" applyAlignment="1">
      <alignment horizontal="left" vertical="center"/>
    </xf>
    <xf numFmtId="0" fontId="78" fillId="38" borderId="24" xfId="0" applyFont="1" applyFill="1" applyAlignment="1">
      <alignment horizontal="center" vertical="center" wrapText="1"/>
    </xf>
    <xf numFmtId="0" fontId="22" fillId="7" borderId="24" xfId="0" applyFont="1" applyFill="1" applyAlignment="1">
      <alignment horizontal="left" vertical="center"/>
    </xf>
    <xf numFmtId="0" fontId="79" fillId="5" borderId="24" xfId="0" applyFont="1" applyFill="1" applyAlignment="1">
      <alignment horizontal="center" vertical="center" wrapText="1"/>
    </xf>
    <xf numFmtId="0" fontId="12" fillId="5" borderId="24" xfId="0" applyFont="1" applyFill="1" applyAlignment="1">
      <alignment horizontal="left" vertical="center"/>
    </xf>
    <xf numFmtId="0" fontId="33" fillId="36" borderId="6" xfId="0" applyFont="1" applyFill="1" applyBorder="1" applyAlignment="1">
      <alignment horizontal="center" vertical="center"/>
    </xf>
    <xf numFmtId="0" fontId="17" fillId="36" borderId="9" xfId="0" applyFont="1" applyFill="1" applyBorder="1" applyAlignment="1">
      <alignment horizontal="center" vertical="center"/>
    </xf>
    <xf numFmtId="0" fontId="17" fillId="36" borderId="24" xfId="0" applyFont="1" applyFill="1" applyAlignment="1">
      <alignment horizontal="center" vertical="center"/>
    </xf>
    <xf numFmtId="0" fontId="17" fillId="37" borderId="9" xfId="0" applyFont="1" applyFill="1" applyBorder="1" applyAlignment="1">
      <alignment horizontal="center" vertical="center"/>
    </xf>
    <xf numFmtId="0" fontId="17" fillId="37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24" xfId="0" applyFont="1" applyFill="1" applyAlignment="1">
      <alignment horizontal="center" vertical="center"/>
    </xf>
    <xf numFmtId="0" fontId="17" fillId="11" borderId="9" xfId="0" applyFont="1" applyFill="1" applyBorder="1" applyAlignment="1">
      <alignment horizontal="center" vertical="center"/>
    </xf>
    <xf numFmtId="0" fontId="17" fillId="11" borderId="24" xfId="0" applyFont="1" applyFill="1" applyAlignment="1">
      <alignment horizontal="center" vertical="center"/>
    </xf>
    <xf numFmtId="0" fontId="17" fillId="10" borderId="9" xfId="0" applyFont="1" applyFill="1" applyBorder="1" applyAlignment="1">
      <alignment horizontal="center" vertical="center" wrapText="1"/>
    </xf>
    <xf numFmtId="0" fontId="17" fillId="10" borderId="11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35" xfId="0" applyFont="1" applyFill="1" applyBorder="1" applyAlignment="1">
      <alignment horizontal="center" vertical="center" wrapText="1"/>
    </xf>
    <xf numFmtId="0" fontId="14" fillId="26" borderId="29" xfId="0" applyFont="1" applyFill="1" applyBorder="1" applyAlignment="1">
      <alignment horizontal="left" vertical="center" indent="1"/>
    </xf>
    <xf numFmtId="0" fontId="0" fillId="0" borderId="30" xfId="0" applyBorder="1"/>
    <xf numFmtId="0" fontId="0" fillId="24" borderId="24" xfId="0" applyFill="1"/>
    <xf numFmtId="0" fontId="65" fillId="24" borderId="24" xfId="0" applyFont="1" applyFill="1" applyAlignment="1">
      <alignment horizontal="left" vertical="center" indent="1"/>
    </xf>
    <xf numFmtId="0" fontId="72" fillId="24" borderId="24" xfId="0" applyFont="1" applyFill="1" applyAlignment="1">
      <alignment horizontal="left" vertical="center" indent="1"/>
    </xf>
    <xf numFmtId="0" fontId="31" fillId="10" borderId="24" xfId="0" applyFont="1" applyFill="1" applyAlignment="1">
      <alignment horizontal="left" vertical="center" indent="1"/>
    </xf>
    <xf numFmtId="0" fontId="14" fillId="28" borderId="29" xfId="0" applyFont="1" applyFill="1" applyBorder="1" applyAlignment="1">
      <alignment horizontal="left" vertical="center" indent="1"/>
    </xf>
    <xf numFmtId="0" fontId="108" fillId="28" borderId="24" xfId="0" applyFont="1" applyFill="1" applyAlignment="1">
      <alignment horizontal="left" vertical="top" wrapText="1" indent="1"/>
    </xf>
    <xf numFmtId="0" fontId="23" fillId="28" borderId="29" xfId="0" applyFont="1" applyFill="1" applyBorder="1" applyAlignment="1">
      <alignment horizontal="center" vertical="center"/>
    </xf>
    <xf numFmtId="0" fontId="0" fillId="0" borderId="31" xfId="0" applyBorder="1"/>
    <xf numFmtId="0" fontId="23" fillId="26" borderId="29" xfId="0" applyFont="1" applyFill="1" applyBorder="1" applyAlignment="1">
      <alignment horizontal="center" vertical="center"/>
    </xf>
    <xf numFmtId="0" fontId="0" fillId="0" borderId="32" xfId="0" applyBorder="1"/>
    <xf numFmtId="0" fontId="16" fillId="26" borderId="24" xfId="0" applyFont="1" applyFill="1" applyAlignment="1">
      <alignment horizontal="left" vertical="top" wrapText="1" indent="1"/>
    </xf>
    <xf numFmtId="0" fontId="107" fillId="28" borderId="29" xfId="0" applyFont="1" applyFill="1" applyBorder="1" applyAlignment="1">
      <alignment horizontal="left" vertical="center" indent="1"/>
    </xf>
    <xf numFmtId="0" fontId="103" fillId="0" borderId="24" xfId="0" applyFont="1" applyAlignment="1">
      <alignment horizontal="left" vertical="top" wrapText="1" indent="1"/>
    </xf>
    <xf numFmtId="0" fontId="66" fillId="29" borderId="24" xfId="0" applyFont="1" applyFill="1" applyAlignment="1">
      <alignment horizontal="left" vertical="center" indent="1"/>
    </xf>
    <xf numFmtId="0" fontId="66" fillId="0" borderId="23" xfId="0" applyFont="1" applyBorder="1" applyAlignment="1">
      <alignment horizontal="left" vertical="center" indent="1"/>
    </xf>
    <xf numFmtId="0" fontId="0" fillId="0" borderId="23" xfId="0" applyBorder="1"/>
    <xf numFmtId="0" fontId="17" fillId="10" borderId="17" xfId="0" applyFont="1" applyFill="1" applyBorder="1" applyAlignment="1">
      <alignment horizontal="center" vertical="center"/>
    </xf>
    <xf numFmtId="0" fontId="0" fillId="0" borderId="18" xfId="0" applyBorder="1"/>
    <xf numFmtId="0" fontId="17" fillId="5" borderId="24" xfId="0" applyFont="1" applyFill="1" applyAlignment="1">
      <alignment horizontal="center" vertical="center"/>
    </xf>
    <xf numFmtId="0" fontId="17" fillId="5" borderId="33" xfId="0" applyFont="1" applyFill="1" applyBorder="1" applyAlignment="1">
      <alignment horizontal="center" vertical="center"/>
    </xf>
    <xf numFmtId="0" fontId="74" fillId="24" borderId="24" xfId="0" applyFont="1" applyFill="1" applyAlignment="1">
      <alignment horizontal="left" vertical="center"/>
    </xf>
    <xf numFmtId="0" fontId="16" fillId="0" borderId="24" xfId="0" applyFont="1" applyAlignment="1">
      <alignment horizontal="left" wrapText="1"/>
    </xf>
    <xf numFmtId="0" fontId="39" fillId="5" borderId="24" xfId="0" applyFont="1" applyFill="1" applyAlignment="1">
      <alignment horizontal="center" vertical="center" wrapText="1"/>
    </xf>
  </cellXfs>
  <cellStyles count="11">
    <cellStyle name="Millares [0]" xfId="1" builtinId="6"/>
    <cellStyle name="Normal" xfId="0" builtinId="0"/>
    <cellStyle name="Normal 2" xfId="5" xr:uid="{00000000-0005-0000-0000-000005000000}"/>
    <cellStyle name="Normal 3" xfId="2" xr:uid="{00000000-0005-0000-0000-000002000000}"/>
    <cellStyle name="Normal 4" xfId="4" xr:uid="{00000000-0005-0000-0000-000004000000}"/>
    <cellStyle name="Normal 4 6" xfId="9" xr:uid="{00000000-0005-0000-0000-000009000000}"/>
    <cellStyle name="Normal_00_Glosa" xfId="8" xr:uid="{00000000-0005-0000-0000-000008000000}"/>
    <cellStyle name="Normal_consulta212 2" xfId="3" xr:uid="{00000000-0005-0000-0000-000003000000}"/>
    <cellStyle name="Normal_consulta212 5" xfId="7" xr:uid="{00000000-0005-0000-0000-000007000000}"/>
    <cellStyle name="Normal_DESEST97" xfId="6" xr:uid="{00000000-0005-0000-0000-000006000000}"/>
    <cellStyle name="Porcentaje" xfId="10" builtinId="5"/>
  </cellStyles>
  <dxfs count="51"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b/>
        <sz val="10"/>
        <color rgb="FF9C6500"/>
        <name val="Calibri"/>
      </font>
      <fill>
        <patternFill patternType="solid">
          <fgColor rgb="FFFFEB9C"/>
        </patternFill>
      </fill>
    </dxf>
    <dxf>
      <font>
        <b/>
        <sz val="10"/>
        <color rgb="FF9C0006"/>
        <name val="Calibri"/>
      </font>
      <fill>
        <patternFill patternType="solid">
          <fgColor rgb="FFFFC7CE"/>
        </patternFill>
      </fill>
    </dxf>
    <dxf>
      <font>
        <b/>
        <sz val="10"/>
        <color rgb="FF1E7145"/>
        <name val="Calibri"/>
      </font>
      <fill>
        <patternFill patternType="solid">
          <f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Género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Empleo!$B$32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Empleo!$B$33:$B$53</c:f>
            </c:numRef>
          </c:val>
          <c:extLst>
            <c:ext xmlns:c16="http://schemas.microsoft.com/office/drawing/2014/chart" uri="{C3380CC4-5D6E-409C-BE32-E72D297353CC}">
              <c16:uniqueId val="{00000000-99AB-FC4E-86B1-0F0AFE1DD8BC}"/>
            </c:ext>
          </c:extLst>
        </c:ser>
        <c:ser>
          <c:idx val="1"/>
          <c:order val="1"/>
          <c:tx>
            <c:strRef>
              <c:f>Empleo!$C$32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Empleo!$C$33:$C$53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B-FC4E-86B1-0F0AFE1DD8BC}"/>
            </c:ext>
          </c:extLst>
        </c:ser>
        <c:ser>
          <c:idx val="2"/>
          <c:order val="2"/>
          <c:tx>
            <c:strRef>
              <c:f>Empleo!$D$32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Empleo!$D$33:$D$53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146943"/>
        <c:axId val="470136383"/>
      </c:barChart>
      <c:lineChart>
        <c:grouping val="standard"/>
        <c:varyColors val="0"/>
        <c:ser>
          <c:idx val="3"/>
          <c:order val="3"/>
          <c:tx>
            <c:strRef>
              <c:f>Empleo!$E$32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Empleo!$E$33:$E$53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AB-FC4E-86B1-0F0AFE1D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157439"/>
        <c:axId val="407007039"/>
      </c:lineChart>
      <c:catAx>
        <c:axId val="470146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36383"/>
        <c:crosses val="autoZero"/>
        <c:auto val="1"/>
        <c:lblAlgn val="ctr"/>
        <c:lblOffset val="100"/>
        <c:noMultiLvlLbl val="0"/>
      </c:catAx>
      <c:valAx>
        <c:axId val="470136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70146943"/>
        <c:crosses val="autoZero"/>
        <c:crossBetween val="between"/>
      </c:valAx>
      <c:catAx>
        <c:axId val="41415743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07007039"/>
        <c:crosses val="autoZero"/>
        <c:auto val="1"/>
        <c:lblAlgn val="ctr"/>
        <c:lblOffset val="100"/>
        <c:noMultiLvlLbl val="0"/>
      </c:catAx>
      <c:valAx>
        <c:axId val="40700703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157439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Nivel Educativo y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Empleo!$F$32</c:f>
              <c:strCache>
                <c:ptCount val="1"/>
                <c:pt idx="0">
                  <c:v>Bajo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Empleo!$F$33:$F$53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E2-394C-A1B5-00BD48ADA73A}"/>
            </c:ext>
          </c:extLst>
        </c:ser>
        <c:ser>
          <c:idx val="1"/>
          <c:order val="1"/>
          <c:tx>
            <c:strRef>
              <c:f>Empleo!$G$32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Empleo!$G$33:$G$53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2-394C-A1B5-00BD48ADA73A}"/>
            </c:ext>
          </c:extLst>
        </c:ser>
        <c:ser>
          <c:idx val="2"/>
          <c:order val="2"/>
          <c:tx>
            <c:strRef>
              <c:f>Empleo!$H$32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  <a:prstDash val="solid"/>
            </a:ln>
          </c:spPr>
          <c:invertIfNegative val="0"/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Empleo!$H$33:$H$53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716479"/>
        <c:axId val="430711999"/>
      </c:barChart>
      <c:lineChart>
        <c:grouping val="standard"/>
        <c:varyColors val="0"/>
        <c:ser>
          <c:idx val="3"/>
          <c:order val="3"/>
          <c:tx>
            <c:strRef>
              <c:f>Empleo!$I$32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Empleo!$A$33:$A$53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Empleo!$I$33:$I$53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E2-394C-A1B5-00BD48AD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58143"/>
        <c:axId val="396108543"/>
      </c:lineChart>
      <c:catAx>
        <c:axId val="430716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1999"/>
        <c:crosses val="autoZero"/>
        <c:auto val="1"/>
        <c:lblAlgn val="ctr"/>
        <c:lblOffset val="100"/>
        <c:noMultiLvlLbl val="0"/>
      </c:catAx>
      <c:valAx>
        <c:axId val="430711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8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30716479"/>
        <c:crosses val="autoZero"/>
        <c:crossBetween val="between"/>
      </c:valAx>
      <c:catAx>
        <c:axId val="40135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6108543"/>
        <c:crosses val="autoZero"/>
        <c:auto val="1"/>
        <c:lblAlgn val="ctr"/>
        <c:lblOffset val="100"/>
        <c:noMultiLvlLbl val="0"/>
      </c:catAx>
      <c:valAx>
        <c:axId val="3961085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35814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Según Tipo de Contrato por Sector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Empleo!$B$59</c:f>
              <c:strCache>
                <c:ptCount val="1"/>
                <c:pt idx="0">
                  <c:v>Cód.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Empleo!$B$60:$B$80</c:f>
            </c:numRef>
          </c:val>
          <c:extLst>
            <c:ext xmlns:c16="http://schemas.microsoft.com/office/drawing/2014/chart" uri="{C3380CC4-5D6E-409C-BE32-E72D297353CC}">
              <c16:uniqueId val="{00000000-D14B-FD42-B090-829C9A6452AC}"/>
            </c:ext>
          </c:extLst>
        </c:ser>
        <c:ser>
          <c:idx val="1"/>
          <c:order val="1"/>
          <c:tx>
            <c:strRef>
              <c:f>Empleo!$C$59</c:f>
              <c:strCache>
                <c:ptCount val="1"/>
                <c:pt idx="0">
                  <c:v>Formal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Empleo!$C$60:$C$80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4B-FD42-B090-829C9A6452AC}"/>
            </c:ext>
          </c:extLst>
        </c:ser>
        <c:ser>
          <c:idx val="2"/>
          <c:order val="2"/>
          <c:tx>
            <c:strRef>
              <c:f>Empleo!$D$59</c:f>
              <c:strCache>
                <c:ptCount val="1"/>
                <c:pt idx="0">
                  <c:v>Informal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Empleo!$D$60:$D$80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0953215"/>
        <c:axId val="480955007"/>
      </c:barChart>
      <c:lineChart>
        <c:grouping val="standard"/>
        <c:varyColors val="0"/>
        <c:ser>
          <c:idx val="3"/>
          <c:order val="3"/>
          <c:tx>
            <c:strRef>
              <c:f>Empleo!$E$59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Empleo!$E$60:$E$80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4B-FD42-B090-829C9A64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556351"/>
        <c:axId val="415345151"/>
      </c:lineChart>
      <c:catAx>
        <c:axId val="48095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5007"/>
        <c:crosses val="autoZero"/>
        <c:auto val="1"/>
        <c:lblAlgn val="ctr"/>
        <c:lblOffset val="100"/>
        <c:noMultiLvlLbl val="0"/>
      </c:catAx>
      <c:valAx>
        <c:axId val="48095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0953215"/>
        <c:crosses val="autoZero"/>
        <c:crossBetween val="between"/>
      </c:valAx>
      <c:catAx>
        <c:axId val="41555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5345151"/>
        <c:crosses val="autoZero"/>
        <c:auto val="1"/>
        <c:lblAlgn val="ctr"/>
        <c:lblOffset val="100"/>
        <c:noMultiLvlLbl val="0"/>
      </c:catAx>
      <c:valAx>
        <c:axId val="415345151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5556351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Empleo por áreas</a:t>
            </a:r>
            <a:r>
              <a:rPr lang="es-MX" baseline="0"/>
              <a:t> urbanas o rurales</a:t>
            </a:r>
            <a:endParaRPr lang="es-MX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Empleo!$F$59</c:f>
              <c:strCache>
                <c:ptCount val="1"/>
                <c:pt idx="0">
                  <c:v>Urbanos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Empleo!$F$60:$F$80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E-5441-AFAA-3DA32039FD16}"/>
            </c:ext>
          </c:extLst>
        </c:ser>
        <c:ser>
          <c:idx val="1"/>
          <c:order val="1"/>
          <c:tx>
            <c:strRef>
              <c:f>Empleo!$G$59</c:f>
              <c:strCache>
                <c:ptCount val="1"/>
                <c:pt idx="0">
                  <c:v>Rurales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Empleo!$G$60:$G$80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1641343"/>
        <c:axId val="481640447"/>
      </c:barChart>
      <c:lineChart>
        <c:grouping val="standard"/>
        <c:varyColors val="0"/>
        <c:ser>
          <c:idx val="2"/>
          <c:order val="2"/>
          <c:tx>
            <c:strRef>
              <c:f>Empleo!$H$59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strRef>
              <c:f>Empleo!$A$60:$A$80</c:f>
              <c:strCache>
                <c:ptCount val="21"/>
                <c:pt idx="0">
                  <c:v>Agricultura, ganadería, caza y pesca</c:v>
                </c:pt>
                <c:pt idx="1">
                  <c:v>Minería</c:v>
                </c:pt>
                <c:pt idx="2">
                  <c:v>Alimentos, bebidas y tabacos</c:v>
                </c:pt>
                <c:pt idx="3">
                  <c:v>Textiles, confecciones y calzado</c:v>
                </c:pt>
                <c:pt idx="4">
                  <c:v>Madera, papel y cartón</c:v>
                </c:pt>
                <c:pt idx="5">
                  <c:v>Química, farmacia y caucho</c:v>
                </c:pt>
                <c:pt idx="6">
                  <c:v>Minerales no metálicos</c:v>
                </c:pt>
                <c:pt idx="7">
                  <c:v>Hierro y acero</c:v>
                </c:pt>
                <c:pt idx="8">
                  <c:v>Productos de metal</c:v>
                </c:pt>
                <c:pt idx="9">
                  <c:v>Maquinaria, equipo y vehículos</c:v>
                </c:pt>
                <c:pt idx="10">
                  <c:v>Otras manufacturas y reparación</c:v>
                </c:pt>
                <c:pt idx="11">
                  <c:v>Electricidad, gas, y agua</c:v>
                </c:pt>
                <c:pt idx="12">
                  <c:v>Construcción</c:v>
                </c:pt>
                <c:pt idx="13">
                  <c:v>Comercio al por mayor y menor</c:v>
                </c:pt>
                <c:pt idx="14">
                  <c:v>Transporte</c:v>
                </c:pt>
                <c:pt idx="15">
                  <c:v>Turismo (aloj., alimentación y recreación)</c:v>
                </c:pt>
                <c:pt idx="16">
                  <c:v>Telecomunicaciones, edición y servicios de info.</c:v>
                </c:pt>
                <c:pt idx="17">
                  <c:v>Finanzas y seguros</c:v>
                </c:pt>
                <c:pt idx="18">
                  <c:v>Servicios inmobiliarios</c:v>
                </c:pt>
                <c:pt idx="19">
                  <c:v>Servicios a las empresas</c:v>
                </c:pt>
                <c:pt idx="20">
                  <c:v>Otros servicios</c:v>
                </c:pt>
              </c:strCache>
            </c:strRef>
          </c:cat>
          <c:val>
            <c:numRef>
              <c:f>Empleo!$H$60:$H$80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EE-5441-AFAA-3DA32039F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202303"/>
        <c:axId val="414193343"/>
      </c:lineChart>
      <c:catAx>
        <c:axId val="48164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0447"/>
        <c:crosses val="autoZero"/>
        <c:auto val="1"/>
        <c:lblAlgn val="ctr"/>
        <c:lblOffset val="100"/>
        <c:noMultiLvlLbl val="0"/>
      </c:catAx>
      <c:valAx>
        <c:axId val="481640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81641343"/>
        <c:crosses val="autoZero"/>
        <c:crossBetween val="between"/>
      </c:valAx>
      <c:catAx>
        <c:axId val="4142023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4193343"/>
        <c:crosses val="autoZero"/>
        <c:auto val="1"/>
        <c:lblAlgn val="ctr"/>
        <c:lblOffset val="100"/>
        <c:noMultiLvlLbl val="0"/>
      </c:catAx>
      <c:valAx>
        <c:axId val="4141933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14202303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Producción por Sector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Producción por Sector</a:t>
          </a:r>
        </a:p>
      </cx:txPr>
    </cx:title>
    <cx:plotArea>
      <cx:plotAreaRegion>
        <cx:series layoutId="treemap" uniqueId="{00000000-8939-3B4F-B002-AC82AECCF33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Empleo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Empleo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_xlchart.v1.5</cx:f>
      </cx:numDim>
    </cx:data>
  </cx:chartData>
  <cx:chart>
    <cx:title pos="t" align="ctr" overlay="0">
      <cx:tx>
        <cx:txData>
          <cx:v>Ingreso Total por Sectores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Ingreso Total por Sectores</a:t>
          </a:r>
        </a:p>
      </cx:txPr>
    </cx:title>
    <cx:plotArea>
      <cx:plotAreaRegion>
        <cx:series layoutId="treemap" uniqueId="{00000000-2071-DC4A-BF9E-FABD1EC310FA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title pos="t" align="ctr" overlay="0">
      <cx:tx>
        <cx:txData>
          <cx:v>Valor Agregado Generado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MX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Valor Agregado Generado</a:t>
          </a:r>
        </a:p>
      </cx:txPr>
    </cx:title>
    <cx:plotArea>
      <cx:plotAreaRegion>
        <cx:series layoutId="treemap" uniqueId="{00000000-F123-1E4A-941C-EA8B07A40F35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5" fmlaLink="G7" max="200" page="10" val="100"/>
</file>

<file path=xl/ctrlProps/ctrlProp3.xml><?xml version="1.0" encoding="utf-8"?>
<formControlPr xmlns="http://schemas.microsoft.com/office/spreadsheetml/2009/9/main" objectType="Spin" dx="15" fmlaLink="C7" max="200" page="10" val="100"/>
</file>

<file path=xl/ctrlProps/ctrlProp4.xml><?xml version="1.0" encoding="utf-8"?>
<formControlPr xmlns="http://schemas.microsoft.com/office/spreadsheetml/2009/9/main" objectType="Spin" dx="15" fmlaLink="F7" max="200" page="10" val="100"/>
</file>

<file path=xl/ctrlProps/ctrlProp5.xml><?xml version="1.0" encoding="utf-8"?>
<formControlPr xmlns="http://schemas.microsoft.com/office/spreadsheetml/2009/9/main" objectType="Spin" dx="15" fmlaLink="E7" max="200" page="10" val="100"/>
</file>

<file path=xl/ctrlProps/ctrlProp6.xml><?xml version="1.0" encoding="utf-8"?>
<formControlPr xmlns="http://schemas.microsoft.com/office/spreadsheetml/2009/9/main" objectType="Spin" dx="15" fmlaLink="D7" max="200" page="10" val="100"/>
</file>

<file path=xl/ctrlProps/ctrlProp7.xml><?xml version="1.0" encoding="utf-8"?>
<formControlPr xmlns="http://schemas.microsoft.com/office/spreadsheetml/2009/9/main" objectType="Spin" dx="15" fmlaLink="K7" max="200" page="10" val="100"/>
</file>

<file path=xl/ctrlProps/ctrlProp8.xml><?xml version="1.0" encoding="utf-8"?>
<formControlPr xmlns="http://schemas.microsoft.com/office/spreadsheetml/2009/9/main" objectType="Spin" dx="15" fmlaLink="J7" max="200" page="10" val="100"/>
</file>

<file path=xl/ctrlProps/ctrlProp9.xml><?xml version="1.0" encoding="utf-8"?>
<formControlPr xmlns="http://schemas.microsoft.com/office/spreadsheetml/2009/9/main" objectType="Spin" dx="15" fmlaLink="I7" max="200" page="10" val="100"/>
</file>

<file path=xl/ctrlProps/ctrlProp10.xml><?xml version="1.0" encoding="utf-8"?>
<formControlPr xmlns="http://schemas.microsoft.com/office/spreadsheetml/2009/9/main" objectType="Spin" dx="15" fmlaLink="H7" max="200" page="10" val="100"/>
</file>

<file path=xl/ctrlProps/ctrlProp11.xml><?xml version="1.0" encoding="utf-8"?>
<formControlPr xmlns="http://schemas.microsoft.com/office/spreadsheetml/2009/9/main" objectType="Spin" dx="15" fmlaLink="L7" max="200" page="10" val="10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977900</xdr:colOff>
          <xdr:row>2</xdr:row>
          <xdr:rowOff>177800</xdr:rowOff>
        </xdr:from>
        <xdr:to>
          <xdr:col>9</xdr:col>
          <xdr:colOff>635000</xdr:colOff>
          <xdr:row>4</xdr:row>
          <xdr:rowOff>152400</xdr:rowOff>
        </xdr:to>
        <xdr:sp macro="" textlink="">
          <xdr:nvSpPr>
            <xdr:cNvPr id="15361" name="Button 1" descr="Reiniciar Escenarios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6</xdr:row>
          <xdr:rowOff>12700</xdr:rowOff>
        </xdr:from>
        <xdr:to>
          <xdr:col>6</xdr:col>
          <xdr:colOff>736600</xdr:colOff>
          <xdr:row>6</xdr:row>
          <xdr:rowOff>406400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12700</xdr:rowOff>
        </xdr:from>
        <xdr:to>
          <xdr:col>2</xdr:col>
          <xdr:colOff>762000</xdr:colOff>
          <xdr:row>6</xdr:row>
          <xdr:rowOff>406400</xdr:rowOff>
        </xdr:to>
        <xdr:sp macro="" textlink="">
          <xdr:nvSpPr>
            <xdr:cNvPr id="11267" name="Spinner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25400</xdr:rowOff>
        </xdr:from>
        <xdr:to>
          <xdr:col>5</xdr:col>
          <xdr:colOff>711200</xdr:colOff>
          <xdr:row>6</xdr:row>
          <xdr:rowOff>406400</xdr:rowOff>
        </xdr:to>
        <xdr:sp macro="" textlink="">
          <xdr:nvSpPr>
            <xdr:cNvPr id="11268" name="Spinner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6</xdr:row>
          <xdr:rowOff>12700</xdr:rowOff>
        </xdr:from>
        <xdr:to>
          <xdr:col>4</xdr:col>
          <xdr:colOff>736600</xdr:colOff>
          <xdr:row>6</xdr:row>
          <xdr:rowOff>406400</xdr:rowOff>
        </xdr:to>
        <xdr:sp macro="" textlink="">
          <xdr:nvSpPr>
            <xdr:cNvPr id="11269" name="Spinner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6</xdr:row>
          <xdr:rowOff>25400</xdr:rowOff>
        </xdr:from>
        <xdr:to>
          <xdr:col>3</xdr:col>
          <xdr:colOff>736600</xdr:colOff>
          <xdr:row>7</xdr:row>
          <xdr:rowOff>0</xdr:rowOff>
        </xdr:to>
        <xdr:sp macro="" textlink="">
          <xdr:nvSpPr>
            <xdr:cNvPr id="11270" name="Spinner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6</xdr:row>
          <xdr:rowOff>25400</xdr:rowOff>
        </xdr:from>
        <xdr:to>
          <xdr:col>10</xdr:col>
          <xdr:colOff>736600</xdr:colOff>
          <xdr:row>7</xdr:row>
          <xdr:rowOff>0</xdr:rowOff>
        </xdr:to>
        <xdr:sp macro="" textlink="">
          <xdr:nvSpPr>
            <xdr:cNvPr id="11271" name="Spinner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6</xdr:row>
          <xdr:rowOff>12700</xdr:rowOff>
        </xdr:from>
        <xdr:to>
          <xdr:col>9</xdr:col>
          <xdr:colOff>736600</xdr:colOff>
          <xdr:row>6</xdr:row>
          <xdr:rowOff>406400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</xdr:colOff>
          <xdr:row>6</xdr:row>
          <xdr:rowOff>12700</xdr:rowOff>
        </xdr:from>
        <xdr:to>
          <xdr:col>8</xdr:col>
          <xdr:colOff>749300</xdr:colOff>
          <xdr:row>6</xdr:row>
          <xdr:rowOff>419100</xdr:rowOff>
        </xdr:to>
        <xdr:sp macro="" textlink="">
          <xdr:nvSpPr>
            <xdr:cNvPr id="11273" name="Spinner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6</xdr:row>
          <xdr:rowOff>12700</xdr:rowOff>
        </xdr:from>
        <xdr:to>
          <xdr:col>7</xdr:col>
          <xdr:colOff>749300</xdr:colOff>
          <xdr:row>6</xdr:row>
          <xdr:rowOff>419100</xdr:rowOff>
        </xdr:to>
        <xdr:sp macro="" textlink="">
          <xdr:nvSpPr>
            <xdr:cNvPr id="11274" name="Spinner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88900</xdr:colOff>
          <xdr:row>6</xdr:row>
          <xdr:rowOff>12700</xdr:rowOff>
        </xdr:from>
        <xdr:to>
          <xdr:col>11</xdr:col>
          <xdr:colOff>736600</xdr:colOff>
          <xdr:row>6</xdr:row>
          <xdr:rowOff>406400</xdr:rowOff>
        </xdr:to>
        <xdr:sp macro="" textlink="">
          <xdr:nvSpPr>
            <xdr:cNvPr id="11275" name="Spinner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11276" name="11280" descr="Reiniciar escenario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Reiniciar Escenarios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293076</xdr:colOff>
      <xdr:row>29</xdr:row>
      <xdr:rowOff>88898</xdr:rowOff>
    </xdr:from>
    <xdr:to>
      <xdr:col>10</xdr:col>
      <xdr:colOff>586153</xdr:colOff>
      <xdr:row>52</xdr:row>
      <xdr:rowOff>19536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79A91BFC-DC84-C007-4A94-4822CA2997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9076" y="5689598"/>
              <a:ext cx="7608277" cy="4604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634999</xdr:colOff>
      <xdr:row>28</xdr:row>
      <xdr:rowOff>69361</xdr:rowOff>
    </xdr:from>
    <xdr:to>
      <xdr:col>18</xdr:col>
      <xdr:colOff>214923</xdr:colOff>
      <xdr:row>42</xdr:row>
      <xdr:rowOff>39076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654537</xdr:colOff>
      <xdr:row>42</xdr:row>
      <xdr:rowOff>40054</xdr:rowOff>
    </xdr:from>
    <xdr:to>
      <xdr:col>18</xdr:col>
      <xdr:colOff>234460</xdr:colOff>
      <xdr:row>56</xdr:row>
      <xdr:rowOff>185615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625234</xdr:colOff>
      <xdr:row>57</xdr:row>
      <xdr:rowOff>10746</xdr:rowOff>
    </xdr:from>
    <xdr:to>
      <xdr:col>18</xdr:col>
      <xdr:colOff>185613</xdr:colOff>
      <xdr:row>70</xdr:row>
      <xdr:rowOff>67407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654538</xdr:colOff>
      <xdr:row>70</xdr:row>
      <xdr:rowOff>88899</xdr:rowOff>
    </xdr:from>
    <xdr:to>
      <xdr:col>18</xdr:col>
      <xdr:colOff>234461</xdr:colOff>
      <xdr:row>83</xdr:row>
      <xdr:rowOff>165099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312615</xdr:colOff>
      <xdr:row>5</xdr:row>
      <xdr:rowOff>976</xdr:rowOff>
    </xdr:from>
    <xdr:to>
      <xdr:col>20</xdr:col>
      <xdr:colOff>78154</xdr:colOff>
      <xdr:row>26</xdr:row>
      <xdr:rowOff>48845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6E7E459D-3054-AA30-2976-0B0289080E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69615" y="1118576"/>
              <a:ext cx="64203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566615</xdr:colOff>
      <xdr:row>5</xdr:row>
      <xdr:rowOff>118206</xdr:rowOff>
    </xdr:from>
    <xdr:to>
      <xdr:col>19</xdr:col>
      <xdr:colOff>332154</xdr:colOff>
      <xdr:row>26</xdr:row>
      <xdr:rowOff>166075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4EB04C9F-EBA6-0C4E-A2C8-5034132D9B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8415" y="1235806"/>
              <a:ext cx="6509239" cy="37816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439616</xdr:colOff>
      <xdr:row>28</xdr:row>
      <xdr:rowOff>171938</xdr:rowOff>
    </xdr:from>
    <xdr:to>
      <xdr:col>11</xdr:col>
      <xdr:colOff>400538</xdr:colOff>
      <xdr:row>50</xdr:row>
      <xdr:rowOff>29307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6F6DD10-C2E7-8EAD-21FD-EA8CC1DC21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4016" y="5671038"/>
              <a:ext cx="8266722" cy="43277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812800</xdr:colOff>
          <xdr:row>1</xdr:row>
          <xdr:rowOff>63500</xdr:rowOff>
        </xdr:from>
        <xdr:to>
          <xdr:col>6</xdr:col>
          <xdr:colOff>482600</xdr:colOff>
          <xdr:row>4</xdr:row>
          <xdr:rowOff>114300</xdr:rowOff>
        </xdr:to>
        <xdr:sp macro="" textlink="">
          <xdr:nvSpPr>
            <xdr:cNvPr id="7169" name="Button 1" descr="Generar Matrices de Cálculo…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Generar Matrices de Cálculo...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3</xdr:row>
          <xdr:rowOff>393700</xdr:rowOff>
        </xdr:from>
        <xdr:to>
          <xdr:col>6</xdr:col>
          <xdr:colOff>685800</xdr:colOff>
          <xdr:row>5</xdr:row>
          <xdr:rowOff>76200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2C3E50"/>
  </sheetPr>
  <dimension ref="A1:N60"/>
  <sheetViews>
    <sheetView showGridLines="0" zoomScale="180" zoomScaleNormal="180" workbookViewId="0">
      <selection activeCell="B7" sqref="B7:C7"/>
    </sheetView>
  </sheetViews>
  <sheetFormatPr baseColWidth="10" defaultColWidth="9" defaultRowHeight="16"/>
  <cols>
    <col min="1" max="1" width="3" style="2" customWidth="1"/>
    <col min="2" max="2" width="5.5" style="2" customWidth="1"/>
    <col min="3" max="3" width="78" customWidth="1"/>
    <col min="4" max="4" width="3" customWidth="1"/>
    <col min="5" max="5" width="9" style="2" customWidth="1"/>
    <col min="6" max="14" width="9" customWidth="1"/>
    <col min="15" max="16" width="9" style="2" customWidth="1"/>
    <col min="17" max="16384" width="9" style="2"/>
  </cols>
  <sheetData>
    <row r="1" spans="1:14" ht="8" customHeight="1">
      <c r="A1" s="193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</row>
    <row r="2" spans="1:14" ht="32" customHeight="1">
      <c r="A2" s="432" t="s">
        <v>32</v>
      </c>
      <c r="B2" s="430"/>
      <c r="C2" s="431"/>
      <c r="D2" s="431"/>
      <c r="E2" s="194"/>
      <c r="F2" s="194"/>
      <c r="G2" s="194"/>
      <c r="H2" s="194"/>
      <c r="I2" s="194"/>
      <c r="J2" s="194"/>
      <c r="K2" s="194"/>
      <c r="L2" s="194"/>
      <c r="M2" s="194"/>
      <c r="N2" s="194"/>
    </row>
    <row r="3" spans="1:14" ht="20" customHeight="1">
      <c r="A3" s="429" t="s">
        <v>33</v>
      </c>
      <c r="B3" s="430"/>
      <c r="C3" s="431"/>
      <c r="D3" s="431"/>
      <c r="E3" s="193"/>
      <c r="F3" s="193"/>
      <c r="G3" s="193"/>
      <c r="H3" s="193"/>
      <c r="I3" s="193"/>
      <c r="J3" s="193"/>
      <c r="K3" s="193"/>
      <c r="L3" s="193"/>
      <c r="M3" s="193"/>
      <c r="N3" s="193"/>
    </row>
    <row r="4" spans="1:14" ht="4" customHeight="1">
      <c r="A4" s="435"/>
      <c r="B4" s="430"/>
      <c r="C4" s="431"/>
      <c r="D4" s="431"/>
      <c r="E4" s="193"/>
      <c r="F4" s="193"/>
      <c r="G4" s="193"/>
      <c r="H4" s="193"/>
      <c r="I4" s="193"/>
      <c r="J4" s="193"/>
      <c r="K4" s="193"/>
      <c r="L4" s="193"/>
      <c r="M4" s="193"/>
      <c r="N4" s="193"/>
    </row>
    <row r="5" spans="1:14">
      <c r="A5" s="193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</row>
    <row r="6" spans="1:14" ht="24" customHeight="1">
      <c r="A6" s="193"/>
      <c r="B6" s="195" t="s">
        <v>34</v>
      </c>
      <c r="C6" s="196" t="s">
        <v>35</v>
      </c>
      <c r="D6" s="197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26" customHeight="1">
      <c r="A7" s="193"/>
      <c r="B7" s="433" t="s">
        <v>36</v>
      </c>
      <c r="C7" s="431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</row>
    <row r="8" spans="1:14" ht="19" customHeight="1">
      <c r="A8" s="193"/>
      <c r="B8" s="198" t="s">
        <v>34</v>
      </c>
      <c r="C8" s="199" t="s">
        <v>37</v>
      </c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</row>
    <row r="9" spans="1:14" ht="19" customHeight="1">
      <c r="A9" s="193"/>
      <c r="B9" s="198" t="s">
        <v>38</v>
      </c>
      <c r="C9" s="231" t="s">
        <v>523</v>
      </c>
      <c r="D9" s="193"/>
      <c r="E9" s="193"/>
      <c r="F9" s="193"/>
      <c r="G9" s="193"/>
      <c r="H9" s="193"/>
      <c r="I9" s="193"/>
      <c r="J9" s="193"/>
      <c r="K9" s="193"/>
      <c r="L9" s="193"/>
      <c r="M9" s="193"/>
      <c r="N9" s="193"/>
    </row>
    <row r="10" spans="1:14" ht="19" customHeight="1">
      <c r="A10" s="193"/>
      <c r="B10" s="198" t="s">
        <v>39</v>
      </c>
      <c r="C10" s="232" t="s">
        <v>600</v>
      </c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</row>
    <row r="11" spans="1:14" ht="10" customHeight="1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1:14" ht="24" customHeight="1">
      <c r="A12" s="193"/>
      <c r="B12" s="195" t="s">
        <v>38</v>
      </c>
      <c r="C12" s="196" t="s">
        <v>40</v>
      </c>
      <c r="D12" s="197"/>
      <c r="E12" s="193"/>
      <c r="F12" s="193"/>
      <c r="G12" s="193"/>
      <c r="H12" s="193"/>
      <c r="I12" s="193"/>
      <c r="J12" s="193"/>
      <c r="K12" s="193"/>
      <c r="L12" s="193"/>
      <c r="M12" s="193"/>
      <c r="N12" s="193"/>
    </row>
    <row r="13" spans="1:14" ht="26" customHeight="1">
      <c r="A13" s="193"/>
      <c r="B13" s="433" t="s">
        <v>41</v>
      </c>
      <c r="C13" s="431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9" customHeight="1">
      <c r="A14" s="193"/>
      <c r="B14" s="201" t="s">
        <v>34</v>
      </c>
      <c r="C14" s="202" t="s">
        <v>37</v>
      </c>
      <c r="D14" s="194"/>
      <c r="E14" s="194"/>
      <c r="F14" s="194"/>
      <c r="G14" s="194"/>
      <c r="H14" s="194"/>
      <c r="I14" s="194"/>
      <c r="J14" s="194"/>
      <c r="K14" s="194"/>
      <c r="L14" s="194"/>
      <c r="M14" s="194"/>
      <c r="N14" s="194"/>
    </row>
    <row r="15" spans="1:14" ht="19" customHeight="1">
      <c r="A15" s="193"/>
      <c r="B15" s="198" t="s">
        <v>38</v>
      </c>
      <c r="C15" s="231" t="s">
        <v>524</v>
      </c>
      <c r="D15" s="193"/>
      <c r="E15" s="193"/>
      <c r="F15" s="193"/>
      <c r="G15" s="193"/>
      <c r="H15" s="193"/>
      <c r="I15" s="193"/>
      <c r="J15" s="193"/>
      <c r="K15" s="193"/>
      <c r="L15" s="193"/>
      <c r="M15" s="193"/>
      <c r="N15" s="193"/>
    </row>
    <row r="16" spans="1:14" ht="19" customHeight="1">
      <c r="A16" s="193"/>
      <c r="B16" s="201" t="s">
        <v>39</v>
      </c>
      <c r="C16" s="233" t="s">
        <v>42</v>
      </c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</row>
    <row r="17" spans="1:14" ht="10" customHeight="1">
      <c r="A17" s="193"/>
      <c r="B17" s="193"/>
      <c r="C17" s="193"/>
      <c r="D17" s="193"/>
      <c r="E17" s="193"/>
      <c r="F17" s="193"/>
      <c r="G17" s="193"/>
      <c r="H17" s="193"/>
      <c r="I17" s="193"/>
      <c r="J17" s="193"/>
      <c r="K17" s="193"/>
      <c r="L17" s="193"/>
      <c r="M17" s="193"/>
      <c r="N17" s="193"/>
    </row>
    <row r="18" spans="1:14" ht="24" customHeight="1">
      <c r="A18" s="193"/>
      <c r="B18" s="195" t="s">
        <v>39</v>
      </c>
      <c r="C18" s="196" t="s">
        <v>43</v>
      </c>
      <c r="D18" s="197"/>
      <c r="E18" s="193"/>
      <c r="F18" s="193"/>
      <c r="G18" s="193"/>
      <c r="H18" s="193"/>
      <c r="I18" s="193"/>
      <c r="J18" s="193"/>
      <c r="K18" s="193"/>
      <c r="L18" s="193"/>
      <c r="M18" s="193"/>
      <c r="N18" s="193"/>
    </row>
    <row r="19" spans="1:14" ht="26" customHeight="1">
      <c r="A19" s="193"/>
      <c r="B19" s="433" t="s">
        <v>44</v>
      </c>
      <c r="C19" s="431"/>
      <c r="D19" s="193"/>
      <c r="E19" s="193"/>
      <c r="F19" s="193"/>
      <c r="G19" s="193"/>
      <c r="H19" s="193"/>
      <c r="I19" s="193"/>
      <c r="J19" s="193"/>
      <c r="K19" s="193"/>
      <c r="L19" s="193"/>
      <c r="M19" s="193"/>
      <c r="N19" s="193"/>
    </row>
    <row r="20" spans="1:14" ht="19" customHeight="1">
      <c r="A20" s="193"/>
      <c r="B20" s="198" t="s">
        <v>34</v>
      </c>
      <c r="C20" s="199" t="s">
        <v>45</v>
      </c>
      <c r="D20" s="193"/>
      <c r="E20" s="193"/>
      <c r="F20" s="193"/>
      <c r="G20" s="193"/>
      <c r="H20" s="193"/>
      <c r="I20" s="193"/>
      <c r="J20" s="193"/>
      <c r="K20" s="193"/>
      <c r="L20" s="193"/>
      <c r="M20" s="193"/>
      <c r="N20" s="193"/>
    </row>
    <row r="21" spans="1:14" ht="19" customHeight="1">
      <c r="A21" s="193"/>
      <c r="B21" s="198" t="s">
        <v>38</v>
      </c>
      <c r="C21" s="200" t="s">
        <v>46</v>
      </c>
      <c r="D21" s="193"/>
      <c r="E21" s="193"/>
      <c r="F21" s="193"/>
      <c r="G21" s="193"/>
      <c r="H21" s="193"/>
      <c r="I21" s="193"/>
      <c r="J21" s="193"/>
      <c r="K21" s="193"/>
      <c r="L21" s="193"/>
      <c r="M21" s="193"/>
      <c r="N21" s="193"/>
    </row>
    <row r="22" spans="1:14" ht="19" customHeight="1">
      <c r="A22" s="193"/>
      <c r="B22" s="198" t="s">
        <v>39</v>
      </c>
      <c r="C22" s="232" t="s">
        <v>600</v>
      </c>
      <c r="D22" s="193"/>
      <c r="E22" s="193"/>
      <c r="F22" s="193"/>
      <c r="G22" s="193"/>
      <c r="H22" s="193"/>
      <c r="I22" s="193"/>
      <c r="J22" s="193"/>
      <c r="K22" s="193"/>
      <c r="L22" s="193"/>
      <c r="M22" s="193"/>
      <c r="N22" s="193"/>
    </row>
    <row r="23" spans="1:14" ht="10" customHeight="1">
      <c r="A23" s="193"/>
      <c r="B23" s="194"/>
      <c r="C23" s="194"/>
      <c r="D23" s="194"/>
      <c r="E23" s="194"/>
      <c r="F23" s="194"/>
      <c r="G23" s="194"/>
      <c r="H23" s="194"/>
      <c r="I23" s="194"/>
      <c r="J23" s="194"/>
      <c r="K23" s="194"/>
      <c r="L23" s="194"/>
      <c r="M23" s="194"/>
      <c r="N23" s="194"/>
    </row>
    <row r="24" spans="1:14" ht="30" customHeight="1">
      <c r="A24" s="193"/>
      <c r="B24" s="434" t="s">
        <v>47</v>
      </c>
      <c r="C24" s="431"/>
      <c r="D24" s="193"/>
      <c r="E24" s="193"/>
      <c r="F24" s="193"/>
      <c r="G24" s="193"/>
      <c r="H24" s="193"/>
      <c r="I24" s="193"/>
      <c r="J24" s="193"/>
      <c r="K24" s="193"/>
      <c r="L24" s="193"/>
      <c r="M24" s="193"/>
      <c r="N24" s="193"/>
    </row>
    <row r="25" spans="1:14">
      <c r="A25" s="193"/>
      <c r="B25" s="194"/>
      <c r="C25" s="194"/>
      <c r="D25" s="194"/>
      <c r="E25" s="194"/>
      <c r="F25" s="194"/>
      <c r="G25" s="194"/>
      <c r="H25" s="194"/>
      <c r="I25" s="194"/>
      <c r="J25" s="194"/>
      <c r="K25" s="194"/>
      <c r="L25" s="194"/>
      <c r="M25" s="194"/>
      <c r="N25" s="194"/>
    </row>
    <row r="26" spans="1:14">
      <c r="A26" s="193"/>
      <c r="B26" s="193"/>
      <c r="C26" s="193"/>
      <c r="D26" s="193"/>
      <c r="E26" s="193"/>
      <c r="F26" s="193"/>
      <c r="G26" s="193"/>
      <c r="H26" s="193"/>
      <c r="I26" s="193"/>
      <c r="J26" s="193"/>
      <c r="K26" s="193"/>
      <c r="L26" s="193"/>
      <c r="M26" s="193"/>
      <c r="N26" s="193"/>
    </row>
    <row r="27" spans="1:14">
      <c r="A27" s="193"/>
      <c r="B27" s="193"/>
      <c r="C27" s="193"/>
      <c r="D27" s="193"/>
      <c r="E27" s="193"/>
      <c r="F27" s="193"/>
      <c r="G27" s="193"/>
      <c r="H27" s="193"/>
      <c r="I27" s="193"/>
      <c r="J27" s="193"/>
      <c r="K27" s="193"/>
      <c r="L27" s="193"/>
      <c r="M27" s="193"/>
      <c r="N27" s="193"/>
    </row>
    <row r="28" spans="1:14">
      <c r="A28" s="193"/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193"/>
      <c r="M28" s="193"/>
      <c r="N28" s="193"/>
    </row>
    <row r="29" spans="1:14">
      <c r="A29" s="193"/>
      <c r="B29" s="193"/>
      <c r="C29" s="193"/>
      <c r="D29" s="193"/>
      <c r="E29" s="193"/>
      <c r="F29" s="193"/>
      <c r="G29" s="193"/>
      <c r="H29" s="193"/>
      <c r="I29" s="193"/>
      <c r="J29" s="193"/>
      <c r="K29" s="193"/>
      <c r="L29" s="193"/>
      <c r="M29" s="193"/>
      <c r="N29" s="193"/>
    </row>
    <row r="30" spans="1:14">
      <c r="A30" s="193"/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</row>
    <row r="31" spans="1:14">
      <c r="A31" s="193"/>
      <c r="B31" s="193"/>
      <c r="C31" s="193"/>
      <c r="D31" s="193"/>
      <c r="E31" s="193"/>
      <c r="F31" s="193"/>
      <c r="G31" s="193"/>
      <c r="H31" s="193"/>
      <c r="I31" s="193"/>
      <c r="J31" s="193"/>
      <c r="K31" s="193"/>
      <c r="L31" s="193"/>
      <c r="M31" s="193"/>
      <c r="N31" s="193"/>
    </row>
    <row r="32" spans="1:14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  <c r="L32" s="194"/>
      <c r="M32" s="194"/>
      <c r="N32" s="194"/>
    </row>
    <row r="33" spans="1:14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</row>
    <row r="34" spans="1:14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  <c r="L34" s="194"/>
      <c r="M34" s="194"/>
      <c r="N34" s="194"/>
    </row>
    <row r="35" spans="1:14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</row>
    <row r="36" spans="1:14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</row>
    <row r="37" spans="1:14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  <c r="L37" s="194"/>
      <c r="M37" s="194"/>
      <c r="N37" s="194"/>
    </row>
    <row r="38" spans="1:14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  <c r="L38" s="194"/>
      <c r="M38" s="194"/>
      <c r="N38" s="194"/>
    </row>
    <row r="39" spans="1:14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  <c r="M39" s="194"/>
      <c r="N39" s="194"/>
    </row>
    <row r="40" spans="1:14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</row>
    <row r="41" spans="1:14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</row>
    <row r="42" spans="1:14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  <c r="M42" s="194"/>
      <c r="N42" s="194"/>
    </row>
    <row r="43" spans="1:14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  <c r="M43" s="194"/>
      <c r="N43" s="194"/>
    </row>
    <row r="44" spans="1:14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  <c r="M44" s="194"/>
      <c r="N44" s="194"/>
    </row>
    <row r="45" spans="1:14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  <c r="M45" s="194"/>
      <c r="N45" s="194"/>
    </row>
    <row r="46" spans="1:14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  <c r="M46" s="194"/>
      <c r="N46" s="194"/>
    </row>
    <row r="47" spans="1:14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</row>
    <row r="48" spans="1:14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</row>
    <row r="49" spans="1:14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</row>
    <row r="50" spans="1:14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  <c r="M50" s="194"/>
      <c r="N50" s="194"/>
    </row>
    <row r="51" spans="1:14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</row>
    <row r="52" spans="1:14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</row>
    <row r="53" spans="1:14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  <c r="M53" s="194"/>
      <c r="N53" s="194"/>
    </row>
    <row r="54" spans="1:14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  <c r="M54" s="194"/>
      <c r="N54" s="194"/>
    </row>
    <row r="55" spans="1:14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  <c r="M55" s="194"/>
      <c r="N55" s="194"/>
    </row>
    <row r="56" spans="1:14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  <c r="M56" s="194"/>
      <c r="N56" s="194"/>
    </row>
    <row r="57" spans="1:14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</row>
    <row r="58" spans="1:14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</row>
    <row r="59" spans="1:14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</row>
    <row r="60" spans="1:14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  <c r="M60" s="194"/>
      <c r="N60" s="194"/>
    </row>
  </sheetData>
  <mergeCells count="7">
    <mergeCell ref="A3:D3"/>
    <mergeCell ref="A2:D2"/>
    <mergeCell ref="B13:C13"/>
    <mergeCell ref="B24:C24"/>
    <mergeCell ref="B7:C7"/>
    <mergeCell ref="B19:C19"/>
    <mergeCell ref="A4:D4"/>
  </mergeCells>
  <pageMargins left="0.511811024" right="0.511811024" top="0.78740157499999996" bottom="0.78740157499999996" header="0.31496062000000002" footer="0.31496062000000002"/>
  <ignoredErrors>
    <ignoredError sqref="B8 B9:B10 B14:B16 B20:B22 B12 B18 B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17D7E"/>
  </sheetPr>
  <dimension ref="A1:K79"/>
  <sheetViews>
    <sheetView showGridLines="0" tabSelected="1" zoomScale="180" zoomScaleNormal="180" workbookViewId="0">
      <selection activeCell="B9" sqref="B9:C9"/>
    </sheetView>
  </sheetViews>
  <sheetFormatPr baseColWidth="10" defaultColWidth="3" defaultRowHeight="16"/>
  <cols>
    <col min="1" max="1" width="3" style="1" customWidth="1"/>
    <col min="2" max="2" width="5.5" style="1" customWidth="1"/>
    <col min="3" max="3" width="88" customWidth="1"/>
    <col min="4" max="4" width="3" style="1" customWidth="1"/>
    <col min="5" max="10" width="9" customWidth="1"/>
    <col min="11" max="12" width="3" style="1" customWidth="1"/>
    <col min="13" max="16384" width="3" style="1"/>
  </cols>
  <sheetData>
    <row r="1" spans="1:11" ht="8" customHeight="1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</row>
    <row r="2" spans="1:11" ht="32" customHeight="1">
      <c r="A2" s="443" t="s">
        <v>48</v>
      </c>
      <c r="B2" s="441"/>
      <c r="C2" s="431"/>
      <c r="D2" s="441"/>
      <c r="E2" s="194"/>
      <c r="F2" s="194"/>
      <c r="G2" s="194"/>
      <c r="H2" s="194"/>
      <c r="I2" s="194"/>
      <c r="J2" s="194"/>
      <c r="K2" s="194"/>
    </row>
    <row r="3" spans="1:11" ht="20" customHeight="1">
      <c r="A3" s="442"/>
      <c r="B3" s="441"/>
      <c r="C3" s="431"/>
      <c r="D3" s="441"/>
      <c r="E3" s="194"/>
      <c r="F3" s="194"/>
      <c r="G3" s="194"/>
      <c r="H3" s="194"/>
      <c r="I3" s="194"/>
      <c r="J3" s="194"/>
      <c r="K3" s="194"/>
    </row>
    <row r="4" spans="1:11" ht="4" customHeight="1">
      <c r="A4" s="440"/>
      <c r="B4" s="441"/>
      <c r="C4" s="431"/>
      <c r="D4" s="441"/>
      <c r="E4" s="194"/>
      <c r="F4" s="194"/>
      <c r="G4" s="194"/>
      <c r="H4" s="194"/>
      <c r="I4" s="194"/>
      <c r="J4" s="194"/>
      <c r="K4" s="194"/>
    </row>
    <row r="5" spans="1:11" ht="8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</row>
    <row r="6" spans="1:11" ht="24" customHeight="1">
      <c r="A6" s="194"/>
      <c r="B6" s="203" t="s">
        <v>34</v>
      </c>
      <c r="C6" s="204" t="s">
        <v>49</v>
      </c>
      <c r="D6" s="205"/>
      <c r="E6" s="194"/>
      <c r="F6" s="194"/>
      <c r="G6" s="194"/>
      <c r="H6" s="194"/>
      <c r="I6" s="194"/>
      <c r="J6" s="194"/>
      <c r="K6" s="194"/>
    </row>
    <row r="7" spans="1:11" ht="20" customHeight="1">
      <c r="A7" s="194"/>
      <c r="B7" s="438" t="s">
        <v>50</v>
      </c>
      <c r="C7" s="431"/>
      <c r="D7" s="194"/>
      <c r="E7" s="194"/>
      <c r="F7" s="194"/>
      <c r="G7" s="194"/>
      <c r="H7" s="194"/>
      <c r="I7" s="194"/>
      <c r="J7" s="194"/>
      <c r="K7" s="194"/>
    </row>
    <row r="8" spans="1:11" ht="28" customHeight="1">
      <c r="A8" s="194"/>
      <c r="B8" s="439" t="s">
        <v>51</v>
      </c>
      <c r="C8" s="431"/>
      <c r="D8" s="194"/>
      <c r="E8" s="194"/>
      <c r="F8" s="194"/>
      <c r="G8" s="194"/>
      <c r="H8" s="194"/>
      <c r="I8" s="194"/>
      <c r="J8" s="194"/>
      <c r="K8" s="194"/>
    </row>
    <row r="9" spans="1:11" ht="18" customHeight="1">
      <c r="A9" s="194"/>
      <c r="B9" s="444" t="s">
        <v>635</v>
      </c>
      <c r="C9" s="431"/>
      <c r="D9" s="194"/>
      <c r="E9" s="194"/>
      <c r="F9" s="194"/>
      <c r="G9" s="194"/>
      <c r="H9" s="194"/>
      <c r="I9" s="194"/>
      <c r="J9" s="194"/>
      <c r="K9" s="194"/>
    </row>
    <row r="10" spans="1:11" ht="10" customHeight="1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</row>
    <row r="11" spans="1:11" ht="24" customHeight="1">
      <c r="A11" s="194"/>
      <c r="B11" s="203" t="s">
        <v>38</v>
      </c>
      <c r="C11" s="204" t="s">
        <v>52</v>
      </c>
      <c r="D11" s="205"/>
      <c r="E11" s="194"/>
      <c r="F11" s="194"/>
      <c r="G11" s="194"/>
      <c r="H11" s="194"/>
      <c r="I11" s="194"/>
      <c r="J11" s="194"/>
      <c r="K11" s="194"/>
    </row>
    <row r="12" spans="1:11" ht="22" customHeight="1">
      <c r="A12" s="194"/>
      <c r="B12" s="436" t="s">
        <v>53</v>
      </c>
      <c r="C12" s="431"/>
      <c r="D12" s="194"/>
      <c r="E12" s="194"/>
      <c r="F12" s="194"/>
      <c r="G12" s="194"/>
      <c r="H12" s="194"/>
      <c r="I12" s="194"/>
      <c r="J12" s="194"/>
      <c r="K12" s="194"/>
    </row>
    <row r="13" spans="1:11" ht="30" customHeight="1">
      <c r="A13" s="194"/>
      <c r="B13" s="439" t="s">
        <v>54</v>
      </c>
      <c r="C13" s="431"/>
      <c r="D13" s="194"/>
      <c r="E13" s="194"/>
      <c r="F13" s="194"/>
      <c r="G13" s="194"/>
      <c r="H13" s="194"/>
      <c r="I13" s="194"/>
      <c r="J13" s="194"/>
      <c r="K13" s="194"/>
    </row>
    <row r="14" spans="1:11" ht="30" customHeight="1">
      <c r="A14" s="194"/>
      <c r="B14" s="436" t="s">
        <v>55</v>
      </c>
      <c r="C14" s="431"/>
      <c r="D14" s="194"/>
      <c r="E14" s="194"/>
      <c r="F14" s="194"/>
      <c r="G14" s="194"/>
      <c r="H14" s="194"/>
      <c r="I14" s="194"/>
      <c r="J14" s="194"/>
      <c r="K14" s="194"/>
    </row>
    <row r="15" spans="1:11" ht="30" customHeight="1">
      <c r="A15" s="194"/>
      <c r="B15" s="439"/>
      <c r="C15" s="431"/>
      <c r="D15" s="194"/>
      <c r="E15" s="194"/>
      <c r="F15" s="194"/>
      <c r="G15" s="194"/>
      <c r="H15" s="194"/>
      <c r="I15" s="194"/>
      <c r="J15" s="194"/>
      <c r="K15" s="194"/>
    </row>
    <row r="16" spans="1:11" ht="22" customHeight="1">
      <c r="A16" s="194"/>
      <c r="B16" s="436"/>
      <c r="C16" s="431"/>
      <c r="D16" s="194"/>
      <c r="E16" s="194"/>
      <c r="F16" s="194"/>
      <c r="G16" s="194"/>
      <c r="H16" s="194"/>
      <c r="I16" s="194"/>
      <c r="J16" s="194"/>
      <c r="K16" s="194"/>
    </row>
    <row r="17" spans="1:11" ht="10" customHeight="1">
      <c r="A17" s="194"/>
      <c r="B17" s="194"/>
      <c r="C17" s="194"/>
      <c r="D17" s="194"/>
      <c r="E17" s="194"/>
      <c r="F17" s="194"/>
      <c r="G17" s="194"/>
      <c r="H17" s="194"/>
      <c r="I17" s="194"/>
      <c r="J17" s="194"/>
      <c r="K17" s="194"/>
    </row>
    <row r="18" spans="1:11" ht="24" customHeight="1">
      <c r="A18" s="194"/>
      <c r="B18" s="203" t="s">
        <v>39</v>
      </c>
      <c r="C18" s="204" t="s">
        <v>56</v>
      </c>
      <c r="D18" s="205"/>
      <c r="E18" s="194"/>
      <c r="F18" s="194"/>
      <c r="G18" s="194"/>
      <c r="H18" s="194"/>
      <c r="I18" s="194"/>
      <c r="J18" s="194"/>
      <c r="K18" s="194"/>
    </row>
    <row r="19" spans="1:11" ht="24" customHeight="1">
      <c r="A19" s="194"/>
      <c r="B19" s="206" t="s">
        <v>57</v>
      </c>
      <c r="C19" s="313" t="s">
        <v>58</v>
      </c>
      <c r="D19" s="194"/>
      <c r="E19" s="194"/>
      <c r="F19" s="194"/>
      <c r="G19" s="194"/>
      <c r="H19" s="194"/>
      <c r="I19" s="194"/>
      <c r="J19" s="194"/>
      <c r="K19" s="194"/>
    </row>
    <row r="20" spans="1:11" ht="24" customHeight="1">
      <c r="A20" s="194"/>
      <c r="B20" s="208" t="s">
        <v>57</v>
      </c>
      <c r="C20" s="209" t="s">
        <v>59</v>
      </c>
      <c r="D20" s="194"/>
      <c r="E20" s="194"/>
      <c r="F20" s="194"/>
      <c r="G20" s="194"/>
      <c r="H20" s="194"/>
      <c r="I20" s="194"/>
      <c r="J20" s="194"/>
      <c r="K20" s="194"/>
    </row>
    <row r="21" spans="1:11" ht="24" customHeight="1">
      <c r="A21" s="194"/>
      <c r="B21" s="206" t="s">
        <v>57</v>
      </c>
      <c r="C21" s="207" t="s">
        <v>60</v>
      </c>
      <c r="D21" s="194"/>
      <c r="E21" s="194"/>
      <c r="F21" s="194"/>
      <c r="G21" s="194"/>
      <c r="H21" s="194"/>
      <c r="I21" s="194"/>
      <c r="J21" s="194"/>
      <c r="K21" s="194"/>
    </row>
    <row r="22" spans="1:11" ht="10" customHeight="1">
      <c r="A22" s="194"/>
      <c r="B22" s="194"/>
      <c r="C22" s="194"/>
      <c r="D22" s="194"/>
      <c r="E22" s="194"/>
      <c r="F22" s="194"/>
      <c r="G22" s="194"/>
      <c r="H22" s="194"/>
      <c r="I22" s="194"/>
      <c r="J22" s="194"/>
      <c r="K22" s="194"/>
    </row>
    <row r="23" spans="1:11" ht="24" customHeight="1">
      <c r="A23" s="194"/>
      <c r="B23" s="203" t="s">
        <v>61</v>
      </c>
      <c r="C23" s="204" t="s">
        <v>62</v>
      </c>
      <c r="D23" s="205"/>
      <c r="E23" s="194"/>
      <c r="F23" s="194"/>
      <c r="G23" s="194"/>
      <c r="H23" s="194"/>
      <c r="I23" s="194"/>
      <c r="J23" s="194"/>
      <c r="K23" s="194"/>
    </row>
    <row r="24" spans="1:11" ht="34" customHeight="1">
      <c r="A24" s="194"/>
      <c r="B24" s="210" t="s">
        <v>63</v>
      </c>
      <c r="C24" s="211" t="s">
        <v>64</v>
      </c>
      <c r="D24" s="194"/>
      <c r="E24" s="194"/>
      <c r="F24" s="194"/>
      <c r="G24" s="194"/>
      <c r="H24" s="194"/>
      <c r="I24" s="194"/>
      <c r="J24" s="194"/>
      <c r="K24" s="194"/>
    </row>
    <row r="25" spans="1:11" ht="34" customHeight="1">
      <c r="A25" s="194"/>
      <c r="B25" s="212" t="s">
        <v>63</v>
      </c>
      <c r="C25" s="213" t="s">
        <v>65</v>
      </c>
      <c r="D25" s="194"/>
      <c r="E25" s="194"/>
      <c r="F25" s="194"/>
      <c r="G25" s="194"/>
      <c r="H25" s="194"/>
      <c r="I25" s="194"/>
      <c r="J25" s="194"/>
      <c r="K25" s="194"/>
    </row>
    <row r="26" spans="1:11" ht="34" customHeight="1">
      <c r="A26" s="194"/>
      <c r="B26" s="210" t="s">
        <v>63</v>
      </c>
      <c r="C26" s="211" t="s">
        <v>66</v>
      </c>
      <c r="D26" s="194"/>
      <c r="E26" s="194"/>
      <c r="F26" s="194"/>
      <c r="G26" s="194"/>
      <c r="H26" s="194"/>
      <c r="I26" s="194"/>
      <c r="J26" s="194"/>
      <c r="K26" s="194"/>
    </row>
    <row r="27" spans="1:11" ht="34" customHeight="1">
      <c r="A27" s="194"/>
      <c r="B27" s="212" t="s">
        <v>63</v>
      </c>
      <c r="C27" s="213" t="s">
        <v>67</v>
      </c>
      <c r="D27" s="194"/>
      <c r="E27" s="194"/>
      <c r="F27" s="194"/>
      <c r="G27" s="194"/>
      <c r="H27" s="194"/>
      <c r="I27" s="194"/>
      <c r="J27" s="194"/>
      <c r="K27" s="194"/>
    </row>
    <row r="28" spans="1:11" ht="18" customHeight="1">
      <c r="A28" s="194"/>
      <c r="B28" s="194"/>
      <c r="C28" s="194"/>
      <c r="D28" s="194"/>
      <c r="E28" s="194"/>
      <c r="F28" s="194"/>
      <c r="G28" s="194"/>
      <c r="H28" s="194"/>
      <c r="I28" s="194"/>
      <c r="J28" s="194"/>
      <c r="K28" s="194"/>
    </row>
    <row r="29" spans="1:11" ht="42" customHeight="1">
      <c r="A29" s="194"/>
      <c r="B29" s="437" t="s">
        <v>68</v>
      </c>
      <c r="C29" s="431"/>
      <c r="D29" s="194"/>
      <c r="E29" s="194"/>
      <c r="F29" s="194"/>
      <c r="G29" s="194"/>
      <c r="H29" s="194"/>
      <c r="I29" s="194"/>
      <c r="J29" s="194"/>
      <c r="K29" s="194"/>
    </row>
    <row r="30" spans="1:11">
      <c r="A30" s="194"/>
      <c r="B30" s="194"/>
      <c r="C30" s="194"/>
      <c r="D30" s="194"/>
      <c r="E30" s="194"/>
      <c r="F30" s="194"/>
      <c r="G30" s="194"/>
      <c r="H30" s="194"/>
      <c r="I30" s="194"/>
      <c r="J30" s="194"/>
      <c r="K30" s="194"/>
    </row>
    <row r="31" spans="1:11">
      <c r="A31" s="194"/>
      <c r="B31" s="194"/>
      <c r="C31" s="194"/>
      <c r="D31" s="194"/>
      <c r="E31" s="194"/>
      <c r="F31" s="194"/>
      <c r="G31" s="194"/>
      <c r="H31" s="194"/>
      <c r="I31" s="194"/>
      <c r="J31" s="194"/>
      <c r="K31" s="194"/>
    </row>
    <row r="32" spans="1:11">
      <c r="A32" s="194"/>
      <c r="B32" s="194"/>
      <c r="C32" s="194"/>
      <c r="D32" s="194"/>
      <c r="E32" s="194"/>
      <c r="F32" s="194"/>
      <c r="G32" s="194"/>
      <c r="H32" s="194"/>
      <c r="I32" s="194"/>
      <c r="J32" s="194"/>
      <c r="K32" s="194"/>
    </row>
    <row r="33" spans="1:11">
      <c r="A33" s="194"/>
      <c r="B33" s="194"/>
      <c r="C33" s="194"/>
      <c r="D33" s="194"/>
      <c r="E33" s="194"/>
      <c r="F33" s="194"/>
      <c r="G33" s="194"/>
      <c r="H33" s="194"/>
      <c r="I33" s="194"/>
      <c r="J33" s="194"/>
      <c r="K33" s="194"/>
    </row>
    <row r="34" spans="1:11">
      <c r="A34" s="194"/>
      <c r="B34" s="194"/>
      <c r="C34" s="194"/>
      <c r="D34" s="194"/>
      <c r="E34" s="194"/>
      <c r="F34" s="194"/>
      <c r="G34" s="194"/>
      <c r="H34" s="194"/>
      <c r="I34" s="194"/>
      <c r="J34" s="194"/>
      <c r="K34" s="194"/>
    </row>
    <row r="35" spans="1:11">
      <c r="A35" s="194"/>
      <c r="B35" s="194"/>
      <c r="C35" s="194"/>
      <c r="D35" s="194"/>
      <c r="E35" s="194"/>
      <c r="F35" s="194"/>
      <c r="G35" s="194"/>
      <c r="H35" s="194"/>
      <c r="I35" s="194"/>
      <c r="J35" s="194"/>
      <c r="K35" s="194"/>
    </row>
    <row r="36" spans="1:11">
      <c r="A36" s="194"/>
      <c r="B36" s="194"/>
      <c r="C36" s="194"/>
      <c r="D36" s="194"/>
      <c r="E36" s="194"/>
      <c r="F36" s="194"/>
      <c r="G36" s="194"/>
      <c r="H36" s="194"/>
      <c r="I36" s="194"/>
      <c r="J36" s="194"/>
      <c r="K36" s="194"/>
    </row>
    <row r="37" spans="1:11">
      <c r="A37" s="194"/>
      <c r="B37" s="194"/>
      <c r="C37" s="194"/>
      <c r="D37" s="194"/>
      <c r="E37" s="194"/>
      <c r="F37" s="194"/>
      <c r="G37" s="194"/>
      <c r="H37" s="194"/>
      <c r="I37" s="194"/>
      <c r="J37" s="194"/>
      <c r="K37" s="194"/>
    </row>
    <row r="38" spans="1:11">
      <c r="A38" s="194"/>
      <c r="B38" s="194"/>
      <c r="C38" s="194"/>
      <c r="D38" s="194"/>
      <c r="E38" s="194"/>
      <c r="F38" s="194"/>
      <c r="G38" s="194"/>
      <c r="H38" s="194"/>
      <c r="I38" s="194"/>
      <c r="J38" s="194"/>
      <c r="K38" s="194"/>
    </row>
    <row r="39" spans="1:11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</row>
    <row r="40" spans="1:11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</row>
    <row r="41" spans="1:11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</row>
    <row r="42" spans="1:11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</row>
    <row r="43" spans="1:11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</row>
    <row r="44" spans="1:11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</row>
    <row r="45" spans="1:11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</row>
    <row r="46" spans="1:11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</row>
    <row r="47" spans="1:11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</row>
    <row r="48" spans="1:11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</row>
    <row r="49" spans="1:11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</row>
    <row r="50" spans="1:11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</row>
    <row r="51" spans="1:11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</row>
    <row r="52" spans="1:11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</row>
    <row r="53" spans="1:11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</row>
    <row r="54" spans="1:11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</row>
    <row r="55" spans="1:11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</row>
    <row r="56" spans="1:11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</row>
    <row r="57" spans="1:11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</row>
    <row r="58" spans="1:11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</row>
    <row r="59" spans="1:11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</row>
    <row r="60" spans="1:11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</row>
    <row r="61" spans="1:11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</row>
    <row r="62" spans="1:11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</row>
    <row r="63" spans="1:11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</row>
    <row r="64" spans="1:11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</row>
    <row r="65" spans="1:11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</row>
    <row r="66" spans="1:11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</row>
    <row r="67" spans="1:11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</row>
    <row r="68" spans="1:11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</row>
    <row r="69" spans="1:11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</row>
    <row r="70" spans="1:11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</row>
    <row r="71" spans="1:11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</row>
    <row r="72" spans="1:11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</row>
    <row r="73" spans="1:11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</row>
    <row r="74" spans="1:11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</row>
    <row r="75" spans="1:11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</row>
    <row r="76" spans="1:11">
      <c r="A76" s="194"/>
      <c r="B76" s="194"/>
      <c r="C76" s="194"/>
      <c r="D76" s="194"/>
      <c r="E76" s="194"/>
      <c r="F76" s="194"/>
      <c r="G76" s="194"/>
      <c r="H76" s="194"/>
      <c r="I76" s="194"/>
      <c r="J76" s="194"/>
      <c r="K76" s="194"/>
    </row>
    <row r="77" spans="1:11">
      <c r="A77" s="194"/>
      <c r="B77" s="194"/>
      <c r="C77" s="194"/>
      <c r="D77" s="194"/>
      <c r="E77" s="194"/>
      <c r="F77" s="194"/>
      <c r="G77" s="194"/>
      <c r="H77" s="194"/>
      <c r="I77" s="194"/>
      <c r="J77" s="194"/>
      <c r="K77" s="194"/>
    </row>
    <row r="78" spans="1:11">
      <c r="A78" s="194"/>
      <c r="B78" s="194"/>
      <c r="C78" s="194"/>
      <c r="D78" s="194"/>
      <c r="E78" s="194"/>
      <c r="F78" s="194"/>
      <c r="G78" s="194"/>
      <c r="H78" s="194"/>
      <c r="I78" s="194"/>
      <c r="J78" s="194"/>
      <c r="K78" s="194"/>
    </row>
    <row r="79" spans="1:11">
      <c r="A79" s="194"/>
      <c r="B79" s="194"/>
      <c r="C79" s="194"/>
      <c r="D79" s="194"/>
      <c r="E79" s="194"/>
      <c r="F79" s="194"/>
      <c r="G79" s="194"/>
      <c r="H79" s="194"/>
      <c r="I79" s="194"/>
      <c r="J79" s="194"/>
      <c r="K79" s="194"/>
    </row>
  </sheetData>
  <mergeCells count="12">
    <mergeCell ref="A3:D3"/>
    <mergeCell ref="B14:C14"/>
    <mergeCell ref="A2:D2"/>
    <mergeCell ref="B9:C9"/>
    <mergeCell ref="B8:C8"/>
    <mergeCell ref="B12:C12"/>
    <mergeCell ref="B13:C13"/>
    <mergeCell ref="B16:C16"/>
    <mergeCell ref="B29:C29"/>
    <mergeCell ref="B7:C7"/>
    <mergeCell ref="B15:C15"/>
    <mergeCell ref="A4:D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2980B9"/>
  </sheetPr>
  <dimension ref="A1:J30"/>
  <sheetViews>
    <sheetView showGridLines="0" topLeftCell="A4" zoomScale="150" workbookViewId="0">
      <selection activeCell="D28" sqref="D28"/>
    </sheetView>
  </sheetViews>
  <sheetFormatPr baseColWidth="10" defaultRowHeight="16"/>
  <cols>
    <col min="1" max="1" width="3.6640625" style="3" customWidth="1"/>
    <col min="2" max="2" width="23.83203125" style="3" customWidth="1"/>
    <col min="3" max="3" width="11.83203125" style="3" customWidth="1"/>
    <col min="4" max="4" width="10.33203125" style="3" customWidth="1"/>
    <col min="5" max="5" width="12.83203125" style="3" customWidth="1"/>
    <col min="6" max="6" width="8.33203125" style="189" customWidth="1"/>
    <col min="7" max="7" width="3" style="3" customWidth="1"/>
    <col min="8" max="8" width="10.6640625" style="3" customWidth="1"/>
    <col min="9" max="9" width="12.83203125" style="189" customWidth="1"/>
    <col min="10" max="10" width="8.5" style="3" customWidth="1"/>
    <col min="11" max="16" width="10.83203125" style="3" customWidth="1"/>
    <col min="17" max="16384" width="10.83203125" style="3"/>
  </cols>
  <sheetData>
    <row r="1" spans="1:10" ht="24" customHeight="1">
      <c r="A1" s="18"/>
      <c r="B1" s="314" t="s">
        <v>0</v>
      </c>
      <c r="C1" s="314"/>
      <c r="D1" s="314"/>
      <c r="E1" s="314"/>
      <c r="F1" s="314"/>
      <c r="G1" s="314"/>
      <c r="H1" s="314"/>
      <c r="I1" s="314"/>
      <c r="J1" s="314"/>
    </row>
    <row r="2" spans="1:10" ht="14" customHeight="1">
      <c r="A2" s="18"/>
      <c r="B2" s="23" t="s">
        <v>1</v>
      </c>
      <c r="C2" s="23"/>
      <c r="D2" s="18"/>
      <c r="E2" s="18"/>
      <c r="F2" s="18"/>
      <c r="G2" s="18"/>
      <c r="H2" s="18"/>
      <c r="I2" s="18"/>
      <c r="J2" s="18"/>
    </row>
    <row r="3" spans="1:10">
      <c r="A3" s="18"/>
      <c r="B3" s="18" t="s">
        <v>2</v>
      </c>
      <c r="C3" s="18"/>
      <c r="D3" s="18"/>
      <c r="E3" s="18"/>
      <c r="F3" s="18"/>
      <c r="G3" s="18"/>
      <c r="H3" s="18"/>
      <c r="I3" s="18"/>
      <c r="J3" s="18"/>
    </row>
    <row r="4" spans="1:10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0">
      <c r="A5" s="18"/>
      <c r="B5" s="18"/>
      <c r="C5" s="18"/>
      <c r="D5" s="18"/>
      <c r="E5" s="18"/>
      <c r="F5" s="18"/>
      <c r="G5" s="18"/>
      <c r="H5" s="18"/>
      <c r="I5" s="18"/>
      <c r="J5" s="18"/>
    </row>
    <row r="6" spans="1:10" ht="25" customHeight="1">
      <c r="A6" s="18"/>
      <c r="B6" s="18"/>
      <c r="C6" s="18"/>
      <c r="D6" s="315" t="s">
        <v>3</v>
      </c>
      <c r="G6" s="18"/>
      <c r="H6" s="321" t="s">
        <v>4</v>
      </c>
    </row>
    <row r="7" spans="1:10" ht="22" customHeight="1">
      <c r="A7" s="18"/>
      <c r="B7" s="24" t="s">
        <v>5</v>
      </c>
      <c r="C7" s="24" t="s">
        <v>6</v>
      </c>
      <c r="D7" s="24" t="s">
        <v>7</v>
      </c>
      <c r="E7" s="24" t="s">
        <v>8</v>
      </c>
      <c r="F7" s="24" t="s">
        <v>9</v>
      </c>
      <c r="G7" s="18"/>
      <c r="H7" s="24" t="s">
        <v>7</v>
      </c>
      <c r="I7" s="24" t="s">
        <v>8</v>
      </c>
      <c r="J7" s="24" t="s">
        <v>9</v>
      </c>
    </row>
    <row r="8" spans="1:10" ht="14" customHeight="1">
      <c r="B8" s="18" t="s">
        <v>10</v>
      </c>
      <c r="C8" s="269" cm="1">
        <f t="array" ref="C8:C28">TRANSPOSE(ValorAgregado21)</f>
        <v>5085.7999999999993</v>
      </c>
      <c r="D8" s="234">
        <v>0</v>
      </c>
      <c r="E8" s="243">
        <f t="shared" ref="E8:E28" si="0">D8*TC</f>
        <v>0</v>
      </c>
      <c r="F8" s="190">
        <f t="shared" ref="F8:F28" si="1">D8/C8</f>
        <v>0</v>
      </c>
      <c r="G8" s="25"/>
      <c r="H8" s="235">
        <v>0</v>
      </c>
      <c r="I8" s="243">
        <f t="shared" ref="I8:I28" si="2">H8*TC</f>
        <v>0</v>
      </c>
      <c r="J8" s="190">
        <f t="shared" ref="J8:J28" si="3">H8/C8</f>
        <v>0</v>
      </c>
    </row>
    <row r="9" spans="1:10" ht="14" customHeight="1">
      <c r="B9" s="18" t="s">
        <v>11</v>
      </c>
      <c r="C9" s="270">
        <v>138.6</v>
      </c>
      <c r="D9" s="234">
        <v>0</v>
      </c>
      <c r="E9" s="244">
        <f t="shared" si="0"/>
        <v>0</v>
      </c>
      <c r="F9" s="191">
        <f t="shared" si="1"/>
        <v>0</v>
      </c>
      <c r="G9" s="26"/>
      <c r="H9" s="235">
        <v>0</v>
      </c>
      <c r="I9" s="244">
        <f t="shared" si="2"/>
        <v>0</v>
      </c>
      <c r="J9" s="191">
        <f t="shared" si="3"/>
        <v>0</v>
      </c>
    </row>
    <row r="10" spans="1:10" ht="14" customHeight="1">
      <c r="B10" s="18" t="s">
        <v>12</v>
      </c>
      <c r="C10" s="269">
        <v>4512.1000000000004</v>
      </c>
      <c r="D10" s="234">
        <v>0</v>
      </c>
      <c r="E10" s="243">
        <f t="shared" si="0"/>
        <v>0</v>
      </c>
      <c r="F10" s="190">
        <f t="shared" si="1"/>
        <v>0</v>
      </c>
      <c r="G10" s="25"/>
      <c r="H10" s="235">
        <v>0</v>
      </c>
      <c r="I10" s="243">
        <f t="shared" si="2"/>
        <v>0</v>
      </c>
      <c r="J10" s="190">
        <f t="shared" si="3"/>
        <v>0</v>
      </c>
    </row>
    <row r="11" spans="1:10" ht="14" customHeight="1">
      <c r="B11" s="18" t="s">
        <v>13</v>
      </c>
      <c r="C11" s="270">
        <v>593.29999999999995</v>
      </c>
      <c r="D11" s="234">
        <v>0</v>
      </c>
      <c r="E11" s="244">
        <f t="shared" si="0"/>
        <v>0</v>
      </c>
      <c r="F11" s="191">
        <f t="shared" si="1"/>
        <v>0</v>
      </c>
      <c r="G11" s="26"/>
      <c r="H11" s="235">
        <v>0</v>
      </c>
      <c r="I11" s="244">
        <f t="shared" si="2"/>
        <v>0</v>
      </c>
      <c r="J11" s="191">
        <f t="shared" si="3"/>
        <v>0</v>
      </c>
    </row>
    <row r="12" spans="1:10" ht="14" customHeight="1">
      <c r="B12" s="18" t="s">
        <v>14</v>
      </c>
      <c r="C12" s="269">
        <v>695</v>
      </c>
      <c r="D12" s="234">
        <v>0</v>
      </c>
      <c r="E12" s="243">
        <f t="shared" si="0"/>
        <v>0</v>
      </c>
      <c r="F12" s="190">
        <f t="shared" si="1"/>
        <v>0</v>
      </c>
      <c r="G12" s="25"/>
      <c r="H12" s="235">
        <v>0</v>
      </c>
      <c r="I12" s="243">
        <f t="shared" si="2"/>
        <v>0</v>
      </c>
      <c r="J12" s="190">
        <f t="shared" si="3"/>
        <v>0</v>
      </c>
    </row>
    <row r="13" spans="1:10" ht="14" customHeight="1">
      <c r="B13" s="18" t="s">
        <v>15</v>
      </c>
      <c r="C13" s="270">
        <v>1252.8999999999999</v>
      </c>
      <c r="D13" s="234">
        <v>0</v>
      </c>
      <c r="E13" s="244">
        <f t="shared" si="0"/>
        <v>0</v>
      </c>
      <c r="F13" s="191">
        <f t="shared" si="1"/>
        <v>0</v>
      </c>
      <c r="G13" s="26"/>
      <c r="H13" s="235">
        <v>0</v>
      </c>
      <c r="I13" s="244">
        <f t="shared" si="2"/>
        <v>0</v>
      </c>
      <c r="J13" s="191">
        <f t="shared" si="3"/>
        <v>0</v>
      </c>
    </row>
    <row r="14" spans="1:10" ht="14" customHeight="1">
      <c r="B14" s="18" t="s">
        <v>16</v>
      </c>
      <c r="C14" s="269">
        <v>314.5</v>
      </c>
      <c r="D14" s="234">
        <v>0</v>
      </c>
      <c r="E14" s="243">
        <f t="shared" si="0"/>
        <v>0</v>
      </c>
      <c r="F14" s="190">
        <f t="shared" si="1"/>
        <v>0</v>
      </c>
      <c r="G14" s="25"/>
      <c r="H14" s="235">
        <v>0</v>
      </c>
      <c r="I14" s="243">
        <f t="shared" si="2"/>
        <v>0</v>
      </c>
      <c r="J14" s="190">
        <f t="shared" si="3"/>
        <v>0</v>
      </c>
    </row>
    <row r="15" spans="1:10" ht="14" customHeight="1">
      <c r="B15" s="18" t="s">
        <v>17</v>
      </c>
      <c r="C15" s="270">
        <v>111.29999999999998</v>
      </c>
      <c r="D15" s="234">
        <v>0</v>
      </c>
      <c r="E15" s="244">
        <f t="shared" si="0"/>
        <v>0</v>
      </c>
      <c r="F15" s="191">
        <f t="shared" si="1"/>
        <v>0</v>
      </c>
      <c r="G15" s="26"/>
      <c r="H15" s="235">
        <v>0</v>
      </c>
      <c r="I15" s="244">
        <f t="shared" si="2"/>
        <v>0</v>
      </c>
      <c r="J15" s="191">
        <f t="shared" si="3"/>
        <v>0</v>
      </c>
    </row>
    <row r="16" spans="1:10" ht="14" customHeight="1">
      <c r="B16" s="18" t="s">
        <v>18</v>
      </c>
      <c r="C16" s="269">
        <v>437.5</v>
      </c>
      <c r="D16" s="234">
        <v>0</v>
      </c>
      <c r="E16" s="243">
        <f t="shared" si="0"/>
        <v>0</v>
      </c>
      <c r="F16" s="190">
        <f t="shared" si="1"/>
        <v>0</v>
      </c>
      <c r="G16" s="25"/>
      <c r="H16" s="235">
        <v>0</v>
      </c>
      <c r="I16" s="243">
        <f t="shared" si="2"/>
        <v>0</v>
      </c>
      <c r="J16" s="190">
        <f t="shared" si="3"/>
        <v>0</v>
      </c>
    </row>
    <row r="17" spans="1:10" ht="14" customHeight="1">
      <c r="B17" s="18" t="s">
        <v>19</v>
      </c>
      <c r="C17" s="270">
        <v>131.1</v>
      </c>
      <c r="D17" s="234">
        <v>0</v>
      </c>
      <c r="E17" s="244">
        <f t="shared" si="0"/>
        <v>0</v>
      </c>
      <c r="F17" s="191">
        <f t="shared" si="1"/>
        <v>0</v>
      </c>
      <c r="G17" s="26"/>
      <c r="H17" s="235">
        <v>0</v>
      </c>
      <c r="I17" s="244">
        <f t="shared" si="2"/>
        <v>0</v>
      </c>
      <c r="J17" s="191">
        <f t="shared" si="3"/>
        <v>0</v>
      </c>
    </row>
    <row r="18" spans="1:10" ht="14" customHeight="1">
      <c r="B18" s="18" t="s">
        <v>20</v>
      </c>
      <c r="C18" s="269">
        <v>619.79999999999995</v>
      </c>
      <c r="D18" s="234">
        <v>0</v>
      </c>
      <c r="E18" s="243">
        <f t="shared" si="0"/>
        <v>0</v>
      </c>
      <c r="F18" s="190">
        <f t="shared" si="1"/>
        <v>0</v>
      </c>
      <c r="G18" s="25"/>
      <c r="H18" s="235">
        <v>0</v>
      </c>
      <c r="I18" s="243">
        <f t="shared" si="2"/>
        <v>0</v>
      </c>
      <c r="J18" s="190">
        <f t="shared" si="3"/>
        <v>0</v>
      </c>
    </row>
    <row r="19" spans="1:10" ht="14" customHeight="1">
      <c r="B19" s="18" t="s">
        <v>21</v>
      </c>
      <c r="C19" s="270">
        <v>2816.2</v>
      </c>
      <c r="D19" s="234">
        <v>0</v>
      </c>
      <c r="E19" s="244">
        <f t="shared" si="0"/>
        <v>0</v>
      </c>
      <c r="F19" s="191">
        <f t="shared" si="1"/>
        <v>0</v>
      </c>
      <c r="G19" s="26"/>
      <c r="H19" s="235">
        <v>0</v>
      </c>
      <c r="I19" s="244">
        <f t="shared" si="2"/>
        <v>0</v>
      </c>
      <c r="J19" s="191">
        <f t="shared" si="3"/>
        <v>0</v>
      </c>
    </row>
    <row r="20" spans="1:10" ht="14" customHeight="1">
      <c r="B20" s="18" t="s">
        <v>22</v>
      </c>
      <c r="C20" s="269">
        <v>2991.8999999999996</v>
      </c>
      <c r="D20" s="234">
        <v>0</v>
      </c>
      <c r="E20" s="243">
        <f t="shared" si="0"/>
        <v>0</v>
      </c>
      <c r="F20" s="190">
        <f t="shared" si="1"/>
        <v>0</v>
      </c>
      <c r="G20" s="25"/>
      <c r="H20" s="235">
        <v>0</v>
      </c>
      <c r="I20" s="243">
        <f t="shared" si="2"/>
        <v>0</v>
      </c>
      <c r="J20" s="190">
        <f t="shared" si="3"/>
        <v>0</v>
      </c>
    </row>
    <row r="21" spans="1:10" ht="14" customHeight="1">
      <c r="B21" s="18" t="s">
        <v>23</v>
      </c>
      <c r="C21" s="270">
        <v>5231.3999999999996</v>
      </c>
      <c r="D21" s="234">
        <v>0</v>
      </c>
      <c r="E21" s="244">
        <f t="shared" si="0"/>
        <v>0</v>
      </c>
      <c r="F21" s="191">
        <f t="shared" si="1"/>
        <v>0</v>
      </c>
      <c r="G21" s="26"/>
      <c r="H21" s="235">
        <v>0</v>
      </c>
      <c r="I21" s="244">
        <f t="shared" si="2"/>
        <v>0</v>
      </c>
      <c r="J21" s="191">
        <f t="shared" si="3"/>
        <v>0</v>
      </c>
    </row>
    <row r="22" spans="1:10" ht="14" customHeight="1">
      <c r="B22" s="18" t="s">
        <v>24</v>
      </c>
      <c r="C22" s="269">
        <v>1830.2</v>
      </c>
      <c r="D22" s="234">
        <v>0</v>
      </c>
      <c r="E22" s="243">
        <f t="shared" si="0"/>
        <v>0</v>
      </c>
      <c r="F22" s="190">
        <f t="shared" si="1"/>
        <v>0</v>
      </c>
      <c r="G22" s="25"/>
      <c r="H22" s="235">
        <v>0</v>
      </c>
      <c r="I22" s="243">
        <f t="shared" si="2"/>
        <v>0</v>
      </c>
      <c r="J22" s="190">
        <f t="shared" si="3"/>
        <v>0</v>
      </c>
    </row>
    <row r="23" spans="1:10" ht="14" customHeight="1">
      <c r="B23" s="18" t="s">
        <v>25</v>
      </c>
      <c r="C23" s="270">
        <v>1159</v>
      </c>
      <c r="D23" s="234">
        <v>0</v>
      </c>
      <c r="E23" s="244">
        <f t="shared" si="0"/>
        <v>0</v>
      </c>
      <c r="F23" s="191">
        <f t="shared" si="1"/>
        <v>0</v>
      </c>
      <c r="G23" s="26"/>
      <c r="H23" s="235">
        <v>0</v>
      </c>
      <c r="I23" s="244">
        <f t="shared" si="2"/>
        <v>0</v>
      </c>
      <c r="J23" s="191">
        <f t="shared" si="3"/>
        <v>0</v>
      </c>
    </row>
    <row r="24" spans="1:10" ht="14" customHeight="1">
      <c r="B24" s="18" t="s">
        <v>26</v>
      </c>
      <c r="C24" s="269">
        <v>1104.4000000000001</v>
      </c>
      <c r="D24" s="234">
        <v>0</v>
      </c>
      <c r="E24" s="243">
        <f t="shared" si="0"/>
        <v>0</v>
      </c>
      <c r="F24" s="190">
        <f t="shared" si="1"/>
        <v>0</v>
      </c>
      <c r="G24" s="25"/>
      <c r="H24" s="235">
        <v>0</v>
      </c>
      <c r="I24" s="243">
        <f t="shared" si="2"/>
        <v>0</v>
      </c>
      <c r="J24" s="190">
        <f t="shared" si="3"/>
        <v>0</v>
      </c>
    </row>
    <row r="25" spans="1:10" ht="14" customHeight="1">
      <c r="B25" s="18" t="s">
        <v>27</v>
      </c>
      <c r="C25" s="270">
        <v>2534.6999999999998</v>
      </c>
      <c r="D25" s="234">
        <v>0</v>
      </c>
      <c r="E25" s="244">
        <f t="shared" si="0"/>
        <v>0</v>
      </c>
      <c r="F25" s="191">
        <f t="shared" si="1"/>
        <v>0</v>
      </c>
      <c r="G25" s="26"/>
      <c r="H25" s="235">
        <v>0</v>
      </c>
      <c r="I25" s="244">
        <f t="shared" si="2"/>
        <v>0</v>
      </c>
      <c r="J25" s="191">
        <f t="shared" si="3"/>
        <v>0</v>
      </c>
    </row>
    <row r="26" spans="1:10" ht="14" customHeight="1">
      <c r="B26" s="18" t="s">
        <v>28</v>
      </c>
      <c r="C26" s="269">
        <v>2590.9</v>
      </c>
      <c r="D26" s="234">
        <v>0</v>
      </c>
      <c r="E26" s="243">
        <f t="shared" si="0"/>
        <v>0</v>
      </c>
      <c r="F26" s="190">
        <f t="shared" si="1"/>
        <v>0</v>
      </c>
      <c r="G26" s="25"/>
      <c r="H26" s="235">
        <v>0</v>
      </c>
      <c r="I26" s="243">
        <f t="shared" si="2"/>
        <v>0</v>
      </c>
      <c r="J26" s="190">
        <f t="shared" si="3"/>
        <v>0</v>
      </c>
    </row>
    <row r="27" spans="1:10" ht="14" customHeight="1">
      <c r="B27" s="18" t="s">
        <v>29</v>
      </c>
      <c r="C27" s="270">
        <v>1105.8000000000002</v>
      </c>
      <c r="D27" s="234">
        <v>0</v>
      </c>
      <c r="E27" s="244">
        <f t="shared" si="0"/>
        <v>0</v>
      </c>
      <c r="F27" s="191">
        <f t="shared" si="1"/>
        <v>0</v>
      </c>
      <c r="G27" s="26"/>
      <c r="H27" s="235">
        <v>0</v>
      </c>
      <c r="I27" s="244">
        <f t="shared" si="2"/>
        <v>0</v>
      </c>
      <c r="J27" s="191">
        <f t="shared" si="3"/>
        <v>0</v>
      </c>
    </row>
    <row r="28" spans="1:10" ht="14" customHeight="1">
      <c r="B28" s="18" t="s">
        <v>30</v>
      </c>
      <c r="C28" s="269">
        <v>6338.7000000000007</v>
      </c>
      <c r="D28" s="234">
        <v>0</v>
      </c>
      <c r="E28" s="243">
        <f t="shared" si="0"/>
        <v>0</v>
      </c>
      <c r="F28" s="190">
        <f t="shared" si="1"/>
        <v>0</v>
      </c>
      <c r="G28" s="25"/>
      <c r="H28" s="235">
        <v>0</v>
      </c>
      <c r="I28" s="243">
        <f t="shared" si="2"/>
        <v>0</v>
      </c>
      <c r="J28" s="190">
        <f t="shared" si="3"/>
        <v>0</v>
      </c>
    </row>
    <row r="29" spans="1:10" ht="14" customHeight="1">
      <c r="A29" s="18"/>
      <c r="B29" s="19"/>
      <c r="C29" s="150"/>
      <c r="D29" s="152"/>
      <c r="E29" s="153"/>
      <c r="F29" s="153"/>
      <c r="G29" s="25"/>
      <c r="H29" s="154"/>
      <c r="I29" s="154"/>
      <c r="J29" s="153"/>
    </row>
    <row r="30" spans="1:10">
      <c r="A30" s="18"/>
      <c r="B30" s="144" t="s">
        <v>31</v>
      </c>
      <c r="C30" s="151">
        <f>SUM(_xlfn.ANCHORARRAY(C8))</f>
        <v>41595.100000000006</v>
      </c>
      <c r="D30" s="320">
        <f>SUM(DeltaF21)</f>
        <v>0</v>
      </c>
      <c r="E30" s="320">
        <f>D30*TC</f>
        <v>0</v>
      </c>
      <c r="F30" s="192">
        <f>D30/C30</f>
        <v>0</v>
      </c>
      <c r="G30" s="18"/>
      <c r="H30" s="320">
        <f>SUM(DeltaF21c)</f>
        <v>0</v>
      </c>
      <c r="I30" s="320">
        <f>SUM(I8:I28)</f>
        <v>0</v>
      </c>
      <c r="J30" s="192">
        <f>H30/C30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iniciarEscenarioNacional" altText="Reiniciar Escenarios">
                <anchor moveWithCells="1" sizeWithCells="1">
                  <from>
                    <xdr:col>7</xdr:col>
                    <xdr:colOff>977900</xdr:colOff>
                    <xdr:row>2</xdr:row>
                    <xdr:rowOff>177800</xdr:rowOff>
                  </from>
                  <to>
                    <xdr:col>9</xdr:col>
                    <xdr:colOff>635000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rgb="FF2980B9"/>
  </sheetPr>
  <dimension ref="A1:R319"/>
  <sheetViews>
    <sheetView showGridLines="0" zoomScale="132" zoomScaleNormal="89" workbookViewId="0">
      <selection activeCell="B10" sqref="B10"/>
    </sheetView>
  </sheetViews>
  <sheetFormatPr baseColWidth="10" defaultColWidth="8.83203125" defaultRowHeight="16"/>
  <cols>
    <col min="1" max="1" width="9" style="16" customWidth="1"/>
    <col min="2" max="2" width="21.83203125" style="16" customWidth="1"/>
    <col min="3" max="3" width="8.6640625" customWidth="1"/>
    <col min="4" max="4" width="9" customWidth="1"/>
    <col min="5" max="6" width="8.6640625" customWidth="1"/>
    <col min="7" max="7" width="8.6640625" style="16" customWidth="1"/>
    <col min="8" max="12" width="8.6640625" customWidth="1"/>
    <col min="13" max="13" width="8.6640625" style="16" customWidth="1"/>
    <col min="14" max="14" width="8.83203125" style="16" customWidth="1"/>
    <col min="17" max="18" width="8.83203125" style="16" customWidth="1"/>
    <col min="19" max="19" width="11.1640625" style="16" bestFit="1" customWidth="1"/>
    <col min="20" max="23" width="8.83203125" style="16" customWidth="1"/>
    <col min="24" max="16384" width="8.83203125" style="16"/>
  </cols>
  <sheetData>
    <row r="1" spans="1:13" ht="28" customHeight="1">
      <c r="A1" s="447" t="s">
        <v>69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</row>
    <row r="2" spans="1:13" ht="16" customHeight="1">
      <c r="A2" s="311" t="s">
        <v>70</v>
      </c>
    </row>
    <row r="3" spans="1:13" ht="8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</row>
    <row r="4" spans="1:13" ht="18" customHeight="1">
      <c r="A4" s="448" t="s">
        <v>71</v>
      </c>
      <c r="B4" s="448"/>
      <c r="C4" s="448"/>
      <c r="D4" s="448"/>
      <c r="E4" s="448"/>
      <c r="F4" s="448"/>
      <c r="G4" s="448"/>
      <c r="H4" s="448"/>
      <c r="I4" s="448"/>
      <c r="J4" s="448"/>
      <c r="K4" s="448"/>
      <c r="L4" s="448"/>
    </row>
    <row r="5" spans="1:13" ht="18" customHeight="1">
      <c r="A5" s="449" t="s">
        <v>72</v>
      </c>
      <c r="B5" s="449"/>
      <c r="C5" s="449"/>
      <c r="D5" s="449"/>
      <c r="E5" s="449"/>
      <c r="F5" s="449"/>
      <c r="G5" s="449"/>
      <c r="H5" s="449"/>
      <c r="I5" s="449"/>
      <c r="J5" s="449"/>
      <c r="K5" s="449"/>
    </row>
    <row r="6" spans="1:13" ht="32" customHeight="1">
      <c r="A6" s="94"/>
      <c r="B6" s="94"/>
      <c r="C6" s="95" t="s">
        <v>73</v>
      </c>
      <c r="D6" s="95" t="s">
        <v>74</v>
      </c>
      <c r="E6" s="95" t="s">
        <v>75</v>
      </c>
      <c r="F6" s="95" t="s">
        <v>76</v>
      </c>
      <c r="G6" s="95" t="s">
        <v>77</v>
      </c>
      <c r="H6" s="95" t="s">
        <v>78</v>
      </c>
      <c r="I6" s="95" t="s">
        <v>79</v>
      </c>
      <c r="J6" s="95" t="s">
        <v>80</v>
      </c>
      <c r="K6" s="95" t="s">
        <v>81</v>
      </c>
      <c r="L6" s="95" t="s">
        <v>82</v>
      </c>
      <c r="M6" s="96"/>
    </row>
    <row r="7" spans="1:13" ht="33" customHeight="1">
      <c r="A7" s="108"/>
      <c r="B7" s="109"/>
      <c r="C7" s="304">
        <v>100</v>
      </c>
      <c r="D7" s="304">
        <v>100</v>
      </c>
      <c r="E7" s="304">
        <v>100</v>
      </c>
      <c r="F7" s="304">
        <v>100</v>
      </c>
      <c r="G7" s="304">
        <v>100</v>
      </c>
      <c r="H7" s="304">
        <v>100</v>
      </c>
      <c r="I7" s="304">
        <v>100</v>
      </c>
      <c r="J7" s="304">
        <v>100</v>
      </c>
      <c r="K7" s="304">
        <v>100</v>
      </c>
      <c r="L7" s="304">
        <v>100</v>
      </c>
      <c r="M7" s="97"/>
    </row>
    <row r="8" spans="1:13" ht="28" customHeight="1">
      <c r="A8" s="110" t="s">
        <v>83</v>
      </c>
      <c r="B8" s="303" t="s">
        <v>84</v>
      </c>
      <c r="C8" s="147">
        <f t="shared" ref="C8:L8" si="0">C7/100-1</f>
        <v>0</v>
      </c>
      <c r="D8" s="147">
        <f t="shared" si="0"/>
        <v>0</v>
      </c>
      <c r="E8" s="147">
        <f t="shared" si="0"/>
        <v>0</v>
      </c>
      <c r="F8" s="147">
        <f t="shared" si="0"/>
        <v>0</v>
      </c>
      <c r="G8" s="147">
        <f t="shared" si="0"/>
        <v>0</v>
      </c>
      <c r="H8" s="147">
        <f t="shared" si="0"/>
        <v>0</v>
      </c>
      <c r="I8" s="147">
        <f t="shared" si="0"/>
        <v>0</v>
      </c>
      <c r="J8" s="147">
        <f t="shared" si="0"/>
        <v>0</v>
      </c>
      <c r="K8" s="147">
        <f t="shared" si="0"/>
        <v>0</v>
      </c>
      <c r="L8" s="147">
        <f t="shared" si="0"/>
        <v>0</v>
      </c>
      <c r="M8" s="98" t="s">
        <v>31</v>
      </c>
    </row>
    <row r="9" spans="1:13" ht="26" customHeight="1">
      <c r="A9" s="100" t="s">
        <v>85</v>
      </c>
      <c r="B9" s="267" t="s">
        <v>634</v>
      </c>
      <c r="C9" s="100">
        <f>SUMPRODUCT(C14:C34,$C62:$C82)</f>
        <v>0</v>
      </c>
      <c r="D9" s="100">
        <f>SUMPRODUCT(D14:D34,$C83:$C103)</f>
        <v>0</v>
      </c>
      <c r="E9" s="100">
        <f>SUMPRODUCT(E14:E34,$C104:$C124)</f>
        <v>0</v>
      </c>
      <c r="F9" s="100">
        <f>SUMPRODUCT(F14:F34,$C125:$C145)</f>
        <v>0</v>
      </c>
      <c r="G9" s="100">
        <f>SUMPRODUCT(G14:G34,C146:C166)</f>
        <v>0</v>
      </c>
      <c r="H9" s="100">
        <f>SUMPRODUCT(H14:H34,$C167:$C187)</f>
        <v>0</v>
      </c>
      <c r="I9" s="100">
        <f>SUMPRODUCT(I14:I34,$C188:$C208)</f>
        <v>0</v>
      </c>
      <c r="J9" s="100">
        <f>SUMPRODUCT(J14:J34,$C209:$C229)</f>
        <v>0</v>
      </c>
      <c r="K9" s="100">
        <f>SUMPRODUCT(K14:K34,$C230:$C250)</f>
        <v>0</v>
      </c>
      <c r="L9" s="100">
        <f>SUMPRODUCT(L14:L34,$C251:$C271)</f>
        <v>0</v>
      </c>
      <c r="M9" s="100">
        <f>SUM(C9:L9)</f>
        <v>0</v>
      </c>
    </row>
    <row r="10" spans="1:13" ht="16" customHeight="1">
      <c r="A10" s="111"/>
      <c r="B10" s="111"/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97"/>
    </row>
    <row r="11" spans="1:13" ht="18" customHeight="1">
      <c r="A11" s="450" t="s">
        <v>86</v>
      </c>
      <c r="B11" s="450"/>
      <c r="C11" s="450"/>
      <c r="D11" s="450"/>
      <c r="E11" s="450"/>
      <c r="F11" s="450"/>
      <c r="G11" s="450"/>
      <c r="H11" s="450"/>
      <c r="I11" s="450"/>
      <c r="J11" s="450"/>
      <c r="K11" s="450"/>
      <c r="L11" s="450"/>
      <c r="M11" s="450"/>
    </row>
    <row r="12" spans="1:13" ht="16" customHeight="1">
      <c r="A12" s="451" t="s">
        <v>87</v>
      </c>
      <c r="B12" s="451"/>
      <c r="C12" s="451"/>
      <c r="D12" s="451"/>
      <c r="E12" s="451"/>
      <c r="F12" s="451"/>
      <c r="G12" s="451"/>
      <c r="H12" s="451"/>
      <c r="I12" s="451"/>
      <c r="J12" s="451"/>
      <c r="K12" s="451"/>
      <c r="L12" s="451"/>
      <c r="M12" s="451"/>
    </row>
    <row r="13" spans="1:13" ht="16" customHeight="1">
      <c r="A13" s="113" t="s">
        <v>88</v>
      </c>
      <c r="B13" s="113" t="s">
        <v>5</v>
      </c>
      <c r="C13" s="114" t="s">
        <v>73</v>
      </c>
      <c r="D13" s="114" t="s">
        <v>89</v>
      </c>
      <c r="E13" s="114" t="s">
        <v>75</v>
      </c>
      <c r="F13" s="114" t="s">
        <v>90</v>
      </c>
      <c r="G13" s="114" t="s">
        <v>77</v>
      </c>
      <c r="H13" s="114" t="s">
        <v>91</v>
      </c>
      <c r="I13" s="114" t="s">
        <v>92</v>
      </c>
      <c r="J13" s="114" t="s">
        <v>93</v>
      </c>
      <c r="K13" s="114" t="s">
        <v>94</v>
      </c>
      <c r="L13" s="114" t="s">
        <v>95</v>
      </c>
      <c r="M13" s="263"/>
    </row>
    <row r="14" spans="1:13" ht="14" customHeight="1">
      <c r="A14" s="101" t="s">
        <v>96</v>
      </c>
      <c r="B14" s="115" t="s">
        <v>10</v>
      </c>
      <c r="C14" s="268">
        <f t="shared" ref="C14:L14" si="1">C8</f>
        <v>0</v>
      </c>
      <c r="D14" s="268">
        <f t="shared" si="1"/>
        <v>0</v>
      </c>
      <c r="E14" s="268">
        <f t="shared" si="1"/>
        <v>0</v>
      </c>
      <c r="F14" s="268">
        <f t="shared" si="1"/>
        <v>0</v>
      </c>
      <c r="G14" s="268">
        <f t="shared" si="1"/>
        <v>0</v>
      </c>
      <c r="H14" s="268">
        <f t="shared" si="1"/>
        <v>0</v>
      </c>
      <c r="I14" s="268">
        <f t="shared" si="1"/>
        <v>0</v>
      </c>
      <c r="J14" s="268">
        <f t="shared" si="1"/>
        <v>0</v>
      </c>
      <c r="K14" s="268">
        <f t="shared" si="1"/>
        <v>0</v>
      </c>
      <c r="L14" s="268">
        <f t="shared" si="1"/>
        <v>0</v>
      </c>
      <c r="M14" s="264"/>
    </row>
    <row r="15" spans="1:13" ht="14" customHeight="1">
      <c r="A15" s="103" t="s">
        <v>97</v>
      </c>
      <c r="B15" s="116" t="s">
        <v>11</v>
      </c>
      <c r="C15" s="173">
        <f t="shared" ref="C15:L15" si="2">C8</f>
        <v>0</v>
      </c>
      <c r="D15" s="149">
        <f t="shared" si="2"/>
        <v>0</v>
      </c>
      <c r="E15" s="173">
        <f t="shared" si="2"/>
        <v>0</v>
      </c>
      <c r="F15" s="149">
        <f t="shared" si="2"/>
        <v>0</v>
      </c>
      <c r="G15" s="149">
        <f t="shared" si="2"/>
        <v>0</v>
      </c>
      <c r="H15" s="149">
        <f t="shared" si="2"/>
        <v>0</v>
      </c>
      <c r="I15" s="173">
        <f t="shared" si="2"/>
        <v>0</v>
      </c>
      <c r="J15" s="149">
        <f t="shared" si="2"/>
        <v>0</v>
      </c>
      <c r="K15" s="148">
        <f t="shared" si="2"/>
        <v>0</v>
      </c>
      <c r="L15" s="173">
        <f t="shared" si="2"/>
        <v>0</v>
      </c>
      <c r="M15" s="264"/>
    </row>
    <row r="16" spans="1:13" ht="14" customHeight="1">
      <c r="A16" s="101" t="s">
        <v>98</v>
      </c>
      <c r="B16" s="102" t="s">
        <v>12</v>
      </c>
      <c r="C16" s="268">
        <f t="shared" ref="C16:L16" si="3">C8</f>
        <v>0</v>
      </c>
      <c r="D16" s="268">
        <f t="shared" si="3"/>
        <v>0</v>
      </c>
      <c r="E16" s="268">
        <f t="shared" si="3"/>
        <v>0</v>
      </c>
      <c r="F16" s="268">
        <f t="shared" si="3"/>
        <v>0</v>
      </c>
      <c r="G16" s="268">
        <f t="shared" si="3"/>
        <v>0</v>
      </c>
      <c r="H16" s="268">
        <f t="shared" si="3"/>
        <v>0</v>
      </c>
      <c r="I16" s="268">
        <f t="shared" si="3"/>
        <v>0</v>
      </c>
      <c r="J16" s="268">
        <f t="shared" si="3"/>
        <v>0</v>
      </c>
      <c r="K16" s="268">
        <f t="shared" si="3"/>
        <v>0</v>
      </c>
      <c r="L16" s="268">
        <f t="shared" si="3"/>
        <v>0</v>
      </c>
      <c r="M16" s="265"/>
    </row>
    <row r="17" spans="1:13" ht="14" customHeight="1">
      <c r="A17" s="103" t="s">
        <v>99</v>
      </c>
      <c r="B17" s="104" t="s">
        <v>13</v>
      </c>
      <c r="C17" s="173">
        <f t="shared" ref="C17:L17" si="4">C8</f>
        <v>0</v>
      </c>
      <c r="D17" s="149">
        <f t="shared" si="4"/>
        <v>0</v>
      </c>
      <c r="E17" s="173">
        <f t="shared" si="4"/>
        <v>0</v>
      </c>
      <c r="F17" s="149">
        <f t="shared" si="4"/>
        <v>0</v>
      </c>
      <c r="G17" s="149">
        <f t="shared" si="4"/>
        <v>0</v>
      </c>
      <c r="H17" s="149">
        <f t="shared" si="4"/>
        <v>0</v>
      </c>
      <c r="I17" s="173">
        <f t="shared" si="4"/>
        <v>0</v>
      </c>
      <c r="J17" s="149">
        <f t="shared" si="4"/>
        <v>0</v>
      </c>
      <c r="K17" s="148">
        <f t="shared" si="4"/>
        <v>0</v>
      </c>
      <c r="L17" s="173">
        <f t="shared" si="4"/>
        <v>0</v>
      </c>
      <c r="M17" s="265"/>
    </row>
    <row r="18" spans="1:13" ht="14" customHeight="1">
      <c r="A18" s="101" t="s">
        <v>100</v>
      </c>
      <c r="B18" s="102" t="s">
        <v>14</v>
      </c>
      <c r="C18" s="268">
        <f t="shared" ref="C18:L18" si="5">C8</f>
        <v>0</v>
      </c>
      <c r="D18" s="268">
        <f t="shared" si="5"/>
        <v>0</v>
      </c>
      <c r="E18" s="268">
        <f t="shared" si="5"/>
        <v>0</v>
      </c>
      <c r="F18" s="268">
        <f t="shared" si="5"/>
        <v>0</v>
      </c>
      <c r="G18" s="268">
        <f t="shared" si="5"/>
        <v>0</v>
      </c>
      <c r="H18" s="268">
        <f t="shared" si="5"/>
        <v>0</v>
      </c>
      <c r="I18" s="268">
        <f t="shared" si="5"/>
        <v>0</v>
      </c>
      <c r="J18" s="268">
        <f t="shared" si="5"/>
        <v>0</v>
      </c>
      <c r="K18" s="268">
        <f t="shared" si="5"/>
        <v>0</v>
      </c>
      <c r="L18" s="268">
        <f t="shared" si="5"/>
        <v>0</v>
      </c>
      <c r="M18" s="265"/>
    </row>
    <row r="19" spans="1:13" ht="14" customHeight="1">
      <c r="A19" s="103" t="s">
        <v>101</v>
      </c>
      <c r="B19" s="104" t="s">
        <v>15</v>
      </c>
      <c r="C19" s="173">
        <f t="shared" ref="C19:L19" si="6">C8</f>
        <v>0</v>
      </c>
      <c r="D19" s="149">
        <f t="shared" si="6"/>
        <v>0</v>
      </c>
      <c r="E19" s="173">
        <f t="shared" si="6"/>
        <v>0</v>
      </c>
      <c r="F19" s="149">
        <f t="shared" si="6"/>
        <v>0</v>
      </c>
      <c r="G19" s="149">
        <f t="shared" si="6"/>
        <v>0</v>
      </c>
      <c r="H19" s="149">
        <f t="shared" si="6"/>
        <v>0</v>
      </c>
      <c r="I19" s="173">
        <f t="shared" si="6"/>
        <v>0</v>
      </c>
      <c r="J19" s="149">
        <f t="shared" si="6"/>
        <v>0</v>
      </c>
      <c r="K19" s="148">
        <f t="shared" si="6"/>
        <v>0</v>
      </c>
      <c r="L19" s="173">
        <f t="shared" si="6"/>
        <v>0</v>
      </c>
      <c r="M19" s="265"/>
    </row>
    <row r="20" spans="1:13" ht="14" customHeight="1">
      <c r="A20" s="101" t="s">
        <v>102</v>
      </c>
      <c r="B20" s="102" t="s">
        <v>16</v>
      </c>
      <c r="C20" s="268">
        <f t="shared" ref="C20:L20" si="7">C8</f>
        <v>0</v>
      </c>
      <c r="D20" s="268">
        <f t="shared" si="7"/>
        <v>0</v>
      </c>
      <c r="E20" s="268">
        <f t="shared" si="7"/>
        <v>0</v>
      </c>
      <c r="F20" s="268">
        <f t="shared" si="7"/>
        <v>0</v>
      </c>
      <c r="G20" s="268">
        <f t="shared" si="7"/>
        <v>0</v>
      </c>
      <c r="H20" s="268">
        <f t="shared" si="7"/>
        <v>0</v>
      </c>
      <c r="I20" s="268">
        <f t="shared" si="7"/>
        <v>0</v>
      </c>
      <c r="J20" s="268">
        <f t="shared" si="7"/>
        <v>0</v>
      </c>
      <c r="K20" s="268">
        <f t="shared" si="7"/>
        <v>0</v>
      </c>
      <c r="L20" s="268">
        <f t="shared" si="7"/>
        <v>0</v>
      </c>
      <c r="M20" s="265"/>
    </row>
    <row r="21" spans="1:13" ht="14" customHeight="1">
      <c r="A21" s="103" t="s">
        <v>103</v>
      </c>
      <c r="B21" s="104" t="s">
        <v>17</v>
      </c>
      <c r="C21" s="173">
        <f t="shared" ref="C21:L21" si="8">C8</f>
        <v>0</v>
      </c>
      <c r="D21" s="149">
        <f t="shared" si="8"/>
        <v>0</v>
      </c>
      <c r="E21" s="173">
        <f t="shared" si="8"/>
        <v>0</v>
      </c>
      <c r="F21" s="149">
        <f t="shared" si="8"/>
        <v>0</v>
      </c>
      <c r="G21" s="149">
        <f t="shared" si="8"/>
        <v>0</v>
      </c>
      <c r="H21" s="149">
        <f t="shared" si="8"/>
        <v>0</v>
      </c>
      <c r="I21" s="173">
        <f t="shared" si="8"/>
        <v>0</v>
      </c>
      <c r="J21" s="149">
        <f t="shared" si="8"/>
        <v>0</v>
      </c>
      <c r="K21" s="148">
        <f t="shared" si="8"/>
        <v>0</v>
      </c>
      <c r="L21" s="173">
        <f t="shared" si="8"/>
        <v>0</v>
      </c>
      <c r="M21" s="265"/>
    </row>
    <row r="22" spans="1:13" ht="14" customHeight="1">
      <c r="A22" s="101" t="s">
        <v>104</v>
      </c>
      <c r="B22" s="102" t="s">
        <v>18</v>
      </c>
      <c r="C22" s="268">
        <f t="shared" ref="C22:L22" si="9">C8</f>
        <v>0</v>
      </c>
      <c r="D22" s="268">
        <f t="shared" si="9"/>
        <v>0</v>
      </c>
      <c r="E22" s="268">
        <f t="shared" si="9"/>
        <v>0</v>
      </c>
      <c r="F22" s="268">
        <f t="shared" si="9"/>
        <v>0</v>
      </c>
      <c r="G22" s="268">
        <f t="shared" si="9"/>
        <v>0</v>
      </c>
      <c r="H22" s="268">
        <f t="shared" si="9"/>
        <v>0</v>
      </c>
      <c r="I22" s="268">
        <f t="shared" si="9"/>
        <v>0</v>
      </c>
      <c r="J22" s="268">
        <f t="shared" si="9"/>
        <v>0</v>
      </c>
      <c r="K22" s="268">
        <f t="shared" si="9"/>
        <v>0</v>
      </c>
      <c r="L22" s="268">
        <f t="shared" si="9"/>
        <v>0</v>
      </c>
      <c r="M22" s="265"/>
    </row>
    <row r="23" spans="1:13" ht="14" customHeight="1">
      <c r="A23" s="103" t="s">
        <v>105</v>
      </c>
      <c r="B23" s="104" t="s">
        <v>19</v>
      </c>
      <c r="C23" s="173">
        <f t="shared" ref="C23:L23" si="10">C8</f>
        <v>0</v>
      </c>
      <c r="D23" s="149">
        <f t="shared" si="10"/>
        <v>0</v>
      </c>
      <c r="E23" s="173">
        <f t="shared" si="10"/>
        <v>0</v>
      </c>
      <c r="F23" s="149">
        <f t="shared" si="10"/>
        <v>0</v>
      </c>
      <c r="G23" s="149">
        <f t="shared" si="10"/>
        <v>0</v>
      </c>
      <c r="H23" s="149">
        <f t="shared" si="10"/>
        <v>0</v>
      </c>
      <c r="I23" s="173">
        <f t="shared" si="10"/>
        <v>0</v>
      </c>
      <c r="J23" s="149">
        <f t="shared" si="10"/>
        <v>0</v>
      </c>
      <c r="K23" s="148">
        <f t="shared" si="10"/>
        <v>0</v>
      </c>
      <c r="L23" s="173">
        <f t="shared" si="10"/>
        <v>0</v>
      </c>
      <c r="M23" s="265"/>
    </row>
    <row r="24" spans="1:13" ht="14" customHeight="1">
      <c r="A24" s="101" t="s">
        <v>106</v>
      </c>
      <c r="B24" s="102" t="s">
        <v>20</v>
      </c>
      <c r="C24" s="268">
        <f t="shared" ref="C24:L24" si="11">C8</f>
        <v>0</v>
      </c>
      <c r="D24" s="268">
        <f t="shared" si="11"/>
        <v>0</v>
      </c>
      <c r="E24" s="268">
        <f t="shared" si="11"/>
        <v>0</v>
      </c>
      <c r="F24" s="268">
        <f t="shared" si="11"/>
        <v>0</v>
      </c>
      <c r="G24" s="268">
        <f t="shared" si="11"/>
        <v>0</v>
      </c>
      <c r="H24" s="268">
        <f t="shared" si="11"/>
        <v>0</v>
      </c>
      <c r="I24" s="268">
        <f t="shared" si="11"/>
        <v>0</v>
      </c>
      <c r="J24" s="268">
        <f t="shared" si="11"/>
        <v>0</v>
      </c>
      <c r="K24" s="268">
        <f t="shared" si="11"/>
        <v>0</v>
      </c>
      <c r="L24" s="268">
        <f t="shared" si="11"/>
        <v>0</v>
      </c>
      <c r="M24" s="265"/>
    </row>
    <row r="25" spans="1:13" ht="14" customHeight="1">
      <c r="A25" s="103" t="s">
        <v>107</v>
      </c>
      <c r="B25" s="104" t="s">
        <v>21</v>
      </c>
      <c r="C25" s="173">
        <f t="shared" ref="C25:L25" si="12">C8</f>
        <v>0</v>
      </c>
      <c r="D25" s="149">
        <f t="shared" si="12"/>
        <v>0</v>
      </c>
      <c r="E25" s="173">
        <f t="shared" si="12"/>
        <v>0</v>
      </c>
      <c r="F25" s="149">
        <f t="shared" si="12"/>
        <v>0</v>
      </c>
      <c r="G25" s="149">
        <f t="shared" si="12"/>
        <v>0</v>
      </c>
      <c r="H25" s="149">
        <f t="shared" si="12"/>
        <v>0</v>
      </c>
      <c r="I25" s="173">
        <f t="shared" si="12"/>
        <v>0</v>
      </c>
      <c r="J25" s="149">
        <f t="shared" si="12"/>
        <v>0</v>
      </c>
      <c r="K25" s="148">
        <f t="shared" si="12"/>
        <v>0</v>
      </c>
      <c r="L25" s="173">
        <f t="shared" si="12"/>
        <v>0</v>
      </c>
      <c r="M25" s="265"/>
    </row>
    <row r="26" spans="1:13" ht="14" customHeight="1">
      <c r="A26" s="101" t="s">
        <v>108</v>
      </c>
      <c r="B26" s="102" t="s">
        <v>22</v>
      </c>
      <c r="C26" s="268">
        <f t="shared" ref="C26:L26" si="13">C8</f>
        <v>0</v>
      </c>
      <c r="D26" s="268">
        <f t="shared" si="13"/>
        <v>0</v>
      </c>
      <c r="E26" s="268">
        <f t="shared" si="13"/>
        <v>0</v>
      </c>
      <c r="F26" s="268">
        <f t="shared" si="13"/>
        <v>0</v>
      </c>
      <c r="G26" s="268">
        <f t="shared" si="13"/>
        <v>0</v>
      </c>
      <c r="H26" s="268">
        <f t="shared" si="13"/>
        <v>0</v>
      </c>
      <c r="I26" s="268">
        <f t="shared" si="13"/>
        <v>0</v>
      </c>
      <c r="J26" s="268">
        <f t="shared" si="13"/>
        <v>0</v>
      </c>
      <c r="K26" s="268">
        <f t="shared" si="13"/>
        <v>0</v>
      </c>
      <c r="L26" s="268">
        <f t="shared" si="13"/>
        <v>0</v>
      </c>
      <c r="M26" s="265"/>
    </row>
    <row r="27" spans="1:13" ht="14" customHeight="1">
      <c r="A27" s="103" t="s">
        <v>109</v>
      </c>
      <c r="B27" s="104" t="s">
        <v>23</v>
      </c>
      <c r="C27" s="173">
        <f t="shared" ref="C27:L27" si="14">C8</f>
        <v>0</v>
      </c>
      <c r="D27" s="149">
        <f t="shared" si="14"/>
        <v>0</v>
      </c>
      <c r="E27" s="173">
        <f t="shared" si="14"/>
        <v>0</v>
      </c>
      <c r="F27" s="149">
        <f t="shared" si="14"/>
        <v>0</v>
      </c>
      <c r="G27" s="149">
        <f t="shared" si="14"/>
        <v>0</v>
      </c>
      <c r="H27" s="149">
        <f t="shared" si="14"/>
        <v>0</v>
      </c>
      <c r="I27" s="173">
        <f t="shared" si="14"/>
        <v>0</v>
      </c>
      <c r="J27" s="149">
        <f t="shared" si="14"/>
        <v>0</v>
      </c>
      <c r="K27" s="148">
        <f t="shared" si="14"/>
        <v>0</v>
      </c>
      <c r="L27" s="173">
        <f t="shared" si="14"/>
        <v>0</v>
      </c>
      <c r="M27" s="265"/>
    </row>
    <row r="28" spans="1:13" ht="14" customHeight="1">
      <c r="A28" s="101" t="s">
        <v>110</v>
      </c>
      <c r="B28" s="102" t="s">
        <v>24</v>
      </c>
      <c r="C28" s="268">
        <f t="shared" ref="C28:L28" si="15">C8</f>
        <v>0</v>
      </c>
      <c r="D28" s="268">
        <f t="shared" si="15"/>
        <v>0</v>
      </c>
      <c r="E28" s="268">
        <f t="shared" si="15"/>
        <v>0</v>
      </c>
      <c r="F28" s="268">
        <f t="shared" si="15"/>
        <v>0</v>
      </c>
      <c r="G28" s="268">
        <f t="shared" si="15"/>
        <v>0</v>
      </c>
      <c r="H28" s="268">
        <f t="shared" si="15"/>
        <v>0</v>
      </c>
      <c r="I28" s="268">
        <f t="shared" si="15"/>
        <v>0</v>
      </c>
      <c r="J28" s="268">
        <f t="shared" si="15"/>
        <v>0</v>
      </c>
      <c r="K28" s="268">
        <f t="shared" si="15"/>
        <v>0</v>
      </c>
      <c r="L28" s="268">
        <f t="shared" si="15"/>
        <v>0</v>
      </c>
      <c r="M28" s="265"/>
    </row>
    <row r="29" spans="1:13" ht="14" customHeight="1">
      <c r="A29" s="103" t="s">
        <v>111</v>
      </c>
      <c r="B29" s="104" t="s">
        <v>25</v>
      </c>
      <c r="C29" s="173">
        <f t="shared" ref="C29:L29" si="16">C8</f>
        <v>0</v>
      </c>
      <c r="D29" s="149">
        <f t="shared" si="16"/>
        <v>0</v>
      </c>
      <c r="E29" s="173">
        <f t="shared" si="16"/>
        <v>0</v>
      </c>
      <c r="F29" s="149">
        <f t="shared" si="16"/>
        <v>0</v>
      </c>
      <c r="G29" s="149">
        <f t="shared" si="16"/>
        <v>0</v>
      </c>
      <c r="H29" s="149">
        <f t="shared" si="16"/>
        <v>0</v>
      </c>
      <c r="I29" s="173">
        <f t="shared" si="16"/>
        <v>0</v>
      </c>
      <c r="J29" s="149">
        <f t="shared" si="16"/>
        <v>0</v>
      </c>
      <c r="K29" s="148">
        <f t="shared" si="16"/>
        <v>0</v>
      </c>
      <c r="L29" s="173">
        <f t="shared" si="16"/>
        <v>0</v>
      </c>
      <c r="M29" s="265"/>
    </row>
    <row r="30" spans="1:13" ht="14" customHeight="1">
      <c r="A30" s="101" t="s">
        <v>112</v>
      </c>
      <c r="B30" s="102" t="s">
        <v>26</v>
      </c>
      <c r="C30" s="268">
        <f t="shared" ref="C30:L30" si="17">C8</f>
        <v>0</v>
      </c>
      <c r="D30" s="268">
        <f t="shared" si="17"/>
        <v>0</v>
      </c>
      <c r="E30" s="268">
        <f t="shared" si="17"/>
        <v>0</v>
      </c>
      <c r="F30" s="268">
        <f t="shared" si="17"/>
        <v>0</v>
      </c>
      <c r="G30" s="268">
        <f t="shared" si="17"/>
        <v>0</v>
      </c>
      <c r="H30" s="268">
        <f t="shared" si="17"/>
        <v>0</v>
      </c>
      <c r="I30" s="268">
        <f t="shared" si="17"/>
        <v>0</v>
      </c>
      <c r="J30" s="268">
        <f t="shared" si="17"/>
        <v>0</v>
      </c>
      <c r="K30" s="268">
        <f t="shared" si="17"/>
        <v>0</v>
      </c>
      <c r="L30" s="268">
        <f t="shared" si="17"/>
        <v>0</v>
      </c>
      <c r="M30" s="265"/>
    </row>
    <row r="31" spans="1:13" ht="14" customHeight="1">
      <c r="A31" s="103" t="s">
        <v>113</v>
      </c>
      <c r="B31" s="104" t="s">
        <v>27</v>
      </c>
      <c r="C31" s="173">
        <f t="shared" ref="C31:L31" si="18">C8</f>
        <v>0</v>
      </c>
      <c r="D31" s="149">
        <f t="shared" si="18"/>
        <v>0</v>
      </c>
      <c r="E31" s="173">
        <f t="shared" si="18"/>
        <v>0</v>
      </c>
      <c r="F31" s="149">
        <f t="shared" si="18"/>
        <v>0</v>
      </c>
      <c r="G31" s="149">
        <f t="shared" si="18"/>
        <v>0</v>
      </c>
      <c r="H31" s="149">
        <f t="shared" si="18"/>
        <v>0</v>
      </c>
      <c r="I31" s="173">
        <f t="shared" si="18"/>
        <v>0</v>
      </c>
      <c r="J31" s="149">
        <f t="shared" si="18"/>
        <v>0</v>
      </c>
      <c r="K31" s="148">
        <f t="shared" si="18"/>
        <v>0</v>
      </c>
      <c r="L31" s="173">
        <f t="shared" si="18"/>
        <v>0</v>
      </c>
      <c r="M31" s="265"/>
    </row>
    <row r="32" spans="1:13" ht="14" customHeight="1">
      <c r="A32" s="101" t="s">
        <v>114</v>
      </c>
      <c r="B32" s="102" t="s">
        <v>28</v>
      </c>
      <c r="C32" s="268">
        <f t="shared" ref="C32:L32" si="19">C8</f>
        <v>0</v>
      </c>
      <c r="D32" s="268">
        <f t="shared" si="19"/>
        <v>0</v>
      </c>
      <c r="E32" s="268">
        <f t="shared" si="19"/>
        <v>0</v>
      </c>
      <c r="F32" s="268">
        <f t="shared" si="19"/>
        <v>0</v>
      </c>
      <c r="G32" s="268">
        <f t="shared" si="19"/>
        <v>0</v>
      </c>
      <c r="H32" s="268">
        <f t="shared" si="19"/>
        <v>0</v>
      </c>
      <c r="I32" s="268">
        <f t="shared" si="19"/>
        <v>0</v>
      </c>
      <c r="J32" s="268">
        <f t="shared" si="19"/>
        <v>0</v>
      </c>
      <c r="K32" s="268">
        <f t="shared" si="19"/>
        <v>0</v>
      </c>
      <c r="L32" s="268">
        <f t="shared" si="19"/>
        <v>0</v>
      </c>
      <c r="M32" s="265"/>
    </row>
    <row r="33" spans="1:18" ht="14" customHeight="1">
      <c r="A33" s="103" t="s">
        <v>115</v>
      </c>
      <c r="B33" s="104" t="s">
        <v>29</v>
      </c>
      <c r="C33" s="173">
        <f t="shared" ref="C33:L33" si="20">C8</f>
        <v>0</v>
      </c>
      <c r="D33" s="149">
        <f t="shared" si="20"/>
        <v>0</v>
      </c>
      <c r="E33" s="173">
        <f t="shared" si="20"/>
        <v>0</v>
      </c>
      <c r="F33" s="149">
        <f t="shared" si="20"/>
        <v>0</v>
      </c>
      <c r="G33" s="149">
        <f t="shared" si="20"/>
        <v>0</v>
      </c>
      <c r="H33" s="149">
        <f t="shared" si="20"/>
        <v>0</v>
      </c>
      <c r="I33" s="173">
        <f t="shared" si="20"/>
        <v>0</v>
      </c>
      <c r="J33" s="149">
        <f t="shared" si="20"/>
        <v>0</v>
      </c>
      <c r="K33" s="148">
        <f t="shared" si="20"/>
        <v>0</v>
      </c>
      <c r="L33" s="173">
        <f t="shared" si="20"/>
        <v>0</v>
      </c>
      <c r="M33" s="265"/>
    </row>
    <row r="34" spans="1:18" ht="14" customHeight="1">
      <c r="A34" s="101" t="s">
        <v>116</v>
      </c>
      <c r="B34" s="102" t="s">
        <v>30</v>
      </c>
      <c r="C34" s="268">
        <f t="shared" ref="C34:L34" si="21">C8</f>
        <v>0</v>
      </c>
      <c r="D34" s="268">
        <f t="shared" si="21"/>
        <v>0</v>
      </c>
      <c r="E34" s="268">
        <f t="shared" si="21"/>
        <v>0</v>
      </c>
      <c r="F34" s="268">
        <f t="shared" si="21"/>
        <v>0</v>
      </c>
      <c r="G34" s="268">
        <f t="shared" si="21"/>
        <v>0</v>
      </c>
      <c r="H34" s="268">
        <f t="shared" si="21"/>
        <v>0</v>
      </c>
      <c r="I34" s="268">
        <f t="shared" si="21"/>
        <v>0</v>
      </c>
      <c r="J34" s="268">
        <f t="shared" si="21"/>
        <v>0</v>
      </c>
      <c r="K34" s="268">
        <f t="shared" si="21"/>
        <v>0</v>
      </c>
      <c r="L34" s="268">
        <f t="shared" si="21"/>
        <v>0</v>
      </c>
      <c r="M34" s="265"/>
    </row>
    <row r="35" spans="1:18" ht="14" customHeight="1">
      <c r="A35" s="101"/>
      <c r="B35" s="102"/>
      <c r="C35" s="268"/>
      <c r="D35" s="268"/>
      <c r="E35" s="268"/>
      <c r="F35" s="268"/>
      <c r="G35" s="268"/>
      <c r="H35" s="268"/>
      <c r="I35" s="268"/>
      <c r="J35" s="268"/>
      <c r="K35" s="268"/>
      <c r="L35" s="268"/>
      <c r="M35" s="265"/>
    </row>
    <row r="36" spans="1:18" ht="28" customHeight="1">
      <c r="A36" s="99" t="s">
        <v>117</v>
      </c>
      <c r="B36" s="266" t="s">
        <v>118</v>
      </c>
      <c r="C36" s="99">
        <f>C9</f>
        <v>0</v>
      </c>
      <c r="D36" s="99">
        <f t="shared" ref="D36:L36" si="22">D9</f>
        <v>0</v>
      </c>
      <c r="E36" s="99">
        <f t="shared" si="22"/>
        <v>0</v>
      </c>
      <c r="F36" s="99">
        <f t="shared" si="22"/>
        <v>0</v>
      </c>
      <c r="G36" s="99">
        <f t="shared" si="22"/>
        <v>0</v>
      </c>
      <c r="H36" s="99">
        <f t="shared" si="22"/>
        <v>0</v>
      </c>
      <c r="I36" s="99">
        <f t="shared" si="22"/>
        <v>0</v>
      </c>
      <c r="J36" s="99">
        <f t="shared" si="22"/>
        <v>0</v>
      </c>
      <c r="K36" s="99">
        <f t="shared" si="22"/>
        <v>0</v>
      </c>
      <c r="L36" s="99">
        <f t="shared" si="22"/>
        <v>0</v>
      </c>
      <c r="M36" s="99">
        <f>SUM(C36:L36)</f>
        <v>0</v>
      </c>
    </row>
    <row r="37" spans="1:18" ht="17" customHeight="1">
      <c r="A37" s="105"/>
      <c r="B37" s="105"/>
      <c r="C37" s="325"/>
      <c r="D37" s="325"/>
      <c r="E37" s="325"/>
      <c r="F37" s="325"/>
      <c r="G37" s="325"/>
      <c r="H37" s="325"/>
      <c r="I37" s="325"/>
      <c r="J37" s="325"/>
      <c r="K37" s="325"/>
      <c r="L37" s="325"/>
      <c r="M37" s="117"/>
    </row>
    <row r="38" spans="1:18" ht="19" customHeight="1">
      <c r="A38" s="145"/>
      <c r="C38" s="326"/>
      <c r="D38" s="326"/>
      <c r="E38" s="326"/>
      <c r="F38" s="326"/>
      <c r="G38" s="326"/>
      <c r="H38" s="326"/>
      <c r="I38" s="326"/>
      <c r="J38" s="326"/>
      <c r="K38" s="326"/>
      <c r="L38" s="326"/>
    </row>
    <row r="39" spans="1:18" ht="19" customHeight="1">
      <c r="A39" s="146"/>
      <c r="C39" s="17"/>
      <c r="D39" s="16"/>
      <c r="E39" s="16"/>
      <c r="F39" s="16"/>
      <c r="H39" s="16"/>
      <c r="I39" s="16"/>
      <c r="J39" s="16"/>
      <c r="K39" s="16"/>
      <c r="L39" s="16"/>
    </row>
    <row r="40" spans="1:18" ht="18" hidden="1" customHeight="1">
      <c r="A40" s="16" t="s">
        <v>119</v>
      </c>
      <c r="B40" s="16" t="s">
        <v>120</v>
      </c>
      <c r="C40" s="16" t="s">
        <v>121</v>
      </c>
      <c r="D40" s="118" t="s">
        <v>122</v>
      </c>
      <c r="E40" s="16" t="s">
        <v>123</v>
      </c>
      <c r="F40" s="16" t="s">
        <v>124</v>
      </c>
      <c r="G40" s="16" t="s">
        <v>5</v>
      </c>
      <c r="H40" s="118"/>
      <c r="I40" s="415" t="s">
        <v>615</v>
      </c>
      <c r="J40" s="415" t="s">
        <v>616</v>
      </c>
      <c r="K40" s="415" t="s">
        <v>617</v>
      </c>
      <c r="L40" s="118"/>
      <c r="M40" s="118"/>
    </row>
    <row r="41" spans="1:18" ht="21" hidden="1" customHeight="1">
      <c r="A41" s="322">
        <v>1</v>
      </c>
      <c r="B41" s="322" t="s">
        <v>125</v>
      </c>
      <c r="C41" s="323">
        <f>K41*J41</f>
        <v>5904.2050199999994</v>
      </c>
      <c r="D41" s="323">
        <f>I41*J41</f>
        <v>7476.1842833999999</v>
      </c>
      <c r="E41" s="323">
        <v>0</v>
      </c>
      <c r="F41" s="324">
        <v>0</v>
      </c>
      <c r="G41" s="322" t="s">
        <v>96</v>
      </c>
      <c r="H41" s="93"/>
      <c r="I41" s="412">
        <v>6592.7551000000003</v>
      </c>
      <c r="J41" s="413">
        <f t="shared" ref="J41:J61" si="23">IF(Aplicar_Escala=1,INDEX(Factor_Escala,1),1)</f>
        <v>1.1339999999999999</v>
      </c>
      <c r="K41" s="414">
        <v>5206.53</v>
      </c>
      <c r="L41" s="93"/>
      <c r="M41" s="93"/>
    </row>
    <row r="42" spans="1:18" ht="19" hidden="1" customHeight="1">
      <c r="A42" s="322">
        <v>2</v>
      </c>
      <c r="B42" s="322" t="s">
        <v>125</v>
      </c>
      <c r="C42" s="323">
        <f t="shared" ref="C42:C105" si="24">K42*J42</f>
        <v>273.07853999999998</v>
      </c>
      <c r="D42" s="323">
        <f t="shared" ref="D42:D105" si="25">I42*J42</f>
        <v>483.76598759999996</v>
      </c>
      <c r="E42" s="323">
        <v>0</v>
      </c>
      <c r="F42" s="324">
        <v>0</v>
      </c>
      <c r="G42" s="322" t="s">
        <v>97</v>
      </c>
      <c r="H42" s="93"/>
      <c r="I42" s="412">
        <v>426.60140000000001</v>
      </c>
      <c r="J42" s="413">
        <f t="shared" si="23"/>
        <v>1.1339999999999999</v>
      </c>
      <c r="K42" s="414">
        <v>240.81</v>
      </c>
      <c r="L42" s="93"/>
      <c r="M42" s="93"/>
    </row>
    <row r="43" spans="1:18" ht="15" hidden="1" customHeight="1">
      <c r="A43" s="322">
        <v>3</v>
      </c>
      <c r="B43" s="322" t="s">
        <v>125</v>
      </c>
      <c r="C43" s="323">
        <f t="shared" si="24"/>
        <v>6373.8624599999994</v>
      </c>
      <c r="D43" s="323">
        <f t="shared" si="25"/>
        <v>18189.7105194</v>
      </c>
      <c r="E43" s="323">
        <v>0</v>
      </c>
      <c r="F43" s="324">
        <v>0</v>
      </c>
      <c r="G43" s="322" t="s">
        <v>98</v>
      </c>
      <c r="H43" s="93"/>
      <c r="I43" s="412">
        <v>16040.3091</v>
      </c>
      <c r="J43" s="413">
        <f t="shared" si="23"/>
        <v>1.1339999999999999</v>
      </c>
      <c r="K43" s="414">
        <v>5620.69</v>
      </c>
      <c r="L43" s="93"/>
      <c r="M43" s="93"/>
    </row>
    <row r="44" spans="1:18" ht="15" hidden="1" customHeight="1">
      <c r="A44" s="322">
        <v>4</v>
      </c>
      <c r="B44" s="322" t="s">
        <v>125</v>
      </c>
      <c r="C44" s="323">
        <f t="shared" si="24"/>
        <v>849.09383999999989</v>
      </c>
      <c r="D44" s="323">
        <f t="shared" si="25"/>
        <v>1104.8271695999999</v>
      </c>
      <c r="E44" s="323">
        <v>0</v>
      </c>
      <c r="F44" s="324">
        <v>0</v>
      </c>
      <c r="G44" s="322" t="s">
        <v>99</v>
      </c>
      <c r="H44" s="93"/>
      <c r="I44" s="412">
        <v>974.27440000000001</v>
      </c>
      <c r="J44" s="413">
        <f t="shared" si="23"/>
        <v>1.1339999999999999</v>
      </c>
      <c r="K44" s="414">
        <v>748.76</v>
      </c>
      <c r="L44" s="93"/>
      <c r="M44" s="93"/>
      <c r="N44" s="16" t="s">
        <v>629</v>
      </c>
      <c r="O44" s="424">
        <v>1</v>
      </c>
    </row>
    <row r="45" spans="1:18" ht="15" hidden="1" customHeight="1">
      <c r="A45" s="322">
        <v>5</v>
      </c>
      <c r="B45" s="322" t="s">
        <v>125</v>
      </c>
      <c r="C45" s="323">
        <f t="shared" si="24"/>
        <v>1205.6801399999999</v>
      </c>
      <c r="D45" s="323">
        <f t="shared" si="25"/>
        <v>1652.1014663999999</v>
      </c>
      <c r="E45" s="323">
        <v>0</v>
      </c>
      <c r="F45" s="324">
        <v>0</v>
      </c>
      <c r="G45" s="322" t="s">
        <v>100</v>
      </c>
      <c r="H45" s="93"/>
      <c r="I45" s="412">
        <v>1456.8796</v>
      </c>
      <c r="J45" s="413">
        <f t="shared" si="23"/>
        <v>1.1339999999999999</v>
      </c>
      <c r="K45" s="414">
        <v>1063.21</v>
      </c>
      <c r="L45" s="93"/>
      <c r="M45" s="93"/>
      <c r="N45" s="422" t="s">
        <v>120</v>
      </c>
      <c r="O45" s="422" t="s">
        <v>618</v>
      </c>
      <c r="P45" s="422" t="s">
        <v>619</v>
      </c>
      <c r="Q45" s="230"/>
      <c r="R45" s="230"/>
    </row>
    <row r="46" spans="1:18" ht="15" hidden="1" customHeight="1">
      <c r="A46" s="322">
        <v>6</v>
      </c>
      <c r="B46" s="322" t="s">
        <v>125</v>
      </c>
      <c r="C46" s="323">
        <f t="shared" si="24"/>
        <v>1522.4176799999998</v>
      </c>
      <c r="D46" s="323">
        <f t="shared" si="25"/>
        <v>2155.0600637999996</v>
      </c>
      <c r="E46" s="323">
        <v>0</v>
      </c>
      <c r="F46" s="324">
        <v>0</v>
      </c>
      <c r="G46" s="322" t="s">
        <v>101</v>
      </c>
      <c r="H46" s="93"/>
      <c r="I46" s="412">
        <v>1900.4057</v>
      </c>
      <c r="J46" s="413">
        <f t="shared" si="23"/>
        <v>1.1339999999999999</v>
      </c>
      <c r="K46" s="414">
        <v>1342.52</v>
      </c>
      <c r="L46" s="93"/>
      <c r="M46" s="93"/>
      <c r="N46" s="416" t="s">
        <v>125</v>
      </c>
      <c r="O46" s="417">
        <v>1.1339999999999999</v>
      </c>
      <c r="P46" s="418" t="s">
        <v>620</v>
      </c>
      <c r="Q46" s="230"/>
      <c r="R46" s="230"/>
    </row>
    <row r="47" spans="1:18" ht="15" hidden="1" customHeight="1">
      <c r="A47" s="322">
        <v>7</v>
      </c>
      <c r="B47" s="322" t="s">
        <v>125</v>
      </c>
      <c r="C47" s="323">
        <f t="shared" si="24"/>
        <v>411.69869999999997</v>
      </c>
      <c r="D47" s="323">
        <f t="shared" si="25"/>
        <v>651.87944640000001</v>
      </c>
      <c r="E47" s="323">
        <v>0</v>
      </c>
      <c r="F47" s="324">
        <v>0</v>
      </c>
      <c r="G47" s="322" t="s">
        <v>102</v>
      </c>
      <c r="H47" s="93"/>
      <c r="I47" s="412">
        <v>574.84960000000001</v>
      </c>
      <c r="J47" s="413">
        <f t="shared" si="23"/>
        <v>1.1339999999999999</v>
      </c>
      <c r="K47" s="414">
        <v>363.05</v>
      </c>
      <c r="L47" s="93"/>
      <c r="M47" s="93"/>
      <c r="N47" s="419" t="s">
        <v>127</v>
      </c>
      <c r="O47" s="420">
        <v>1.1419999999999999</v>
      </c>
      <c r="P47" s="421" t="s">
        <v>621</v>
      </c>
      <c r="Q47" s="230"/>
      <c r="R47" s="230"/>
    </row>
    <row r="48" spans="1:18" ht="15" hidden="1" customHeight="1">
      <c r="A48" s="322">
        <v>8</v>
      </c>
      <c r="B48" s="322" t="s">
        <v>125</v>
      </c>
      <c r="C48" s="323">
        <f t="shared" si="24"/>
        <v>83.190239999999989</v>
      </c>
      <c r="D48" s="323">
        <f t="shared" si="25"/>
        <v>110.48822819999999</v>
      </c>
      <c r="E48" s="323">
        <v>0</v>
      </c>
      <c r="F48" s="324">
        <v>0</v>
      </c>
      <c r="G48" s="322" t="s">
        <v>103</v>
      </c>
      <c r="H48" s="93"/>
      <c r="I48" s="412">
        <v>97.432299999999998</v>
      </c>
      <c r="J48" s="413">
        <f t="shared" si="23"/>
        <v>1.1339999999999999</v>
      </c>
      <c r="K48" s="414">
        <v>73.36</v>
      </c>
      <c r="L48" s="93"/>
      <c r="M48" s="93"/>
      <c r="N48" s="416" t="s">
        <v>89</v>
      </c>
      <c r="O48" s="417">
        <v>1.22</v>
      </c>
      <c r="P48" s="418" t="s">
        <v>621</v>
      </c>
      <c r="Q48" s="230"/>
      <c r="R48" s="230"/>
    </row>
    <row r="49" spans="1:18" ht="15" hidden="1" customHeight="1">
      <c r="A49" s="322">
        <v>9</v>
      </c>
      <c r="B49" s="322" t="s">
        <v>125</v>
      </c>
      <c r="C49" s="323">
        <f t="shared" si="24"/>
        <v>641.60585999999989</v>
      </c>
      <c r="D49" s="323">
        <f t="shared" si="25"/>
        <v>841.37152679999997</v>
      </c>
      <c r="E49" s="323">
        <v>0</v>
      </c>
      <c r="F49" s="324">
        <v>0</v>
      </c>
      <c r="G49" s="322" t="s">
        <v>104</v>
      </c>
      <c r="H49" s="93"/>
      <c r="I49" s="412">
        <v>741.9502</v>
      </c>
      <c r="J49" s="413">
        <f t="shared" si="23"/>
        <v>1.1339999999999999</v>
      </c>
      <c r="K49" s="414">
        <v>565.79</v>
      </c>
      <c r="L49" s="93"/>
      <c r="M49" s="93"/>
      <c r="N49" s="419" t="s">
        <v>128</v>
      </c>
      <c r="O49" s="420">
        <v>1.3149999999999999</v>
      </c>
      <c r="P49" s="421" t="s">
        <v>621</v>
      </c>
      <c r="Q49" s="230"/>
      <c r="R49" s="230"/>
    </row>
    <row r="50" spans="1:18" ht="15" hidden="1" customHeight="1">
      <c r="A50" s="322">
        <v>10</v>
      </c>
      <c r="B50" s="322" t="s">
        <v>125</v>
      </c>
      <c r="C50" s="323">
        <f t="shared" si="24"/>
        <v>137.82635999999999</v>
      </c>
      <c r="D50" s="323">
        <f t="shared" si="25"/>
        <v>351.71112059999996</v>
      </c>
      <c r="E50" s="323">
        <v>0</v>
      </c>
      <c r="F50" s="324">
        <v>0</v>
      </c>
      <c r="G50" s="322" t="s">
        <v>105</v>
      </c>
      <c r="H50" s="93"/>
      <c r="I50" s="412">
        <v>310.15089999999998</v>
      </c>
      <c r="J50" s="413">
        <f t="shared" si="23"/>
        <v>1.1339999999999999</v>
      </c>
      <c r="K50" s="414">
        <v>121.54</v>
      </c>
      <c r="L50" s="93"/>
      <c r="M50" s="93"/>
      <c r="N50" s="416" t="s">
        <v>90</v>
      </c>
      <c r="O50" s="417">
        <v>1.421</v>
      </c>
      <c r="P50" s="418" t="s">
        <v>621</v>
      </c>
      <c r="Q50" s="230"/>
      <c r="R50" s="230"/>
    </row>
    <row r="51" spans="1:18" ht="15" hidden="1" customHeight="1">
      <c r="A51" s="322">
        <v>11</v>
      </c>
      <c r="B51" s="322" t="s">
        <v>125</v>
      </c>
      <c r="C51" s="323">
        <f t="shared" si="24"/>
        <v>689.59673999999995</v>
      </c>
      <c r="D51" s="323">
        <f t="shared" si="25"/>
        <v>1502.0237106</v>
      </c>
      <c r="E51" s="323">
        <v>0</v>
      </c>
      <c r="F51" s="324">
        <v>0</v>
      </c>
      <c r="G51" s="322" t="s">
        <v>106</v>
      </c>
      <c r="H51" s="93"/>
      <c r="I51" s="412">
        <v>1324.5359000000001</v>
      </c>
      <c r="J51" s="413">
        <f t="shared" si="23"/>
        <v>1.1339999999999999</v>
      </c>
      <c r="K51" s="412">
        <v>608.11</v>
      </c>
      <c r="L51" s="93"/>
      <c r="M51" s="93"/>
      <c r="N51" s="419" t="s">
        <v>126</v>
      </c>
      <c r="O51" s="420">
        <v>1.208</v>
      </c>
      <c r="P51" s="421" t="s">
        <v>622</v>
      </c>
      <c r="Q51" s="230"/>
      <c r="R51" s="230"/>
    </row>
    <row r="52" spans="1:18" ht="15" hidden="1" customHeight="1">
      <c r="A52" s="322">
        <v>12</v>
      </c>
      <c r="B52" s="322" t="s">
        <v>125</v>
      </c>
      <c r="C52" s="323">
        <f t="shared" si="24"/>
        <v>3892.8859199999997</v>
      </c>
      <c r="D52" s="323">
        <f t="shared" si="25"/>
        <v>4506.6121631999995</v>
      </c>
      <c r="E52" s="323">
        <v>0</v>
      </c>
      <c r="F52" s="324">
        <v>0</v>
      </c>
      <c r="G52" s="322" t="s">
        <v>107</v>
      </c>
      <c r="H52" s="93"/>
      <c r="I52" s="412">
        <v>3974.0848000000001</v>
      </c>
      <c r="J52" s="413">
        <f t="shared" si="23"/>
        <v>1.1339999999999999</v>
      </c>
      <c r="K52" s="412">
        <v>3432.88</v>
      </c>
      <c r="L52" s="93"/>
      <c r="M52" s="93"/>
      <c r="N52" s="416" t="s">
        <v>130</v>
      </c>
      <c r="O52" s="417">
        <v>1.1080000000000001</v>
      </c>
      <c r="P52" s="418" t="s">
        <v>623</v>
      </c>
      <c r="Q52" s="230"/>
      <c r="R52" s="230"/>
    </row>
    <row r="53" spans="1:18" ht="15" hidden="1" customHeight="1">
      <c r="A53" s="322">
        <v>13</v>
      </c>
      <c r="B53" s="322" t="s">
        <v>125</v>
      </c>
      <c r="C53" s="323">
        <f t="shared" si="24"/>
        <v>3628.3690799999995</v>
      </c>
      <c r="D53" s="323">
        <f t="shared" si="25"/>
        <v>5164.7428979999995</v>
      </c>
      <c r="E53" s="323">
        <v>0</v>
      </c>
      <c r="F53" s="324">
        <v>0</v>
      </c>
      <c r="G53" s="322" t="s">
        <v>108</v>
      </c>
      <c r="H53" s="93"/>
      <c r="I53" s="412">
        <v>4554.4470000000001</v>
      </c>
      <c r="J53" s="413">
        <f t="shared" si="23"/>
        <v>1.1339999999999999</v>
      </c>
      <c r="K53" s="412">
        <v>3199.62</v>
      </c>
      <c r="L53" s="93"/>
      <c r="M53" s="93"/>
      <c r="N53" s="419" t="s">
        <v>92</v>
      </c>
      <c r="O53" s="420">
        <v>1.25</v>
      </c>
      <c r="P53" s="421" t="s">
        <v>624</v>
      </c>
      <c r="Q53" s="230"/>
      <c r="R53" s="230"/>
    </row>
    <row r="54" spans="1:18" ht="15" hidden="1" customHeight="1">
      <c r="A54" s="322">
        <v>14</v>
      </c>
      <c r="B54" s="322" t="s">
        <v>125</v>
      </c>
      <c r="C54" s="323">
        <f t="shared" si="24"/>
        <v>3333.5404199999998</v>
      </c>
      <c r="D54" s="323">
        <f t="shared" si="25"/>
        <v>8947.2448043999993</v>
      </c>
      <c r="E54" s="323">
        <v>0</v>
      </c>
      <c r="F54" s="324">
        <v>0</v>
      </c>
      <c r="G54" s="322" t="s">
        <v>109</v>
      </c>
      <c r="H54" s="93"/>
      <c r="I54" s="412">
        <v>7889.9866000000002</v>
      </c>
      <c r="J54" s="413">
        <f t="shared" si="23"/>
        <v>1.1339999999999999</v>
      </c>
      <c r="K54" s="412">
        <v>2939.63</v>
      </c>
      <c r="L54" s="93"/>
      <c r="M54" s="93"/>
      <c r="N54" s="416" t="s">
        <v>93</v>
      </c>
      <c r="O54" s="417">
        <v>1.23</v>
      </c>
      <c r="P54" s="418" t="s">
        <v>625</v>
      </c>
      <c r="Q54" s="230"/>
      <c r="R54" s="230"/>
    </row>
    <row r="55" spans="1:18" ht="15" hidden="1" customHeight="1">
      <c r="A55" s="322">
        <v>15</v>
      </c>
      <c r="B55" s="322" t="s">
        <v>125</v>
      </c>
      <c r="C55" s="323">
        <f t="shared" si="24"/>
        <v>58.004099999999994</v>
      </c>
      <c r="D55" s="323">
        <f t="shared" si="25"/>
        <v>3036.8898755999994</v>
      </c>
      <c r="E55" s="323">
        <v>0</v>
      </c>
      <c r="F55" s="324">
        <v>0</v>
      </c>
      <c r="G55" s="322" t="s">
        <v>110</v>
      </c>
      <c r="H55" s="93"/>
      <c r="I55" s="412">
        <v>2678.0333999999998</v>
      </c>
      <c r="J55" s="413">
        <f t="shared" si="23"/>
        <v>1.1339999999999999</v>
      </c>
      <c r="K55" s="412">
        <v>51.15</v>
      </c>
      <c r="L55" s="93"/>
      <c r="M55" s="93"/>
      <c r="N55" s="419" t="s">
        <v>129</v>
      </c>
      <c r="O55" s="420">
        <v>1.2470000000000001</v>
      </c>
      <c r="P55" s="421" t="s">
        <v>621</v>
      </c>
      <c r="Q55" s="230"/>
      <c r="R55" s="230"/>
    </row>
    <row r="56" spans="1:18" ht="15" hidden="1" customHeight="1">
      <c r="A56" s="322">
        <v>16</v>
      </c>
      <c r="B56" s="322" t="s">
        <v>125</v>
      </c>
      <c r="C56" s="323">
        <f t="shared" si="24"/>
        <v>273.49811999999997</v>
      </c>
      <c r="D56" s="323">
        <f t="shared" si="25"/>
        <v>400.44102839999994</v>
      </c>
      <c r="E56" s="323">
        <v>0</v>
      </c>
      <c r="F56" s="324">
        <v>0</v>
      </c>
      <c r="G56" s="322" t="s">
        <v>111</v>
      </c>
      <c r="H56" s="93"/>
      <c r="I56" s="412">
        <v>353.12259999999998</v>
      </c>
      <c r="J56" s="413">
        <f t="shared" si="23"/>
        <v>1.1339999999999999</v>
      </c>
      <c r="K56" s="412">
        <v>241.18</v>
      </c>
      <c r="L56" s="93"/>
      <c r="M56" s="93"/>
      <c r="N56" s="416" t="s">
        <v>95</v>
      </c>
      <c r="O56" s="417">
        <v>1.1499999999999999</v>
      </c>
      <c r="P56" s="418" t="s">
        <v>626</v>
      </c>
      <c r="Q56" s="230"/>
      <c r="R56" s="230"/>
    </row>
    <row r="57" spans="1:18" ht="15" hidden="1" customHeight="1">
      <c r="A57" s="322">
        <v>17</v>
      </c>
      <c r="B57" s="322" t="s">
        <v>125</v>
      </c>
      <c r="C57" s="323">
        <f t="shared" si="24"/>
        <v>1728.0572399999996</v>
      </c>
      <c r="D57" s="323">
        <f t="shared" si="25"/>
        <v>2451.1811435999998</v>
      </c>
      <c r="E57" s="323">
        <v>0</v>
      </c>
      <c r="F57" s="324">
        <v>0</v>
      </c>
      <c r="G57" s="322" t="s">
        <v>112</v>
      </c>
      <c r="H57" s="93"/>
      <c r="I57" s="412">
        <v>2161.5354000000002</v>
      </c>
      <c r="J57" s="413">
        <f t="shared" si="23"/>
        <v>1.1339999999999999</v>
      </c>
      <c r="K57" s="412">
        <v>1523.86</v>
      </c>
      <c r="L57" s="93"/>
      <c r="M57" s="93"/>
      <c r="N57" s="230"/>
      <c r="O57" s="230"/>
      <c r="P57" s="230"/>
      <c r="Q57" s="230"/>
      <c r="R57" s="230"/>
    </row>
    <row r="58" spans="1:18" ht="15" hidden="1" customHeight="1">
      <c r="A58" s="322">
        <v>18</v>
      </c>
      <c r="B58" s="322" t="s">
        <v>125</v>
      </c>
      <c r="C58" s="323">
        <f t="shared" si="24"/>
        <v>2664.6505200000001</v>
      </c>
      <c r="D58" s="323">
        <f t="shared" si="25"/>
        <v>3300.6436469999999</v>
      </c>
      <c r="E58" s="323">
        <v>0</v>
      </c>
      <c r="F58" s="324">
        <v>0</v>
      </c>
      <c r="G58" s="322" t="s">
        <v>113</v>
      </c>
      <c r="H58" s="93"/>
      <c r="I58" s="412">
        <v>2910.6205</v>
      </c>
      <c r="J58" s="413">
        <f t="shared" si="23"/>
        <v>1.1339999999999999</v>
      </c>
      <c r="K58" s="412">
        <v>2349.7800000000002</v>
      </c>
      <c r="L58" s="93"/>
      <c r="M58" s="93"/>
      <c r="N58" s="445" t="s">
        <v>627</v>
      </c>
      <c r="O58" s="446"/>
      <c r="P58" s="446"/>
      <c r="Q58" s="446"/>
      <c r="R58" s="446"/>
    </row>
    <row r="59" spans="1:18" ht="15" hidden="1" customHeight="1">
      <c r="A59" s="322">
        <v>19</v>
      </c>
      <c r="B59" s="322" t="s">
        <v>125</v>
      </c>
      <c r="C59" s="323">
        <f t="shared" si="24"/>
        <v>3096.3643199999997</v>
      </c>
      <c r="D59" s="323">
        <f t="shared" si="25"/>
        <v>3615.9821711999998</v>
      </c>
      <c r="E59" s="323">
        <v>0</v>
      </c>
      <c r="F59" s="324">
        <v>0</v>
      </c>
      <c r="G59" s="322" t="s">
        <v>114</v>
      </c>
      <c r="H59" s="93"/>
      <c r="I59" s="412">
        <v>3188.6968000000002</v>
      </c>
      <c r="J59" s="413">
        <f t="shared" si="23"/>
        <v>1.1339999999999999</v>
      </c>
      <c r="K59" s="412">
        <v>2730.48</v>
      </c>
      <c r="L59" s="93"/>
      <c r="M59" s="93"/>
      <c r="N59" s="446"/>
      <c r="O59" s="446"/>
      <c r="P59" s="446"/>
      <c r="Q59" s="446"/>
      <c r="R59" s="446"/>
    </row>
    <row r="60" spans="1:18" ht="15" hidden="1" customHeight="1">
      <c r="A60" s="322">
        <v>20</v>
      </c>
      <c r="B60" s="322" t="s">
        <v>125</v>
      </c>
      <c r="C60" s="323">
        <f t="shared" si="24"/>
        <v>952.46927999999991</v>
      </c>
      <c r="D60" s="323">
        <f t="shared" si="25"/>
        <v>2110.1038811999997</v>
      </c>
      <c r="E60" s="323">
        <v>0</v>
      </c>
      <c r="F60" s="324">
        <v>0</v>
      </c>
      <c r="G60" s="322" t="s">
        <v>115</v>
      </c>
      <c r="H60" s="93"/>
      <c r="I60" s="412">
        <v>1860.7618</v>
      </c>
      <c r="J60" s="413">
        <f t="shared" si="23"/>
        <v>1.1339999999999999</v>
      </c>
      <c r="K60" s="412">
        <v>839.92</v>
      </c>
      <c r="L60" s="93"/>
      <c r="M60" s="93"/>
    </row>
    <row r="61" spans="1:18" ht="15" hidden="1" customHeight="1">
      <c r="A61" s="322">
        <v>21</v>
      </c>
      <c r="B61" s="322" t="s">
        <v>125</v>
      </c>
      <c r="C61" s="323">
        <f t="shared" si="24"/>
        <v>7006.6231199999993</v>
      </c>
      <c r="D61" s="323">
        <f t="shared" si="25"/>
        <v>9960.0865433999988</v>
      </c>
      <c r="E61" s="323">
        <v>0</v>
      </c>
      <c r="F61" s="324">
        <v>0</v>
      </c>
      <c r="G61" s="322" t="s">
        <v>116</v>
      </c>
      <c r="H61" s="93"/>
      <c r="I61" s="412">
        <v>8783.1450999999997</v>
      </c>
      <c r="J61" s="413">
        <f t="shared" si="23"/>
        <v>1.1339999999999999</v>
      </c>
      <c r="K61" s="412">
        <v>6178.68</v>
      </c>
      <c r="L61" s="93"/>
      <c r="M61" s="93"/>
    </row>
    <row r="62" spans="1:18" ht="15" hidden="1" customHeight="1">
      <c r="A62" s="322">
        <v>22</v>
      </c>
      <c r="B62" s="322" t="s">
        <v>127</v>
      </c>
      <c r="C62" s="323">
        <f t="shared" si="24"/>
        <v>92003.893859999996</v>
      </c>
      <c r="D62" s="323">
        <f t="shared" si="25"/>
        <v>172806.63614620001</v>
      </c>
      <c r="E62" s="323">
        <f>D62*F62</f>
        <v>0</v>
      </c>
      <c r="F62" s="324">
        <f>C14</f>
        <v>0</v>
      </c>
      <c r="G62" s="322" t="s">
        <v>96</v>
      </c>
      <c r="H62" s="93"/>
      <c r="I62" s="412">
        <v>151319.29610000001</v>
      </c>
      <c r="J62" s="413">
        <f t="shared" ref="J62:J82" si="26">IF(Aplicar_Escala=1,INDEX(Factor_Escala,2),1)</f>
        <v>1.1419999999999999</v>
      </c>
      <c r="K62" s="412">
        <v>80563.83</v>
      </c>
      <c r="L62" s="93"/>
      <c r="M62" s="93"/>
    </row>
    <row r="63" spans="1:18" ht="15" hidden="1" customHeight="1">
      <c r="A63" s="322">
        <v>23</v>
      </c>
      <c r="B63" s="322" t="s">
        <v>127</v>
      </c>
      <c r="C63" s="323">
        <f t="shared" si="24"/>
        <v>64089.885079999993</v>
      </c>
      <c r="D63" s="323">
        <f t="shared" si="25"/>
        <v>225441.98372019999</v>
      </c>
      <c r="E63" s="323">
        <f t="shared" ref="E63:E126" si="27">D63*F63</f>
        <v>0</v>
      </c>
      <c r="F63" s="324">
        <f t="shared" ref="F63:F82" si="28">C15</f>
        <v>0</v>
      </c>
      <c r="G63" s="322" t="s">
        <v>97</v>
      </c>
      <c r="H63" s="93"/>
      <c r="I63" s="412">
        <v>197409.79310000001</v>
      </c>
      <c r="J63" s="413">
        <f t="shared" si="26"/>
        <v>1.1419999999999999</v>
      </c>
      <c r="K63" s="412">
        <v>56120.74</v>
      </c>
      <c r="L63" s="93"/>
      <c r="M63" s="93"/>
    </row>
    <row r="64" spans="1:18" ht="15" hidden="1" customHeight="1">
      <c r="A64" s="322">
        <v>24</v>
      </c>
      <c r="B64" s="322" t="s">
        <v>127</v>
      </c>
      <c r="C64" s="323">
        <f t="shared" si="24"/>
        <v>49139.974499999997</v>
      </c>
      <c r="D64" s="323">
        <f t="shared" si="25"/>
        <v>226512.99540139997</v>
      </c>
      <c r="E64" s="323">
        <f t="shared" si="27"/>
        <v>0</v>
      </c>
      <c r="F64" s="324">
        <f t="shared" si="28"/>
        <v>0</v>
      </c>
      <c r="G64" s="322" t="s">
        <v>98</v>
      </c>
      <c r="H64" s="93"/>
      <c r="I64" s="412">
        <v>198347.6317</v>
      </c>
      <c r="J64" s="413">
        <f t="shared" si="26"/>
        <v>1.1419999999999999</v>
      </c>
      <c r="K64" s="412">
        <v>43029.75</v>
      </c>
      <c r="L64" s="93"/>
      <c r="M64" s="93"/>
    </row>
    <row r="65" spans="1:13" ht="15" hidden="1" customHeight="1">
      <c r="A65" s="322">
        <v>25</v>
      </c>
      <c r="B65" s="322" t="s">
        <v>127</v>
      </c>
      <c r="C65" s="323">
        <f t="shared" si="24"/>
        <v>18317.83988</v>
      </c>
      <c r="D65" s="323">
        <f t="shared" si="25"/>
        <v>47350.093575399995</v>
      </c>
      <c r="E65" s="323">
        <f t="shared" si="27"/>
        <v>0</v>
      </c>
      <c r="F65" s="324">
        <f t="shared" si="28"/>
        <v>0</v>
      </c>
      <c r="G65" s="322" t="s">
        <v>99</v>
      </c>
      <c r="H65" s="93"/>
      <c r="I65" s="412">
        <v>41462.428699999997</v>
      </c>
      <c r="J65" s="413">
        <f t="shared" si="26"/>
        <v>1.1419999999999999</v>
      </c>
      <c r="K65" s="412">
        <v>16040.14</v>
      </c>
      <c r="L65" s="93"/>
      <c r="M65" s="93"/>
    </row>
    <row r="66" spans="1:13" ht="15" hidden="1" customHeight="1">
      <c r="A66" s="322">
        <v>26</v>
      </c>
      <c r="B66" s="322" t="s">
        <v>127</v>
      </c>
      <c r="C66" s="323">
        <f t="shared" si="24"/>
        <v>16584.249619999999</v>
      </c>
      <c r="D66" s="323">
        <f t="shared" si="25"/>
        <v>47771.240221199994</v>
      </c>
      <c r="E66" s="323">
        <f t="shared" si="27"/>
        <v>0</v>
      </c>
      <c r="F66" s="324">
        <f t="shared" si="28"/>
        <v>0</v>
      </c>
      <c r="G66" s="322" t="s">
        <v>100</v>
      </c>
      <c r="H66" s="93"/>
      <c r="I66" s="412">
        <v>41831.208599999998</v>
      </c>
      <c r="J66" s="413">
        <f t="shared" si="26"/>
        <v>1.1419999999999999</v>
      </c>
      <c r="K66" s="412">
        <v>14522.11</v>
      </c>
      <c r="L66" s="93"/>
      <c r="M66" s="93"/>
    </row>
    <row r="67" spans="1:13" ht="15" hidden="1" customHeight="1">
      <c r="A67" s="322">
        <v>27</v>
      </c>
      <c r="B67" s="322" t="s">
        <v>127</v>
      </c>
      <c r="C67" s="323">
        <f t="shared" si="24"/>
        <v>40549.199559999994</v>
      </c>
      <c r="D67" s="323">
        <f t="shared" si="25"/>
        <v>162551.44302819998</v>
      </c>
      <c r="E67" s="323">
        <f t="shared" si="27"/>
        <v>0</v>
      </c>
      <c r="F67" s="324">
        <f t="shared" si="28"/>
        <v>0</v>
      </c>
      <c r="G67" s="322" t="s">
        <v>101</v>
      </c>
      <c r="H67" s="93"/>
      <c r="I67" s="412">
        <v>142339.2671</v>
      </c>
      <c r="J67" s="413">
        <f t="shared" si="26"/>
        <v>1.1419999999999999</v>
      </c>
      <c r="K67" s="412">
        <v>35507.18</v>
      </c>
      <c r="L67" s="93"/>
      <c r="M67" s="93"/>
    </row>
    <row r="68" spans="1:13" ht="15" hidden="1" customHeight="1">
      <c r="A68" s="322">
        <v>28</v>
      </c>
      <c r="B68" s="322" t="s">
        <v>127</v>
      </c>
      <c r="C68" s="323">
        <f t="shared" si="24"/>
        <v>7389.6193400000002</v>
      </c>
      <c r="D68" s="323">
        <f t="shared" si="25"/>
        <v>23920.813124600001</v>
      </c>
      <c r="E68" s="323">
        <f t="shared" si="27"/>
        <v>0</v>
      </c>
      <c r="F68" s="324">
        <f t="shared" si="28"/>
        <v>0</v>
      </c>
      <c r="G68" s="322" t="s">
        <v>102</v>
      </c>
      <c r="H68" s="93"/>
      <c r="I68" s="412">
        <v>20946.421300000002</v>
      </c>
      <c r="J68" s="413">
        <f t="shared" si="26"/>
        <v>1.1419999999999999</v>
      </c>
      <c r="K68" s="412">
        <v>6470.77</v>
      </c>
      <c r="L68" s="93"/>
      <c r="M68" s="93"/>
    </row>
    <row r="69" spans="1:13" ht="15" hidden="1" customHeight="1">
      <c r="A69" s="322">
        <v>29</v>
      </c>
      <c r="B69" s="322" t="s">
        <v>127</v>
      </c>
      <c r="C69" s="323">
        <f t="shared" si="24"/>
        <v>14977.455619999999</v>
      </c>
      <c r="D69" s="323">
        <f t="shared" si="25"/>
        <v>64576.675027799996</v>
      </c>
      <c r="E69" s="323">
        <f t="shared" si="27"/>
        <v>0</v>
      </c>
      <c r="F69" s="324">
        <f t="shared" si="28"/>
        <v>0</v>
      </c>
      <c r="G69" s="322" t="s">
        <v>103</v>
      </c>
      <c r="H69" s="93"/>
      <c r="I69" s="412">
        <v>56547.000899999999</v>
      </c>
      <c r="J69" s="413">
        <f t="shared" si="26"/>
        <v>1.1419999999999999</v>
      </c>
      <c r="K69" s="412">
        <v>13115.11</v>
      </c>
      <c r="L69" s="93"/>
      <c r="M69" s="93"/>
    </row>
    <row r="70" spans="1:13" ht="15" hidden="1" customHeight="1">
      <c r="A70" s="322">
        <v>30</v>
      </c>
      <c r="B70" s="322" t="s">
        <v>127</v>
      </c>
      <c r="C70" s="323">
        <f t="shared" si="24"/>
        <v>10287.672739999998</v>
      </c>
      <c r="D70" s="323">
        <f t="shared" si="25"/>
        <v>30159.199965600001</v>
      </c>
      <c r="E70" s="323">
        <f t="shared" si="27"/>
        <v>0</v>
      </c>
      <c r="F70" s="324">
        <f t="shared" si="28"/>
        <v>0</v>
      </c>
      <c r="G70" s="322" t="s">
        <v>104</v>
      </c>
      <c r="H70" s="93"/>
      <c r="I70" s="412">
        <v>26409.106800000001</v>
      </c>
      <c r="J70" s="413">
        <f t="shared" si="26"/>
        <v>1.1419999999999999</v>
      </c>
      <c r="K70" s="412">
        <v>9008.4699999999993</v>
      </c>
      <c r="L70" s="93"/>
      <c r="M70" s="93"/>
    </row>
    <row r="71" spans="1:13" ht="15" hidden="1" customHeight="1">
      <c r="A71" s="322">
        <v>31</v>
      </c>
      <c r="B71" s="322" t="s">
        <v>127</v>
      </c>
      <c r="C71" s="323">
        <f t="shared" si="24"/>
        <v>44151.615720000002</v>
      </c>
      <c r="D71" s="323">
        <f t="shared" si="25"/>
        <v>184003.15222779996</v>
      </c>
      <c r="E71" s="323">
        <f t="shared" si="27"/>
        <v>0</v>
      </c>
      <c r="F71" s="324">
        <f t="shared" si="28"/>
        <v>0</v>
      </c>
      <c r="G71" s="322" t="s">
        <v>105</v>
      </c>
      <c r="H71" s="93"/>
      <c r="I71" s="412">
        <v>161123.60089999999</v>
      </c>
      <c r="J71" s="413">
        <f t="shared" si="26"/>
        <v>1.1419999999999999</v>
      </c>
      <c r="K71" s="412">
        <v>38661.660000000003</v>
      </c>
      <c r="L71" s="93"/>
      <c r="M71" s="93"/>
    </row>
    <row r="72" spans="1:13" ht="15" hidden="1" customHeight="1">
      <c r="A72" s="322">
        <v>32</v>
      </c>
      <c r="B72" s="322" t="s">
        <v>127</v>
      </c>
      <c r="C72" s="323">
        <f t="shared" si="24"/>
        <v>18757.064499999997</v>
      </c>
      <c r="D72" s="323">
        <f t="shared" si="25"/>
        <v>45784.303656399992</v>
      </c>
      <c r="E72" s="323">
        <f t="shared" si="27"/>
        <v>0</v>
      </c>
      <c r="F72" s="324">
        <f t="shared" si="28"/>
        <v>0</v>
      </c>
      <c r="G72" s="322" t="s">
        <v>106</v>
      </c>
      <c r="H72" s="93"/>
      <c r="I72" s="412">
        <v>40091.334199999998</v>
      </c>
      <c r="J72" s="413">
        <f t="shared" si="26"/>
        <v>1.1419999999999999</v>
      </c>
      <c r="K72" s="412">
        <v>16424.75</v>
      </c>
      <c r="L72" s="93"/>
      <c r="M72" s="93"/>
    </row>
    <row r="73" spans="1:13" ht="15" hidden="1" customHeight="1">
      <c r="A73" s="322">
        <v>33</v>
      </c>
      <c r="B73" s="322" t="s">
        <v>127</v>
      </c>
      <c r="C73" s="323">
        <f t="shared" si="24"/>
        <v>55164.184379999992</v>
      </c>
      <c r="D73" s="323">
        <f t="shared" si="25"/>
        <v>116932.5881064</v>
      </c>
      <c r="E73" s="323">
        <f t="shared" si="27"/>
        <v>0</v>
      </c>
      <c r="F73" s="324">
        <f t="shared" si="28"/>
        <v>0</v>
      </c>
      <c r="G73" s="322" t="s">
        <v>107</v>
      </c>
      <c r="H73" s="93"/>
      <c r="I73" s="412">
        <v>102392.8092</v>
      </c>
      <c r="J73" s="413">
        <f t="shared" si="26"/>
        <v>1.1419999999999999</v>
      </c>
      <c r="K73" s="412">
        <v>48304.89</v>
      </c>
      <c r="L73" s="93"/>
      <c r="M73" s="93"/>
    </row>
    <row r="74" spans="1:13" ht="15" hidden="1" customHeight="1">
      <c r="A74" s="322">
        <v>34</v>
      </c>
      <c r="B74" s="322" t="s">
        <v>127</v>
      </c>
      <c r="C74" s="323">
        <f t="shared" si="24"/>
        <v>71207.068899999984</v>
      </c>
      <c r="D74" s="323">
        <f t="shared" si="25"/>
        <v>161973.20526059996</v>
      </c>
      <c r="E74" s="323">
        <f t="shared" si="27"/>
        <v>0</v>
      </c>
      <c r="F74" s="324">
        <f t="shared" si="28"/>
        <v>0</v>
      </c>
      <c r="G74" s="322" t="s">
        <v>108</v>
      </c>
      <c r="H74" s="93"/>
      <c r="I74" s="412">
        <v>141832.92929999999</v>
      </c>
      <c r="J74" s="413">
        <f t="shared" si="26"/>
        <v>1.1419999999999999</v>
      </c>
      <c r="K74" s="412">
        <v>62352.95</v>
      </c>
      <c r="L74" s="93"/>
      <c r="M74" s="93"/>
    </row>
    <row r="75" spans="1:13" ht="15" hidden="1" customHeight="1">
      <c r="A75" s="322">
        <v>35</v>
      </c>
      <c r="B75" s="322" t="s">
        <v>127</v>
      </c>
      <c r="C75" s="323">
        <f t="shared" si="24"/>
        <v>239561.21137999999</v>
      </c>
      <c r="D75" s="323">
        <f t="shared" si="25"/>
        <v>394448.46229519998</v>
      </c>
      <c r="E75" s="323">
        <f t="shared" si="27"/>
        <v>0</v>
      </c>
      <c r="F75" s="324">
        <f t="shared" si="28"/>
        <v>0</v>
      </c>
      <c r="G75" s="322" t="s">
        <v>109</v>
      </c>
      <c r="H75" s="93"/>
      <c r="I75" s="412">
        <v>345401.45559999999</v>
      </c>
      <c r="J75" s="413">
        <f t="shared" si="26"/>
        <v>1.1419999999999999</v>
      </c>
      <c r="K75" s="412">
        <v>209773.39</v>
      </c>
      <c r="L75" s="93"/>
      <c r="M75" s="93"/>
    </row>
    <row r="76" spans="1:13" ht="15" hidden="1" customHeight="1">
      <c r="A76" s="322">
        <v>36</v>
      </c>
      <c r="B76" s="322" t="s">
        <v>127</v>
      </c>
      <c r="C76" s="323">
        <f t="shared" si="24"/>
        <v>69017.135439999998</v>
      </c>
      <c r="D76" s="323">
        <f t="shared" si="25"/>
        <v>163895.87451919998</v>
      </c>
      <c r="E76" s="323">
        <f t="shared" si="27"/>
        <v>0</v>
      </c>
      <c r="F76" s="324">
        <f t="shared" si="28"/>
        <v>0</v>
      </c>
      <c r="G76" s="322" t="s">
        <v>110</v>
      </c>
      <c r="H76" s="93"/>
      <c r="I76" s="412">
        <v>143516.5276</v>
      </c>
      <c r="J76" s="413">
        <f t="shared" si="26"/>
        <v>1.1419999999999999</v>
      </c>
      <c r="K76" s="412">
        <v>60435.32</v>
      </c>
      <c r="L76" s="93"/>
      <c r="M76" s="93"/>
    </row>
    <row r="77" spans="1:13" ht="15" hidden="1" customHeight="1">
      <c r="A77" s="322">
        <v>37</v>
      </c>
      <c r="B77" s="322" t="s">
        <v>127</v>
      </c>
      <c r="C77" s="323">
        <f t="shared" si="24"/>
        <v>51528.341879999993</v>
      </c>
      <c r="D77" s="323">
        <f t="shared" si="25"/>
        <v>101983.21483739998</v>
      </c>
      <c r="E77" s="323">
        <f t="shared" si="27"/>
        <v>0</v>
      </c>
      <c r="F77" s="324">
        <f t="shared" si="28"/>
        <v>0</v>
      </c>
      <c r="G77" s="322" t="s">
        <v>111</v>
      </c>
      <c r="H77" s="93"/>
      <c r="I77" s="412">
        <v>89302.289699999994</v>
      </c>
      <c r="J77" s="413">
        <f t="shared" si="26"/>
        <v>1.1419999999999999</v>
      </c>
      <c r="K77" s="412">
        <v>45121.14</v>
      </c>
      <c r="L77" s="93"/>
      <c r="M77" s="93"/>
    </row>
    <row r="78" spans="1:13" ht="15" hidden="1" customHeight="1">
      <c r="A78" s="322">
        <v>38</v>
      </c>
      <c r="B78" s="322" t="s">
        <v>127</v>
      </c>
      <c r="C78" s="323">
        <f t="shared" si="24"/>
        <v>72251.89611999999</v>
      </c>
      <c r="D78" s="323">
        <f t="shared" si="25"/>
        <v>126105.0412032</v>
      </c>
      <c r="E78" s="323">
        <f t="shared" si="27"/>
        <v>0</v>
      </c>
      <c r="F78" s="324">
        <f t="shared" si="28"/>
        <v>0</v>
      </c>
      <c r="G78" s="322" t="s">
        <v>112</v>
      </c>
      <c r="H78" s="93"/>
      <c r="I78" s="412">
        <v>110424.72960000001</v>
      </c>
      <c r="J78" s="413">
        <f t="shared" si="26"/>
        <v>1.1419999999999999</v>
      </c>
      <c r="K78" s="412">
        <v>63267.86</v>
      </c>
      <c r="L78" s="93"/>
      <c r="M78" s="93"/>
    </row>
    <row r="79" spans="1:13" ht="15" hidden="1" customHeight="1">
      <c r="A79" s="322">
        <v>39</v>
      </c>
      <c r="B79" s="322" t="s">
        <v>127</v>
      </c>
      <c r="C79" s="323">
        <f t="shared" si="24"/>
        <v>129761.36021999999</v>
      </c>
      <c r="D79" s="323">
        <f t="shared" si="25"/>
        <v>197253.56718619997</v>
      </c>
      <c r="E79" s="323">
        <f t="shared" si="27"/>
        <v>0</v>
      </c>
      <c r="F79" s="324">
        <f t="shared" si="28"/>
        <v>0</v>
      </c>
      <c r="G79" s="322" t="s">
        <v>113</v>
      </c>
      <c r="H79" s="93"/>
      <c r="I79" s="412">
        <v>172726.4161</v>
      </c>
      <c r="J79" s="413">
        <f t="shared" si="26"/>
        <v>1.1419999999999999</v>
      </c>
      <c r="K79" s="412">
        <v>113626.41</v>
      </c>
      <c r="L79" s="93"/>
      <c r="M79" s="93"/>
    </row>
    <row r="80" spans="1:13" ht="15" hidden="1" customHeight="1">
      <c r="A80" s="322">
        <v>40</v>
      </c>
      <c r="B80" s="322" t="s">
        <v>127</v>
      </c>
      <c r="C80" s="323">
        <f t="shared" si="24"/>
        <v>182056.79491999999</v>
      </c>
      <c r="D80" s="323">
        <f t="shared" si="25"/>
        <v>198106.24936599997</v>
      </c>
      <c r="E80" s="323">
        <f t="shared" si="27"/>
        <v>0</v>
      </c>
      <c r="F80" s="324">
        <f t="shared" si="28"/>
        <v>0</v>
      </c>
      <c r="G80" s="322" t="s">
        <v>114</v>
      </c>
      <c r="H80" s="93"/>
      <c r="I80" s="412">
        <v>173473.073</v>
      </c>
      <c r="J80" s="413">
        <f t="shared" si="26"/>
        <v>1.1419999999999999</v>
      </c>
      <c r="K80" s="412">
        <v>159419.26</v>
      </c>
      <c r="L80" s="93"/>
      <c r="M80" s="93"/>
    </row>
    <row r="81" spans="1:13" ht="15" hidden="1" customHeight="1">
      <c r="A81" s="322">
        <v>41</v>
      </c>
      <c r="B81" s="322" t="s">
        <v>127</v>
      </c>
      <c r="C81" s="323">
        <f t="shared" si="24"/>
        <v>171991.93779999999</v>
      </c>
      <c r="D81" s="323">
        <f t="shared" si="25"/>
        <v>248755.84063219998</v>
      </c>
      <c r="E81" s="323">
        <f t="shared" si="27"/>
        <v>0</v>
      </c>
      <c r="F81" s="324">
        <f t="shared" si="28"/>
        <v>0</v>
      </c>
      <c r="G81" s="322" t="s">
        <v>115</v>
      </c>
      <c r="H81" s="93"/>
      <c r="I81" s="412">
        <v>217824.7291</v>
      </c>
      <c r="J81" s="413">
        <f t="shared" si="26"/>
        <v>1.1419999999999999</v>
      </c>
      <c r="K81" s="412">
        <v>150605.9</v>
      </c>
      <c r="L81" s="93"/>
      <c r="M81" s="93"/>
    </row>
    <row r="82" spans="1:13" ht="15" hidden="1" customHeight="1">
      <c r="A82" s="322">
        <v>42</v>
      </c>
      <c r="B82" s="322" t="s">
        <v>127</v>
      </c>
      <c r="C82" s="323">
        <f t="shared" si="24"/>
        <v>460075.08469999995</v>
      </c>
      <c r="D82" s="323">
        <f t="shared" si="25"/>
        <v>631769.81848459993</v>
      </c>
      <c r="E82" s="323">
        <f t="shared" si="27"/>
        <v>0</v>
      </c>
      <c r="F82" s="324">
        <f t="shared" si="28"/>
        <v>0</v>
      </c>
      <c r="G82" s="322" t="s">
        <v>116</v>
      </c>
      <c r="H82" s="93"/>
      <c r="I82" s="412">
        <v>553213.5013</v>
      </c>
      <c r="J82" s="413">
        <f t="shared" si="26"/>
        <v>1.1419999999999999</v>
      </c>
      <c r="K82" s="412">
        <v>402867.85</v>
      </c>
      <c r="L82" s="93"/>
      <c r="M82" s="93"/>
    </row>
    <row r="83" spans="1:13" ht="15" hidden="1" customHeight="1">
      <c r="A83" s="322">
        <v>43</v>
      </c>
      <c r="B83" s="322" t="s">
        <v>89</v>
      </c>
      <c r="C83" s="323">
        <f t="shared" si="24"/>
        <v>310499.11339999997</v>
      </c>
      <c r="D83" s="323">
        <f t="shared" si="25"/>
        <v>681311.43719399988</v>
      </c>
      <c r="E83" s="323">
        <f t="shared" si="27"/>
        <v>0</v>
      </c>
      <c r="F83" s="324">
        <f>D14</f>
        <v>0</v>
      </c>
      <c r="G83" s="322" t="s">
        <v>96</v>
      </c>
      <c r="H83" s="93"/>
      <c r="I83" s="412">
        <v>558451.99769999995</v>
      </c>
      <c r="J83" s="413">
        <f t="shared" ref="J83:J103" si="29">IF(Aplicar_Escala=1,INDEX(Factor_Escala,3),1)</f>
        <v>1.22</v>
      </c>
      <c r="K83" s="412">
        <v>254507.47</v>
      </c>
      <c r="L83" s="93"/>
      <c r="M83" s="93"/>
    </row>
    <row r="84" spans="1:13" ht="15" hidden="1" customHeight="1">
      <c r="A84" s="322">
        <v>44</v>
      </c>
      <c r="B84" s="322" t="s">
        <v>89</v>
      </c>
      <c r="C84" s="323">
        <f t="shared" si="24"/>
        <v>106551.7622</v>
      </c>
      <c r="D84" s="323">
        <f t="shared" si="25"/>
        <v>482043.09355600004</v>
      </c>
      <c r="E84" s="323">
        <f t="shared" si="27"/>
        <v>0</v>
      </c>
      <c r="F84" s="324">
        <f t="shared" ref="F84:F102" si="30">D15</f>
        <v>0</v>
      </c>
      <c r="G84" s="322" t="s">
        <v>97</v>
      </c>
      <c r="H84" s="93"/>
      <c r="I84" s="412">
        <v>395117.28980000003</v>
      </c>
      <c r="J84" s="413">
        <f t="shared" si="29"/>
        <v>1.22</v>
      </c>
      <c r="K84" s="412">
        <v>87337.51</v>
      </c>
      <c r="L84" s="93"/>
      <c r="M84" s="93"/>
    </row>
    <row r="85" spans="1:13" ht="15" hidden="1" customHeight="1">
      <c r="A85" s="322">
        <v>45</v>
      </c>
      <c r="B85" s="322" t="s">
        <v>89</v>
      </c>
      <c r="C85" s="323">
        <f t="shared" si="24"/>
        <v>340125.56900000002</v>
      </c>
      <c r="D85" s="323">
        <f t="shared" si="25"/>
        <v>1401785.9644579999</v>
      </c>
      <c r="E85" s="323">
        <f t="shared" si="27"/>
        <v>0</v>
      </c>
      <c r="F85" s="324">
        <f t="shared" si="30"/>
        <v>0</v>
      </c>
      <c r="G85" s="322" t="s">
        <v>98</v>
      </c>
      <c r="H85" s="93"/>
      <c r="I85" s="412">
        <v>1149004.8888999999</v>
      </c>
      <c r="J85" s="413">
        <f t="shared" si="29"/>
        <v>1.22</v>
      </c>
      <c r="K85" s="412">
        <v>278791.45</v>
      </c>
      <c r="L85" s="93"/>
      <c r="M85" s="93"/>
    </row>
    <row r="86" spans="1:13" ht="15" hidden="1" customHeight="1">
      <c r="A86" s="322">
        <v>46</v>
      </c>
      <c r="B86" s="322" t="s">
        <v>89</v>
      </c>
      <c r="C86" s="323">
        <f t="shared" si="24"/>
        <v>99562.516399999993</v>
      </c>
      <c r="D86" s="323">
        <f t="shared" si="25"/>
        <v>280154.11988999997</v>
      </c>
      <c r="E86" s="323">
        <f t="shared" si="27"/>
        <v>0</v>
      </c>
      <c r="F86" s="324">
        <f t="shared" si="30"/>
        <v>0</v>
      </c>
      <c r="G86" s="322" t="s">
        <v>99</v>
      </c>
      <c r="H86" s="93"/>
      <c r="I86" s="412">
        <v>229634.5245</v>
      </c>
      <c r="J86" s="413">
        <f t="shared" si="29"/>
        <v>1.22</v>
      </c>
      <c r="K86" s="412">
        <v>81608.62</v>
      </c>
      <c r="L86" s="93"/>
      <c r="M86" s="93"/>
    </row>
    <row r="87" spans="1:13" ht="15" hidden="1" customHeight="1">
      <c r="A87" s="322">
        <v>47</v>
      </c>
      <c r="B87" s="322" t="s">
        <v>89</v>
      </c>
      <c r="C87" s="323">
        <f t="shared" si="24"/>
        <v>159703.40459999998</v>
      </c>
      <c r="D87" s="323">
        <f t="shared" si="25"/>
        <v>514603.64122599998</v>
      </c>
      <c r="E87" s="323">
        <f t="shared" si="27"/>
        <v>0</v>
      </c>
      <c r="F87" s="324">
        <f t="shared" si="30"/>
        <v>0</v>
      </c>
      <c r="G87" s="322" t="s">
        <v>100</v>
      </c>
      <c r="H87" s="93"/>
      <c r="I87" s="412">
        <v>421806.26329999999</v>
      </c>
      <c r="J87" s="413">
        <f t="shared" si="29"/>
        <v>1.22</v>
      </c>
      <c r="K87" s="412">
        <v>130904.43</v>
      </c>
      <c r="L87" s="93"/>
      <c r="M87" s="93"/>
    </row>
    <row r="88" spans="1:13" ht="15" hidden="1" customHeight="1">
      <c r="A88" s="322">
        <v>48</v>
      </c>
      <c r="B88" s="322" t="s">
        <v>89</v>
      </c>
      <c r="C88" s="323">
        <f t="shared" si="24"/>
        <v>509720.92879999994</v>
      </c>
      <c r="D88" s="323">
        <f t="shared" si="25"/>
        <v>1438431.8425579998</v>
      </c>
      <c r="E88" s="323">
        <f t="shared" si="27"/>
        <v>0</v>
      </c>
      <c r="F88" s="324">
        <f t="shared" si="30"/>
        <v>0</v>
      </c>
      <c r="G88" s="322" t="s">
        <v>101</v>
      </c>
      <c r="H88" s="93"/>
      <c r="I88" s="412">
        <v>1179042.4938999999</v>
      </c>
      <c r="J88" s="413">
        <f t="shared" si="29"/>
        <v>1.22</v>
      </c>
      <c r="K88" s="412">
        <v>417804.04</v>
      </c>
      <c r="L88" s="93"/>
      <c r="M88" s="93"/>
    </row>
    <row r="89" spans="1:13" ht="15" hidden="1" customHeight="1">
      <c r="A89" s="322">
        <v>49</v>
      </c>
      <c r="B89" s="322" t="s">
        <v>89</v>
      </c>
      <c r="C89" s="323">
        <f t="shared" si="24"/>
        <v>99650.271000000008</v>
      </c>
      <c r="D89" s="323">
        <f t="shared" si="25"/>
        <v>283271.03969599999</v>
      </c>
      <c r="E89" s="323">
        <f t="shared" si="27"/>
        <v>0</v>
      </c>
      <c r="F89" s="324">
        <f t="shared" si="30"/>
        <v>0</v>
      </c>
      <c r="G89" s="322" t="s">
        <v>102</v>
      </c>
      <c r="H89" s="93"/>
      <c r="I89" s="412">
        <v>232189.3768</v>
      </c>
      <c r="J89" s="413">
        <f t="shared" si="29"/>
        <v>1.22</v>
      </c>
      <c r="K89" s="412">
        <v>81680.55</v>
      </c>
      <c r="L89" s="93"/>
      <c r="M89" s="93"/>
    </row>
    <row r="90" spans="1:13" ht="15" hidden="1" customHeight="1">
      <c r="A90" s="322">
        <v>50</v>
      </c>
      <c r="B90" s="322" t="s">
        <v>89</v>
      </c>
      <c r="C90" s="323">
        <f t="shared" si="24"/>
        <v>102339.94399999999</v>
      </c>
      <c r="D90" s="323">
        <f t="shared" si="25"/>
        <v>499553.06974599999</v>
      </c>
      <c r="E90" s="323">
        <f t="shared" si="27"/>
        <v>0</v>
      </c>
      <c r="F90" s="324">
        <f t="shared" si="30"/>
        <v>0</v>
      </c>
      <c r="G90" s="322" t="s">
        <v>103</v>
      </c>
      <c r="H90" s="93"/>
      <c r="I90" s="412">
        <v>409469.72930000001</v>
      </c>
      <c r="J90" s="413">
        <f t="shared" si="29"/>
        <v>1.22</v>
      </c>
      <c r="K90" s="412">
        <v>83885.2</v>
      </c>
      <c r="L90" s="93"/>
      <c r="M90" s="93"/>
    </row>
    <row r="91" spans="1:13" ht="15" hidden="1" customHeight="1">
      <c r="A91" s="322">
        <v>51</v>
      </c>
      <c r="B91" s="322" t="s">
        <v>89</v>
      </c>
      <c r="C91" s="323">
        <f t="shared" si="24"/>
        <v>267891.72360000003</v>
      </c>
      <c r="D91" s="323">
        <f t="shared" si="25"/>
        <v>699016.33119799988</v>
      </c>
      <c r="E91" s="323">
        <f t="shared" si="27"/>
        <v>0</v>
      </c>
      <c r="F91" s="324">
        <f t="shared" si="30"/>
        <v>0</v>
      </c>
      <c r="G91" s="322" t="s">
        <v>104</v>
      </c>
      <c r="H91" s="93"/>
      <c r="I91" s="412">
        <v>572964.20589999994</v>
      </c>
      <c r="J91" s="413">
        <f t="shared" si="29"/>
        <v>1.22</v>
      </c>
      <c r="K91" s="412">
        <v>219583.38</v>
      </c>
      <c r="L91" s="93"/>
      <c r="M91" s="93"/>
    </row>
    <row r="92" spans="1:13" ht="15" hidden="1" customHeight="1">
      <c r="A92" s="322">
        <v>52</v>
      </c>
      <c r="B92" s="322" t="s">
        <v>89</v>
      </c>
      <c r="C92" s="323">
        <f t="shared" si="24"/>
        <v>1106309.0052</v>
      </c>
      <c r="D92" s="323">
        <f t="shared" si="25"/>
        <v>3374951.8493779995</v>
      </c>
      <c r="E92" s="323">
        <f t="shared" si="27"/>
        <v>0</v>
      </c>
      <c r="F92" s="324">
        <f t="shared" si="30"/>
        <v>0</v>
      </c>
      <c r="G92" s="322" t="s">
        <v>105</v>
      </c>
      <c r="H92" s="93"/>
      <c r="I92" s="412">
        <v>2766353.9748999998</v>
      </c>
      <c r="J92" s="413">
        <f t="shared" si="29"/>
        <v>1.22</v>
      </c>
      <c r="K92" s="412">
        <v>906810.66</v>
      </c>
      <c r="L92" s="93"/>
      <c r="M92" s="93"/>
    </row>
    <row r="93" spans="1:13" ht="15" hidden="1" customHeight="1">
      <c r="A93" s="322">
        <v>53</v>
      </c>
      <c r="B93" s="322" t="s">
        <v>89</v>
      </c>
      <c r="C93" s="323">
        <f t="shared" si="24"/>
        <v>235522.40299999999</v>
      </c>
      <c r="D93" s="323">
        <f t="shared" si="25"/>
        <v>579928.01711400005</v>
      </c>
      <c r="E93" s="323">
        <f t="shared" si="27"/>
        <v>0</v>
      </c>
      <c r="F93" s="324">
        <f t="shared" si="30"/>
        <v>0</v>
      </c>
      <c r="G93" s="322" t="s">
        <v>106</v>
      </c>
      <c r="H93" s="93"/>
      <c r="I93" s="412">
        <v>475350.83370000002</v>
      </c>
      <c r="J93" s="413">
        <f t="shared" si="29"/>
        <v>1.22</v>
      </c>
      <c r="K93" s="412">
        <v>193051.15</v>
      </c>
      <c r="L93" s="93"/>
      <c r="M93" s="93"/>
    </row>
    <row r="94" spans="1:13" ht="15" hidden="1" customHeight="1">
      <c r="A94" s="322">
        <v>54</v>
      </c>
      <c r="B94" s="322" t="s">
        <v>89</v>
      </c>
      <c r="C94" s="323">
        <f t="shared" si="24"/>
        <v>431569.32699999999</v>
      </c>
      <c r="D94" s="323">
        <f t="shared" si="25"/>
        <v>1213010.877542</v>
      </c>
      <c r="E94" s="323">
        <f t="shared" si="27"/>
        <v>0</v>
      </c>
      <c r="F94" s="324">
        <f t="shared" si="30"/>
        <v>0</v>
      </c>
      <c r="G94" s="322" t="s">
        <v>107</v>
      </c>
      <c r="H94" s="93"/>
      <c r="I94" s="412">
        <v>994271.21109999996</v>
      </c>
      <c r="J94" s="413">
        <f t="shared" si="29"/>
        <v>1.22</v>
      </c>
      <c r="K94" s="412">
        <v>353745.35</v>
      </c>
      <c r="L94" s="93"/>
      <c r="M94" s="93"/>
    </row>
    <row r="95" spans="1:13" ht="15" hidden="1" customHeight="1">
      <c r="A95" s="322">
        <v>55</v>
      </c>
      <c r="B95" s="322" t="s">
        <v>89</v>
      </c>
      <c r="C95" s="323">
        <f t="shared" si="24"/>
        <v>904670.9432000001</v>
      </c>
      <c r="D95" s="323">
        <f t="shared" si="25"/>
        <v>2372339.7747800001</v>
      </c>
      <c r="E95" s="323">
        <f t="shared" si="27"/>
        <v>0</v>
      </c>
      <c r="F95" s="324">
        <f t="shared" si="30"/>
        <v>0</v>
      </c>
      <c r="G95" s="322" t="s">
        <v>108</v>
      </c>
      <c r="H95" s="93"/>
      <c r="I95" s="412">
        <v>1944540.7990000001</v>
      </c>
      <c r="J95" s="413">
        <f t="shared" si="29"/>
        <v>1.22</v>
      </c>
      <c r="K95" s="412">
        <v>741533.56</v>
      </c>
      <c r="L95" s="93"/>
      <c r="M95" s="93"/>
    </row>
    <row r="96" spans="1:13" ht="15" hidden="1" customHeight="1">
      <c r="A96" s="322">
        <v>56</v>
      </c>
      <c r="B96" s="322" t="s">
        <v>89</v>
      </c>
      <c r="C96" s="323">
        <f t="shared" si="24"/>
        <v>1986547.8501999998</v>
      </c>
      <c r="D96" s="323">
        <f t="shared" si="25"/>
        <v>3612848.013698</v>
      </c>
      <c r="E96" s="323">
        <f t="shared" si="27"/>
        <v>0</v>
      </c>
      <c r="F96" s="324">
        <f t="shared" si="30"/>
        <v>0</v>
      </c>
      <c r="G96" s="322" t="s">
        <v>109</v>
      </c>
      <c r="H96" s="93"/>
      <c r="I96" s="412">
        <v>2961350.8308999999</v>
      </c>
      <c r="J96" s="413">
        <f t="shared" si="29"/>
        <v>1.22</v>
      </c>
      <c r="K96" s="412">
        <v>1628317.91</v>
      </c>
      <c r="L96" s="93"/>
      <c r="M96" s="93"/>
    </row>
    <row r="97" spans="1:13" ht="15" hidden="1" customHeight="1">
      <c r="A97" s="322">
        <v>57</v>
      </c>
      <c r="B97" s="322" t="s">
        <v>89</v>
      </c>
      <c r="C97" s="323">
        <f t="shared" si="24"/>
        <v>790158.66879999998</v>
      </c>
      <c r="D97" s="323">
        <f t="shared" si="25"/>
        <v>1936132.3900059999</v>
      </c>
      <c r="E97" s="323">
        <f t="shared" si="27"/>
        <v>0</v>
      </c>
      <c r="F97" s="324">
        <f t="shared" si="30"/>
        <v>0</v>
      </c>
      <c r="G97" s="322" t="s">
        <v>110</v>
      </c>
      <c r="H97" s="93"/>
      <c r="I97" s="412">
        <v>1586993.7623000001</v>
      </c>
      <c r="J97" s="413">
        <f t="shared" si="29"/>
        <v>1.22</v>
      </c>
      <c r="K97" s="412">
        <v>647671.04000000004</v>
      </c>
      <c r="L97" s="93"/>
      <c r="M97" s="93"/>
    </row>
    <row r="98" spans="1:13" ht="15" hidden="1" customHeight="1">
      <c r="A98" s="322">
        <v>58</v>
      </c>
      <c r="B98" s="322" t="s">
        <v>89</v>
      </c>
      <c r="C98" s="323">
        <f t="shared" si="24"/>
        <v>723414.03039999993</v>
      </c>
      <c r="D98" s="323">
        <f t="shared" si="25"/>
        <v>1388848.8886479998</v>
      </c>
      <c r="E98" s="323">
        <f t="shared" si="27"/>
        <v>0</v>
      </c>
      <c r="F98" s="324">
        <f t="shared" si="30"/>
        <v>0</v>
      </c>
      <c r="G98" s="322" t="s">
        <v>111</v>
      </c>
      <c r="H98" s="93"/>
      <c r="I98" s="412">
        <v>1138400.7283999999</v>
      </c>
      <c r="J98" s="413">
        <f t="shared" si="29"/>
        <v>1.22</v>
      </c>
      <c r="K98" s="412">
        <v>592962.31999999995</v>
      </c>
      <c r="L98" s="93"/>
      <c r="M98" s="93"/>
    </row>
    <row r="99" spans="1:13" ht="15" hidden="1" customHeight="1">
      <c r="A99" s="322">
        <v>59</v>
      </c>
      <c r="B99" s="322" t="s">
        <v>89</v>
      </c>
      <c r="C99" s="323">
        <f t="shared" si="24"/>
        <v>912716.78220000002</v>
      </c>
      <c r="D99" s="323">
        <f t="shared" si="25"/>
        <v>1921411.963458</v>
      </c>
      <c r="E99" s="323">
        <f t="shared" si="27"/>
        <v>0</v>
      </c>
      <c r="F99" s="324">
        <f t="shared" si="30"/>
        <v>0</v>
      </c>
      <c r="G99" s="322" t="s">
        <v>112</v>
      </c>
      <c r="H99" s="93"/>
      <c r="I99" s="412">
        <v>1574927.8389000001</v>
      </c>
      <c r="J99" s="413">
        <f t="shared" si="29"/>
        <v>1.22</v>
      </c>
      <c r="K99" s="412">
        <v>748128.51</v>
      </c>
      <c r="L99" s="93"/>
      <c r="M99" s="93"/>
    </row>
    <row r="100" spans="1:13" ht="15" hidden="1" customHeight="1">
      <c r="A100" s="322">
        <v>60</v>
      </c>
      <c r="B100" s="322" t="s">
        <v>89</v>
      </c>
      <c r="C100" s="323">
        <f t="shared" si="24"/>
        <v>796998.69640000002</v>
      </c>
      <c r="D100" s="323">
        <f t="shared" si="25"/>
        <v>1637427.3690639997</v>
      </c>
      <c r="E100" s="323">
        <f t="shared" si="27"/>
        <v>0</v>
      </c>
      <c r="F100" s="324">
        <f t="shared" si="30"/>
        <v>0</v>
      </c>
      <c r="G100" s="322" t="s">
        <v>113</v>
      </c>
      <c r="H100" s="93"/>
      <c r="I100" s="412">
        <v>1342153.5811999999</v>
      </c>
      <c r="J100" s="413">
        <f t="shared" si="29"/>
        <v>1.22</v>
      </c>
      <c r="K100" s="412">
        <v>653277.62</v>
      </c>
      <c r="L100" s="93"/>
      <c r="M100" s="93"/>
    </row>
    <row r="101" spans="1:13" ht="15" hidden="1" customHeight="1">
      <c r="A101" s="322">
        <v>61</v>
      </c>
      <c r="B101" s="322" t="s">
        <v>89</v>
      </c>
      <c r="C101" s="323">
        <f t="shared" si="24"/>
        <v>1931935.8921999999</v>
      </c>
      <c r="D101" s="323">
        <f t="shared" si="25"/>
        <v>2483044.1107600001</v>
      </c>
      <c r="E101" s="323">
        <f t="shared" si="27"/>
        <v>0</v>
      </c>
      <c r="F101" s="324">
        <f t="shared" si="30"/>
        <v>0</v>
      </c>
      <c r="G101" s="322" t="s">
        <v>114</v>
      </c>
      <c r="H101" s="93"/>
      <c r="I101" s="412">
        <v>2035282.058</v>
      </c>
      <c r="J101" s="413">
        <f t="shared" si="29"/>
        <v>1.22</v>
      </c>
      <c r="K101" s="412">
        <v>1583554.01</v>
      </c>
      <c r="L101" s="93"/>
      <c r="M101" s="93"/>
    </row>
    <row r="102" spans="1:13" ht="15" hidden="1" customHeight="1">
      <c r="A102" s="322">
        <v>62</v>
      </c>
      <c r="B102" s="322" t="s">
        <v>89</v>
      </c>
      <c r="C102" s="323">
        <f t="shared" si="24"/>
        <v>2025551.909</v>
      </c>
      <c r="D102" s="323">
        <f t="shared" si="25"/>
        <v>3680029.2223879998</v>
      </c>
      <c r="E102" s="323">
        <f t="shared" si="27"/>
        <v>0</v>
      </c>
      <c r="F102" s="324">
        <f t="shared" si="30"/>
        <v>0</v>
      </c>
      <c r="G102" s="322" t="s">
        <v>115</v>
      </c>
      <c r="H102" s="93"/>
      <c r="I102" s="412">
        <v>3016417.3953999998</v>
      </c>
      <c r="J102" s="413">
        <f t="shared" si="29"/>
        <v>1.22</v>
      </c>
      <c r="K102" s="412">
        <v>1660288.45</v>
      </c>
      <c r="L102" s="93"/>
      <c r="M102" s="93"/>
    </row>
    <row r="103" spans="1:13" ht="15" hidden="1" customHeight="1">
      <c r="A103" s="322">
        <v>63</v>
      </c>
      <c r="B103" s="322" t="s">
        <v>89</v>
      </c>
      <c r="C103" s="323">
        <f t="shared" si="24"/>
        <v>3633355.9076</v>
      </c>
      <c r="D103" s="323">
        <f t="shared" si="25"/>
        <v>5018506.2493719999</v>
      </c>
      <c r="E103" s="323">
        <f t="shared" si="27"/>
        <v>0</v>
      </c>
      <c r="F103" s="324">
        <f>D34</f>
        <v>0</v>
      </c>
      <c r="G103" s="322" t="s">
        <v>116</v>
      </c>
      <c r="H103" s="93"/>
      <c r="I103" s="412">
        <v>4113529.7126000002</v>
      </c>
      <c r="J103" s="413">
        <f t="shared" si="29"/>
        <v>1.22</v>
      </c>
      <c r="K103" s="412">
        <v>2978160.58</v>
      </c>
      <c r="L103" s="93"/>
      <c r="M103" s="93"/>
    </row>
    <row r="104" spans="1:13" ht="15" hidden="1" customHeight="1">
      <c r="A104" s="322">
        <v>64</v>
      </c>
      <c r="B104" s="322" t="s">
        <v>128</v>
      </c>
      <c r="C104" s="323">
        <f t="shared" si="24"/>
        <v>1542600.2</v>
      </c>
      <c r="D104" s="323">
        <f t="shared" si="25"/>
        <v>2802032.708143</v>
      </c>
      <c r="E104" s="323">
        <f t="shared" si="27"/>
        <v>0</v>
      </c>
      <c r="F104" s="324">
        <f>E14</f>
        <v>0</v>
      </c>
      <c r="G104" s="322" t="s">
        <v>96</v>
      </c>
      <c r="H104" s="93"/>
      <c r="I104" s="412">
        <v>2130823.3522000001</v>
      </c>
      <c r="J104" s="413">
        <f t="shared" ref="J104:J124" si="31">IF(Aplicar_Escala=1,INDEX(Factor_Escala,4),1)</f>
        <v>1.3149999999999999</v>
      </c>
      <c r="K104" s="412">
        <v>1173080</v>
      </c>
      <c r="L104" s="93"/>
      <c r="M104" s="93"/>
    </row>
    <row r="105" spans="1:13" ht="15" hidden="1" customHeight="1">
      <c r="A105" s="322">
        <v>65</v>
      </c>
      <c r="B105" s="322" t="s">
        <v>128</v>
      </c>
      <c r="C105" s="323">
        <f t="shared" si="24"/>
        <v>785358.6335</v>
      </c>
      <c r="D105" s="323">
        <f t="shared" si="25"/>
        <v>2224306.9097544998</v>
      </c>
      <c r="E105" s="323">
        <f t="shared" si="27"/>
        <v>0</v>
      </c>
      <c r="F105" s="324">
        <f t="shared" ref="F105:F124" si="32">E15</f>
        <v>0</v>
      </c>
      <c r="G105" s="322" t="s">
        <v>97</v>
      </c>
      <c r="H105" s="93"/>
      <c r="I105" s="412">
        <v>1691488.1443</v>
      </c>
      <c r="J105" s="413">
        <f t="shared" si="31"/>
        <v>1.3149999999999999</v>
      </c>
      <c r="K105" s="412">
        <v>597230.9</v>
      </c>
      <c r="L105" s="93"/>
      <c r="M105" s="93"/>
    </row>
    <row r="106" spans="1:13" ht="15" hidden="1" customHeight="1">
      <c r="A106" s="322">
        <v>66</v>
      </c>
      <c r="B106" s="322" t="s">
        <v>128</v>
      </c>
      <c r="C106" s="323">
        <f t="shared" ref="C106:C169" si="33">K106*J106</f>
        <v>615114.02579999994</v>
      </c>
      <c r="D106" s="323">
        <f t="shared" ref="D106:D169" si="34">I106*J106</f>
        <v>2365957.6285615</v>
      </c>
      <c r="E106" s="323">
        <f t="shared" si="27"/>
        <v>0</v>
      </c>
      <c r="F106" s="324">
        <f t="shared" si="32"/>
        <v>0</v>
      </c>
      <c r="G106" s="322" t="s">
        <v>98</v>
      </c>
      <c r="H106" s="93"/>
      <c r="I106" s="412">
        <v>1799207.3221</v>
      </c>
      <c r="J106" s="413">
        <f t="shared" si="31"/>
        <v>1.3149999999999999</v>
      </c>
      <c r="K106" s="412">
        <v>467767.32</v>
      </c>
      <c r="L106" s="93"/>
      <c r="M106" s="93"/>
    </row>
    <row r="107" spans="1:13" ht="15" hidden="1" customHeight="1">
      <c r="A107" s="322">
        <v>67</v>
      </c>
      <c r="B107" s="322" t="s">
        <v>128</v>
      </c>
      <c r="C107" s="323">
        <f t="shared" si="33"/>
        <v>425432.53460000001</v>
      </c>
      <c r="D107" s="323">
        <f t="shared" si="34"/>
        <v>1919886.7534789997</v>
      </c>
      <c r="E107" s="323">
        <f t="shared" si="27"/>
        <v>0</v>
      </c>
      <c r="F107" s="324">
        <f t="shared" si="32"/>
        <v>0</v>
      </c>
      <c r="G107" s="322" t="s">
        <v>99</v>
      </c>
      <c r="H107" s="93"/>
      <c r="I107" s="412">
        <v>1459989.9265999999</v>
      </c>
      <c r="J107" s="413">
        <f t="shared" si="31"/>
        <v>1.3149999999999999</v>
      </c>
      <c r="K107" s="412">
        <v>323522.84000000003</v>
      </c>
      <c r="L107" s="93"/>
      <c r="M107" s="93"/>
    </row>
    <row r="108" spans="1:13" ht="15" hidden="1" customHeight="1">
      <c r="A108" s="322">
        <v>68</v>
      </c>
      <c r="B108" s="322" t="s">
        <v>128</v>
      </c>
      <c r="C108" s="323">
        <f t="shared" si="33"/>
        <v>251940.45550000001</v>
      </c>
      <c r="D108" s="323">
        <f t="shared" si="34"/>
        <v>914206.92337600002</v>
      </c>
      <c r="E108" s="323">
        <f t="shared" si="27"/>
        <v>0</v>
      </c>
      <c r="F108" s="324">
        <f t="shared" si="32"/>
        <v>0</v>
      </c>
      <c r="G108" s="322" t="s">
        <v>100</v>
      </c>
      <c r="H108" s="93"/>
      <c r="I108" s="412">
        <v>695214.39040000003</v>
      </c>
      <c r="J108" s="413">
        <f t="shared" si="31"/>
        <v>1.3149999999999999</v>
      </c>
      <c r="K108" s="412">
        <v>191589.7</v>
      </c>
      <c r="L108" s="93"/>
      <c r="M108" s="93"/>
    </row>
    <row r="109" spans="1:13" ht="15" hidden="1" customHeight="1">
      <c r="A109" s="322">
        <v>69</v>
      </c>
      <c r="B109" s="322" t="s">
        <v>128</v>
      </c>
      <c r="C109" s="323">
        <f t="shared" si="33"/>
        <v>786636.07709999988</v>
      </c>
      <c r="D109" s="323">
        <f t="shared" si="34"/>
        <v>3323462.9780744999</v>
      </c>
      <c r="E109" s="323">
        <f t="shared" si="27"/>
        <v>0</v>
      </c>
      <c r="F109" s="324">
        <f t="shared" si="32"/>
        <v>0</v>
      </c>
      <c r="G109" s="322" t="s">
        <v>101</v>
      </c>
      <c r="H109" s="93"/>
      <c r="I109" s="412">
        <v>2527348.2722999998</v>
      </c>
      <c r="J109" s="413">
        <f t="shared" si="31"/>
        <v>1.3149999999999999</v>
      </c>
      <c r="K109" s="412">
        <v>598202.34</v>
      </c>
      <c r="L109" s="93"/>
      <c r="M109" s="93"/>
    </row>
    <row r="110" spans="1:13" ht="15" hidden="1" customHeight="1">
      <c r="A110" s="322">
        <v>70</v>
      </c>
      <c r="B110" s="322" t="s">
        <v>128</v>
      </c>
      <c r="C110" s="323">
        <f t="shared" si="33"/>
        <v>316365.47464999999</v>
      </c>
      <c r="D110" s="323">
        <f t="shared" si="34"/>
        <v>1046548.353215</v>
      </c>
      <c r="E110" s="323">
        <f t="shared" si="27"/>
        <v>0</v>
      </c>
      <c r="F110" s="324">
        <f t="shared" si="32"/>
        <v>0</v>
      </c>
      <c r="G110" s="322" t="s">
        <v>102</v>
      </c>
      <c r="H110" s="93"/>
      <c r="I110" s="412">
        <v>795854.26100000006</v>
      </c>
      <c r="J110" s="413">
        <f t="shared" si="31"/>
        <v>1.3149999999999999</v>
      </c>
      <c r="K110" s="412">
        <v>240582.11</v>
      </c>
      <c r="L110" s="93"/>
      <c r="M110" s="93"/>
    </row>
    <row r="111" spans="1:13" ht="15" hidden="1" customHeight="1">
      <c r="A111" s="322">
        <v>71</v>
      </c>
      <c r="B111" s="322" t="s">
        <v>128</v>
      </c>
      <c r="C111" s="323">
        <f t="shared" si="33"/>
        <v>549433.11589999998</v>
      </c>
      <c r="D111" s="323">
        <f t="shared" si="34"/>
        <v>2727651.0309164999</v>
      </c>
      <c r="E111" s="323">
        <f t="shared" si="27"/>
        <v>0</v>
      </c>
      <c r="F111" s="324">
        <f t="shared" si="32"/>
        <v>0</v>
      </c>
      <c r="G111" s="322" t="s">
        <v>103</v>
      </c>
      <c r="H111" s="93"/>
      <c r="I111" s="412">
        <v>2074259.3391</v>
      </c>
      <c r="J111" s="413">
        <f t="shared" si="31"/>
        <v>1.3149999999999999</v>
      </c>
      <c r="K111" s="412">
        <v>417819.86</v>
      </c>
      <c r="L111" s="93"/>
      <c r="M111" s="93"/>
    </row>
    <row r="112" spans="1:13" ht="15" hidden="1" customHeight="1">
      <c r="A112" s="322">
        <v>72</v>
      </c>
      <c r="B112" s="322" t="s">
        <v>128</v>
      </c>
      <c r="C112" s="323">
        <f t="shared" si="33"/>
        <v>197567.9933</v>
      </c>
      <c r="D112" s="323">
        <f t="shared" si="34"/>
        <v>890274.883852</v>
      </c>
      <c r="E112" s="323">
        <f t="shared" si="27"/>
        <v>0</v>
      </c>
      <c r="F112" s="324">
        <f t="shared" si="32"/>
        <v>0</v>
      </c>
      <c r="G112" s="322" t="s">
        <v>104</v>
      </c>
      <c r="H112" s="93"/>
      <c r="I112" s="412">
        <v>677015.12080000003</v>
      </c>
      <c r="J112" s="413">
        <f t="shared" si="31"/>
        <v>1.3149999999999999</v>
      </c>
      <c r="K112" s="412">
        <v>150241.82</v>
      </c>
      <c r="L112" s="93"/>
      <c r="M112" s="93"/>
    </row>
    <row r="113" spans="1:13" ht="15" hidden="1" customHeight="1">
      <c r="A113" s="322">
        <v>73</v>
      </c>
      <c r="B113" s="322" t="s">
        <v>128</v>
      </c>
      <c r="C113" s="323">
        <f t="shared" si="33"/>
        <v>1579684.9095000001</v>
      </c>
      <c r="D113" s="323">
        <f t="shared" si="34"/>
        <v>7117918.404968</v>
      </c>
      <c r="E113" s="323">
        <f t="shared" si="27"/>
        <v>0</v>
      </c>
      <c r="F113" s="324">
        <f t="shared" si="32"/>
        <v>0</v>
      </c>
      <c r="G113" s="322" t="s">
        <v>105</v>
      </c>
      <c r="H113" s="93"/>
      <c r="I113" s="412">
        <v>5412865.7072000001</v>
      </c>
      <c r="J113" s="413">
        <f t="shared" si="31"/>
        <v>1.3149999999999999</v>
      </c>
      <c r="K113" s="412">
        <v>1201281.3</v>
      </c>
      <c r="L113" s="93"/>
      <c r="M113" s="93"/>
    </row>
    <row r="114" spans="1:13" ht="15" hidden="1" customHeight="1">
      <c r="A114" s="322">
        <v>74</v>
      </c>
      <c r="B114" s="322" t="s">
        <v>128</v>
      </c>
      <c r="C114" s="323">
        <f t="shared" si="33"/>
        <v>244734.9393</v>
      </c>
      <c r="D114" s="323">
        <f t="shared" si="34"/>
        <v>707258.10405599989</v>
      </c>
      <c r="E114" s="323">
        <f t="shared" si="27"/>
        <v>0</v>
      </c>
      <c r="F114" s="324">
        <f t="shared" si="32"/>
        <v>0</v>
      </c>
      <c r="G114" s="322" t="s">
        <v>106</v>
      </c>
      <c r="H114" s="93"/>
      <c r="I114" s="412">
        <v>537838.86239999998</v>
      </c>
      <c r="J114" s="413">
        <f t="shared" si="31"/>
        <v>1.3149999999999999</v>
      </c>
      <c r="K114" s="412">
        <v>186110.22</v>
      </c>
      <c r="L114" s="93"/>
      <c r="M114" s="93"/>
    </row>
    <row r="115" spans="1:13" ht="15" hidden="1" customHeight="1">
      <c r="A115" s="322">
        <v>75</v>
      </c>
      <c r="B115" s="322" t="s">
        <v>128</v>
      </c>
      <c r="C115" s="323">
        <f t="shared" si="33"/>
        <v>547401.98005000001</v>
      </c>
      <c r="D115" s="323">
        <f t="shared" si="34"/>
        <v>1487547.8950294999</v>
      </c>
      <c r="E115" s="323">
        <f t="shared" si="27"/>
        <v>0</v>
      </c>
      <c r="F115" s="324">
        <f t="shared" si="32"/>
        <v>0</v>
      </c>
      <c r="G115" s="322" t="s">
        <v>107</v>
      </c>
      <c r="H115" s="93"/>
      <c r="I115" s="412">
        <v>1131215.1292999999</v>
      </c>
      <c r="J115" s="413">
        <f t="shared" si="31"/>
        <v>1.3149999999999999</v>
      </c>
      <c r="K115" s="412">
        <v>416275.27</v>
      </c>
      <c r="L115" s="93"/>
      <c r="M115" s="93"/>
    </row>
    <row r="116" spans="1:13" ht="15" hidden="1" customHeight="1">
      <c r="A116" s="322">
        <v>76</v>
      </c>
      <c r="B116" s="322" t="s">
        <v>128</v>
      </c>
      <c r="C116" s="323">
        <f t="shared" si="33"/>
        <v>1123513.2242000001</v>
      </c>
      <c r="D116" s="323">
        <f t="shared" si="34"/>
        <v>3819769.6022959999</v>
      </c>
      <c r="E116" s="323">
        <f t="shared" si="27"/>
        <v>0</v>
      </c>
      <c r="F116" s="324">
        <f t="shared" si="32"/>
        <v>0</v>
      </c>
      <c r="G116" s="322" t="s">
        <v>108</v>
      </c>
      <c r="H116" s="93"/>
      <c r="I116" s="412">
        <v>2904767.7584000002</v>
      </c>
      <c r="J116" s="413">
        <f t="shared" si="31"/>
        <v>1.3149999999999999</v>
      </c>
      <c r="K116" s="412">
        <v>854382.68</v>
      </c>
      <c r="L116" s="93"/>
      <c r="M116" s="93"/>
    </row>
    <row r="117" spans="1:13" ht="15" hidden="1" customHeight="1">
      <c r="A117" s="322">
        <v>77</v>
      </c>
      <c r="B117" s="322" t="s">
        <v>128</v>
      </c>
      <c r="C117" s="323">
        <f t="shared" si="33"/>
        <v>1514308.09335</v>
      </c>
      <c r="D117" s="323">
        <f t="shared" si="34"/>
        <v>2524586.5864145001</v>
      </c>
      <c r="E117" s="323">
        <f t="shared" si="27"/>
        <v>0</v>
      </c>
      <c r="F117" s="324">
        <f t="shared" si="32"/>
        <v>0</v>
      </c>
      <c r="G117" s="322" t="s">
        <v>109</v>
      </c>
      <c r="H117" s="93"/>
      <c r="I117" s="412">
        <v>1919837.7083000001</v>
      </c>
      <c r="J117" s="413">
        <f t="shared" si="31"/>
        <v>1.3149999999999999</v>
      </c>
      <c r="K117" s="412">
        <v>1151565.0900000001</v>
      </c>
      <c r="L117" s="93"/>
      <c r="M117" s="93"/>
    </row>
    <row r="118" spans="1:13" ht="15" hidden="1" customHeight="1">
      <c r="A118" s="322">
        <v>78</v>
      </c>
      <c r="B118" s="322" t="s">
        <v>128</v>
      </c>
      <c r="C118" s="323">
        <f t="shared" si="33"/>
        <v>745226.41149999993</v>
      </c>
      <c r="D118" s="323">
        <f t="shared" si="34"/>
        <v>1628069.4830374999</v>
      </c>
      <c r="E118" s="323">
        <f t="shared" si="27"/>
        <v>0</v>
      </c>
      <c r="F118" s="324">
        <f t="shared" si="32"/>
        <v>0</v>
      </c>
      <c r="G118" s="322" t="s">
        <v>110</v>
      </c>
      <c r="H118" s="93"/>
      <c r="I118" s="412">
        <v>1238075.6525000001</v>
      </c>
      <c r="J118" s="413">
        <f t="shared" si="31"/>
        <v>1.3149999999999999</v>
      </c>
      <c r="K118" s="412">
        <v>566712.1</v>
      </c>
      <c r="L118" s="93"/>
      <c r="M118" s="93"/>
    </row>
    <row r="119" spans="1:13" ht="15" hidden="1" customHeight="1">
      <c r="A119" s="322">
        <v>79</v>
      </c>
      <c r="B119" s="322" t="s">
        <v>128</v>
      </c>
      <c r="C119" s="323">
        <f t="shared" si="33"/>
        <v>411229.60094999999</v>
      </c>
      <c r="D119" s="323">
        <f t="shared" si="34"/>
        <v>912569.81136449997</v>
      </c>
      <c r="E119" s="323">
        <f t="shared" si="27"/>
        <v>0</v>
      </c>
      <c r="F119" s="324">
        <f t="shared" si="32"/>
        <v>0</v>
      </c>
      <c r="G119" s="322" t="s">
        <v>111</v>
      </c>
      <c r="H119" s="93"/>
      <c r="I119" s="412">
        <v>693969.43830000004</v>
      </c>
      <c r="J119" s="413">
        <f t="shared" si="31"/>
        <v>1.3149999999999999</v>
      </c>
      <c r="K119" s="412">
        <v>312722.13</v>
      </c>
      <c r="L119" s="93"/>
      <c r="M119" s="93"/>
    </row>
    <row r="120" spans="1:13" ht="15" hidden="1" customHeight="1">
      <c r="A120" s="322">
        <v>80</v>
      </c>
      <c r="B120" s="322" t="s">
        <v>128</v>
      </c>
      <c r="C120" s="323">
        <f t="shared" si="33"/>
        <v>450962.41800000001</v>
      </c>
      <c r="D120" s="323">
        <f t="shared" si="34"/>
        <v>748970.59522000002</v>
      </c>
      <c r="E120" s="323">
        <f t="shared" si="27"/>
        <v>0</v>
      </c>
      <c r="F120" s="324">
        <f t="shared" si="32"/>
        <v>0</v>
      </c>
      <c r="G120" s="322" t="s">
        <v>112</v>
      </c>
      <c r="H120" s="93"/>
      <c r="I120" s="412">
        <v>569559.38800000004</v>
      </c>
      <c r="J120" s="413">
        <f t="shared" si="31"/>
        <v>1.3149999999999999</v>
      </c>
      <c r="K120" s="412">
        <v>342937.2</v>
      </c>
      <c r="L120" s="93"/>
      <c r="M120" s="93"/>
    </row>
    <row r="121" spans="1:13" ht="15" hidden="1" customHeight="1">
      <c r="A121" s="322">
        <v>81</v>
      </c>
      <c r="B121" s="322" t="s">
        <v>128</v>
      </c>
      <c r="C121" s="323">
        <f t="shared" si="33"/>
        <v>1290638.5729999999</v>
      </c>
      <c r="D121" s="323">
        <f t="shared" si="34"/>
        <v>1521169.7245574999</v>
      </c>
      <c r="E121" s="323">
        <f t="shared" si="27"/>
        <v>0</v>
      </c>
      <c r="F121" s="324">
        <f t="shared" si="32"/>
        <v>0</v>
      </c>
      <c r="G121" s="322" t="s">
        <v>113</v>
      </c>
      <c r="H121" s="93"/>
      <c r="I121" s="412">
        <v>1156783.0604999999</v>
      </c>
      <c r="J121" s="413">
        <f t="shared" si="31"/>
        <v>1.3149999999999999</v>
      </c>
      <c r="K121" s="412">
        <v>981474.2</v>
      </c>
      <c r="L121" s="93"/>
      <c r="M121" s="93"/>
    </row>
    <row r="122" spans="1:13" ht="15" hidden="1" customHeight="1">
      <c r="A122" s="322">
        <v>82</v>
      </c>
      <c r="B122" s="322" t="s">
        <v>128</v>
      </c>
      <c r="C122" s="323">
        <f t="shared" si="33"/>
        <v>1032321.7482500001</v>
      </c>
      <c r="D122" s="323">
        <f t="shared" si="34"/>
        <v>1231450.4749425</v>
      </c>
      <c r="E122" s="323">
        <f t="shared" si="27"/>
        <v>0</v>
      </c>
      <c r="F122" s="324">
        <f t="shared" si="32"/>
        <v>0</v>
      </c>
      <c r="G122" s="322" t="s">
        <v>114</v>
      </c>
      <c r="H122" s="93"/>
      <c r="I122" s="412">
        <v>936464.23950000003</v>
      </c>
      <c r="J122" s="413">
        <f t="shared" si="31"/>
        <v>1.3149999999999999</v>
      </c>
      <c r="K122" s="412">
        <v>785035.55</v>
      </c>
      <c r="L122" s="93"/>
      <c r="M122" s="93"/>
    </row>
    <row r="123" spans="1:13" ht="15" hidden="1" customHeight="1">
      <c r="A123" s="322">
        <v>83</v>
      </c>
      <c r="B123" s="322" t="s">
        <v>128</v>
      </c>
      <c r="C123" s="323">
        <f t="shared" si="33"/>
        <v>675722.38895000005</v>
      </c>
      <c r="D123" s="323">
        <f t="shared" si="34"/>
        <v>1507009.5760104998</v>
      </c>
      <c r="E123" s="323">
        <f t="shared" si="27"/>
        <v>0</v>
      </c>
      <c r="F123" s="324">
        <f t="shared" si="32"/>
        <v>0</v>
      </c>
      <c r="G123" s="322" t="s">
        <v>115</v>
      </c>
      <c r="H123" s="93"/>
      <c r="I123" s="412">
        <v>1146014.8866999999</v>
      </c>
      <c r="J123" s="413">
        <f t="shared" si="31"/>
        <v>1.3149999999999999</v>
      </c>
      <c r="K123" s="412">
        <v>513857.33</v>
      </c>
      <c r="L123" s="93"/>
      <c r="M123" s="93"/>
    </row>
    <row r="124" spans="1:13" ht="15" hidden="1" customHeight="1">
      <c r="A124" s="322">
        <v>84</v>
      </c>
      <c r="B124" s="322" t="s">
        <v>128</v>
      </c>
      <c r="C124" s="323">
        <f t="shared" si="33"/>
        <v>1733502.3267999999</v>
      </c>
      <c r="D124" s="323">
        <f t="shared" si="34"/>
        <v>2663629.0667619999</v>
      </c>
      <c r="E124" s="323">
        <f t="shared" si="27"/>
        <v>0</v>
      </c>
      <c r="F124" s="324">
        <f t="shared" si="32"/>
        <v>0</v>
      </c>
      <c r="G124" s="322" t="s">
        <v>116</v>
      </c>
      <c r="H124" s="93"/>
      <c r="I124" s="412">
        <v>2025573.4347999999</v>
      </c>
      <c r="J124" s="413">
        <f t="shared" si="31"/>
        <v>1.3149999999999999</v>
      </c>
      <c r="K124" s="412">
        <v>1318252.72</v>
      </c>
      <c r="L124" s="93"/>
      <c r="M124" s="93"/>
    </row>
    <row r="125" spans="1:13" ht="15" hidden="1" customHeight="1">
      <c r="A125" s="322">
        <v>85</v>
      </c>
      <c r="B125" s="322" t="s">
        <v>90</v>
      </c>
      <c r="C125" s="323">
        <f t="shared" si="33"/>
        <v>265395.21071000001</v>
      </c>
      <c r="D125" s="323">
        <f t="shared" si="34"/>
        <v>659943.43876090006</v>
      </c>
      <c r="E125" s="323">
        <f t="shared" si="27"/>
        <v>0</v>
      </c>
      <c r="F125" s="324">
        <f>F14</f>
        <v>0</v>
      </c>
      <c r="G125" s="322" t="s">
        <v>96</v>
      </c>
      <c r="H125" s="93"/>
      <c r="I125" s="412">
        <v>464421.84289999999</v>
      </c>
      <c r="J125" s="413">
        <f t="shared" ref="J125:J145" si="35">IF(Aplicar_Escala=1,INDEX(Factor_Escala,5),1)</f>
        <v>1.421</v>
      </c>
      <c r="K125" s="412">
        <v>186766.51</v>
      </c>
      <c r="L125" s="93"/>
      <c r="M125" s="93"/>
    </row>
    <row r="126" spans="1:13" ht="15" hidden="1" customHeight="1">
      <c r="A126" s="322">
        <v>86</v>
      </c>
      <c r="B126" s="322" t="s">
        <v>90</v>
      </c>
      <c r="C126" s="323">
        <f t="shared" si="33"/>
        <v>697863.78592000005</v>
      </c>
      <c r="D126" s="323">
        <f t="shared" si="34"/>
        <v>1659299.7856288</v>
      </c>
      <c r="E126" s="323">
        <f t="shared" si="27"/>
        <v>0</v>
      </c>
      <c r="F126" s="324">
        <f t="shared" ref="F126:F145" si="36">F15</f>
        <v>0</v>
      </c>
      <c r="G126" s="322" t="s">
        <v>97</v>
      </c>
      <c r="H126" s="93"/>
      <c r="I126" s="412">
        <v>1167698.6528</v>
      </c>
      <c r="J126" s="413">
        <f t="shared" si="35"/>
        <v>1.421</v>
      </c>
      <c r="K126" s="412">
        <v>491107.52</v>
      </c>
      <c r="L126" s="93"/>
      <c r="M126" s="93"/>
    </row>
    <row r="127" spans="1:13" ht="15" hidden="1" customHeight="1">
      <c r="A127" s="322">
        <v>87</v>
      </c>
      <c r="B127" s="322" t="s">
        <v>90</v>
      </c>
      <c r="C127" s="323">
        <f t="shared" si="33"/>
        <v>347298.90817999997</v>
      </c>
      <c r="D127" s="323">
        <f t="shared" si="34"/>
        <v>1307143.2244738</v>
      </c>
      <c r="E127" s="323">
        <f t="shared" ref="E127:E190" si="37">D127*F127</f>
        <v>0</v>
      </c>
      <c r="F127" s="324">
        <f t="shared" si="36"/>
        <v>0</v>
      </c>
      <c r="G127" s="322" t="s">
        <v>98</v>
      </c>
      <c r="H127" s="93"/>
      <c r="I127" s="412">
        <v>919875.59779999999</v>
      </c>
      <c r="J127" s="413">
        <f t="shared" si="35"/>
        <v>1.421</v>
      </c>
      <c r="K127" s="412">
        <v>244404.58</v>
      </c>
      <c r="L127" s="93"/>
      <c r="M127" s="93"/>
    </row>
    <row r="128" spans="1:13" ht="15" hidden="1" customHeight="1">
      <c r="A128" s="322">
        <v>88</v>
      </c>
      <c r="B128" s="322" t="s">
        <v>90</v>
      </c>
      <c r="C128" s="323">
        <f t="shared" si="33"/>
        <v>37220.650880000001</v>
      </c>
      <c r="D128" s="323">
        <f t="shared" si="34"/>
        <v>93582.037475500008</v>
      </c>
      <c r="E128" s="323">
        <f t="shared" si="37"/>
        <v>0</v>
      </c>
      <c r="F128" s="324">
        <f t="shared" si="36"/>
        <v>0</v>
      </c>
      <c r="G128" s="322" t="s">
        <v>99</v>
      </c>
      <c r="H128" s="93"/>
      <c r="I128" s="412">
        <v>65856.465500000006</v>
      </c>
      <c r="J128" s="413">
        <f t="shared" si="35"/>
        <v>1.421</v>
      </c>
      <c r="K128" s="412">
        <v>26193.279999999999</v>
      </c>
      <c r="L128" s="93"/>
      <c r="M128" s="93"/>
    </row>
    <row r="129" spans="1:13" ht="15" hidden="1" customHeight="1">
      <c r="A129" s="322">
        <v>89</v>
      </c>
      <c r="B129" s="322" t="s">
        <v>90</v>
      </c>
      <c r="C129" s="323">
        <f t="shared" si="33"/>
        <v>199257.40877000001</v>
      </c>
      <c r="D129" s="323">
        <f t="shared" si="34"/>
        <v>548093.46181659994</v>
      </c>
      <c r="E129" s="323">
        <f t="shared" si="37"/>
        <v>0</v>
      </c>
      <c r="F129" s="324">
        <f t="shared" si="36"/>
        <v>0</v>
      </c>
      <c r="G129" s="322" t="s">
        <v>100</v>
      </c>
      <c r="H129" s="93"/>
      <c r="I129" s="412">
        <v>385709.68459999998</v>
      </c>
      <c r="J129" s="413">
        <f t="shared" si="35"/>
        <v>1.421</v>
      </c>
      <c r="K129" s="412">
        <v>140223.37</v>
      </c>
      <c r="L129" s="93"/>
      <c r="M129" s="93"/>
    </row>
    <row r="130" spans="1:13" ht="15" hidden="1" customHeight="1">
      <c r="A130" s="322">
        <v>90</v>
      </c>
      <c r="B130" s="322" t="s">
        <v>90</v>
      </c>
      <c r="C130" s="323">
        <f t="shared" si="33"/>
        <v>647680.65935999993</v>
      </c>
      <c r="D130" s="323">
        <f t="shared" si="34"/>
        <v>1496272.3095229</v>
      </c>
      <c r="E130" s="323">
        <f t="shared" si="37"/>
        <v>0</v>
      </c>
      <c r="F130" s="324">
        <f t="shared" si="36"/>
        <v>0</v>
      </c>
      <c r="G130" s="322" t="s">
        <v>101</v>
      </c>
      <c r="H130" s="93"/>
      <c r="I130" s="412">
        <v>1052971.3648999999</v>
      </c>
      <c r="J130" s="413">
        <f t="shared" si="35"/>
        <v>1.421</v>
      </c>
      <c r="K130" s="412">
        <v>455792.16</v>
      </c>
      <c r="L130" s="93"/>
      <c r="M130" s="93"/>
    </row>
    <row r="131" spans="1:13" ht="15" hidden="1" customHeight="1">
      <c r="A131" s="322">
        <v>91</v>
      </c>
      <c r="B131" s="322" t="s">
        <v>90</v>
      </c>
      <c r="C131" s="323">
        <f t="shared" si="33"/>
        <v>93211.134449999998</v>
      </c>
      <c r="D131" s="323">
        <f t="shared" si="34"/>
        <v>219585.710421</v>
      </c>
      <c r="E131" s="323">
        <f t="shared" si="37"/>
        <v>0</v>
      </c>
      <c r="F131" s="324">
        <f t="shared" si="36"/>
        <v>0</v>
      </c>
      <c r="G131" s="322" t="s">
        <v>102</v>
      </c>
      <c r="H131" s="93"/>
      <c r="I131" s="412">
        <v>154529.00099999999</v>
      </c>
      <c r="J131" s="413">
        <f t="shared" si="35"/>
        <v>1.421</v>
      </c>
      <c r="K131" s="412">
        <v>65595.45</v>
      </c>
      <c r="L131" s="93"/>
      <c r="M131" s="93"/>
    </row>
    <row r="132" spans="1:13" ht="15" hidden="1" customHeight="1">
      <c r="A132" s="322">
        <v>92</v>
      </c>
      <c r="B132" s="322" t="s">
        <v>90</v>
      </c>
      <c r="C132" s="323">
        <f t="shared" si="33"/>
        <v>114795.38553</v>
      </c>
      <c r="D132" s="323">
        <f t="shared" si="34"/>
        <v>385222.55944830005</v>
      </c>
      <c r="E132" s="323">
        <f t="shared" si="37"/>
        <v>0</v>
      </c>
      <c r="F132" s="324">
        <f t="shared" si="36"/>
        <v>0</v>
      </c>
      <c r="G132" s="322" t="s">
        <v>103</v>
      </c>
      <c r="H132" s="93"/>
      <c r="I132" s="412">
        <v>271092.58230000001</v>
      </c>
      <c r="J132" s="413">
        <f t="shared" si="35"/>
        <v>1.421</v>
      </c>
      <c r="K132" s="412">
        <v>80784.929999999993</v>
      </c>
      <c r="L132" s="93"/>
      <c r="M132" s="93"/>
    </row>
    <row r="133" spans="1:13" ht="15" hidden="1" customHeight="1">
      <c r="A133" s="322">
        <v>93</v>
      </c>
      <c r="B133" s="322" t="s">
        <v>90</v>
      </c>
      <c r="C133" s="323">
        <f t="shared" si="33"/>
        <v>217661.93078</v>
      </c>
      <c r="D133" s="323">
        <f t="shared" si="34"/>
        <v>550827.14182859997</v>
      </c>
      <c r="E133" s="323">
        <f t="shared" si="37"/>
        <v>0</v>
      </c>
      <c r="F133" s="324">
        <f t="shared" si="36"/>
        <v>0</v>
      </c>
      <c r="G133" s="322" t="s">
        <v>104</v>
      </c>
      <c r="H133" s="93"/>
      <c r="I133" s="412">
        <v>387633.45659999998</v>
      </c>
      <c r="J133" s="413">
        <f t="shared" si="35"/>
        <v>1.421</v>
      </c>
      <c r="K133" s="412">
        <v>153175.18</v>
      </c>
      <c r="L133" s="93"/>
      <c r="M133" s="93"/>
    </row>
    <row r="134" spans="1:13" ht="15" hidden="1" customHeight="1">
      <c r="A134" s="322">
        <v>94</v>
      </c>
      <c r="B134" s="322" t="s">
        <v>90</v>
      </c>
      <c r="C134" s="323">
        <f t="shared" si="33"/>
        <v>1203904.6077100001</v>
      </c>
      <c r="D134" s="323">
        <f t="shared" si="34"/>
        <v>2664377.4240839002</v>
      </c>
      <c r="E134" s="323">
        <f t="shared" si="37"/>
        <v>0</v>
      </c>
      <c r="F134" s="324">
        <f t="shared" si="36"/>
        <v>0</v>
      </c>
      <c r="G134" s="322" t="s">
        <v>105</v>
      </c>
      <c r="H134" s="93"/>
      <c r="I134" s="412">
        <v>1875001.7058999999</v>
      </c>
      <c r="J134" s="413">
        <f t="shared" si="35"/>
        <v>1.421</v>
      </c>
      <c r="K134" s="412">
        <v>847223.51</v>
      </c>
      <c r="L134" s="93"/>
      <c r="M134" s="93"/>
    </row>
    <row r="135" spans="1:13" ht="15" hidden="1" customHeight="1">
      <c r="A135" s="322">
        <v>95</v>
      </c>
      <c r="B135" s="322" t="s">
        <v>90</v>
      </c>
      <c r="C135" s="323">
        <f t="shared" si="33"/>
        <v>210046.79178</v>
      </c>
      <c r="D135" s="323">
        <f t="shared" si="34"/>
        <v>384471.56421660003</v>
      </c>
      <c r="E135" s="323">
        <f t="shared" si="37"/>
        <v>0</v>
      </c>
      <c r="F135" s="324">
        <f t="shared" si="36"/>
        <v>0</v>
      </c>
      <c r="G135" s="322" t="s">
        <v>106</v>
      </c>
      <c r="H135" s="93"/>
      <c r="I135" s="412">
        <v>270564.0846</v>
      </c>
      <c r="J135" s="413">
        <f t="shared" si="35"/>
        <v>1.421</v>
      </c>
      <c r="K135" s="412">
        <v>147816.18</v>
      </c>
      <c r="L135" s="93"/>
      <c r="M135" s="93"/>
    </row>
    <row r="136" spans="1:13" ht="15" hidden="1" customHeight="1">
      <c r="A136" s="322">
        <v>96</v>
      </c>
      <c r="B136" s="322" t="s">
        <v>90</v>
      </c>
      <c r="C136" s="323">
        <f t="shared" si="33"/>
        <v>492596.37132999999</v>
      </c>
      <c r="D136" s="323">
        <f t="shared" si="34"/>
        <v>883909.50957189989</v>
      </c>
      <c r="E136" s="323">
        <f t="shared" si="37"/>
        <v>0</v>
      </c>
      <c r="F136" s="324">
        <f t="shared" si="36"/>
        <v>0</v>
      </c>
      <c r="G136" s="322" t="s">
        <v>107</v>
      </c>
      <c r="H136" s="93"/>
      <c r="I136" s="412">
        <v>622033.43389999995</v>
      </c>
      <c r="J136" s="413">
        <f t="shared" si="35"/>
        <v>1.421</v>
      </c>
      <c r="K136" s="412">
        <v>346654.73</v>
      </c>
      <c r="L136" s="93"/>
      <c r="M136" s="93"/>
    </row>
    <row r="137" spans="1:13" ht="15" hidden="1" customHeight="1">
      <c r="A137" s="322">
        <v>97</v>
      </c>
      <c r="B137" s="322" t="s">
        <v>90</v>
      </c>
      <c r="C137" s="323">
        <f t="shared" si="33"/>
        <v>1208695.42395</v>
      </c>
      <c r="D137" s="323">
        <f t="shared" si="34"/>
        <v>2280179.8478508</v>
      </c>
      <c r="E137" s="323">
        <f t="shared" si="37"/>
        <v>0</v>
      </c>
      <c r="F137" s="324">
        <f t="shared" si="36"/>
        <v>0</v>
      </c>
      <c r="G137" s="322" t="s">
        <v>108</v>
      </c>
      <c r="H137" s="93"/>
      <c r="I137" s="412">
        <v>1604630.4347999999</v>
      </c>
      <c r="J137" s="413">
        <f t="shared" si="35"/>
        <v>1.421</v>
      </c>
      <c r="K137" s="412">
        <v>850594.95</v>
      </c>
      <c r="L137" s="93"/>
      <c r="M137" s="93"/>
    </row>
    <row r="138" spans="1:13" ht="15" hidden="1" customHeight="1">
      <c r="A138" s="322">
        <v>98</v>
      </c>
      <c r="B138" s="322" t="s">
        <v>90</v>
      </c>
      <c r="C138" s="323">
        <f t="shared" si="33"/>
        <v>2818309.4148300001</v>
      </c>
      <c r="D138" s="323">
        <f t="shared" si="34"/>
        <v>5103250.8732498996</v>
      </c>
      <c r="E138" s="323">
        <f t="shared" si="37"/>
        <v>0</v>
      </c>
      <c r="F138" s="324">
        <f t="shared" si="36"/>
        <v>0</v>
      </c>
      <c r="G138" s="322" t="s">
        <v>109</v>
      </c>
      <c r="H138" s="93"/>
      <c r="I138" s="412">
        <v>3591309.5518999998</v>
      </c>
      <c r="J138" s="413">
        <f t="shared" si="35"/>
        <v>1.421</v>
      </c>
      <c r="K138" s="412">
        <v>1983328.23</v>
      </c>
      <c r="L138" s="93"/>
      <c r="M138" s="93"/>
    </row>
    <row r="139" spans="1:13" ht="15" hidden="1" customHeight="1">
      <c r="A139" s="322">
        <v>99</v>
      </c>
      <c r="B139" s="322" t="s">
        <v>90</v>
      </c>
      <c r="C139" s="323">
        <f t="shared" si="33"/>
        <v>819094.59625000006</v>
      </c>
      <c r="D139" s="323">
        <f t="shared" si="34"/>
        <v>1648676.2448288999</v>
      </c>
      <c r="E139" s="323">
        <f t="shared" si="37"/>
        <v>0</v>
      </c>
      <c r="F139" s="324">
        <f t="shared" si="36"/>
        <v>0</v>
      </c>
      <c r="G139" s="322" t="s">
        <v>110</v>
      </c>
      <c r="H139" s="93"/>
      <c r="I139" s="412">
        <v>1160222.5508999999</v>
      </c>
      <c r="J139" s="413">
        <f t="shared" si="35"/>
        <v>1.421</v>
      </c>
      <c r="K139" s="412">
        <v>576421.25</v>
      </c>
      <c r="L139" s="93"/>
      <c r="M139" s="93"/>
    </row>
    <row r="140" spans="1:13" ht="15" hidden="1" customHeight="1">
      <c r="A140" s="322">
        <v>100</v>
      </c>
      <c r="B140" s="322" t="s">
        <v>90</v>
      </c>
      <c r="C140" s="323">
        <f t="shared" si="33"/>
        <v>1099679.1317399999</v>
      </c>
      <c r="D140" s="323">
        <f t="shared" si="34"/>
        <v>1993602.3583987001</v>
      </c>
      <c r="E140" s="323">
        <f t="shared" si="37"/>
        <v>0</v>
      </c>
      <c r="F140" s="324">
        <f t="shared" si="36"/>
        <v>0</v>
      </c>
      <c r="G140" s="322" t="s">
        <v>111</v>
      </c>
      <c r="H140" s="93"/>
      <c r="I140" s="412">
        <v>1402957.3247</v>
      </c>
      <c r="J140" s="413">
        <f t="shared" si="35"/>
        <v>1.421</v>
      </c>
      <c r="K140" s="412">
        <v>773876.94</v>
      </c>
      <c r="L140" s="93"/>
      <c r="M140" s="93"/>
    </row>
    <row r="141" spans="1:13" ht="15" hidden="1" customHeight="1">
      <c r="A141" s="322">
        <v>101</v>
      </c>
      <c r="B141" s="322" t="s">
        <v>90</v>
      </c>
      <c r="C141" s="323">
        <f t="shared" si="33"/>
        <v>2094588.99923</v>
      </c>
      <c r="D141" s="323">
        <f t="shared" si="34"/>
        <v>3423575.2367523001</v>
      </c>
      <c r="E141" s="323">
        <f t="shared" si="37"/>
        <v>0</v>
      </c>
      <c r="F141" s="324">
        <f t="shared" si="36"/>
        <v>0</v>
      </c>
      <c r="G141" s="322" t="s">
        <v>112</v>
      </c>
      <c r="H141" s="93"/>
      <c r="I141" s="412">
        <v>2409271.8062999998</v>
      </c>
      <c r="J141" s="413">
        <f t="shared" si="35"/>
        <v>1.421</v>
      </c>
      <c r="K141" s="412">
        <v>1474024.63</v>
      </c>
      <c r="L141" s="93"/>
      <c r="M141" s="93"/>
    </row>
    <row r="142" spans="1:13" ht="15" hidden="1" customHeight="1">
      <c r="A142" s="322">
        <v>102</v>
      </c>
      <c r="B142" s="322" t="s">
        <v>90</v>
      </c>
      <c r="C142" s="323">
        <f t="shared" si="33"/>
        <v>2263098.92368</v>
      </c>
      <c r="D142" s="323">
        <f t="shared" si="34"/>
        <v>4149488.4287143</v>
      </c>
      <c r="E142" s="323">
        <f t="shared" si="37"/>
        <v>0</v>
      </c>
      <c r="F142" s="324">
        <f t="shared" si="36"/>
        <v>0</v>
      </c>
      <c r="G142" s="322" t="s">
        <v>113</v>
      </c>
      <c r="H142" s="93"/>
      <c r="I142" s="412">
        <v>2920118.5282999999</v>
      </c>
      <c r="J142" s="413">
        <f t="shared" si="35"/>
        <v>1.421</v>
      </c>
      <c r="K142" s="412">
        <v>1592610.08</v>
      </c>
      <c r="L142" s="93"/>
      <c r="M142" s="93"/>
    </row>
    <row r="143" spans="1:13" ht="15" hidden="1" customHeight="1">
      <c r="A143" s="322">
        <v>103</v>
      </c>
      <c r="B143" s="322" t="s">
        <v>90</v>
      </c>
      <c r="C143" s="323">
        <f t="shared" si="33"/>
        <v>3440001.3483500001</v>
      </c>
      <c r="D143" s="323">
        <f t="shared" si="34"/>
        <v>4866011.3374985</v>
      </c>
      <c r="E143" s="323">
        <f t="shared" si="37"/>
        <v>0</v>
      </c>
      <c r="F143" s="324">
        <f t="shared" si="36"/>
        <v>0</v>
      </c>
      <c r="G143" s="322" t="s">
        <v>114</v>
      </c>
      <c r="H143" s="93"/>
      <c r="I143" s="412">
        <v>3424357.0285</v>
      </c>
      <c r="J143" s="413">
        <f t="shared" si="35"/>
        <v>1.421</v>
      </c>
      <c r="K143" s="412">
        <v>2420831.35</v>
      </c>
      <c r="L143" s="93"/>
      <c r="M143" s="93"/>
    </row>
    <row r="144" spans="1:13" ht="15" hidden="1" customHeight="1">
      <c r="A144" s="322">
        <v>104</v>
      </c>
      <c r="B144" s="322" t="s">
        <v>90</v>
      </c>
      <c r="C144" s="323">
        <f t="shared" si="33"/>
        <v>3399479.55816</v>
      </c>
      <c r="D144" s="323">
        <f t="shared" si="34"/>
        <v>5401747.8478285</v>
      </c>
      <c r="E144" s="323">
        <f t="shared" si="37"/>
        <v>0</v>
      </c>
      <c r="F144" s="324">
        <f t="shared" si="36"/>
        <v>0</v>
      </c>
      <c r="G144" s="322" t="s">
        <v>115</v>
      </c>
      <c r="H144" s="93"/>
      <c r="I144" s="412">
        <v>3801370.7585</v>
      </c>
      <c r="J144" s="413">
        <f t="shared" si="35"/>
        <v>1.421</v>
      </c>
      <c r="K144" s="412">
        <v>2392314.96</v>
      </c>
      <c r="L144" s="93"/>
      <c r="M144" s="93"/>
    </row>
    <row r="145" spans="1:13" ht="15" hidden="1" customHeight="1">
      <c r="A145" s="322">
        <v>105</v>
      </c>
      <c r="B145" s="322" t="s">
        <v>90</v>
      </c>
      <c r="C145" s="323">
        <f t="shared" si="33"/>
        <v>6595928.8815000001</v>
      </c>
      <c r="D145" s="323">
        <f t="shared" si="34"/>
        <v>10302450.4641646</v>
      </c>
      <c r="E145" s="323">
        <f t="shared" si="37"/>
        <v>0</v>
      </c>
      <c r="F145" s="324">
        <f t="shared" si="36"/>
        <v>0</v>
      </c>
      <c r="G145" s="322" t="s">
        <v>116</v>
      </c>
      <c r="H145" s="93"/>
      <c r="I145" s="412">
        <v>7250141.0725999996</v>
      </c>
      <c r="J145" s="413">
        <f t="shared" si="35"/>
        <v>1.421</v>
      </c>
      <c r="K145" s="412">
        <v>4641751.5</v>
      </c>
      <c r="L145" s="93"/>
      <c r="M145" s="93"/>
    </row>
    <row r="146" spans="1:13" ht="15" hidden="1" customHeight="1">
      <c r="A146" s="322">
        <v>106</v>
      </c>
      <c r="B146" s="322" t="s">
        <v>126</v>
      </c>
      <c r="C146" s="323">
        <f t="shared" si="33"/>
        <v>28701.113600000001</v>
      </c>
      <c r="D146" s="323">
        <f t="shared" si="34"/>
        <v>61424.895346400001</v>
      </c>
      <c r="E146" s="323">
        <f t="shared" si="37"/>
        <v>0</v>
      </c>
      <c r="F146" s="324">
        <f>G14</f>
        <v>0</v>
      </c>
      <c r="G146" s="322" t="s">
        <v>96</v>
      </c>
      <c r="H146" s="93"/>
      <c r="I146" s="412">
        <v>50848.423300000002</v>
      </c>
      <c r="J146" s="413">
        <f t="shared" ref="J146:J166" si="38">IF(Aplicar_Escala=1,INDEX(Factor_Escala,6),1)</f>
        <v>1.208</v>
      </c>
      <c r="K146" s="412">
        <v>23759.200000000001</v>
      </c>
      <c r="L146" s="93"/>
      <c r="M146" s="93"/>
    </row>
    <row r="147" spans="1:13" ht="15" hidden="1" customHeight="1">
      <c r="A147" s="322">
        <v>107</v>
      </c>
      <c r="B147" s="322" t="s">
        <v>126</v>
      </c>
      <c r="C147" s="323">
        <f t="shared" si="33"/>
        <v>27506.558640000003</v>
      </c>
      <c r="D147" s="323">
        <f t="shared" si="34"/>
        <v>60019.210495199994</v>
      </c>
      <c r="E147" s="323">
        <f t="shared" si="37"/>
        <v>0</v>
      </c>
      <c r="F147" s="324">
        <f t="shared" ref="F147:F166" si="39">G15</f>
        <v>0</v>
      </c>
      <c r="G147" s="322" t="s">
        <v>97</v>
      </c>
      <c r="H147" s="93"/>
      <c r="I147" s="412">
        <v>49684.776899999997</v>
      </c>
      <c r="J147" s="413">
        <f t="shared" si="38"/>
        <v>1.208</v>
      </c>
      <c r="K147" s="412">
        <v>22770.33</v>
      </c>
      <c r="L147" s="93"/>
      <c r="M147" s="93"/>
    </row>
    <row r="148" spans="1:13" ht="15" hidden="1" customHeight="1">
      <c r="A148" s="322">
        <v>108</v>
      </c>
      <c r="B148" s="322" t="s">
        <v>126</v>
      </c>
      <c r="C148" s="323">
        <f t="shared" si="33"/>
        <v>30131.373519999997</v>
      </c>
      <c r="D148" s="323">
        <f t="shared" si="34"/>
        <v>93683.534276799997</v>
      </c>
      <c r="E148" s="323">
        <f t="shared" si="37"/>
        <v>0</v>
      </c>
      <c r="F148" s="324">
        <f t="shared" si="39"/>
        <v>0</v>
      </c>
      <c r="G148" s="322" t="s">
        <v>98</v>
      </c>
      <c r="H148" s="93"/>
      <c r="I148" s="412">
        <v>77552.594599999997</v>
      </c>
      <c r="J148" s="413">
        <f t="shared" si="38"/>
        <v>1.208</v>
      </c>
      <c r="K148" s="412">
        <v>24943.19</v>
      </c>
      <c r="L148" s="93"/>
      <c r="M148" s="93"/>
    </row>
    <row r="149" spans="1:13" ht="15" hidden="1" customHeight="1">
      <c r="A149" s="322">
        <v>109</v>
      </c>
      <c r="B149" s="322" t="s">
        <v>126</v>
      </c>
      <c r="C149" s="323">
        <f t="shared" si="33"/>
        <v>4646.5961600000001</v>
      </c>
      <c r="D149" s="323">
        <f t="shared" si="34"/>
        <v>10778.081503199999</v>
      </c>
      <c r="E149" s="323">
        <f t="shared" si="37"/>
        <v>0</v>
      </c>
      <c r="F149" s="324">
        <f t="shared" si="39"/>
        <v>0</v>
      </c>
      <c r="G149" s="322" t="s">
        <v>99</v>
      </c>
      <c r="H149" s="93"/>
      <c r="I149" s="412">
        <v>8922.2528999999995</v>
      </c>
      <c r="J149" s="413">
        <f t="shared" si="38"/>
        <v>1.208</v>
      </c>
      <c r="K149" s="412">
        <v>3846.52</v>
      </c>
      <c r="L149" s="93"/>
      <c r="M149" s="93"/>
    </row>
    <row r="150" spans="1:13" ht="15" hidden="1" customHeight="1">
      <c r="A150" s="322">
        <v>110</v>
      </c>
      <c r="B150" s="322" t="s">
        <v>126</v>
      </c>
      <c r="C150" s="323">
        <f t="shared" si="33"/>
        <v>5461.9478399999989</v>
      </c>
      <c r="D150" s="323">
        <f t="shared" si="34"/>
        <v>12162.6121</v>
      </c>
      <c r="E150" s="323">
        <f t="shared" si="37"/>
        <v>0</v>
      </c>
      <c r="F150" s="324">
        <f t="shared" si="39"/>
        <v>0</v>
      </c>
      <c r="G150" s="322" t="s">
        <v>100</v>
      </c>
      <c r="H150" s="93"/>
      <c r="I150" s="412">
        <v>10068.387500000001</v>
      </c>
      <c r="J150" s="413">
        <f t="shared" si="38"/>
        <v>1.208</v>
      </c>
      <c r="K150" s="412">
        <v>4521.4799999999996</v>
      </c>
      <c r="L150" s="93"/>
      <c r="M150" s="93"/>
    </row>
    <row r="151" spans="1:13" ht="15" hidden="1" customHeight="1">
      <c r="A151" s="322">
        <v>111</v>
      </c>
      <c r="B151" s="322" t="s">
        <v>126</v>
      </c>
      <c r="C151" s="323">
        <f t="shared" si="33"/>
        <v>14290.13264</v>
      </c>
      <c r="D151" s="323">
        <f t="shared" si="34"/>
        <v>39460.002519999995</v>
      </c>
      <c r="E151" s="323">
        <f t="shared" si="37"/>
        <v>0</v>
      </c>
      <c r="F151" s="324">
        <f t="shared" si="39"/>
        <v>0</v>
      </c>
      <c r="G151" s="322" t="s">
        <v>101</v>
      </c>
      <c r="H151" s="93"/>
      <c r="I151" s="412">
        <v>32665.564999999999</v>
      </c>
      <c r="J151" s="413">
        <f t="shared" si="38"/>
        <v>1.208</v>
      </c>
      <c r="K151" s="412">
        <v>11829.58</v>
      </c>
      <c r="L151" s="93"/>
      <c r="M151" s="93"/>
    </row>
    <row r="152" spans="1:13" ht="15" hidden="1" customHeight="1">
      <c r="A152" s="322">
        <v>112</v>
      </c>
      <c r="B152" s="322" t="s">
        <v>126</v>
      </c>
      <c r="C152" s="323">
        <f t="shared" si="33"/>
        <v>3978.9587200000001</v>
      </c>
      <c r="D152" s="323">
        <f t="shared" si="34"/>
        <v>8203.0669063999994</v>
      </c>
      <c r="E152" s="323">
        <f t="shared" si="37"/>
        <v>0</v>
      </c>
      <c r="F152" s="324">
        <f t="shared" si="39"/>
        <v>0</v>
      </c>
      <c r="G152" s="322" t="s">
        <v>102</v>
      </c>
      <c r="H152" s="93"/>
      <c r="I152" s="412">
        <v>6790.6183000000001</v>
      </c>
      <c r="J152" s="413">
        <f t="shared" si="38"/>
        <v>1.208</v>
      </c>
      <c r="K152" s="412">
        <v>3293.84</v>
      </c>
      <c r="L152" s="93"/>
      <c r="M152" s="93"/>
    </row>
    <row r="153" spans="1:13" ht="15" hidden="1" customHeight="1">
      <c r="A153" s="322">
        <v>113</v>
      </c>
      <c r="B153" s="322" t="s">
        <v>126</v>
      </c>
      <c r="C153" s="323">
        <f t="shared" si="33"/>
        <v>6231.8908000000001</v>
      </c>
      <c r="D153" s="323">
        <f t="shared" si="34"/>
        <v>14959.616991199999</v>
      </c>
      <c r="E153" s="323">
        <f t="shared" si="37"/>
        <v>0</v>
      </c>
      <c r="F153" s="324">
        <f t="shared" si="39"/>
        <v>0</v>
      </c>
      <c r="G153" s="322" t="s">
        <v>103</v>
      </c>
      <c r="H153" s="93"/>
      <c r="I153" s="412">
        <v>12383.7889</v>
      </c>
      <c r="J153" s="413">
        <f t="shared" si="38"/>
        <v>1.208</v>
      </c>
      <c r="K153" s="412">
        <v>5158.8500000000004</v>
      </c>
      <c r="L153" s="93"/>
      <c r="M153" s="93"/>
    </row>
    <row r="154" spans="1:13" ht="15" hidden="1" customHeight="1">
      <c r="A154" s="322">
        <v>114</v>
      </c>
      <c r="B154" s="322" t="s">
        <v>126</v>
      </c>
      <c r="C154" s="323">
        <f t="shared" si="33"/>
        <v>4132.5196800000003</v>
      </c>
      <c r="D154" s="323">
        <f t="shared" si="34"/>
        <v>9098.7191784000006</v>
      </c>
      <c r="E154" s="323">
        <f t="shared" si="37"/>
        <v>0</v>
      </c>
      <c r="F154" s="324">
        <f t="shared" si="39"/>
        <v>0</v>
      </c>
      <c r="G154" s="322" t="s">
        <v>104</v>
      </c>
      <c r="H154" s="93"/>
      <c r="I154" s="412">
        <v>7532.0523000000003</v>
      </c>
      <c r="J154" s="413">
        <f t="shared" si="38"/>
        <v>1.208</v>
      </c>
      <c r="K154" s="412">
        <v>3420.96</v>
      </c>
      <c r="L154" s="93"/>
      <c r="M154" s="93"/>
    </row>
    <row r="155" spans="1:13" ht="15" hidden="1" customHeight="1">
      <c r="A155" s="322">
        <v>115</v>
      </c>
      <c r="B155" s="322" t="s">
        <v>126</v>
      </c>
      <c r="C155" s="323">
        <f t="shared" si="33"/>
        <v>12460.87032</v>
      </c>
      <c r="D155" s="323">
        <f t="shared" si="34"/>
        <v>39548.605695999999</v>
      </c>
      <c r="E155" s="323">
        <f t="shared" si="37"/>
        <v>0</v>
      </c>
      <c r="F155" s="324">
        <f t="shared" si="39"/>
        <v>0</v>
      </c>
      <c r="G155" s="322" t="s">
        <v>105</v>
      </c>
      <c r="H155" s="93"/>
      <c r="I155" s="412">
        <v>32738.912</v>
      </c>
      <c r="J155" s="413">
        <f t="shared" si="38"/>
        <v>1.208</v>
      </c>
      <c r="K155" s="412">
        <v>10315.290000000001</v>
      </c>
      <c r="L155" s="93"/>
      <c r="M155" s="93"/>
    </row>
    <row r="156" spans="1:13" ht="15" hidden="1" customHeight="1">
      <c r="A156" s="322">
        <v>116</v>
      </c>
      <c r="B156" s="322" t="s">
        <v>126</v>
      </c>
      <c r="C156" s="323">
        <f t="shared" si="33"/>
        <v>2969.5901599999997</v>
      </c>
      <c r="D156" s="323">
        <f t="shared" si="34"/>
        <v>5376.4292919999998</v>
      </c>
      <c r="E156" s="323">
        <f t="shared" si="37"/>
        <v>0</v>
      </c>
      <c r="F156" s="324">
        <f t="shared" si="39"/>
        <v>0</v>
      </c>
      <c r="G156" s="322" t="s">
        <v>106</v>
      </c>
      <c r="H156" s="93"/>
      <c r="I156" s="412">
        <v>4450.6864999999998</v>
      </c>
      <c r="J156" s="413">
        <f t="shared" si="38"/>
        <v>1.208</v>
      </c>
      <c r="K156" s="412">
        <v>2458.27</v>
      </c>
      <c r="L156" s="93"/>
      <c r="M156" s="93"/>
    </row>
    <row r="157" spans="1:13" ht="15" hidden="1" customHeight="1">
      <c r="A157" s="322">
        <v>117</v>
      </c>
      <c r="B157" s="322" t="s">
        <v>126</v>
      </c>
      <c r="C157" s="323">
        <f t="shared" si="33"/>
        <v>14794.78672</v>
      </c>
      <c r="D157" s="323">
        <f t="shared" si="34"/>
        <v>33827.380588</v>
      </c>
      <c r="E157" s="323">
        <f t="shared" si="37"/>
        <v>0</v>
      </c>
      <c r="F157" s="324">
        <f t="shared" si="39"/>
        <v>0</v>
      </c>
      <c r="G157" s="322" t="s">
        <v>107</v>
      </c>
      <c r="H157" s="93"/>
      <c r="I157" s="412">
        <v>28002.798500000001</v>
      </c>
      <c r="J157" s="413">
        <f t="shared" si="38"/>
        <v>1.208</v>
      </c>
      <c r="K157" s="412">
        <v>12247.34</v>
      </c>
      <c r="L157" s="93"/>
      <c r="M157" s="93"/>
    </row>
    <row r="158" spans="1:13" ht="15" hidden="1" customHeight="1">
      <c r="A158" s="322">
        <v>118</v>
      </c>
      <c r="B158" s="322" t="s">
        <v>126</v>
      </c>
      <c r="C158" s="323">
        <f t="shared" si="33"/>
        <v>25370.210640000001</v>
      </c>
      <c r="D158" s="323">
        <f t="shared" si="34"/>
        <v>46302.2680568</v>
      </c>
      <c r="E158" s="323">
        <f t="shared" si="37"/>
        <v>0</v>
      </c>
      <c r="F158" s="324">
        <f t="shared" si="39"/>
        <v>0</v>
      </c>
      <c r="G158" s="322" t="s">
        <v>108</v>
      </c>
      <c r="H158" s="93"/>
      <c r="I158" s="412">
        <v>38329.6921</v>
      </c>
      <c r="J158" s="413">
        <f t="shared" si="38"/>
        <v>1.208</v>
      </c>
      <c r="K158" s="412">
        <v>21001.83</v>
      </c>
      <c r="L158" s="93"/>
      <c r="M158" s="93"/>
    </row>
    <row r="159" spans="1:13" ht="15" hidden="1" customHeight="1">
      <c r="A159" s="322">
        <v>119</v>
      </c>
      <c r="B159" s="322" t="s">
        <v>126</v>
      </c>
      <c r="C159" s="323">
        <f t="shared" si="33"/>
        <v>92114.723280000006</v>
      </c>
      <c r="D159" s="323">
        <f t="shared" si="34"/>
        <v>127650.82143839999</v>
      </c>
      <c r="E159" s="323">
        <f t="shared" si="37"/>
        <v>0</v>
      </c>
      <c r="F159" s="324">
        <f t="shared" si="39"/>
        <v>0</v>
      </c>
      <c r="G159" s="322" t="s">
        <v>109</v>
      </c>
      <c r="H159" s="93"/>
      <c r="I159" s="412">
        <v>105671.2098</v>
      </c>
      <c r="J159" s="413">
        <f t="shared" si="38"/>
        <v>1.208</v>
      </c>
      <c r="K159" s="412">
        <v>76253.91</v>
      </c>
      <c r="L159" s="93"/>
      <c r="M159" s="93"/>
    </row>
    <row r="160" spans="1:13" ht="15" hidden="1" customHeight="1">
      <c r="A160" s="322">
        <v>120</v>
      </c>
      <c r="B160" s="322" t="s">
        <v>126</v>
      </c>
      <c r="C160" s="323">
        <f t="shared" si="33"/>
        <v>16409.278719999998</v>
      </c>
      <c r="D160" s="323">
        <f t="shared" si="34"/>
        <v>43287.907846400005</v>
      </c>
      <c r="E160" s="323">
        <f t="shared" si="37"/>
        <v>0</v>
      </c>
      <c r="F160" s="324">
        <f t="shared" si="39"/>
        <v>0</v>
      </c>
      <c r="G160" s="322" t="s">
        <v>110</v>
      </c>
      <c r="H160" s="93"/>
      <c r="I160" s="412">
        <v>35834.360800000002</v>
      </c>
      <c r="J160" s="413">
        <f t="shared" si="38"/>
        <v>1.208</v>
      </c>
      <c r="K160" s="412">
        <v>13583.84</v>
      </c>
      <c r="L160" s="93"/>
      <c r="M160" s="93"/>
    </row>
    <row r="161" spans="1:13" ht="15" hidden="1" customHeight="1">
      <c r="A161" s="322">
        <v>121</v>
      </c>
      <c r="B161" s="322" t="s">
        <v>126</v>
      </c>
      <c r="C161" s="323">
        <f t="shared" si="33"/>
        <v>16164.719119999998</v>
      </c>
      <c r="D161" s="323">
        <f t="shared" si="34"/>
        <v>38778.683996799999</v>
      </c>
      <c r="E161" s="323">
        <f t="shared" si="37"/>
        <v>0</v>
      </c>
      <c r="F161" s="324">
        <f t="shared" si="39"/>
        <v>0</v>
      </c>
      <c r="G161" s="322" t="s">
        <v>111</v>
      </c>
      <c r="H161" s="93"/>
      <c r="I161" s="412">
        <v>32101.559600000001</v>
      </c>
      <c r="J161" s="413">
        <f t="shared" si="38"/>
        <v>1.208</v>
      </c>
      <c r="K161" s="412">
        <v>13381.39</v>
      </c>
      <c r="L161" s="93"/>
      <c r="M161" s="93"/>
    </row>
    <row r="162" spans="1:13" ht="15" hidden="1" customHeight="1">
      <c r="A162" s="322">
        <v>122</v>
      </c>
      <c r="B162" s="322" t="s">
        <v>126</v>
      </c>
      <c r="C162" s="323">
        <f t="shared" si="33"/>
        <v>24486.474079999996</v>
      </c>
      <c r="D162" s="323">
        <f t="shared" si="34"/>
        <v>52699.528741599999</v>
      </c>
      <c r="E162" s="323">
        <f t="shared" si="37"/>
        <v>0</v>
      </c>
      <c r="F162" s="324">
        <f t="shared" si="39"/>
        <v>0</v>
      </c>
      <c r="G162" s="322" t="s">
        <v>112</v>
      </c>
      <c r="H162" s="93"/>
      <c r="I162" s="412">
        <v>43625.437700000002</v>
      </c>
      <c r="J162" s="413">
        <f t="shared" si="38"/>
        <v>1.208</v>
      </c>
      <c r="K162" s="412">
        <v>20270.259999999998</v>
      </c>
      <c r="L162" s="93"/>
      <c r="M162" s="93"/>
    </row>
    <row r="163" spans="1:13" ht="15" hidden="1" customHeight="1">
      <c r="A163" s="322">
        <v>123</v>
      </c>
      <c r="B163" s="322" t="s">
        <v>126</v>
      </c>
      <c r="C163" s="323">
        <f t="shared" si="33"/>
        <v>22238.108239999998</v>
      </c>
      <c r="D163" s="323">
        <f t="shared" si="34"/>
        <v>36414.3484656</v>
      </c>
      <c r="E163" s="323">
        <f t="shared" si="37"/>
        <v>0</v>
      </c>
      <c r="F163" s="324">
        <f t="shared" si="39"/>
        <v>0</v>
      </c>
      <c r="G163" s="322" t="s">
        <v>113</v>
      </c>
      <c r="H163" s="93"/>
      <c r="I163" s="412">
        <v>30144.3282</v>
      </c>
      <c r="J163" s="413">
        <f t="shared" si="38"/>
        <v>1.208</v>
      </c>
      <c r="K163" s="412">
        <v>18409.03</v>
      </c>
      <c r="L163" s="93"/>
      <c r="M163" s="93"/>
    </row>
    <row r="164" spans="1:13" ht="15" hidden="1" customHeight="1">
      <c r="A164" s="322">
        <v>124</v>
      </c>
      <c r="B164" s="322" t="s">
        <v>126</v>
      </c>
      <c r="C164" s="323">
        <f t="shared" si="33"/>
        <v>28834.778799999996</v>
      </c>
      <c r="D164" s="323">
        <f t="shared" si="34"/>
        <v>34255.132542399995</v>
      </c>
      <c r="E164" s="323">
        <f t="shared" si="37"/>
        <v>0</v>
      </c>
      <c r="F164" s="324">
        <f t="shared" si="39"/>
        <v>0</v>
      </c>
      <c r="G164" s="322" t="s">
        <v>114</v>
      </c>
      <c r="H164" s="93"/>
      <c r="I164" s="412">
        <v>28356.897799999999</v>
      </c>
      <c r="J164" s="413">
        <f t="shared" si="38"/>
        <v>1.208</v>
      </c>
      <c r="K164" s="412">
        <v>23869.85</v>
      </c>
      <c r="L164" s="93"/>
      <c r="M164" s="93"/>
    </row>
    <row r="165" spans="1:13" ht="15" hidden="1" customHeight="1">
      <c r="A165" s="322">
        <v>125</v>
      </c>
      <c r="B165" s="322" t="s">
        <v>126</v>
      </c>
      <c r="C165" s="323">
        <f t="shared" si="33"/>
        <v>31263.486959999998</v>
      </c>
      <c r="D165" s="323">
        <f t="shared" si="34"/>
        <v>46607.580392799995</v>
      </c>
      <c r="E165" s="323">
        <f t="shared" si="37"/>
        <v>0</v>
      </c>
      <c r="F165" s="324">
        <f t="shared" si="39"/>
        <v>0</v>
      </c>
      <c r="G165" s="322" t="s">
        <v>115</v>
      </c>
      <c r="H165" s="93"/>
      <c r="I165" s="412">
        <v>38582.434099999999</v>
      </c>
      <c r="J165" s="413">
        <f t="shared" si="38"/>
        <v>1.208</v>
      </c>
      <c r="K165" s="412">
        <v>25880.37</v>
      </c>
      <c r="L165" s="93"/>
      <c r="M165" s="93"/>
    </row>
    <row r="166" spans="1:13" ht="15" hidden="1" customHeight="1">
      <c r="A166" s="322">
        <v>126</v>
      </c>
      <c r="B166" s="322" t="s">
        <v>126</v>
      </c>
      <c r="C166" s="323">
        <f t="shared" si="33"/>
        <v>124355.85672</v>
      </c>
      <c r="D166" s="323">
        <f t="shared" si="34"/>
        <v>168638.17893199998</v>
      </c>
      <c r="E166" s="323">
        <f t="shared" si="37"/>
        <v>0</v>
      </c>
      <c r="F166" s="324">
        <f t="shared" si="39"/>
        <v>0</v>
      </c>
      <c r="G166" s="322" t="s">
        <v>116</v>
      </c>
      <c r="H166" s="93"/>
      <c r="I166" s="412">
        <v>139601.1415</v>
      </c>
      <c r="J166" s="413">
        <f t="shared" si="38"/>
        <v>1.208</v>
      </c>
      <c r="K166" s="412">
        <v>102943.59</v>
      </c>
      <c r="L166" s="93"/>
      <c r="M166" s="93"/>
    </row>
    <row r="167" spans="1:13" ht="15" hidden="1" customHeight="1">
      <c r="A167" s="322">
        <v>127</v>
      </c>
      <c r="B167" s="322" t="s">
        <v>130</v>
      </c>
      <c r="C167" s="323">
        <f t="shared" si="33"/>
        <v>765788.75971999997</v>
      </c>
      <c r="D167" s="323">
        <f t="shared" si="34"/>
        <v>1077842.5347788001</v>
      </c>
      <c r="E167" s="323">
        <f t="shared" si="37"/>
        <v>0</v>
      </c>
      <c r="F167" s="324">
        <f>H14</f>
        <v>0</v>
      </c>
      <c r="G167" s="322" t="s">
        <v>96</v>
      </c>
      <c r="H167" s="93"/>
      <c r="I167" s="412">
        <v>972782.07109999994</v>
      </c>
      <c r="J167" s="413">
        <f t="shared" ref="J167:J187" si="40">IF(Aplicar_Escala=1,INDEX(Factor_Escala,7),1)</f>
        <v>1.1080000000000001</v>
      </c>
      <c r="K167" s="412">
        <v>691145.09</v>
      </c>
      <c r="L167" s="93"/>
      <c r="M167" s="93"/>
    </row>
    <row r="168" spans="1:13" ht="15" hidden="1" customHeight="1">
      <c r="A168" s="322">
        <v>128</v>
      </c>
      <c r="B168" s="322" t="s">
        <v>130</v>
      </c>
      <c r="C168" s="323">
        <f t="shared" si="33"/>
        <v>776774.49108000007</v>
      </c>
      <c r="D168" s="323">
        <f t="shared" si="34"/>
        <v>1337726.7896516002</v>
      </c>
      <c r="E168" s="323">
        <f t="shared" si="37"/>
        <v>0</v>
      </c>
      <c r="F168" s="324">
        <f t="shared" ref="F168:F187" si="41">H15</f>
        <v>0</v>
      </c>
      <c r="G168" s="322" t="s">
        <v>97</v>
      </c>
      <c r="H168" s="93"/>
      <c r="I168" s="412">
        <v>1207334.6477000001</v>
      </c>
      <c r="J168" s="413">
        <f t="shared" si="40"/>
        <v>1.1080000000000001</v>
      </c>
      <c r="K168" s="412">
        <v>701060.01</v>
      </c>
      <c r="L168" s="93"/>
      <c r="M168" s="93"/>
    </row>
    <row r="169" spans="1:13" ht="15" hidden="1" customHeight="1">
      <c r="A169" s="322">
        <v>129</v>
      </c>
      <c r="B169" s="322" t="s">
        <v>130</v>
      </c>
      <c r="C169" s="323">
        <f t="shared" si="33"/>
        <v>308055.87716000003</v>
      </c>
      <c r="D169" s="323">
        <f t="shared" si="34"/>
        <v>1042321.3847112</v>
      </c>
      <c r="E169" s="323">
        <f t="shared" si="37"/>
        <v>0</v>
      </c>
      <c r="F169" s="324">
        <f t="shared" si="41"/>
        <v>0</v>
      </c>
      <c r="G169" s="322" t="s">
        <v>98</v>
      </c>
      <c r="H169" s="93"/>
      <c r="I169" s="412">
        <v>940723.27139999997</v>
      </c>
      <c r="J169" s="413">
        <f t="shared" si="40"/>
        <v>1.1080000000000001</v>
      </c>
      <c r="K169" s="412">
        <v>278028.77</v>
      </c>
      <c r="L169" s="93"/>
      <c r="M169" s="93"/>
    </row>
    <row r="170" spans="1:13" ht="15" hidden="1" customHeight="1">
      <c r="A170" s="322">
        <v>130</v>
      </c>
      <c r="B170" s="322" t="s">
        <v>130</v>
      </c>
      <c r="C170" s="323">
        <f t="shared" ref="C170:C233" si="42">K170*J170</f>
        <v>112006.31284</v>
      </c>
      <c r="D170" s="323">
        <f t="shared" ref="D170:D233" si="43">I170*J170</f>
        <v>375128.75998240005</v>
      </c>
      <c r="E170" s="323">
        <f t="shared" si="37"/>
        <v>0</v>
      </c>
      <c r="F170" s="324">
        <f t="shared" si="41"/>
        <v>0</v>
      </c>
      <c r="G170" s="322" t="s">
        <v>99</v>
      </c>
      <c r="H170" s="93"/>
      <c r="I170" s="412">
        <v>338563.8628</v>
      </c>
      <c r="J170" s="413">
        <f t="shared" si="40"/>
        <v>1.1080000000000001</v>
      </c>
      <c r="K170" s="412">
        <v>101088.73</v>
      </c>
      <c r="L170" s="93"/>
      <c r="M170" s="93"/>
    </row>
    <row r="171" spans="1:13" ht="15" hidden="1" customHeight="1">
      <c r="A171" s="322">
        <v>131</v>
      </c>
      <c r="B171" s="322" t="s">
        <v>130</v>
      </c>
      <c r="C171" s="323">
        <f t="shared" si="42"/>
        <v>118484.4232</v>
      </c>
      <c r="D171" s="323">
        <f t="shared" si="43"/>
        <v>318246.96033800003</v>
      </c>
      <c r="E171" s="323">
        <f t="shared" si="37"/>
        <v>0</v>
      </c>
      <c r="F171" s="324">
        <f t="shared" si="41"/>
        <v>0</v>
      </c>
      <c r="G171" s="322" t="s">
        <v>100</v>
      </c>
      <c r="H171" s="93"/>
      <c r="I171" s="412">
        <v>287226.49849999999</v>
      </c>
      <c r="J171" s="413">
        <f t="shared" si="40"/>
        <v>1.1080000000000001</v>
      </c>
      <c r="K171" s="412">
        <v>106935.4</v>
      </c>
      <c r="L171" s="93"/>
      <c r="M171" s="93"/>
    </row>
    <row r="172" spans="1:13" ht="15" hidden="1" customHeight="1">
      <c r="A172" s="322">
        <v>132</v>
      </c>
      <c r="B172" s="322" t="s">
        <v>130</v>
      </c>
      <c r="C172" s="323">
        <f t="shared" si="42"/>
        <v>428559.16500000004</v>
      </c>
      <c r="D172" s="323">
        <f t="shared" si="43"/>
        <v>1201991.1228964</v>
      </c>
      <c r="E172" s="323">
        <f t="shared" si="37"/>
        <v>0</v>
      </c>
      <c r="F172" s="324">
        <f t="shared" si="41"/>
        <v>0</v>
      </c>
      <c r="G172" s="322" t="s">
        <v>101</v>
      </c>
      <c r="H172" s="93"/>
      <c r="I172" s="412">
        <v>1084829.5333</v>
      </c>
      <c r="J172" s="413">
        <f t="shared" si="40"/>
        <v>1.1080000000000001</v>
      </c>
      <c r="K172" s="412">
        <v>386786.25</v>
      </c>
      <c r="L172" s="93"/>
      <c r="M172" s="93"/>
    </row>
    <row r="173" spans="1:13" ht="15" hidden="1" customHeight="1">
      <c r="A173" s="322">
        <v>133</v>
      </c>
      <c r="B173" s="322" t="s">
        <v>130</v>
      </c>
      <c r="C173" s="323">
        <f t="shared" si="42"/>
        <v>91077.843760000003</v>
      </c>
      <c r="D173" s="323">
        <f t="shared" si="43"/>
        <v>223623.24412080002</v>
      </c>
      <c r="E173" s="323">
        <f t="shared" si="37"/>
        <v>0</v>
      </c>
      <c r="F173" s="324">
        <f t="shared" si="41"/>
        <v>0</v>
      </c>
      <c r="G173" s="322" t="s">
        <v>102</v>
      </c>
      <c r="H173" s="93"/>
      <c r="I173" s="412">
        <v>201826.03260000001</v>
      </c>
      <c r="J173" s="413">
        <f t="shared" si="40"/>
        <v>1.1080000000000001</v>
      </c>
      <c r="K173" s="412">
        <v>82200.22</v>
      </c>
      <c r="L173" s="93"/>
      <c r="M173" s="93"/>
    </row>
    <row r="174" spans="1:13" ht="15" hidden="1" customHeight="1">
      <c r="A174" s="322">
        <v>134</v>
      </c>
      <c r="B174" s="322" t="s">
        <v>130</v>
      </c>
      <c r="C174" s="323">
        <f t="shared" si="42"/>
        <v>180473.68812000004</v>
      </c>
      <c r="D174" s="323">
        <f t="shared" si="43"/>
        <v>763371.94369480002</v>
      </c>
      <c r="E174" s="323">
        <f t="shared" si="37"/>
        <v>0</v>
      </c>
      <c r="F174" s="324">
        <f t="shared" si="41"/>
        <v>0</v>
      </c>
      <c r="G174" s="322" t="s">
        <v>103</v>
      </c>
      <c r="H174" s="93"/>
      <c r="I174" s="412">
        <v>688963.84809999994</v>
      </c>
      <c r="J174" s="413">
        <f t="shared" si="40"/>
        <v>1.1080000000000001</v>
      </c>
      <c r="K174" s="412">
        <v>162882.39000000001</v>
      </c>
      <c r="L174" s="93"/>
      <c r="M174" s="93"/>
    </row>
    <row r="175" spans="1:13" ht="15" hidden="1" customHeight="1">
      <c r="A175" s="322">
        <v>135</v>
      </c>
      <c r="B175" s="322" t="s">
        <v>130</v>
      </c>
      <c r="C175" s="323">
        <f t="shared" si="42"/>
        <v>129036.2396</v>
      </c>
      <c r="D175" s="323">
        <f t="shared" si="43"/>
        <v>332377.40965280001</v>
      </c>
      <c r="E175" s="323">
        <f t="shared" si="37"/>
        <v>0</v>
      </c>
      <c r="F175" s="324">
        <f t="shared" si="41"/>
        <v>0</v>
      </c>
      <c r="G175" s="322" t="s">
        <v>104</v>
      </c>
      <c r="H175" s="93"/>
      <c r="I175" s="412">
        <v>299979.6116</v>
      </c>
      <c r="J175" s="413">
        <f t="shared" si="40"/>
        <v>1.1080000000000001</v>
      </c>
      <c r="K175" s="412">
        <v>116458.7</v>
      </c>
      <c r="L175" s="93"/>
      <c r="M175" s="93"/>
    </row>
    <row r="176" spans="1:13" ht="15" hidden="1" customHeight="1">
      <c r="A176" s="322">
        <v>136</v>
      </c>
      <c r="B176" s="322" t="s">
        <v>130</v>
      </c>
      <c r="C176" s="323">
        <f t="shared" si="42"/>
        <v>929751.16480000003</v>
      </c>
      <c r="D176" s="323">
        <f t="shared" si="43"/>
        <v>2703409.9113360001</v>
      </c>
      <c r="E176" s="323">
        <f t="shared" si="37"/>
        <v>0</v>
      </c>
      <c r="F176" s="324">
        <f t="shared" si="41"/>
        <v>0</v>
      </c>
      <c r="G176" s="322" t="s">
        <v>105</v>
      </c>
      <c r="H176" s="93"/>
      <c r="I176" s="412">
        <v>2439900.642</v>
      </c>
      <c r="J176" s="413">
        <f t="shared" si="40"/>
        <v>1.1080000000000001</v>
      </c>
      <c r="K176" s="412">
        <v>839125.6</v>
      </c>
      <c r="L176" s="93"/>
      <c r="M176" s="93"/>
    </row>
    <row r="177" spans="1:13" ht="15" hidden="1" customHeight="1">
      <c r="A177" s="322">
        <v>137</v>
      </c>
      <c r="B177" s="322" t="s">
        <v>130</v>
      </c>
      <c r="C177" s="323">
        <f t="shared" si="42"/>
        <v>147966.15368000002</v>
      </c>
      <c r="D177" s="323">
        <f t="shared" si="43"/>
        <v>381272.52746440005</v>
      </c>
      <c r="E177" s="323">
        <f t="shared" si="37"/>
        <v>0</v>
      </c>
      <c r="F177" s="324">
        <f t="shared" si="41"/>
        <v>0</v>
      </c>
      <c r="G177" s="322" t="s">
        <v>106</v>
      </c>
      <c r="H177" s="93"/>
      <c r="I177" s="412">
        <v>344108.77929999999</v>
      </c>
      <c r="J177" s="413">
        <f t="shared" si="40"/>
        <v>1.1080000000000001</v>
      </c>
      <c r="K177" s="412">
        <v>133543.46</v>
      </c>
      <c r="L177" s="93"/>
      <c r="M177" s="93"/>
    </row>
    <row r="178" spans="1:13" ht="15" hidden="1" customHeight="1">
      <c r="A178" s="322">
        <v>138</v>
      </c>
      <c r="B178" s="322" t="s">
        <v>130</v>
      </c>
      <c r="C178" s="323">
        <f t="shared" si="42"/>
        <v>400519.95079999999</v>
      </c>
      <c r="D178" s="323">
        <f t="shared" si="43"/>
        <v>799145.84097200003</v>
      </c>
      <c r="E178" s="323">
        <f t="shared" si="37"/>
        <v>0</v>
      </c>
      <c r="F178" s="324">
        <f t="shared" si="41"/>
        <v>0</v>
      </c>
      <c r="G178" s="322" t="s">
        <v>107</v>
      </c>
      <c r="H178" s="93"/>
      <c r="I178" s="412">
        <v>721250.75899999996</v>
      </c>
      <c r="J178" s="413">
        <f t="shared" si="40"/>
        <v>1.1080000000000001</v>
      </c>
      <c r="K178" s="412">
        <v>361480.1</v>
      </c>
      <c r="L178" s="93"/>
      <c r="M178" s="93"/>
    </row>
    <row r="179" spans="1:13" ht="15" hidden="1" customHeight="1">
      <c r="A179" s="322">
        <v>139</v>
      </c>
      <c r="B179" s="322" t="s">
        <v>130</v>
      </c>
      <c r="C179" s="323">
        <f t="shared" si="42"/>
        <v>862347.39196000004</v>
      </c>
      <c r="D179" s="323">
        <f t="shared" si="43"/>
        <v>2047780.0107400003</v>
      </c>
      <c r="E179" s="323">
        <f t="shared" si="37"/>
        <v>0</v>
      </c>
      <c r="F179" s="324">
        <f t="shared" si="41"/>
        <v>0</v>
      </c>
      <c r="G179" s="322" t="s">
        <v>108</v>
      </c>
      <c r="H179" s="93"/>
      <c r="I179" s="412">
        <v>1848176.905</v>
      </c>
      <c r="J179" s="413">
        <f t="shared" si="40"/>
        <v>1.1080000000000001</v>
      </c>
      <c r="K179" s="412">
        <v>778291.87</v>
      </c>
      <c r="L179" s="93"/>
      <c r="M179" s="93"/>
    </row>
    <row r="180" spans="1:13" ht="15" hidden="1" customHeight="1">
      <c r="A180" s="322">
        <v>140</v>
      </c>
      <c r="B180" s="322" t="s">
        <v>130</v>
      </c>
      <c r="C180" s="323">
        <f t="shared" si="42"/>
        <v>1439406.8331200001</v>
      </c>
      <c r="D180" s="323">
        <f t="shared" si="43"/>
        <v>2255952.4391748002</v>
      </c>
      <c r="E180" s="323">
        <f t="shared" si="37"/>
        <v>0</v>
      </c>
      <c r="F180" s="324">
        <f t="shared" si="41"/>
        <v>0</v>
      </c>
      <c r="G180" s="322" t="s">
        <v>109</v>
      </c>
      <c r="H180" s="93"/>
      <c r="I180" s="412">
        <v>2036058.1580999999</v>
      </c>
      <c r="J180" s="413">
        <f t="shared" si="40"/>
        <v>1.1080000000000001</v>
      </c>
      <c r="K180" s="412">
        <v>1299103.6399999999</v>
      </c>
      <c r="L180" s="93"/>
      <c r="M180" s="93"/>
    </row>
    <row r="181" spans="1:13" ht="15" hidden="1" customHeight="1">
      <c r="A181" s="322">
        <v>141</v>
      </c>
      <c r="B181" s="322" t="s">
        <v>130</v>
      </c>
      <c r="C181" s="323">
        <f t="shared" si="42"/>
        <v>585552.11712000007</v>
      </c>
      <c r="D181" s="323">
        <f t="shared" si="43"/>
        <v>1079300.7346880001</v>
      </c>
      <c r="E181" s="323">
        <f t="shared" si="37"/>
        <v>0</v>
      </c>
      <c r="F181" s="324">
        <f t="shared" si="41"/>
        <v>0</v>
      </c>
      <c r="G181" s="322" t="s">
        <v>110</v>
      </c>
      <c r="H181" s="93"/>
      <c r="I181" s="412">
        <v>974098.13600000006</v>
      </c>
      <c r="J181" s="413">
        <f t="shared" si="40"/>
        <v>1.1080000000000001</v>
      </c>
      <c r="K181" s="412">
        <v>528476.64</v>
      </c>
      <c r="L181" s="93"/>
      <c r="M181" s="93"/>
    </row>
    <row r="182" spans="1:13" ht="15" hidden="1" customHeight="1">
      <c r="A182" s="322">
        <v>142</v>
      </c>
      <c r="B182" s="322" t="s">
        <v>130</v>
      </c>
      <c r="C182" s="323">
        <f t="shared" si="42"/>
        <v>456590.58996000001</v>
      </c>
      <c r="D182" s="323">
        <f t="shared" si="43"/>
        <v>1110183.0933972001</v>
      </c>
      <c r="E182" s="323">
        <f t="shared" si="37"/>
        <v>0</v>
      </c>
      <c r="F182" s="324">
        <f t="shared" si="41"/>
        <v>0</v>
      </c>
      <c r="G182" s="322" t="s">
        <v>111</v>
      </c>
      <c r="H182" s="93"/>
      <c r="I182" s="412">
        <v>1001970.3009</v>
      </c>
      <c r="J182" s="413">
        <f t="shared" si="40"/>
        <v>1.1080000000000001</v>
      </c>
      <c r="K182" s="412">
        <v>412085.37</v>
      </c>
      <c r="L182" s="93"/>
      <c r="M182" s="93"/>
    </row>
    <row r="183" spans="1:13" ht="15" hidden="1" customHeight="1">
      <c r="A183" s="322">
        <v>143</v>
      </c>
      <c r="B183" s="322" t="s">
        <v>130</v>
      </c>
      <c r="C183" s="323">
        <f t="shared" si="42"/>
        <v>657717.34268</v>
      </c>
      <c r="D183" s="323">
        <f t="shared" si="43"/>
        <v>1229061.3042292001</v>
      </c>
      <c r="E183" s="323">
        <f t="shared" si="37"/>
        <v>0</v>
      </c>
      <c r="F183" s="324">
        <f t="shared" si="41"/>
        <v>0</v>
      </c>
      <c r="G183" s="322" t="s">
        <v>112</v>
      </c>
      <c r="H183" s="93"/>
      <c r="I183" s="412">
        <v>1109261.1048999999</v>
      </c>
      <c r="J183" s="413">
        <f t="shared" si="40"/>
        <v>1.1080000000000001</v>
      </c>
      <c r="K183" s="412">
        <v>593607.71</v>
      </c>
      <c r="L183" s="93"/>
      <c r="M183" s="93"/>
    </row>
    <row r="184" spans="1:13" ht="15" hidden="1" customHeight="1">
      <c r="A184" s="322">
        <v>144</v>
      </c>
      <c r="B184" s="322" t="s">
        <v>130</v>
      </c>
      <c r="C184" s="323">
        <f t="shared" si="42"/>
        <v>670573.94312000007</v>
      </c>
      <c r="D184" s="323">
        <f t="shared" si="43"/>
        <v>993849.78106360009</v>
      </c>
      <c r="E184" s="323">
        <f t="shared" si="37"/>
        <v>0</v>
      </c>
      <c r="F184" s="324">
        <f t="shared" si="41"/>
        <v>0</v>
      </c>
      <c r="G184" s="322" t="s">
        <v>113</v>
      </c>
      <c r="H184" s="93"/>
      <c r="I184" s="412">
        <v>896976.33669999999</v>
      </c>
      <c r="J184" s="413">
        <f t="shared" si="40"/>
        <v>1.1080000000000001</v>
      </c>
      <c r="K184" s="412">
        <v>605211.14</v>
      </c>
      <c r="L184" s="93"/>
      <c r="M184" s="93"/>
    </row>
    <row r="185" spans="1:13" ht="15" hidden="1" customHeight="1">
      <c r="A185" s="322">
        <v>145</v>
      </c>
      <c r="B185" s="322" t="s">
        <v>130</v>
      </c>
      <c r="C185" s="323">
        <f t="shared" si="42"/>
        <v>1184833.152</v>
      </c>
      <c r="D185" s="323">
        <f t="shared" si="43"/>
        <v>1453462.0794832001</v>
      </c>
      <c r="E185" s="323">
        <f t="shared" si="37"/>
        <v>0</v>
      </c>
      <c r="F185" s="324">
        <f t="shared" si="41"/>
        <v>0</v>
      </c>
      <c r="G185" s="322" t="s">
        <v>114</v>
      </c>
      <c r="H185" s="93"/>
      <c r="I185" s="412">
        <v>1311788.8803999999</v>
      </c>
      <c r="J185" s="413">
        <f t="shared" si="40"/>
        <v>1.1080000000000001</v>
      </c>
      <c r="K185" s="412">
        <v>1069344</v>
      </c>
      <c r="L185" s="93"/>
      <c r="M185" s="93"/>
    </row>
    <row r="186" spans="1:13" ht="15" hidden="1" customHeight="1">
      <c r="A186" s="322">
        <v>146</v>
      </c>
      <c r="B186" s="322" t="s">
        <v>130</v>
      </c>
      <c r="C186" s="323">
        <f t="shared" si="42"/>
        <v>860596.00959999999</v>
      </c>
      <c r="D186" s="323">
        <f t="shared" si="43"/>
        <v>1386974.9480628001</v>
      </c>
      <c r="E186" s="323">
        <f t="shared" si="37"/>
        <v>0</v>
      </c>
      <c r="F186" s="324">
        <f t="shared" si="41"/>
        <v>0</v>
      </c>
      <c r="G186" s="322" t="s">
        <v>115</v>
      </c>
      <c r="H186" s="93"/>
      <c r="I186" s="412">
        <v>1251782.4441</v>
      </c>
      <c r="J186" s="413">
        <f t="shared" si="40"/>
        <v>1.1080000000000001</v>
      </c>
      <c r="K186" s="412">
        <v>776711.2</v>
      </c>
      <c r="L186" s="93"/>
      <c r="M186" s="93"/>
    </row>
    <row r="187" spans="1:13" ht="15" hidden="1" customHeight="1">
      <c r="A187" s="322">
        <v>147</v>
      </c>
      <c r="B187" s="322" t="s">
        <v>130</v>
      </c>
      <c r="C187" s="323">
        <f t="shared" si="42"/>
        <v>2138449.1410000003</v>
      </c>
      <c r="D187" s="323">
        <f t="shared" si="43"/>
        <v>2956621.8584616003</v>
      </c>
      <c r="E187" s="323">
        <f t="shared" si="37"/>
        <v>0</v>
      </c>
      <c r="F187" s="324">
        <f t="shared" si="41"/>
        <v>0</v>
      </c>
      <c r="G187" s="322" t="s">
        <v>116</v>
      </c>
      <c r="H187" s="93"/>
      <c r="I187" s="412">
        <v>2668431.2801999999</v>
      </c>
      <c r="J187" s="413">
        <f t="shared" si="40"/>
        <v>1.1080000000000001</v>
      </c>
      <c r="K187" s="412">
        <v>1930008.25</v>
      </c>
      <c r="L187" s="93"/>
      <c r="M187" s="93"/>
    </row>
    <row r="188" spans="1:13" ht="15" hidden="1" customHeight="1">
      <c r="A188" s="322">
        <v>148</v>
      </c>
      <c r="B188" s="322" t="s">
        <v>92</v>
      </c>
      <c r="C188" s="323">
        <f t="shared" si="42"/>
        <v>151602.9375</v>
      </c>
      <c r="D188" s="323">
        <f t="shared" si="43"/>
        <v>245592.14449999999</v>
      </c>
      <c r="E188" s="323">
        <f t="shared" si="37"/>
        <v>0</v>
      </c>
      <c r="F188" s="324">
        <f>I14</f>
        <v>0</v>
      </c>
      <c r="G188" s="322" t="s">
        <v>96</v>
      </c>
      <c r="H188" s="93"/>
      <c r="I188" s="412">
        <v>196473.7156</v>
      </c>
      <c r="J188" s="413">
        <f t="shared" ref="J188:J208" si="44">IF(Aplicar_Escala=1,INDEX(Factor_Escala,8),1)</f>
        <v>1.25</v>
      </c>
      <c r="K188" s="412">
        <v>121282.35</v>
      </c>
      <c r="L188" s="93"/>
      <c r="M188" s="93"/>
    </row>
    <row r="189" spans="1:13" ht="15" hidden="1" customHeight="1">
      <c r="A189" s="322">
        <v>149</v>
      </c>
      <c r="B189" s="322" t="s">
        <v>92</v>
      </c>
      <c r="C189" s="323">
        <f t="shared" si="42"/>
        <v>214820.05000000002</v>
      </c>
      <c r="D189" s="323">
        <f t="shared" si="43"/>
        <v>422731.64512499998</v>
      </c>
      <c r="E189" s="323">
        <f t="shared" si="37"/>
        <v>0</v>
      </c>
      <c r="F189" s="324">
        <f t="shared" ref="F189:F208" si="45">I15</f>
        <v>0</v>
      </c>
      <c r="G189" s="322" t="s">
        <v>97</v>
      </c>
      <c r="H189" s="93"/>
      <c r="I189" s="412">
        <v>338185.3161</v>
      </c>
      <c r="J189" s="413">
        <f t="shared" si="44"/>
        <v>1.25</v>
      </c>
      <c r="K189" s="412">
        <v>171856.04</v>
      </c>
      <c r="L189" s="93"/>
      <c r="M189" s="93"/>
    </row>
    <row r="190" spans="1:13" ht="15" hidden="1" customHeight="1">
      <c r="A190" s="322">
        <v>150</v>
      </c>
      <c r="B190" s="322" t="s">
        <v>92</v>
      </c>
      <c r="C190" s="323">
        <f t="shared" si="42"/>
        <v>149684.58749999999</v>
      </c>
      <c r="D190" s="323">
        <f t="shared" si="43"/>
        <v>417085.24812499998</v>
      </c>
      <c r="E190" s="323">
        <f t="shared" si="37"/>
        <v>0</v>
      </c>
      <c r="F190" s="324">
        <f t="shared" si="45"/>
        <v>0</v>
      </c>
      <c r="G190" s="322" t="s">
        <v>98</v>
      </c>
      <c r="H190" s="93"/>
      <c r="I190" s="412">
        <v>333668.1985</v>
      </c>
      <c r="J190" s="413">
        <f t="shared" si="44"/>
        <v>1.25</v>
      </c>
      <c r="K190" s="412">
        <v>119747.67</v>
      </c>
      <c r="L190" s="93"/>
      <c r="M190" s="93"/>
    </row>
    <row r="191" spans="1:13" ht="15" hidden="1" customHeight="1">
      <c r="A191" s="322">
        <v>151</v>
      </c>
      <c r="B191" s="322" t="s">
        <v>92</v>
      </c>
      <c r="C191" s="323">
        <f t="shared" si="42"/>
        <v>25615.8125</v>
      </c>
      <c r="D191" s="323">
        <f t="shared" si="43"/>
        <v>67982.766749999995</v>
      </c>
      <c r="E191" s="323">
        <f t="shared" ref="E191:E254" si="46">D191*F191</f>
        <v>0</v>
      </c>
      <c r="F191" s="324">
        <f t="shared" si="45"/>
        <v>0</v>
      </c>
      <c r="G191" s="322" t="s">
        <v>99</v>
      </c>
      <c r="H191" s="93"/>
      <c r="I191" s="412">
        <v>54386.213400000001</v>
      </c>
      <c r="J191" s="413">
        <f t="shared" si="44"/>
        <v>1.25</v>
      </c>
      <c r="K191" s="412">
        <v>20492.650000000001</v>
      </c>
      <c r="L191" s="93"/>
      <c r="M191" s="93"/>
    </row>
    <row r="192" spans="1:13" ht="15" hidden="1" customHeight="1">
      <c r="A192" s="322">
        <v>152</v>
      </c>
      <c r="B192" s="322" t="s">
        <v>92</v>
      </c>
      <c r="C192" s="323">
        <f t="shared" si="42"/>
        <v>27694.3125</v>
      </c>
      <c r="D192" s="323">
        <f t="shared" si="43"/>
        <v>75132.219624999998</v>
      </c>
      <c r="E192" s="323">
        <f t="shared" si="46"/>
        <v>0</v>
      </c>
      <c r="F192" s="324">
        <f t="shared" si="45"/>
        <v>0</v>
      </c>
      <c r="G192" s="322" t="s">
        <v>100</v>
      </c>
      <c r="H192" s="93"/>
      <c r="I192" s="412">
        <v>60105.775699999998</v>
      </c>
      <c r="J192" s="413">
        <f t="shared" si="44"/>
        <v>1.25</v>
      </c>
      <c r="K192" s="412">
        <v>22155.45</v>
      </c>
      <c r="L192" s="93"/>
      <c r="M192" s="93"/>
    </row>
    <row r="193" spans="1:13" ht="15" hidden="1" customHeight="1">
      <c r="A193" s="322">
        <v>153</v>
      </c>
      <c r="B193" s="322" t="s">
        <v>92</v>
      </c>
      <c r="C193" s="323">
        <f t="shared" si="42"/>
        <v>60694.85</v>
      </c>
      <c r="D193" s="323">
        <f t="shared" si="43"/>
        <v>186575.767375</v>
      </c>
      <c r="E193" s="323">
        <f t="shared" si="46"/>
        <v>0</v>
      </c>
      <c r="F193" s="324">
        <f t="shared" si="45"/>
        <v>0</v>
      </c>
      <c r="G193" s="322" t="s">
        <v>101</v>
      </c>
      <c r="H193" s="93"/>
      <c r="I193" s="412">
        <v>149260.6139</v>
      </c>
      <c r="J193" s="413">
        <f t="shared" si="44"/>
        <v>1.25</v>
      </c>
      <c r="K193" s="412">
        <v>48555.88</v>
      </c>
      <c r="L193" s="93"/>
      <c r="M193" s="93"/>
    </row>
    <row r="194" spans="1:13" ht="15" hidden="1" customHeight="1">
      <c r="A194" s="322">
        <v>154</v>
      </c>
      <c r="B194" s="322" t="s">
        <v>92</v>
      </c>
      <c r="C194" s="323">
        <f t="shared" si="42"/>
        <v>25111.612500000003</v>
      </c>
      <c r="D194" s="323">
        <f t="shared" si="43"/>
        <v>59831.572125000006</v>
      </c>
      <c r="E194" s="323">
        <f t="shared" si="46"/>
        <v>0</v>
      </c>
      <c r="F194" s="324">
        <f t="shared" si="45"/>
        <v>0</v>
      </c>
      <c r="G194" s="322" t="s">
        <v>102</v>
      </c>
      <c r="H194" s="93"/>
      <c r="I194" s="412">
        <v>47865.257700000002</v>
      </c>
      <c r="J194" s="413">
        <f t="shared" si="44"/>
        <v>1.25</v>
      </c>
      <c r="K194" s="412">
        <v>20089.29</v>
      </c>
      <c r="L194" s="93"/>
      <c r="M194" s="93"/>
    </row>
    <row r="195" spans="1:13" ht="15" hidden="1" customHeight="1">
      <c r="A195" s="322">
        <v>155</v>
      </c>
      <c r="B195" s="322" t="s">
        <v>92</v>
      </c>
      <c r="C195" s="323">
        <f t="shared" si="42"/>
        <v>24686.837500000001</v>
      </c>
      <c r="D195" s="323">
        <f t="shared" si="43"/>
        <v>84404.158874999994</v>
      </c>
      <c r="E195" s="323">
        <f t="shared" si="46"/>
        <v>0</v>
      </c>
      <c r="F195" s="324">
        <f t="shared" si="45"/>
        <v>0</v>
      </c>
      <c r="G195" s="322" t="s">
        <v>103</v>
      </c>
      <c r="H195" s="93"/>
      <c r="I195" s="412">
        <v>67523.327099999995</v>
      </c>
      <c r="J195" s="413">
        <f t="shared" si="44"/>
        <v>1.25</v>
      </c>
      <c r="K195" s="412">
        <v>19749.47</v>
      </c>
      <c r="L195" s="93"/>
      <c r="M195" s="93"/>
    </row>
    <row r="196" spans="1:13" ht="15" hidden="1" customHeight="1">
      <c r="A196" s="322">
        <v>156</v>
      </c>
      <c r="B196" s="322" t="s">
        <v>92</v>
      </c>
      <c r="C196" s="323">
        <f t="shared" si="42"/>
        <v>20198.95</v>
      </c>
      <c r="D196" s="323">
        <f t="shared" si="43"/>
        <v>54749.824875000006</v>
      </c>
      <c r="E196" s="323">
        <f t="shared" si="46"/>
        <v>0</v>
      </c>
      <c r="F196" s="324">
        <f t="shared" si="45"/>
        <v>0</v>
      </c>
      <c r="G196" s="322" t="s">
        <v>104</v>
      </c>
      <c r="H196" s="93"/>
      <c r="I196" s="412">
        <v>43799.859900000003</v>
      </c>
      <c r="J196" s="413">
        <f t="shared" si="44"/>
        <v>1.25</v>
      </c>
      <c r="K196" s="412">
        <v>16159.16</v>
      </c>
      <c r="L196" s="93"/>
      <c r="M196" s="93"/>
    </row>
    <row r="197" spans="1:13" ht="15" hidden="1" customHeight="1">
      <c r="A197" s="322">
        <v>157</v>
      </c>
      <c r="B197" s="322" t="s">
        <v>92</v>
      </c>
      <c r="C197" s="323">
        <f t="shared" si="42"/>
        <v>138300.03750000001</v>
      </c>
      <c r="D197" s="323">
        <f t="shared" si="43"/>
        <v>482220.03125</v>
      </c>
      <c r="E197" s="323">
        <f t="shared" si="46"/>
        <v>0</v>
      </c>
      <c r="F197" s="324">
        <f t="shared" si="45"/>
        <v>0</v>
      </c>
      <c r="G197" s="322" t="s">
        <v>105</v>
      </c>
      <c r="H197" s="93"/>
      <c r="I197" s="412">
        <v>385776.02500000002</v>
      </c>
      <c r="J197" s="413">
        <f t="shared" si="44"/>
        <v>1.25</v>
      </c>
      <c r="K197" s="412">
        <v>110640.03</v>
      </c>
      <c r="L197" s="93"/>
      <c r="M197" s="93"/>
    </row>
    <row r="198" spans="1:13" ht="15" hidden="1" customHeight="1">
      <c r="A198" s="322">
        <v>158</v>
      </c>
      <c r="B198" s="322" t="s">
        <v>92</v>
      </c>
      <c r="C198" s="323">
        <f t="shared" si="42"/>
        <v>30672.087499999998</v>
      </c>
      <c r="D198" s="323">
        <f t="shared" si="43"/>
        <v>70564.705249999999</v>
      </c>
      <c r="E198" s="323">
        <f t="shared" si="46"/>
        <v>0</v>
      </c>
      <c r="F198" s="324">
        <f t="shared" si="45"/>
        <v>0</v>
      </c>
      <c r="G198" s="322" t="s">
        <v>106</v>
      </c>
      <c r="H198" s="93"/>
      <c r="I198" s="412">
        <v>56451.764199999998</v>
      </c>
      <c r="J198" s="413">
        <f t="shared" si="44"/>
        <v>1.25</v>
      </c>
      <c r="K198" s="412">
        <v>24537.67</v>
      </c>
      <c r="L198" s="93"/>
      <c r="M198" s="93"/>
    </row>
    <row r="199" spans="1:13" ht="15" hidden="1" customHeight="1">
      <c r="A199" s="322">
        <v>159</v>
      </c>
      <c r="B199" s="322" t="s">
        <v>92</v>
      </c>
      <c r="C199" s="323">
        <f t="shared" si="42"/>
        <v>73147.149999999994</v>
      </c>
      <c r="D199" s="323">
        <f t="shared" si="43"/>
        <v>139395.736</v>
      </c>
      <c r="E199" s="323">
        <f t="shared" si="46"/>
        <v>0</v>
      </c>
      <c r="F199" s="324">
        <f t="shared" si="45"/>
        <v>0</v>
      </c>
      <c r="G199" s="322" t="s">
        <v>107</v>
      </c>
      <c r="H199" s="93"/>
      <c r="I199" s="412">
        <v>111516.5888</v>
      </c>
      <c r="J199" s="413">
        <f t="shared" si="44"/>
        <v>1.25</v>
      </c>
      <c r="K199" s="412">
        <v>58517.72</v>
      </c>
      <c r="L199" s="93"/>
      <c r="M199" s="93"/>
    </row>
    <row r="200" spans="1:13" ht="15" hidden="1" customHeight="1">
      <c r="A200" s="322">
        <v>160</v>
      </c>
      <c r="B200" s="322" t="s">
        <v>92</v>
      </c>
      <c r="C200" s="323">
        <f t="shared" si="42"/>
        <v>224540.23749999999</v>
      </c>
      <c r="D200" s="323">
        <f t="shared" si="43"/>
        <v>453681.826375</v>
      </c>
      <c r="E200" s="323">
        <f t="shared" si="46"/>
        <v>0</v>
      </c>
      <c r="F200" s="324">
        <f t="shared" si="45"/>
        <v>0</v>
      </c>
      <c r="G200" s="322" t="s">
        <v>108</v>
      </c>
      <c r="H200" s="93"/>
      <c r="I200" s="412">
        <v>362945.46110000001</v>
      </c>
      <c r="J200" s="413">
        <f t="shared" si="44"/>
        <v>1.25</v>
      </c>
      <c r="K200" s="412">
        <v>179632.19</v>
      </c>
      <c r="L200" s="93"/>
      <c r="M200" s="93"/>
    </row>
    <row r="201" spans="1:13" ht="15" hidden="1" customHeight="1">
      <c r="A201" s="322">
        <v>161</v>
      </c>
      <c r="B201" s="322" t="s">
        <v>92</v>
      </c>
      <c r="C201" s="323">
        <f t="shared" si="42"/>
        <v>465742.82500000001</v>
      </c>
      <c r="D201" s="323">
        <f t="shared" si="43"/>
        <v>677717.33162499988</v>
      </c>
      <c r="E201" s="323">
        <f t="shared" si="46"/>
        <v>0</v>
      </c>
      <c r="F201" s="324">
        <f t="shared" si="45"/>
        <v>0</v>
      </c>
      <c r="G201" s="322" t="s">
        <v>109</v>
      </c>
      <c r="H201" s="93"/>
      <c r="I201" s="412">
        <v>542173.86529999995</v>
      </c>
      <c r="J201" s="413">
        <f t="shared" si="44"/>
        <v>1.25</v>
      </c>
      <c r="K201" s="412">
        <v>372594.26</v>
      </c>
      <c r="L201" s="93"/>
      <c r="M201" s="93"/>
    </row>
    <row r="202" spans="1:13" ht="15" hidden="1" customHeight="1">
      <c r="A202" s="322">
        <v>162</v>
      </c>
      <c r="B202" s="322" t="s">
        <v>92</v>
      </c>
      <c r="C202" s="323">
        <f t="shared" si="42"/>
        <v>189670.125</v>
      </c>
      <c r="D202" s="323">
        <f t="shared" si="43"/>
        <v>340382.87675</v>
      </c>
      <c r="E202" s="323">
        <f t="shared" si="46"/>
        <v>0</v>
      </c>
      <c r="F202" s="324">
        <f t="shared" si="45"/>
        <v>0</v>
      </c>
      <c r="G202" s="322" t="s">
        <v>110</v>
      </c>
      <c r="H202" s="93"/>
      <c r="I202" s="412">
        <v>272306.3014</v>
      </c>
      <c r="J202" s="413">
        <f t="shared" si="44"/>
        <v>1.25</v>
      </c>
      <c r="K202" s="412">
        <v>151736.1</v>
      </c>
      <c r="L202" s="93"/>
      <c r="M202" s="93"/>
    </row>
    <row r="203" spans="1:13" ht="15" hidden="1" customHeight="1">
      <c r="A203" s="322">
        <v>163</v>
      </c>
      <c r="B203" s="322" t="s">
        <v>92</v>
      </c>
      <c r="C203" s="323">
        <f t="shared" si="42"/>
        <v>59797.299999999996</v>
      </c>
      <c r="D203" s="323">
        <f t="shared" si="43"/>
        <v>105413.37675000001</v>
      </c>
      <c r="E203" s="323">
        <f t="shared" si="46"/>
        <v>0</v>
      </c>
      <c r="F203" s="324">
        <f t="shared" si="45"/>
        <v>0</v>
      </c>
      <c r="G203" s="322" t="s">
        <v>111</v>
      </c>
      <c r="H203" s="93"/>
      <c r="I203" s="412">
        <v>84330.701400000005</v>
      </c>
      <c r="J203" s="413">
        <f t="shared" si="44"/>
        <v>1.25</v>
      </c>
      <c r="K203" s="412">
        <v>47837.84</v>
      </c>
      <c r="L203" s="93"/>
      <c r="M203" s="93"/>
    </row>
    <row r="204" spans="1:13" ht="15" hidden="1" customHeight="1">
      <c r="A204" s="322">
        <v>164</v>
      </c>
      <c r="B204" s="322" t="s">
        <v>92</v>
      </c>
      <c r="C204" s="323">
        <f t="shared" si="42"/>
        <v>72361.975000000006</v>
      </c>
      <c r="D204" s="323">
        <f t="shared" si="43"/>
        <v>147759.12737500001</v>
      </c>
      <c r="E204" s="323">
        <f t="shared" si="46"/>
        <v>0</v>
      </c>
      <c r="F204" s="324">
        <f t="shared" si="45"/>
        <v>0</v>
      </c>
      <c r="G204" s="322" t="s">
        <v>112</v>
      </c>
      <c r="H204" s="93"/>
      <c r="I204" s="412">
        <v>118207.30190000001</v>
      </c>
      <c r="J204" s="413">
        <f t="shared" si="44"/>
        <v>1.25</v>
      </c>
      <c r="K204" s="412">
        <v>57889.58</v>
      </c>
      <c r="L204" s="93"/>
      <c r="M204" s="93"/>
    </row>
    <row r="205" spans="1:13" ht="15" hidden="1" customHeight="1">
      <c r="A205" s="322">
        <v>165</v>
      </c>
      <c r="B205" s="322" t="s">
        <v>92</v>
      </c>
      <c r="C205" s="323">
        <f t="shared" si="42"/>
        <v>136916.01250000001</v>
      </c>
      <c r="D205" s="323">
        <f t="shared" si="43"/>
        <v>220614.70525</v>
      </c>
      <c r="E205" s="323">
        <f t="shared" si="46"/>
        <v>0</v>
      </c>
      <c r="F205" s="324">
        <f t="shared" si="45"/>
        <v>0</v>
      </c>
      <c r="G205" s="322" t="s">
        <v>113</v>
      </c>
      <c r="H205" s="93"/>
      <c r="I205" s="412">
        <v>176491.76420000001</v>
      </c>
      <c r="J205" s="413">
        <f t="shared" si="44"/>
        <v>1.25</v>
      </c>
      <c r="K205" s="412">
        <v>109532.81</v>
      </c>
      <c r="L205" s="93"/>
      <c r="M205" s="93"/>
    </row>
    <row r="206" spans="1:13" ht="15" hidden="1" customHeight="1">
      <c r="A206" s="322">
        <v>166</v>
      </c>
      <c r="B206" s="322" t="s">
        <v>92</v>
      </c>
      <c r="C206" s="323">
        <f t="shared" si="42"/>
        <v>223627.35</v>
      </c>
      <c r="D206" s="323">
        <f t="shared" si="43"/>
        <v>245655.98824999999</v>
      </c>
      <c r="E206" s="323">
        <f t="shared" si="46"/>
        <v>0</v>
      </c>
      <c r="F206" s="324">
        <f t="shared" si="45"/>
        <v>0</v>
      </c>
      <c r="G206" s="322" t="s">
        <v>114</v>
      </c>
      <c r="H206" s="93"/>
      <c r="I206" s="412">
        <v>196524.79060000001</v>
      </c>
      <c r="J206" s="413">
        <f t="shared" si="44"/>
        <v>1.25</v>
      </c>
      <c r="K206" s="412">
        <v>178901.88</v>
      </c>
      <c r="L206" s="93"/>
      <c r="M206" s="93"/>
    </row>
    <row r="207" spans="1:13" ht="15" hidden="1" customHeight="1">
      <c r="A207" s="322">
        <v>167</v>
      </c>
      <c r="B207" s="322" t="s">
        <v>92</v>
      </c>
      <c r="C207" s="323">
        <f t="shared" si="42"/>
        <v>235142.44999999998</v>
      </c>
      <c r="D207" s="323">
        <f t="shared" si="43"/>
        <v>332274.93150000001</v>
      </c>
      <c r="E207" s="323">
        <f t="shared" si="46"/>
        <v>0</v>
      </c>
      <c r="F207" s="324">
        <f t="shared" si="45"/>
        <v>0</v>
      </c>
      <c r="G207" s="322" t="s">
        <v>115</v>
      </c>
      <c r="H207" s="93"/>
      <c r="I207" s="412">
        <v>265819.94520000002</v>
      </c>
      <c r="J207" s="413">
        <f t="shared" si="44"/>
        <v>1.25</v>
      </c>
      <c r="K207" s="412">
        <v>188113.96</v>
      </c>
      <c r="L207" s="93"/>
      <c r="M207" s="93"/>
    </row>
    <row r="208" spans="1:13" ht="15" hidden="1" customHeight="1">
      <c r="A208" s="322">
        <v>168</v>
      </c>
      <c r="B208" s="322" t="s">
        <v>92</v>
      </c>
      <c r="C208" s="323">
        <f t="shared" si="42"/>
        <v>504236.625</v>
      </c>
      <c r="D208" s="323">
        <f t="shared" si="43"/>
        <v>728026.2498750001</v>
      </c>
      <c r="E208" s="323">
        <f t="shared" si="46"/>
        <v>0</v>
      </c>
      <c r="F208" s="324">
        <f t="shared" si="45"/>
        <v>0</v>
      </c>
      <c r="G208" s="322" t="s">
        <v>116</v>
      </c>
      <c r="H208" s="93"/>
      <c r="I208" s="412">
        <v>582420.99990000005</v>
      </c>
      <c r="J208" s="413">
        <f t="shared" si="44"/>
        <v>1.25</v>
      </c>
      <c r="K208" s="412">
        <v>403389.3</v>
      </c>
      <c r="L208" s="93"/>
      <c r="M208" s="93"/>
    </row>
    <row r="209" spans="1:13" ht="15" hidden="1" customHeight="1">
      <c r="A209" s="322">
        <v>169</v>
      </c>
      <c r="B209" s="322" t="s">
        <v>93</v>
      </c>
      <c r="C209" s="323">
        <f t="shared" si="42"/>
        <v>10155.0399</v>
      </c>
      <c r="D209" s="323">
        <f t="shared" si="43"/>
        <v>17630.660346000001</v>
      </c>
      <c r="E209" s="323">
        <f t="shared" si="46"/>
        <v>0</v>
      </c>
      <c r="F209" s="324">
        <f>J14</f>
        <v>0</v>
      </c>
      <c r="G209" s="322" t="s">
        <v>96</v>
      </c>
      <c r="H209" s="93"/>
      <c r="I209" s="412">
        <v>14333.870199999999</v>
      </c>
      <c r="J209" s="413">
        <f t="shared" ref="J209:J229" si="47">IF(Aplicar_Escala=1,INDEX(Factor_Escala,9),1)</f>
        <v>1.23</v>
      </c>
      <c r="K209" s="412">
        <v>8256.1299999999992</v>
      </c>
      <c r="L209" s="93"/>
      <c r="M209" s="93"/>
    </row>
    <row r="210" spans="1:13" ht="15" hidden="1" customHeight="1">
      <c r="A210" s="322">
        <v>170</v>
      </c>
      <c r="B210" s="322" t="s">
        <v>93</v>
      </c>
      <c r="C210" s="323">
        <f t="shared" si="42"/>
        <v>6640.437899999999</v>
      </c>
      <c r="D210" s="323">
        <f t="shared" si="43"/>
        <v>14231.088437999999</v>
      </c>
      <c r="E210" s="323">
        <f t="shared" si="46"/>
        <v>0</v>
      </c>
      <c r="F210" s="324">
        <f t="shared" ref="F210:F229" si="48">J15</f>
        <v>0</v>
      </c>
      <c r="G210" s="322" t="s">
        <v>97</v>
      </c>
      <c r="H210" s="93"/>
      <c r="I210" s="412">
        <v>11569.990599999999</v>
      </c>
      <c r="J210" s="413">
        <f t="shared" si="47"/>
        <v>1.23</v>
      </c>
      <c r="K210" s="412">
        <v>5398.73</v>
      </c>
      <c r="L210" s="93"/>
      <c r="M210" s="93"/>
    </row>
    <row r="211" spans="1:13" ht="15" hidden="1" customHeight="1">
      <c r="A211" s="322">
        <v>171</v>
      </c>
      <c r="B211" s="322" t="s">
        <v>93</v>
      </c>
      <c r="C211" s="323">
        <f t="shared" si="42"/>
        <v>6884.9988000000003</v>
      </c>
      <c r="D211" s="323">
        <f t="shared" si="43"/>
        <v>21305.584235999999</v>
      </c>
      <c r="E211" s="323">
        <f t="shared" si="46"/>
        <v>0</v>
      </c>
      <c r="F211" s="324">
        <f t="shared" si="48"/>
        <v>0</v>
      </c>
      <c r="G211" s="322" t="s">
        <v>98</v>
      </c>
      <c r="H211" s="93"/>
      <c r="I211" s="412">
        <v>17321.6132</v>
      </c>
      <c r="J211" s="413">
        <f t="shared" si="47"/>
        <v>1.23</v>
      </c>
      <c r="K211" s="412">
        <v>5597.56</v>
      </c>
      <c r="L211" s="93"/>
      <c r="M211" s="93"/>
    </row>
    <row r="212" spans="1:13" ht="15" hidden="1" customHeight="1">
      <c r="A212" s="322">
        <v>172</v>
      </c>
      <c r="B212" s="322" t="s">
        <v>93</v>
      </c>
      <c r="C212" s="323">
        <f t="shared" si="42"/>
        <v>712.26840000000004</v>
      </c>
      <c r="D212" s="323">
        <f t="shared" si="43"/>
        <v>2206.716555</v>
      </c>
      <c r="E212" s="323">
        <f t="shared" si="46"/>
        <v>0</v>
      </c>
      <c r="F212" s="324">
        <f t="shared" si="48"/>
        <v>0</v>
      </c>
      <c r="G212" s="322" t="s">
        <v>99</v>
      </c>
      <c r="H212" s="93"/>
      <c r="I212" s="412">
        <v>1794.0785000000001</v>
      </c>
      <c r="J212" s="413">
        <f t="shared" si="47"/>
        <v>1.23</v>
      </c>
      <c r="K212" s="412">
        <v>579.08000000000004</v>
      </c>
      <c r="L212" s="93"/>
      <c r="M212" s="93"/>
    </row>
    <row r="213" spans="1:13" ht="15" hidden="1" customHeight="1">
      <c r="A213" s="322">
        <v>173</v>
      </c>
      <c r="B213" s="322" t="s">
        <v>93</v>
      </c>
      <c r="C213" s="323">
        <f t="shared" si="42"/>
        <v>1879.9197000000001</v>
      </c>
      <c r="D213" s="323">
        <f t="shared" si="43"/>
        <v>4741.9599600000001</v>
      </c>
      <c r="E213" s="323">
        <f t="shared" si="46"/>
        <v>0</v>
      </c>
      <c r="F213" s="324">
        <f t="shared" si="48"/>
        <v>0</v>
      </c>
      <c r="G213" s="322" t="s">
        <v>100</v>
      </c>
      <c r="H213" s="93"/>
      <c r="I213" s="412">
        <v>3855.252</v>
      </c>
      <c r="J213" s="413">
        <f t="shared" si="47"/>
        <v>1.23</v>
      </c>
      <c r="K213" s="412">
        <v>1528.39</v>
      </c>
      <c r="L213" s="93"/>
      <c r="M213" s="93"/>
    </row>
    <row r="214" spans="1:13" ht="15" hidden="1" customHeight="1">
      <c r="A214" s="322">
        <v>174</v>
      </c>
      <c r="B214" s="322" t="s">
        <v>93</v>
      </c>
      <c r="C214" s="323">
        <f t="shared" si="42"/>
        <v>1326.1860000000001</v>
      </c>
      <c r="D214" s="323">
        <f t="shared" si="43"/>
        <v>3702.1394849999997</v>
      </c>
      <c r="E214" s="323">
        <f t="shared" si="46"/>
        <v>0</v>
      </c>
      <c r="F214" s="324">
        <f t="shared" si="48"/>
        <v>0</v>
      </c>
      <c r="G214" s="322" t="s">
        <v>101</v>
      </c>
      <c r="H214" s="93"/>
      <c r="I214" s="412">
        <v>3009.8694999999998</v>
      </c>
      <c r="J214" s="413">
        <f t="shared" si="47"/>
        <v>1.23</v>
      </c>
      <c r="K214" s="412">
        <v>1078.2</v>
      </c>
      <c r="L214" s="93"/>
      <c r="M214" s="93"/>
    </row>
    <row r="215" spans="1:13" ht="15" hidden="1" customHeight="1">
      <c r="A215" s="322">
        <v>175</v>
      </c>
      <c r="B215" s="322" t="s">
        <v>93</v>
      </c>
      <c r="C215" s="323">
        <f t="shared" si="42"/>
        <v>963.91409999999996</v>
      </c>
      <c r="D215" s="323">
        <f t="shared" si="43"/>
        <v>2024.594145</v>
      </c>
      <c r="E215" s="323">
        <f t="shared" si="46"/>
        <v>0</v>
      </c>
      <c r="F215" s="324">
        <f t="shared" si="48"/>
        <v>0</v>
      </c>
      <c r="G215" s="322" t="s">
        <v>102</v>
      </c>
      <c r="H215" s="93"/>
      <c r="I215" s="412">
        <v>1646.0115000000001</v>
      </c>
      <c r="J215" s="413">
        <f t="shared" si="47"/>
        <v>1.23</v>
      </c>
      <c r="K215" s="412">
        <v>783.67</v>
      </c>
      <c r="L215" s="93"/>
      <c r="M215" s="93"/>
    </row>
    <row r="216" spans="1:13" ht="15" hidden="1" customHeight="1">
      <c r="A216" s="322">
        <v>176</v>
      </c>
      <c r="B216" s="322" t="s">
        <v>93</v>
      </c>
      <c r="C216" s="323">
        <f t="shared" si="42"/>
        <v>52.028999999999996</v>
      </c>
      <c r="D216" s="323">
        <f t="shared" si="43"/>
        <v>659.24863500000004</v>
      </c>
      <c r="E216" s="323">
        <f t="shared" si="46"/>
        <v>0</v>
      </c>
      <c r="F216" s="324">
        <f t="shared" si="48"/>
        <v>0</v>
      </c>
      <c r="G216" s="322" t="s">
        <v>103</v>
      </c>
      <c r="H216" s="93"/>
      <c r="I216" s="412">
        <v>535.97450000000003</v>
      </c>
      <c r="J216" s="413">
        <f t="shared" si="47"/>
        <v>1.23</v>
      </c>
      <c r="K216" s="412">
        <v>42.3</v>
      </c>
      <c r="L216" s="93"/>
      <c r="M216" s="93"/>
    </row>
    <row r="217" spans="1:13" ht="15" hidden="1" customHeight="1">
      <c r="A217" s="322">
        <v>177</v>
      </c>
      <c r="B217" s="322" t="s">
        <v>93</v>
      </c>
      <c r="C217" s="323">
        <f t="shared" si="42"/>
        <v>314.27729999999997</v>
      </c>
      <c r="D217" s="323">
        <f t="shared" si="43"/>
        <v>702.29519100000005</v>
      </c>
      <c r="E217" s="323">
        <f t="shared" si="46"/>
        <v>0</v>
      </c>
      <c r="F217" s="324">
        <f t="shared" si="48"/>
        <v>0</v>
      </c>
      <c r="G217" s="322" t="s">
        <v>104</v>
      </c>
      <c r="H217" s="93"/>
      <c r="I217" s="412">
        <v>570.97170000000006</v>
      </c>
      <c r="J217" s="413">
        <f t="shared" si="47"/>
        <v>1.23</v>
      </c>
      <c r="K217" s="412">
        <v>255.51</v>
      </c>
      <c r="L217" s="93"/>
      <c r="M217" s="93"/>
    </row>
    <row r="218" spans="1:13" ht="15" hidden="1" customHeight="1">
      <c r="A218" s="322">
        <v>178</v>
      </c>
      <c r="B218" s="322" t="s">
        <v>93</v>
      </c>
      <c r="C218" s="323">
        <f t="shared" si="42"/>
        <v>461.15160000000003</v>
      </c>
      <c r="D218" s="323">
        <f t="shared" si="43"/>
        <v>1349.5562459999999</v>
      </c>
      <c r="E218" s="323">
        <f t="shared" si="46"/>
        <v>0</v>
      </c>
      <c r="F218" s="324">
        <f t="shared" si="48"/>
        <v>0</v>
      </c>
      <c r="G218" s="322" t="s">
        <v>105</v>
      </c>
      <c r="H218" s="93"/>
      <c r="I218" s="412">
        <v>1097.2002</v>
      </c>
      <c r="J218" s="413">
        <f t="shared" si="47"/>
        <v>1.23</v>
      </c>
      <c r="K218" s="412">
        <v>374.92</v>
      </c>
      <c r="L218" s="93"/>
      <c r="M218" s="93"/>
    </row>
    <row r="219" spans="1:13" ht="15" hidden="1" customHeight="1">
      <c r="A219" s="322">
        <v>179</v>
      </c>
      <c r="B219" s="322" t="s">
        <v>93</v>
      </c>
      <c r="C219" s="323">
        <f t="shared" si="42"/>
        <v>516.3048</v>
      </c>
      <c r="D219" s="323">
        <f t="shared" si="43"/>
        <v>1139.9536680000001</v>
      </c>
      <c r="E219" s="323">
        <f t="shared" si="46"/>
        <v>0</v>
      </c>
      <c r="F219" s="324">
        <f t="shared" si="48"/>
        <v>0</v>
      </c>
      <c r="G219" s="322" t="s">
        <v>106</v>
      </c>
      <c r="H219" s="93"/>
      <c r="I219" s="412">
        <v>926.79160000000002</v>
      </c>
      <c r="J219" s="413">
        <f t="shared" si="47"/>
        <v>1.23</v>
      </c>
      <c r="K219" s="412">
        <v>419.76</v>
      </c>
      <c r="L219" s="93"/>
      <c r="M219" s="93"/>
    </row>
    <row r="220" spans="1:13" ht="15" hidden="1" customHeight="1">
      <c r="A220" s="322">
        <v>180</v>
      </c>
      <c r="B220" s="322" t="s">
        <v>93</v>
      </c>
      <c r="C220" s="323">
        <f t="shared" si="42"/>
        <v>3053.0691000000002</v>
      </c>
      <c r="D220" s="323">
        <f t="shared" si="43"/>
        <v>5133.6709259999998</v>
      </c>
      <c r="E220" s="323">
        <f t="shared" si="46"/>
        <v>0</v>
      </c>
      <c r="F220" s="324">
        <f t="shared" si="48"/>
        <v>0</v>
      </c>
      <c r="G220" s="322" t="s">
        <v>107</v>
      </c>
      <c r="H220" s="93"/>
      <c r="I220" s="412">
        <v>4173.7161999999998</v>
      </c>
      <c r="J220" s="413">
        <f t="shared" si="47"/>
        <v>1.23</v>
      </c>
      <c r="K220" s="412">
        <v>2482.17</v>
      </c>
      <c r="L220" s="93"/>
      <c r="M220" s="93"/>
    </row>
    <row r="221" spans="1:13" ht="15" hidden="1" customHeight="1">
      <c r="A221" s="322">
        <v>181</v>
      </c>
      <c r="B221" s="322" t="s">
        <v>93</v>
      </c>
      <c r="C221" s="323">
        <f t="shared" si="42"/>
        <v>4688.3418000000001</v>
      </c>
      <c r="D221" s="323">
        <f t="shared" si="43"/>
        <v>10498.272507</v>
      </c>
      <c r="E221" s="323">
        <f t="shared" si="46"/>
        <v>0</v>
      </c>
      <c r="F221" s="324">
        <f t="shared" si="48"/>
        <v>0</v>
      </c>
      <c r="G221" s="322" t="s">
        <v>108</v>
      </c>
      <c r="H221" s="93"/>
      <c r="I221" s="412">
        <v>8535.1808999999994</v>
      </c>
      <c r="J221" s="413">
        <f t="shared" si="47"/>
        <v>1.23</v>
      </c>
      <c r="K221" s="412">
        <v>3811.66</v>
      </c>
      <c r="L221" s="93"/>
      <c r="M221" s="93"/>
    </row>
    <row r="222" spans="1:13" ht="15" hidden="1" customHeight="1">
      <c r="A222" s="322">
        <v>182</v>
      </c>
      <c r="B222" s="322" t="s">
        <v>93</v>
      </c>
      <c r="C222" s="323">
        <f t="shared" si="42"/>
        <v>11130.921900000001</v>
      </c>
      <c r="D222" s="323">
        <f t="shared" si="43"/>
        <v>18132.186081</v>
      </c>
      <c r="E222" s="323">
        <f t="shared" si="46"/>
        <v>0</v>
      </c>
      <c r="F222" s="324">
        <f t="shared" si="48"/>
        <v>0</v>
      </c>
      <c r="G222" s="322" t="s">
        <v>109</v>
      </c>
      <c r="H222" s="93"/>
      <c r="I222" s="412">
        <v>14741.6147</v>
      </c>
      <c r="J222" s="413">
        <f t="shared" si="47"/>
        <v>1.23</v>
      </c>
      <c r="K222" s="412">
        <v>9049.5300000000007</v>
      </c>
      <c r="L222" s="93"/>
      <c r="M222" s="93"/>
    </row>
    <row r="223" spans="1:13" ht="15" hidden="1" customHeight="1">
      <c r="A223" s="322">
        <v>183</v>
      </c>
      <c r="B223" s="322" t="s">
        <v>93</v>
      </c>
      <c r="C223" s="323">
        <f t="shared" si="42"/>
        <v>7389.9875999999995</v>
      </c>
      <c r="D223" s="323">
        <f t="shared" si="43"/>
        <v>12705.367655999999</v>
      </c>
      <c r="E223" s="323">
        <f t="shared" si="46"/>
        <v>0</v>
      </c>
      <c r="F223" s="324">
        <f t="shared" si="48"/>
        <v>0</v>
      </c>
      <c r="G223" s="322" t="s">
        <v>110</v>
      </c>
      <c r="H223" s="93"/>
      <c r="I223" s="412">
        <v>10329.5672</v>
      </c>
      <c r="J223" s="413">
        <f t="shared" si="47"/>
        <v>1.23</v>
      </c>
      <c r="K223" s="412">
        <v>6008.12</v>
      </c>
      <c r="L223" s="93"/>
      <c r="M223" s="93"/>
    </row>
    <row r="224" spans="1:13" ht="15" hidden="1" customHeight="1">
      <c r="A224" s="322">
        <v>184</v>
      </c>
      <c r="B224" s="322" t="s">
        <v>93</v>
      </c>
      <c r="C224" s="323">
        <f t="shared" si="42"/>
        <v>1054.5527999999999</v>
      </c>
      <c r="D224" s="323">
        <f t="shared" si="43"/>
        <v>2158.3834590000001</v>
      </c>
      <c r="E224" s="323">
        <f t="shared" si="46"/>
        <v>0</v>
      </c>
      <c r="F224" s="324">
        <f t="shared" si="48"/>
        <v>0</v>
      </c>
      <c r="G224" s="322" t="s">
        <v>111</v>
      </c>
      <c r="H224" s="93"/>
      <c r="I224" s="412">
        <v>1754.7833000000001</v>
      </c>
      <c r="J224" s="413">
        <f t="shared" si="47"/>
        <v>1.23</v>
      </c>
      <c r="K224" s="412">
        <v>857.36</v>
      </c>
      <c r="L224" s="93"/>
      <c r="M224" s="93"/>
    </row>
    <row r="225" spans="1:13" ht="15" hidden="1" customHeight="1">
      <c r="A225" s="322">
        <v>185</v>
      </c>
      <c r="B225" s="322" t="s">
        <v>93</v>
      </c>
      <c r="C225" s="323">
        <f t="shared" si="42"/>
        <v>4066.0232999999998</v>
      </c>
      <c r="D225" s="323">
        <f t="shared" si="43"/>
        <v>6219.8086499999999</v>
      </c>
      <c r="E225" s="323">
        <f t="shared" si="46"/>
        <v>0</v>
      </c>
      <c r="F225" s="324">
        <f t="shared" si="48"/>
        <v>0</v>
      </c>
      <c r="G225" s="322" t="s">
        <v>112</v>
      </c>
      <c r="H225" s="93"/>
      <c r="I225" s="412">
        <v>5056.7550000000001</v>
      </c>
      <c r="J225" s="413">
        <f t="shared" si="47"/>
        <v>1.23</v>
      </c>
      <c r="K225" s="412">
        <v>3305.71</v>
      </c>
      <c r="L225" s="93"/>
      <c r="M225" s="93"/>
    </row>
    <row r="226" spans="1:13" ht="15" hidden="1" customHeight="1">
      <c r="A226" s="322">
        <v>186</v>
      </c>
      <c r="B226" s="322" t="s">
        <v>93</v>
      </c>
      <c r="C226" s="323">
        <f t="shared" si="42"/>
        <v>6541.0784999999996</v>
      </c>
      <c r="D226" s="323">
        <f t="shared" si="43"/>
        <v>10046.890304999999</v>
      </c>
      <c r="E226" s="323">
        <f t="shared" si="46"/>
        <v>0</v>
      </c>
      <c r="F226" s="324">
        <f t="shared" si="48"/>
        <v>0</v>
      </c>
      <c r="G226" s="322" t="s">
        <v>113</v>
      </c>
      <c r="H226" s="93"/>
      <c r="I226" s="412">
        <v>8168.2034999999996</v>
      </c>
      <c r="J226" s="413">
        <f t="shared" si="47"/>
        <v>1.23</v>
      </c>
      <c r="K226" s="412">
        <v>5317.95</v>
      </c>
      <c r="L226" s="93"/>
      <c r="M226" s="93"/>
    </row>
    <row r="227" spans="1:13" ht="15" hidden="1" customHeight="1">
      <c r="A227" s="322">
        <v>187</v>
      </c>
      <c r="B227" s="322" t="s">
        <v>93</v>
      </c>
      <c r="C227" s="323">
        <f t="shared" si="42"/>
        <v>1565.7162000000001</v>
      </c>
      <c r="D227" s="323">
        <f t="shared" si="43"/>
        <v>2283.6352200000001</v>
      </c>
      <c r="E227" s="323">
        <f t="shared" si="46"/>
        <v>0</v>
      </c>
      <c r="F227" s="324">
        <f t="shared" si="48"/>
        <v>0</v>
      </c>
      <c r="G227" s="322" t="s">
        <v>114</v>
      </c>
      <c r="H227" s="93"/>
      <c r="I227" s="412">
        <v>1856.614</v>
      </c>
      <c r="J227" s="413">
        <f t="shared" si="47"/>
        <v>1.23</v>
      </c>
      <c r="K227" s="412">
        <v>1272.94</v>
      </c>
      <c r="L227" s="93"/>
      <c r="M227" s="93"/>
    </row>
    <row r="228" spans="1:13" ht="15" hidden="1" customHeight="1">
      <c r="A228" s="322">
        <v>188</v>
      </c>
      <c r="B228" s="322" t="s">
        <v>93</v>
      </c>
      <c r="C228" s="323">
        <f t="shared" si="42"/>
        <v>10179.184800000001</v>
      </c>
      <c r="D228" s="323">
        <f t="shared" si="43"/>
        <v>12150.257217</v>
      </c>
      <c r="E228" s="323">
        <f t="shared" si="46"/>
        <v>0</v>
      </c>
      <c r="F228" s="324">
        <f t="shared" si="48"/>
        <v>0</v>
      </c>
      <c r="G228" s="322" t="s">
        <v>115</v>
      </c>
      <c r="H228" s="93"/>
      <c r="I228" s="412">
        <v>9878.2579000000005</v>
      </c>
      <c r="J228" s="413">
        <f t="shared" si="47"/>
        <v>1.23</v>
      </c>
      <c r="K228" s="412">
        <v>8275.76</v>
      </c>
      <c r="L228" s="93"/>
      <c r="M228" s="93"/>
    </row>
    <row r="229" spans="1:13" ht="15" hidden="1" customHeight="1">
      <c r="A229" s="322">
        <v>189</v>
      </c>
      <c r="B229" s="322" t="s">
        <v>93</v>
      </c>
      <c r="C229" s="323">
        <f t="shared" si="42"/>
        <v>32447.510699999999</v>
      </c>
      <c r="D229" s="323">
        <f t="shared" si="43"/>
        <v>47834.756211</v>
      </c>
      <c r="E229" s="323">
        <f t="shared" si="46"/>
        <v>0</v>
      </c>
      <c r="F229" s="324">
        <f t="shared" si="48"/>
        <v>0</v>
      </c>
      <c r="G229" s="322" t="s">
        <v>116</v>
      </c>
      <c r="H229" s="93"/>
      <c r="I229" s="412">
        <v>38890.045700000002</v>
      </c>
      <c r="J229" s="413">
        <f t="shared" si="47"/>
        <v>1.23</v>
      </c>
      <c r="K229" s="412">
        <v>26380.09</v>
      </c>
      <c r="L229" s="93"/>
      <c r="M229" s="93"/>
    </row>
    <row r="230" spans="1:13" ht="15" hidden="1" customHeight="1">
      <c r="A230" s="322">
        <v>190</v>
      </c>
      <c r="B230" s="322" t="s">
        <v>129</v>
      </c>
      <c r="C230" s="323">
        <f t="shared" si="42"/>
        <v>20461.611489999999</v>
      </c>
      <c r="D230" s="323">
        <f t="shared" si="43"/>
        <v>53108.019116000003</v>
      </c>
      <c r="E230" s="323">
        <f t="shared" si="46"/>
        <v>0</v>
      </c>
      <c r="F230" s="324">
        <f>K14</f>
        <v>0</v>
      </c>
      <c r="G230" s="322" t="s">
        <v>96</v>
      </c>
      <c r="H230" s="93"/>
      <c r="I230" s="412">
        <v>42588.627999999997</v>
      </c>
      <c r="J230" s="413">
        <f t="shared" ref="J230:J250" si="49">IF(Aplicar_Escala=1,INDEX(Factor_Escala,10),1)</f>
        <v>1.2470000000000001</v>
      </c>
      <c r="K230" s="412">
        <v>16408.669999999998</v>
      </c>
      <c r="L230" s="93"/>
      <c r="M230" s="93"/>
    </row>
    <row r="231" spans="1:13" ht="15" hidden="1" customHeight="1">
      <c r="A231" s="322">
        <v>191</v>
      </c>
      <c r="B231" s="322" t="s">
        <v>129</v>
      </c>
      <c r="C231" s="323">
        <f t="shared" si="42"/>
        <v>41535.687030000001</v>
      </c>
      <c r="D231" s="323">
        <f t="shared" si="43"/>
        <v>111958.07419200001</v>
      </c>
      <c r="E231" s="323">
        <f t="shared" si="46"/>
        <v>0</v>
      </c>
      <c r="F231" s="324">
        <f t="shared" ref="F231:F250" si="50">K15</f>
        <v>0</v>
      </c>
      <c r="G231" s="322" t="s">
        <v>97</v>
      </c>
      <c r="H231" s="93"/>
      <c r="I231" s="412">
        <v>89781.936000000002</v>
      </c>
      <c r="J231" s="413">
        <f t="shared" si="49"/>
        <v>1.2470000000000001</v>
      </c>
      <c r="K231" s="412">
        <v>33308.49</v>
      </c>
      <c r="L231" s="93"/>
      <c r="M231" s="93"/>
    </row>
    <row r="232" spans="1:13" ht="15" hidden="1" customHeight="1">
      <c r="A232" s="322">
        <v>192</v>
      </c>
      <c r="B232" s="322" t="s">
        <v>129</v>
      </c>
      <c r="C232" s="323">
        <f t="shared" si="42"/>
        <v>51385.365930000007</v>
      </c>
      <c r="D232" s="323">
        <f t="shared" si="43"/>
        <v>166813.86269510002</v>
      </c>
      <c r="E232" s="323">
        <f t="shared" si="46"/>
        <v>0</v>
      </c>
      <c r="F232" s="324">
        <f t="shared" si="50"/>
        <v>0</v>
      </c>
      <c r="G232" s="322" t="s">
        <v>98</v>
      </c>
      <c r="H232" s="93"/>
      <c r="I232" s="412">
        <v>133772.1433</v>
      </c>
      <c r="J232" s="413">
        <f t="shared" si="49"/>
        <v>1.2470000000000001</v>
      </c>
      <c r="K232" s="412">
        <v>41207.19</v>
      </c>
      <c r="L232" s="93"/>
      <c r="M232" s="93"/>
    </row>
    <row r="233" spans="1:13" ht="15" hidden="1" customHeight="1">
      <c r="A233" s="322">
        <v>193</v>
      </c>
      <c r="B233" s="322" t="s">
        <v>129</v>
      </c>
      <c r="C233" s="323">
        <f t="shared" si="42"/>
        <v>10871.65775</v>
      </c>
      <c r="D233" s="323">
        <f t="shared" si="43"/>
        <v>19735.666449600001</v>
      </c>
      <c r="E233" s="323">
        <f t="shared" si="46"/>
        <v>0</v>
      </c>
      <c r="F233" s="324">
        <f t="shared" si="50"/>
        <v>0</v>
      </c>
      <c r="G233" s="322" t="s">
        <v>99</v>
      </c>
      <c r="H233" s="93"/>
      <c r="I233" s="412">
        <v>15826.516799999999</v>
      </c>
      <c r="J233" s="413">
        <f t="shared" si="49"/>
        <v>1.2470000000000001</v>
      </c>
      <c r="K233" s="412">
        <v>8718.25</v>
      </c>
      <c r="L233" s="93"/>
      <c r="M233" s="93"/>
    </row>
    <row r="234" spans="1:13" ht="15" hidden="1" customHeight="1">
      <c r="A234" s="322">
        <v>194</v>
      </c>
      <c r="B234" s="322" t="s">
        <v>129</v>
      </c>
      <c r="C234" s="323">
        <f t="shared" ref="C234:C271" si="51">K234*J234</f>
        <v>21198.987530000002</v>
      </c>
      <c r="D234" s="323">
        <f t="shared" ref="D234:D271" si="52">I234*J234</f>
        <v>53771.70618500001</v>
      </c>
      <c r="E234" s="323">
        <f t="shared" si="46"/>
        <v>0</v>
      </c>
      <c r="F234" s="324">
        <f t="shared" si="50"/>
        <v>0</v>
      </c>
      <c r="G234" s="322" t="s">
        <v>100</v>
      </c>
      <c r="H234" s="93"/>
      <c r="I234" s="412">
        <v>43120.855000000003</v>
      </c>
      <c r="J234" s="413">
        <f t="shared" si="49"/>
        <v>1.2470000000000001</v>
      </c>
      <c r="K234" s="412">
        <v>16999.990000000002</v>
      </c>
      <c r="L234" s="93"/>
      <c r="M234" s="93"/>
    </row>
    <row r="235" spans="1:13" ht="15" hidden="1" customHeight="1">
      <c r="A235" s="322">
        <v>195</v>
      </c>
      <c r="B235" s="322" t="s">
        <v>129</v>
      </c>
      <c r="C235" s="323">
        <f t="shared" si="51"/>
        <v>53832.266739999999</v>
      </c>
      <c r="D235" s="323">
        <f t="shared" si="52"/>
        <v>139869.74614630002</v>
      </c>
      <c r="E235" s="323">
        <f t="shared" si="46"/>
        <v>0</v>
      </c>
      <c r="F235" s="324">
        <f t="shared" si="50"/>
        <v>0</v>
      </c>
      <c r="G235" s="322" t="s">
        <v>101</v>
      </c>
      <c r="H235" s="93"/>
      <c r="I235" s="412">
        <v>112164.9929</v>
      </c>
      <c r="J235" s="413">
        <f t="shared" si="49"/>
        <v>1.2470000000000001</v>
      </c>
      <c r="K235" s="412">
        <v>43169.42</v>
      </c>
      <c r="L235" s="93"/>
      <c r="M235" s="93"/>
    </row>
    <row r="236" spans="1:13" ht="15" hidden="1" customHeight="1">
      <c r="A236" s="322">
        <v>196</v>
      </c>
      <c r="B236" s="322" t="s">
        <v>129</v>
      </c>
      <c r="C236" s="323">
        <f t="shared" si="51"/>
        <v>10197.49214</v>
      </c>
      <c r="D236" s="323">
        <f t="shared" si="52"/>
        <v>24862.494585500001</v>
      </c>
      <c r="E236" s="323">
        <f t="shared" si="46"/>
        <v>0</v>
      </c>
      <c r="F236" s="324">
        <f t="shared" si="50"/>
        <v>0</v>
      </c>
      <c r="G236" s="322" t="s">
        <v>102</v>
      </c>
      <c r="H236" s="93"/>
      <c r="I236" s="412">
        <v>19937.8465</v>
      </c>
      <c r="J236" s="413">
        <f t="shared" si="49"/>
        <v>1.2470000000000001</v>
      </c>
      <c r="K236" s="412">
        <v>8177.62</v>
      </c>
      <c r="L236" s="93"/>
      <c r="M236" s="93"/>
    </row>
    <row r="237" spans="1:13" ht="15" hidden="1" customHeight="1">
      <c r="A237" s="322">
        <v>197</v>
      </c>
      <c r="B237" s="322" t="s">
        <v>129</v>
      </c>
      <c r="C237" s="323">
        <f t="shared" si="51"/>
        <v>7304.3648500000008</v>
      </c>
      <c r="D237" s="323">
        <f t="shared" si="52"/>
        <v>24072.371941900001</v>
      </c>
      <c r="E237" s="323">
        <f t="shared" si="46"/>
        <v>0</v>
      </c>
      <c r="F237" s="324">
        <f t="shared" si="50"/>
        <v>0</v>
      </c>
      <c r="G237" s="322" t="s">
        <v>103</v>
      </c>
      <c r="H237" s="93"/>
      <c r="I237" s="412">
        <v>19304.227699999999</v>
      </c>
      <c r="J237" s="413">
        <f t="shared" si="49"/>
        <v>1.2470000000000001</v>
      </c>
      <c r="K237" s="412">
        <v>5857.55</v>
      </c>
      <c r="L237" s="93"/>
      <c r="M237" s="93"/>
    </row>
    <row r="238" spans="1:13" ht="15" hidden="1" customHeight="1">
      <c r="A238" s="322">
        <v>198</v>
      </c>
      <c r="B238" s="322" t="s">
        <v>129</v>
      </c>
      <c r="C238" s="323">
        <f t="shared" si="51"/>
        <v>27837.491790000004</v>
      </c>
      <c r="D238" s="323">
        <f t="shared" si="52"/>
        <v>58126.230060300004</v>
      </c>
      <c r="E238" s="323">
        <f t="shared" si="46"/>
        <v>0</v>
      </c>
      <c r="F238" s="324">
        <f t="shared" si="50"/>
        <v>0</v>
      </c>
      <c r="G238" s="322" t="s">
        <v>104</v>
      </c>
      <c r="H238" s="93"/>
      <c r="I238" s="412">
        <v>46612.854899999998</v>
      </c>
      <c r="J238" s="413">
        <f t="shared" si="49"/>
        <v>1.2470000000000001</v>
      </c>
      <c r="K238" s="412">
        <v>22323.57</v>
      </c>
      <c r="L238" s="93"/>
      <c r="M238" s="93"/>
    </row>
    <row r="239" spans="1:13" ht="15" hidden="1" customHeight="1">
      <c r="A239" s="322">
        <v>199</v>
      </c>
      <c r="B239" s="322" t="s">
        <v>129</v>
      </c>
      <c r="C239" s="323">
        <f t="shared" si="51"/>
        <v>103749.31511000001</v>
      </c>
      <c r="D239" s="323">
        <f t="shared" si="52"/>
        <v>283583.33300610003</v>
      </c>
      <c r="E239" s="323">
        <f t="shared" si="46"/>
        <v>0</v>
      </c>
      <c r="F239" s="324">
        <f t="shared" si="50"/>
        <v>0</v>
      </c>
      <c r="G239" s="322" t="s">
        <v>105</v>
      </c>
      <c r="H239" s="93"/>
      <c r="I239" s="412">
        <v>227412.45629999999</v>
      </c>
      <c r="J239" s="413">
        <f t="shared" si="49"/>
        <v>1.2470000000000001</v>
      </c>
      <c r="K239" s="412">
        <v>83199.13</v>
      </c>
      <c r="L239" s="93"/>
      <c r="M239" s="93"/>
    </row>
    <row r="240" spans="1:13" ht="15" hidden="1" customHeight="1">
      <c r="A240" s="322">
        <v>200</v>
      </c>
      <c r="B240" s="322" t="s">
        <v>129</v>
      </c>
      <c r="C240" s="323">
        <f t="shared" si="51"/>
        <v>30474.273290000001</v>
      </c>
      <c r="D240" s="323">
        <f t="shared" si="52"/>
        <v>63743.165109800007</v>
      </c>
      <c r="E240" s="323">
        <f t="shared" si="46"/>
        <v>0</v>
      </c>
      <c r="F240" s="324">
        <f t="shared" si="50"/>
        <v>0</v>
      </c>
      <c r="G240" s="322" t="s">
        <v>106</v>
      </c>
      <c r="H240" s="93"/>
      <c r="I240" s="412">
        <v>51117.213400000001</v>
      </c>
      <c r="J240" s="413">
        <f t="shared" si="49"/>
        <v>1.2470000000000001</v>
      </c>
      <c r="K240" s="412">
        <v>24438.07</v>
      </c>
      <c r="L240" s="93"/>
      <c r="M240" s="93"/>
    </row>
    <row r="241" spans="1:13" ht="15" hidden="1" customHeight="1">
      <c r="A241" s="322">
        <v>201</v>
      </c>
      <c r="B241" s="322" t="s">
        <v>129</v>
      </c>
      <c r="C241" s="323">
        <f t="shared" si="51"/>
        <v>82901.495250000007</v>
      </c>
      <c r="D241" s="323">
        <f t="shared" si="52"/>
        <v>271470.46121140005</v>
      </c>
      <c r="E241" s="323">
        <f t="shared" si="46"/>
        <v>0</v>
      </c>
      <c r="F241" s="324">
        <f t="shared" si="50"/>
        <v>0</v>
      </c>
      <c r="G241" s="322" t="s">
        <v>107</v>
      </c>
      <c r="H241" s="93"/>
      <c r="I241" s="412">
        <v>217698.8462</v>
      </c>
      <c r="J241" s="413">
        <f t="shared" si="49"/>
        <v>1.2470000000000001</v>
      </c>
      <c r="K241" s="412">
        <v>66480.75</v>
      </c>
      <c r="L241" s="93"/>
      <c r="M241" s="93"/>
    </row>
    <row r="242" spans="1:13" ht="15" hidden="1" customHeight="1">
      <c r="A242" s="322">
        <v>202</v>
      </c>
      <c r="B242" s="322" t="s">
        <v>129</v>
      </c>
      <c r="C242" s="323">
        <f t="shared" si="51"/>
        <v>200041.09636000003</v>
      </c>
      <c r="D242" s="323">
        <f t="shared" si="52"/>
        <v>530997.70934260008</v>
      </c>
      <c r="E242" s="323">
        <f t="shared" si="46"/>
        <v>0</v>
      </c>
      <c r="F242" s="324">
        <f t="shared" si="50"/>
        <v>0</v>
      </c>
      <c r="G242" s="322" t="s">
        <v>108</v>
      </c>
      <c r="H242" s="93"/>
      <c r="I242" s="412">
        <v>425820.13579999999</v>
      </c>
      <c r="J242" s="413">
        <f t="shared" si="49"/>
        <v>1.2470000000000001</v>
      </c>
      <c r="K242" s="412">
        <v>160417.88</v>
      </c>
      <c r="L242" s="93"/>
      <c r="M242" s="93"/>
    </row>
    <row r="243" spans="1:13" ht="15" hidden="1" customHeight="1">
      <c r="A243" s="322">
        <v>203</v>
      </c>
      <c r="B243" s="322" t="s">
        <v>129</v>
      </c>
      <c r="C243" s="323">
        <f t="shared" si="51"/>
        <v>323233.38607000001</v>
      </c>
      <c r="D243" s="323">
        <f t="shared" si="52"/>
        <v>569494.44328150013</v>
      </c>
      <c r="E243" s="323">
        <f t="shared" si="46"/>
        <v>0</v>
      </c>
      <c r="F243" s="324">
        <f t="shared" si="50"/>
        <v>0</v>
      </c>
      <c r="G243" s="322" t="s">
        <v>109</v>
      </c>
      <c r="H243" s="93"/>
      <c r="I243" s="412">
        <v>456691.61450000003</v>
      </c>
      <c r="J243" s="413">
        <f t="shared" si="49"/>
        <v>1.2470000000000001</v>
      </c>
      <c r="K243" s="412">
        <v>259208.81</v>
      </c>
      <c r="L243" s="93"/>
      <c r="M243" s="93"/>
    </row>
    <row r="244" spans="1:13" ht="15" hidden="1" customHeight="1">
      <c r="A244" s="322">
        <v>204</v>
      </c>
      <c r="B244" s="322" t="s">
        <v>129</v>
      </c>
      <c r="C244" s="323">
        <f t="shared" si="51"/>
        <v>105728.77797</v>
      </c>
      <c r="D244" s="323">
        <f t="shared" si="52"/>
        <v>247211.95431810003</v>
      </c>
      <c r="E244" s="323">
        <f t="shared" si="46"/>
        <v>0</v>
      </c>
      <c r="F244" s="324">
        <f t="shared" si="50"/>
        <v>0</v>
      </c>
      <c r="G244" s="322" t="s">
        <v>110</v>
      </c>
      <c r="H244" s="93"/>
      <c r="I244" s="412">
        <v>198245.3523</v>
      </c>
      <c r="J244" s="413">
        <f t="shared" si="49"/>
        <v>1.2470000000000001</v>
      </c>
      <c r="K244" s="412">
        <v>84786.51</v>
      </c>
      <c r="L244" s="93"/>
      <c r="M244" s="93"/>
    </row>
    <row r="245" spans="1:13" ht="15" hidden="1" customHeight="1">
      <c r="A245" s="322">
        <v>205</v>
      </c>
      <c r="B245" s="322" t="s">
        <v>129</v>
      </c>
      <c r="C245" s="323">
        <f t="shared" si="51"/>
        <v>141683.17981</v>
      </c>
      <c r="D245" s="323">
        <f t="shared" si="52"/>
        <v>248964.42938440002</v>
      </c>
      <c r="E245" s="323">
        <f t="shared" si="46"/>
        <v>0</v>
      </c>
      <c r="F245" s="324">
        <f t="shared" si="50"/>
        <v>0</v>
      </c>
      <c r="G245" s="322" t="s">
        <v>111</v>
      </c>
      <c r="H245" s="93"/>
      <c r="I245" s="412">
        <v>199650.7052</v>
      </c>
      <c r="J245" s="413">
        <f t="shared" si="49"/>
        <v>1.2470000000000001</v>
      </c>
      <c r="K245" s="412">
        <v>113619.23</v>
      </c>
      <c r="L245" s="93"/>
      <c r="M245" s="93"/>
    </row>
    <row r="246" spans="1:13" ht="15" hidden="1" customHeight="1">
      <c r="A246" s="322">
        <v>206</v>
      </c>
      <c r="B246" s="322" t="s">
        <v>129</v>
      </c>
      <c r="C246" s="323">
        <f t="shared" si="51"/>
        <v>218884.68794</v>
      </c>
      <c r="D246" s="323">
        <f t="shared" si="52"/>
        <v>395026.17996829998</v>
      </c>
      <c r="E246" s="323">
        <f t="shared" si="46"/>
        <v>0</v>
      </c>
      <c r="F246" s="324">
        <f t="shared" si="50"/>
        <v>0</v>
      </c>
      <c r="G246" s="322" t="s">
        <v>112</v>
      </c>
      <c r="H246" s="93"/>
      <c r="I246" s="412">
        <v>316781.21889999998</v>
      </c>
      <c r="J246" s="413">
        <f t="shared" si="49"/>
        <v>1.2470000000000001</v>
      </c>
      <c r="K246" s="412">
        <v>175529.02</v>
      </c>
      <c r="L246" s="93"/>
      <c r="M246" s="93"/>
    </row>
    <row r="247" spans="1:13" ht="15" hidden="1" customHeight="1">
      <c r="A247" s="322">
        <v>207</v>
      </c>
      <c r="B247" s="322" t="s">
        <v>129</v>
      </c>
      <c r="C247" s="323">
        <f t="shared" si="51"/>
        <v>271380.95629000006</v>
      </c>
      <c r="D247" s="323">
        <f t="shared" si="52"/>
        <v>507247.91123600001</v>
      </c>
      <c r="E247" s="323">
        <f t="shared" si="46"/>
        <v>0</v>
      </c>
      <c r="F247" s="324">
        <f t="shared" si="50"/>
        <v>0</v>
      </c>
      <c r="G247" s="322" t="s">
        <v>113</v>
      </c>
      <c r="H247" s="93"/>
      <c r="I247" s="412">
        <v>406774.58799999999</v>
      </c>
      <c r="J247" s="413">
        <f t="shared" si="49"/>
        <v>1.2470000000000001</v>
      </c>
      <c r="K247" s="412">
        <v>217627.07</v>
      </c>
      <c r="L247" s="93"/>
      <c r="M247" s="93"/>
    </row>
    <row r="248" spans="1:13" ht="15" hidden="1" customHeight="1">
      <c r="A248" s="322">
        <v>208</v>
      </c>
      <c r="B248" s="322" t="s">
        <v>129</v>
      </c>
      <c r="C248" s="323">
        <f t="shared" si="51"/>
        <v>428438.69838000002</v>
      </c>
      <c r="D248" s="323">
        <f t="shared" si="52"/>
        <v>545763.63424150005</v>
      </c>
      <c r="E248" s="323">
        <f t="shared" si="46"/>
        <v>0</v>
      </c>
      <c r="F248" s="324">
        <f t="shared" si="50"/>
        <v>0</v>
      </c>
      <c r="G248" s="322" t="s">
        <v>114</v>
      </c>
      <c r="H248" s="93"/>
      <c r="I248" s="412">
        <v>437661.29450000002</v>
      </c>
      <c r="J248" s="413">
        <f t="shared" si="49"/>
        <v>1.2470000000000001</v>
      </c>
      <c r="K248" s="412">
        <v>343575.54</v>
      </c>
      <c r="L248" s="93"/>
      <c r="M248" s="93"/>
    </row>
    <row r="249" spans="1:13" ht="15" hidden="1" customHeight="1">
      <c r="A249" s="322">
        <v>209</v>
      </c>
      <c r="B249" s="322" t="s">
        <v>129</v>
      </c>
      <c r="C249" s="323">
        <f t="shared" si="51"/>
        <v>404411.82660000003</v>
      </c>
      <c r="D249" s="323">
        <f t="shared" si="52"/>
        <v>731526.05723560008</v>
      </c>
      <c r="E249" s="323">
        <f t="shared" si="46"/>
        <v>0</v>
      </c>
      <c r="F249" s="324">
        <f t="shared" si="50"/>
        <v>0</v>
      </c>
      <c r="G249" s="322" t="s">
        <v>115</v>
      </c>
      <c r="H249" s="93"/>
      <c r="I249" s="412">
        <v>586628.7548</v>
      </c>
      <c r="J249" s="413">
        <f t="shared" si="49"/>
        <v>1.2470000000000001</v>
      </c>
      <c r="K249" s="412">
        <v>324307.8</v>
      </c>
      <c r="L249" s="93"/>
      <c r="M249" s="93"/>
    </row>
    <row r="250" spans="1:13" ht="15" hidden="1" customHeight="1">
      <c r="A250" s="322">
        <v>210</v>
      </c>
      <c r="B250" s="322" t="s">
        <v>129</v>
      </c>
      <c r="C250" s="323">
        <f t="shared" si="51"/>
        <v>641007.59319000004</v>
      </c>
      <c r="D250" s="323">
        <f t="shared" si="52"/>
        <v>970762.6145553001</v>
      </c>
      <c r="E250" s="323">
        <f t="shared" si="46"/>
        <v>0</v>
      </c>
      <c r="F250" s="324">
        <f t="shared" si="50"/>
        <v>0</v>
      </c>
      <c r="G250" s="322" t="s">
        <v>116</v>
      </c>
      <c r="H250" s="93"/>
      <c r="I250" s="412">
        <v>778478.4399</v>
      </c>
      <c r="J250" s="413">
        <f t="shared" si="49"/>
        <v>1.2470000000000001</v>
      </c>
      <c r="K250" s="412">
        <v>514039.77</v>
      </c>
      <c r="L250" s="93"/>
      <c r="M250" s="93"/>
    </row>
    <row r="251" spans="1:13" ht="15" hidden="1" customHeight="1">
      <c r="A251" s="322">
        <v>211</v>
      </c>
      <c r="B251" s="322" t="s">
        <v>95</v>
      </c>
      <c r="C251" s="323">
        <f t="shared" si="51"/>
        <v>183033.21799999999</v>
      </c>
      <c r="D251" s="323">
        <f t="shared" si="52"/>
        <v>369670.75541999994</v>
      </c>
      <c r="E251" s="323">
        <f t="shared" si="46"/>
        <v>0</v>
      </c>
      <c r="F251" s="324">
        <f>L14</f>
        <v>0</v>
      </c>
      <c r="G251" s="322" t="s">
        <v>96</v>
      </c>
      <c r="H251" s="93"/>
      <c r="I251" s="412">
        <v>321452.8308</v>
      </c>
      <c r="J251" s="413">
        <f t="shared" ref="J251:J271" si="53">IF(Aplicar_Escala=1,INDEX(Factor_Escala,11),1)</f>
        <v>1.1499999999999999</v>
      </c>
      <c r="K251" s="412">
        <v>159159.32</v>
      </c>
      <c r="L251" s="93"/>
      <c r="M251" s="93"/>
    </row>
    <row r="252" spans="1:13" ht="15" hidden="1" customHeight="1">
      <c r="A252" s="322">
        <v>212</v>
      </c>
      <c r="B252" s="322" t="s">
        <v>95</v>
      </c>
      <c r="C252" s="323">
        <f t="shared" si="51"/>
        <v>538893.49599999993</v>
      </c>
      <c r="D252" s="323">
        <f t="shared" si="52"/>
        <v>1021380.1796999999</v>
      </c>
      <c r="E252" s="323">
        <f t="shared" si="46"/>
        <v>0</v>
      </c>
      <c r="F252" s="324">
        <f t="shared" ref="F252:F271" si="54">L15</f>
        <v>0</v>
      </c>
      <c r="G252" s="322" t="s">
        <v>97</v>
      </c>
      <c r="H252" s="93"/>
      <c r="I252" s="412">
        <v>888156.67799999996</v>
      </c>
      <c r="J252" s="413">
        <f t="shared" si="53"/>
        <v>1.1499999999999999</v>
      </c>
      <c r="K252" s="412">
        <v>468603.04</v>
      </c>
      <c r="L252" s="93"/>
      <c r="M252" s="93"/>
    </row>
    <row r="253" spans="1:13" ht="15" hidden="1" customHeight="1">
      <c r="A253" s="322">
        <v>213</v>
      </c>
      <c r="B253" s="322" t="s">
        <v>95</v>
      </c>
      <c r="C253" s="323">
        <f t="shared" si="51"/>
        <v>128549.71399999999</v>
      </c>
      <c r="D253" s="323">
        <f t="shared" si="52"/>
        <v>479584.14280999993</v>
      </c>
      <c r="E253" s="323">
        <f t="shared" si="46"/>
        <v>0</v>
      </c>
      <c r="F253" s="324">
        <f t="shared" si="54"/>
        <v>0</v>
      </c>
      <c r="G253" s="322" t="s">
        <v>98</v>
      </c>
      <c r="H253" s="93"/>
      <c r="I253" s="412">
        <v>417029.68939999997</v>
      </c>
      <c r="J253" s="413">
        <f t="shared" si="53"/>
        <v>1.1499999999999999</v>
      </c>
      <c r="K253" s="412">
        <v>111782.36</v>
      </c>
      <c r="L253" s="93"/>
      <c r="M253" s="93"/>
    </row>
    <row r="254" spans="1:13" ht="15" hidden="1" customHeight="1">
      <c r="A254" s="322">
        <v>214</v>
      </c>
      <c r="B254" s="322" t="s">
        <v>95</v>
      </c>
      <c r="C254" s="323">
        <f t="shared" si="51"/>
        <v>44542.938499999997</v>
      </c>
      <c r="D254" s="323">
        <f t="shared" si="52"/>
        <v>121064.96912999998</v>
      </c>
      <c r="E254" s="323">
        <f t="shared" si="46"/>
        <v>0</v>
      </c>
      <c r="F254" s="324">
        <f t="shared" si="54"/>
        <v>0</v>
      </c>
      <c r="G254" s="322" t="s">
        <v>99</v>
      </c>
      <c r="H254" s="93"/>
      <c r="I254" s="412">
        <v>105273.88619999999</v>
      </c>
      <c r="J254" s="413">
        <f t="shared" si="53"/>
        <v>1.1499999999999999</v>
      </c>
      <c r="K254" s="412">
        <v>38732.99</v>
      </c>
      <c r="L254" s="93"/>
      <c r="M254" s="93"/>
    </row>
    <row r="255" spans="1:13" ht="15" hidden="1" customHeight="1">
      <c r="A255" s="322">
        <v>215</v>
      </c>
      <c r="B255" s="322" t="s">
        <v>95</v>
      </c>
      <c r="C255" s="323">
        <f t="shared" si="51"/>
        <v>61514.822499999995</v>
      </c>
      <c r="D255" s="323">
        <f t="shared" si="52"/>
        <v>176935.68466499998</v>
      </c>
      <c r="E255" s="323">
        <f t="shared" ref="E255:E271" si="55">D255*F255</f>
        <v>0</v>
      </c>
      <c r="F255" s="324">
        <f t="shared" si="54"/>
        <v>0</v>
      </c>
      <c r="G255" s="322" t="s">
        <v>100</v>
      </c>
      <c r="H255" s="93"/>
      <c r="I255" s="412">
        <v>153857.1171</v>
      </c>
      <c r="J255" s="413">
        <f t="shared" si="53"/>
        <v>1.1499999999999999</v>
      </c>
      <c r="K255" s="412">
        <v>53491.15</v>
      </c>
      <c r="L255" s="93"/>
      <c r="M255" s="93"/>
    </row>
    <row r="256" spans="1:13" ht="15" hidden="1" customHeight="1">
      <c r="A256" s="322">
        <v>216</v>
      </c>
      <c r="B256" s="322" t="s">
        <v>95</v>
      </c>
      <c r="C256" s="323">
        <f t="shared" si="51"/>
        <v>135793.47199999998</v>
      </c>
      <c r="D256" s="323">
        <f t="shared" si="52"/>
        <v>417652.72349499993</v>
      </c>
      <c r="E256" s="323">
        <f t="shared" si="55"/>
        <v>0</v>
      </c>
      <c r="F256" s="324">
        <f t="shared" si="54"/>
        <v>0</v>
      </c>
      <c r="G256" s="322" t="s">
        <v>101</v>
      </c>
      <c r="H256" s="93"/>
      <c r="I256" s="412">
        <v>363176.28129999997</v>
      </c>
      <c r="J256" s="413">
        <f t="shared" si="53"/>
        <v>1.1499999999999999</v>
      </c>
      <c r="K256" s="412">
        <v>118081.28</v>
      </c>
      <c r="L256" s="93"/>
      <c r="M256" s="93"/>
    </row>
    <row r="257" spans="1:13" ht="15" hidden="1" customHeight="1">
      <c r="A257" s="322">
        <v>217</v>
      </c>
      <c r="B257" s="322" t="s">
        <v>95</v>
      </c>
      <c r="C257" s="323">
        <f t="shared" si="51"/>
        <v>35896.076999999997</v>
      </c>
      <c r="D257" s="323">
        <f t="shared" si="52"/>
        <v>101332.84960999999</v>
      </c>
      <c r="E257" s="323">
        <f t="shared" si="55"/>
        <v>0</v>
      </c>
      <c r="F257" s="324">
        <f t="shared" si="54"/>
        <v>0</v>
      </c>
      <c r="G257" s="322" t="s">
        <v>102</v>
      </c>
      <c r="H257" s="93"/>
      <c r="I257" s="412">
        <v>88115.521399999998</v>
      </c>
      <c r="J257" s="413">
        <f t="shared" si="53"/>
        <v>1.1499999999999999</v>
      </c>
      <c r="K257" s="412">
        <v>31213.98</v>
      </c>
      <c r="L257" s="93"/>
      <c r="M257" s="93"/>
    </row>
    <row r="258" spans="1:13" ht="15" hidden="1" customHeight="1">
      <c r="A258" s="322">
        <v>218</v>
      </c>
      <c r="B258" s="322" t="s">
        <v>95</v>
      </c>
      <c r="C258" s="323">
        <f t="shared" si="51"/>
        <v>73895.722499999989</v>
      </c>
      <c r="D258" s="323">
        <f t="shared" si="52"/>
        <v>282986.78647499997</v>
      </c>
      <c r="E258" s="323">
        <f t="shared" si="55"/>
        <v>0</v>
      </c>
      <c r="F258" s="324">
        <f t="shared" si="54"/>
        <v>0</v>
      </c>
      <c r="G258" s="322" t="s">
        <v>103</v>
      </c>
      <c r="H258" s="93"/>
      <c r="I258" s="412">
        <v>246075.46650000001</v>
      </c>
      <c r="J258" s="413">
        <f t="shared" si="53"/>
        <v>1.1499999999999999</v>
      </c>
      <c r="K258" s="412">
        <v>64257.15</v>
      </c>
      <c r="L258" s="93"/>
      <c r="M258" s="93"/>
    </row>
    <row r="259" spans="1:13" ht="15" hidden="1" customHeight="1">
      <c r="A259" s="322">
        <v>219</v>
      </c>
      <c r="B259" s="322" t="s">
        <v>95</v>
      </c>
      <c r="C259" s="323">
        <f t="shared" si="51"/>
        <v>59323.842499999992</v>
      </c>
      <c r="D259" s="323">
        <f t="shared" si="52"/>
        <v>152251.47619999998</v>
      </c>
      <c r="E259" s="323">
        <f t="shared" si="55"/>
        <v>0</v>
      </c>
      <c r="F259" s="324">
        <f t="shared" si="54"/>
        <v>0</v>
      </c>
      <c r="G259" s="322" t="s">
        <v>104</v>
      </c>
      <c r="H259" s="93"/>
      <c r="I259" s="412">
        <v>132392.58799999999</v>
      </c>
      <c r="J259" s="413">
        <f t="shared" si="53"/>
        <v>1.1499999999999999</v>
      </c>
      <c r="K259" s="412">
        <v>51585.95</v>
      </c>
      <c r="L259" s="93"/>
      <c r="M259" s="93"/>
    </row>
    <row r="260" spans="1:13" ht="15" hidden="1" customHeight="1">
      <c r="A260" s="322">
        <v>220</v>
      </c>
      <c r="B260" s="322" t="s">
        <v>95</v>
      </c>
      <c r="C260" s="323">
        <f t="shared" si="51"/>
        <v>199345.24349999998</v>
      </c>
      <c r="D260" s="323">
        <f t="shared" si="52"/>
        <v>639925.73503500002</v>
      </c>
      <c r="E260" s="323">
        <f t="shared" si="55"/>
        <v>0</v>
      </c>
      <c r="F260" s="324">
        <f t="shared" si="54"/>
        <v>0</v>
      </c>
      <c r="G260" s="322" t="s">
        <v>105</v>
      </c>
      <c r="H260" s="93"/>
      <c r="I260" s="412">
        <v>556457.16090000002</v>
      </c>
      <c r="J260" s="413">
        <f t="shared" si="53"/>
        <v>1.1499999999999999</v>
      </c>
      <c r="K260" s="412">
        <v>173343.69</v>
      </c>
      <c r="L260" s="93"/>
      <c r="M260" s="93"/>
    </row>
    <row r="261" spans="1:13" ht="15" hidden="1" customHeight="1">
      <c r="A261" s="322">
        <v>221</v>
      </c>
      <c r="B261" s="322" t="s">
        <v>95</v>
      </c>
      <c r="C261" s="323">
        <f t="shared" si="51"/>
        <v>48521.650999999991</v>
      </c>
      <c r="D261" s="323">
        <f t="shared" si="52"/>
        <v>122604.97369</v>
      </c>
      <c r="E261" s="323">
        <f t="shared" si="55"/>
        <v>0</v>
      </c>
      <c r="F261" s="324">
        <f t="shared" si="54"/>
        <v>0</v>
      </c>
      <c r="G261" s="322" t="s">
        <v>106</v>
      </c>
      <c r="H261" s="93"/>
      <c r="I261" s="412">
        <v>106613.0206</v>
      </c>
      <c r="J261" s="413">
        <f t="shared" si="53"/>
        <v>1.1499999999999999</v>
      </c>
      <c r="K261" s="412">
        <v>42192.74</v>
      </c>
      <c r="L261" s="93"/>
      <c r="M261" s="93"/>
    </row>
    <row r="262" spans="1:13" ht="15" hidden="1" customHeight="1">
      <c r="A262" s="322">
        <v>222</v>
      </c>
      <c r="B262" s="322" t="s">
        <v>95</v>
      </c>
      <c r="C262" s="323">
        <f t="shared" si="51"/>
        <v>168525.91049999997</v>
      </c>
      <c r="D262" s="323">
        <f t="shared" si="52"/>
        <v>443978.12179999991</v>
      </c>
      <c r="E262" s="323">
        <f t="shared" si="55"/>
        <v>0</v>
      </c>
      <c r="F262" s="324">
        <f t="shared" si="54"/>
        <v>0</v>
      </c>
      <c r="G262" s="322" t="s">
        <v>107</v>
      </c>
      <c r="H262" s="93"/>
      <c r="I262" s="412">
        <v>386067.93199999997</v>
      </c>
      <c r="J262" s="413">
        <f t="shared" si="53"/>
        <v>1.1499999999999999</v>
      </c>
      <c r="K262" s="412">
        <v>146544.26999999999</v>
      </c>
      <c r="L262" s="93"/>
      <c r="M262" s="93"/>
    </row>
    <row r="263" spans="1:13" ht="15" hidden="1" customHeight="1">
      <c r="A263" s="322">
        <v>223</v>
      </c>
      <c r="B263" s="322" t="s">
        <v>95</v>
      </c>
      <c r="C263" s="323">
        <f t="shared" si="51"/>
        <v>385499.67649999994</v>
      </c>
      <c r="D263" s="323">
        <f t="shared" si="52"/>
        <v>962327.55987</v>
      </c>
      <c r="E263" s="323">
        <f t="shared" si="55"/>
        <v>0</v>
      </c>
      <c r="F263" s="324">
        <f t="shared" si="54"/>
        <v>0</v>
      </c>
      <c r="G263" s="322" t="s">
        <v>108</v>
      </c>
      <c r="H263" s="93"/>
      <c r="I263" s="412">
        <v>836806.57380000001</v>
      </c>
      <c r="J263" s="413">
        <f t="shared" si="53"/>
        <v>1.1499999999999999</v>
      </c>
      <c r="K263" s="412">
        <v>335217.11</v>
      </c>
      <c r="L263" s="93"/>
      <c r="M263" s="93"/>
    </row>
    <row r="264" spans="1:13" ht="15" hidden="1" customHeight="1">
      <c r="A264" s="322">
        <v>224</v>
      </c>
      <c r="B264" s="322" t="s">
        <v>95</v>
      </c>
      <c r="C264" s="323">
        <f t="shared" si="51"/>
        <v>766363.81799999985</v>
      </c>
      <c r="D264" s="323">
        <f t="shared" si="52"/>
        <v>1297100.5630649999</v>
      </c>
      <c r="E264" s="323">
        <f t="shared" si="55"/>
        <v>0</v>
      </c>
      <c r="F264" s="324">
        <f t="shared" si="54"/>
        <v>0</v>
      </c>
      <c r="G264" s="322" t="s">
        <v>109</v>
      </c>
      <c r="H264" s="93"/>
      <c r="I264" s="412">
        <v>1127913.5330999999</v>
      </c>
      <c r="J264" s="413">
        <f t="shared" si="53"/>
        <v>1.1499999999999999</v>
      </c>
      <c r="K264" s="412">
        <v>666403.31999999995</v>
      </c>
      <c r="L264" s="93"/>
      <c r="M264" s="93"/>
    </row>
    <row r="265" spans="1:13" ht="15" hidden="1" customHeight="1">
      <c r="A265" s="322">
        <v>225</v>
      </c>
      <c r="B265" s="322" t="s">
        <v>95</v>
      </c>
      <c r="C265" s="323">
        <f t="shared" si="51"/>
        <v>331245.75849999994</v>
      </c>
      <c r="D265" s="323">
        <f t="shared" si="52"/>
        <v>741813.47907999996</v>
      </c>
      <c r="E265" s="323">
        <f t="shared" si="55"/>
        <v>0</v>
      </c>
      <c r="F265" s="324">
        <f t="shared" si="54"/>
        <v>0</v>
      </c>
      <c r="G265" s="322" t="s">
        <v>110</v>
      </c>
      <c r="H265" s="93"/>
      <c r="I265" s="412">
        <v>645055.19920000003</v>
      </c>
      <c r="J265" s="413">
        <f t="shared" si="53"/>
        <v>1.1499999999999999</v>
      </c>
      <c r="K265" s="412">
        <v>288039.78999999998</v>
      </c>
      <c r="L265" s="93"/>
      <c r="M265" s="93"/>
    </row>
    <row r="266" spans="1:13" ht="15" hidden="1" customHeight="1">
      <c r="A266" s="322">
        <v>226</v>
      </c>
      <c r="B266" s="322" t="s">
        <v>95</v>
      </c>
      <c r="C266" s="323">
        <f t="shared" si="51"/>
        <v>169138.46949999998</v>
      </c>
      <c r="D266" s="323">
        <f t="shared" si="52"/>
        <v>339818.11748000002</v>
      </c>
      <c r="E266" s="323">
        <f t="shared" si="55"/>
        <v>0</v>
      </c>
      <c r="F266" s="324">
        <f t="shared" si="54"/>
        <v>0</v>
      </c>
      <c r="G266" s="322" t="s">
        <v>111</v>
      </c>
      <c r="H266" s="93"/>
      <c r="I266" s="412">
        <v>295494.01520000002</v>
      </c>
      <c r="J266" s="413">
        <f t="shared" si="53"/>
        <v>1.1499999999999999</v>
      </c>
      <c r="K266" s="412">
        <v>147076.93</v>
      </c>
      <c r="L266" s="93"/>
      <c r="M266" s="93"/>
    </row>
    <row r="267" spans="1:13" ht="15" hidden="1" customHeight="1">
      <c r="A267" s="322">
        <v>227</v>
      </c>
      <c r="B267" s="322" t="s">
        <v>95</v>
      </c>
      <c r="C267" s="323">
        <f t="shared" si="51"/>
        <v>248741.56149999998</v>
      </c>
      <c r="D267" s="323">
        <f t="shared" si="52"/>
        <v>472580.76689499995</v>
      </c>
      <c r="E267" s="323">
        <f t="shared" si="55"/>
        <v>0</v>
      </c>
      <c r="F267" s="324">
        <f t="shared" si="54"/>
        <v>0</v>
      </c>
      <c r="G267" s="322" t="s">
        <v>112</v>
      </c>
      <c r="H267" s="93"/>
      <c r="I267" s="412">
        <v>410939.79729999998</v>
      </c>
      <c r="J267" s="413">
        <f t="shared" si="53"/>
        <v>1.1499999999999999</v>
      </c>
      <c r="K267" s="412">
        <v>216297.01</v>
      </c>
      <c r="L267" s="93"/>
      <c r="M267" s="93"/>
    </row>
    <row r="268" spans="1:13" ht="15" hidden="1" customHeight="1">
      <c r="A268" s="322">
        <v>228</v>
      </c>
      <c r="B268" s="322" t="s">
        <v>95</v>
      </c>
      <c r="C268" s="323">
        <f t="shared" si="51"/>
        <v>358303.76349999994</v>
      </c>
      <c r="D268" s="323">
        <f t="shared" si="52"/>
        <v>604252.43212499993</v>
      </c>
      <c r="E268" s="323">
        <f t="shared" si="55"/>
        <v>0</v>
      </c>
      <c r="F268" s="324">
        <f t="shared" si="54"/>
        <v>0</v>
      </c>
      <c r="G268" s="322" t="s">
        <v>113</v>
      </c>
      <c r="H268" s="93"/>
      <c r="I268" s="412">
        <v>525436.89749999996</v>
      </c>
      <c r="J268" s="413">
        <f t="shared" si="53"/>
        <v>1.1499999999999999</v>
      </c>
      <c r="K268" s="412">
        <v>311568.49</v>
      </c>
      <c r="L268" s="93"/>
      <c r="M268" s="93"/>
    </row>
    <row r="269" spans="1:13" ht="15" hidden="1" customHeight="1">
      <c r="A269" s="322">
        <v>229</v>
      </c>
      <c r="B269" s="322" t="s">
        <v>95</v>
      </c>
      <c r="C269" s="323">
        <f t="shared" si="51"/>
        <v>575116.75950000004</v>
      </c>
      <c r="D269" s="323">
        <f t="shared" si="52"/>
        <v>763186.48035499989</v>
      </c>
      <c r="E269" s="323">
        <f t="shared" si="55"/>
        <v>0</v>
      </c>
      <c r="F269" s="324">
        <f t="shared" si="54"/>
        <v>0</v>
      </c>
      <c r="G269" s="322" t="s">
        <v>114</v>
      </c>
      <c r="H269" s="93"/>
      <c r="I269" s="412">
        <v>663640.41769999999</v>
      </c>
      <c r="J269" s="413">
        <f t="shared" si="53"/>
        <v>1.1499999999999999</v>
      </c>
      <c r="K269" s="412">
        <v>500101.53</v>
      </c>
      <c r="L269" s="93"/>
      <c r="M269" s="93"/>
    </row>
    <row r="270" spans="1:13" ht="15" hidden="1" customHeight="1">
      <c r="A270" s="322">
        <v>230</v>
      </c>
      <c r="B270" s="322" t="s">
        <v>95</v>
      </c>
      <c r="C270" s="323">
        <f t="shared" si="51"/>
        <v>446995.65049999999</v>
      </c>
      <c r="D270" s="323">
        <f t="shared" si="52"/>
        <v>786865.35766999994</v>
      </c>
      <c r="E270" s="323">
        <f t="shared" si="55"/>
        <v>0</v>
      </c>
      <c r="F270" s="324">
        <f t="shared" si="54"/>
        <v>0</v>
      </c>
      <c r="G270" s="322" t="s">
        <v>115</v>
      </c>
      <c r="H270" s="93"/>
      <c r="I270" s="412">
        <v>684230.74580000003</v>
      </c>
      <c r="J270" s="413">
        <f t="shared" si="53"/>
        <v>1.1499999999999999</v>
      </c>
      <c r="K270" s="412">
        <v>388691.87</v>
      </c>
      <c r="L270" s="93"/>
      <c r="M270" s="93"/>
    </row>
    <row r="271" spans="1:13" ht="15" hidden="1" customHeight="1">
      <c r="A271" s="322">
        <v>231</v>
      </c>
      <c r="B271" s="322" t="s">
        <v>95</v>
      </c>
      <c r="C271" s="323">
        <f t="shared" si="51"/>
        <v>1161538.203</v>
      </c>
      <c r="D271" s="323">
        <f t="shared" si="52"/>
        <v>1702232.5686399997</v>
      </c>
      <c r="E271" s="323">
        <f t="shared" si="55"/>
        <v>0</v>
      </c>
      <c r="F271" s="324">
        <f t="shared" si="54"/>
        <v>0</v>
      </c>
      <c r="G271" s="322" t="s">
        <v>116</v>
      </c>
      <c r="H271" s="93"/>
      <c r="I271" s="412">
        <v>1480202.2335999999</v>
      </c>
      <c r="J271" s="413">
        <f t="shared" si="53"/>
        <v>1.1499999999999999</v>
      </c>
      <c r="K271" s="412">
        <v>1010033.22</v>
      </c>
      <c r="L271" s="93"/>
      <c r="M271" s="93"/>
    </row>
    <row r="272" spans="1:13" ht="15" customHeight="1">
      <c r="C272" s="17"/>
      <c r="D272" s="17"/>
      <c r="E272" s="17"/>
      <c r="F272" s="170"/>
      <c r="H272" s="93"/>
      <c r="I272" s="93"/>
      <c r="J272" s="93"/>
      <c r="K272" s="93"/>
      <c r="L272" s="93"/>
      <c r="M272" s="93"/>
    </row>
    <row r="273" spans="3:13" ht="15" customHeight="1">
      <c r="C273" s="17"/>
      <c r="D273" s="17"/>
      <c r="E273" s="17"/>
      <c r="F273" s="170"/>
      <c r="H273" s="93"/>
      <c r="I273" s="93"/>
      <c r="J273" s="93"/>
      <c r="K273" s="93"/>
      <c r="L273" s="93"/>
      <c r="M273" s="93"/>
    </row>
    <row r="274" spans="3:13" ht="15" customHeight="1">
      <c r="C274" s="17"/>
      <c r="D274" s="17"/>
      <c r="E274" s="17"/>
      <c r="F274" s="170"/>
      <c r="H274" s="93"/>
      <c r="I274" s="93"/>
      <c r="J274" s="93"/>
      <c r="K274" s="93"/>
      <c r="L274" s="93"/>
      <c r="M274" s="93"/>
    </row>
    <row r="275" spans="3:13" ht="15" customHeight="1">
      <c r="C275" s="17"/>
      <c r="D275" s="17"/>
      <c r="E275" s="17"/>
      <c r="F275" s="170"/>
      <c r="H275" s="93"/>
      <c r="I275" s="93"/>
      <c r="J275" s="93"/>
      <c r="K275" s="93"/>
      <c r="L275" s="93"/>
      <c r="M275" s="93"/>
    </row>
    <row r="276" spans="3:13" ht="15" customHeight="1">
      <c r="C276" s="17"/>
      <c r="D276" s="17"/>
      <c r="E276" s="17"/>
      <c r="F276" s="170"/>
      <c r="H276" s="93"/>
      <c r="I276" s="93"/>
      <c r="J276" s="93"/>
      <c r="K276" s="93"/>
      <c r="L276" s="93"/>
      <c r="M276" s="93"/>
    </row>
    <row r="277" spans="3:13" ht="15" customHeight="1">
      <c r="C277" s="17"/>
      <c r="D277" s="17"/>
      <c r="E277" s="17"/>
      <c r="F277" s="170"/>
      <c r="H277" s="93"/>
      <c r="I277" s="93"/>
      <c r="J277" s="93"/>
      <c r="K277" s="93"/>
      <c r="L277" s="93"/>
      <c r="M277" s="93"/>
    </row>
    <row r="278" spans="3:13" ht="15" customHeight="1">
      <c r="C278" s="17"/>
      <c r="D278" s="17"/>
      <c r="E278" s="17"/>
      <c r="F278" s="170"/>
      <c r="H278" s="93"/>
      <c r="I278" s="93"/>
      <c r="J278" s="93"/>
      <c r="K278" s="93"/>
      <c r="L278" s="93"/>
      <c r="M278" s="93"/>
    </row>
    <row r="279" spans="3:13" ht="15" customHeight="1">
      <c r="C279" s="17"/>
      <c r="D279" s="17"/>
      <c r="E279" s="17"/>
      <c r="F279" s="170"/>
      <c r="H279" s="93"/>
      <c r="I279" s="93"/>
      <c r="J279" s="93"/>
      <c r="K279" s="93"/>
      <c r="L279" s="93"/>
      <c r="M279" s="93"/>
    </row>
    <row r="280" spans="3:13" ht="15" customHeight="1">
      <c r="C280" s="17"/>
      <c r="D280" s="17"/>
      <c r="E280" s="17"/>
      <c r="F280" s="170"/>
      <c r="H280" s="93"/>
      <c r="I280" s="93"/>
      <c r="J280" s="93"/>
      <c r="K280" s="93"/>
      <c r="L280" s="93"/>
      <c r="M280" s="93"/>
    </row>
    <row r="281" spans="3:13" ht="15" customHeight="1">
      <c r="C281" s="17"/>
      <c r="D281" s="17"/>
      <c r="E281" s="17"/>
      <c r="F281" s="170"/>
      <c r="H281" s="93"/>
      <c r="I281" s="93"/>
      <c r="J281" s="93"/>
      <c r="K281" s="93"/>
      <c r="L281" s="93"/>
      <c r="M281" s="93"/>
    </row>
    <row r="282" spans="3:13" ht="15" customHeight="1">
      <c r="C282" s="17"/>
      <c r="D282" s="17"/>
      <c r="E282" s="17"/>
      <c r="F282" s="170"/>
      <c r="H282" s="93"/>
      <c r="I282" s="93"/>
      <c r="J282" s="93"/>
      <c r="K282" s="93"/>
      <c r="L282" s="93"/>
      <c r="M282" s="93"/>
    </row>
    <row r="283" spans="3:13" ht="15" customHeight="1">
      <c r="C283" s="17"/>
      <c r="D283" s="17"/>
      <c r="E283" s="17"/>
      <c r="F283" s="170"/>
      <c r="H283" s="93"/>
      <c r="I283" s="93"/>
      <c r="J283" s="93"/>
      <c r="K283" s="93"/>
      <c r="L283" s="93"/>
      <c r="M283" s="93"/>
    </row>
    <row r="284" spans="3:13" ht="15" customHeight="1">
      <c r="C284" s="17"/>
      <c r="D284" s="17"/>
      <c r="E284" s="17"/>
      <c r="F284" s="170"/>
      <c r="H284" s="93"/>
      <c r="I284" s="93"/>
      <c r="J284" s="93"/>
      <c r="K284" s="93"/>
      <c r="L284" s="93"/>
      <c r="M284" s="93"/>
    </row>
    <row r="285" spans="3:13" ht="15" customHeight="1">
      <c r="C285" s="17"/>
      <c r="D285" s="17"/>
      <c r="E285" s="17"/>
      <c r="F285" s="170"/>
      <c r="H285" s="93"/>
      <c r="I285" s="93"/>
      <c r="J285" s="93"/>
      <c r="K285" s="93"/>
      <c r="L285" s="93"/>
      <c r="M285" s="93"/>
    </row>
    <row r="286" spans="3:13" ht="15" customHeight="1">
      <c r="C286" s="17"/>
      <c r="D286" s="17"/>
      <c r="E286" s="17"/>
      <c r="F286" s="170"/>
      <c r="H286" s="93"/>
      <c r="I286" s="93"/>
      <c r="J286" s="93"/>
      <c r="K286" s="93"/>
      <c r="L286" s="93"/>
      <c r="M286" s="93"/>
    </row>
    <row r="287" spans="3:13" ht="15" customHeight="1">
      <c r="C287" s="17"/>
      <c r="D287" s="17"/>
      <c r="E287" s="17"/>
      <c r="F287" s="170"/>
      <c r="H287" s="93"/>
      <c r="I287" s="93"/>
      <c r="J287" s="93"/>
      <c r="K287" s="93"/>
      <c r="L287" s="93"/>
      <c r="M287" s="93"/>
    </row>
    <row r="288" spans="3:13" ht="15" customHeight="1">
      <c r="C288" s="17"/>
      <c r="D288" s="17"/>
      <c r="E288" s="17"/>
      <c r="F288" s="170"/>
      <c r="H288" s="93"/>
      <c r="I288" s="93"/>
      <c r="J288" s="93"/>
      <c r="K288" s="93"/>
      <c r="L288" s="93"/>
      <c r="M288" s="93"/>
    </row>
    <row r="289" spans="3:13" ht="15" customHeight="1">
      <c r="C289" s="17"/>
      <c r="D289" s="17"/>
      <c r="E289" s="17"/>
      <c r="F289" s="170"/>
      <c r="H289" s="93"/>
      <c r="I289" s="93"/>
      <c r="J289" s="93"/>
      <c r="K289" s="93"/>
      <c r="L289" s="93"/>
      <c r="M289" s="93"/>
    </row>
    <row r="290" spans="3:13" ht="15" customHeight="1">
      <c r="C290" s="17"/>
      <c r="D290" s="17"/>
      <c r="E290" s="17"/>
      <c r="F290" s="170"/>
      <c r="H290" s="93"/>
      <c r="I290" s="93"/>
      <c r="J290" s="93"/>
      <c r="K290" s="93"/>
      <c r="L290" s="93"/>
      <c r="M290" s="93"/>
    </row>
    <row r="291" spans="3:13" ht="15" customHeight="1">
      <c r="C291" s="17"/>
      <c r="D291" s="17"/>
      <c r="E291" s="17"/>
      <c r="F291" s="170"/>
      <c r="H291" s="93"/>
      <c r="I291" s="93"/>
      <c r="J291" s="93"/>
      <c r="K291" s="93"/>
      <c r="L291" s="93"/>
      <c r="M291" s="93"/>
    </row>
    <row r="292" spans="3:13" ht="15" customHeight="1">
      <c r="C292" s="17"/>
      <c r="D292" s="17"/>
      <c r="E292" s="17"/>
      <c r="F292" s="170"/>
      <c r="H292" s="93"/>
      <c r="I292" s="93"/>
      <c r="J292" s="93"/>
      <c r="K292" s="93"/>
      <c r="L292" s="93"/>
      <c r="M292" s="93"/>
    </row>
    <row r="293" spans="3:13" ht="15" customHeight="1">
      <c r="C293" s="17"/>
      <c r="D293" s="17"/>
      <c r="E293" s="17"/>
      <c r="F293" s="170"/>
      <c r="H293" s="93"/>
      <c r="I293" s="93"/>
      <c r="J293" s="93"/>
      <c r="K293" s="93"/>
      <c r="L293" s="93"/>
      <c r="M293" s="93"/>
    </row>
    <row r="294" spans="3:13" ht="15" customHeight="1">
      <c r="C294" s="17"/>
      <c r="D294" s="17"/>
      <c r="E294" s="17"/>
      <c r="F294" s="170"/>
      <c r="H294" s="93"/>
      <c r="I294" s="93"/>
      <c r="J294" s="93"/>
      <c r="K294" s="93"/>
      <c r="L294" s="93"/>
      <c r="M294" s="93"/>
    </row>
    <row r="295" spans="3:13" ht="15" customHeight="1">
      <c r="C295" s="17"/>
      <c r="D295" s="17"/>
      <c r="E295" s="17"/>
      <c r="F295" s="170"/>
      <c r="H295" s="93"/>
      <c r="I295" s="93"/>
      <c r="J295" s="93"/>
      <c r="K295" s="93"/>
      <c r="L295" s="93"/>
      <c r="M295" s="93"/>
    </row>
    <row r="296" spans="3:13" ht="15" customHeight="1">
      <c r="C296" s="17"/>
      <c r="D296" s="17"/>
      <c r="E296" s="17"/>
      <c r="F296" s="170"/>
      <c r="H296" s="93"/>
      <c r="I296" s="93"/>
      <c r="J296" s="93"/>
      <c r="K296" s="93"/>
      <c r="L296" s="93"/>
      <c r="M296" s="93"/>
    </row>
    <row r="297" spans="3:13" ht="15" customHeight="1">
      <c r="C297" s="17"/>
      <c r="D297" s="17"/>
      <c r="E297" s="17"/>
      <c r="F297" s="170"/>
      <c r="H297" s="93"/>
      <c r="I297" s="93"/>
      <c r="J297" s="93"/>
      <c r="K297" s="93"/>
      <c r="L297" s="93"/>
      <c r="M297" s="93"/>
    </row>
    <row r="298" spans="3:13" ht="15" customHeight="1">
      <c r="C298" s="17"/>
      <c r="D298" s="17"/>
      <c r="E298" s="17"/>
      <c r="F298" s="170"/>
      <c r="H298" s="93"/>
      <c r="I298" s="93"/>
      <c r="J298" s="93"/>
      <c r="K298" s="93"/>
      <c r="L298" s="93"/>
      <c r="M298" s="93"/>
    </row>
    <row r="299" spans="3:13" ht="15" customHeight="1">
      <c r="C299" s="17"/>
      <c r="D299" s="17"/>
      <c r="E299" s="17"/>
      <c r="F299" s="170"/>
      <c r="H299" s="93"/>
      <c r="I299" s="93"/>
      <c r="J299" s="93"/>
      <c r="K299" s="93"/>
      <c r="L299" s="93"/>
      <c r="M299" s="93"/>
    </row>
    <row r="300" spans="3:13" ht="15" customHeight="1">
      <c r="C300" s="17"/>
      <c r="D300" s="17"/>
      <c r="E300" s="17"/>
      <c r="F300" s="170"/>
      <c r="H300" s="93"/>
      <c r="I300" s="93"/>
      <c r="J300" s="93"/>
      <c r="K300" s="93"/>
      <c r="L300" s="93"/>
      <c r="M300" s="93"/>
    </row>
    <row r="301" spans="3:13" ht="15" customHeight="1">
      <c r="C301" s="17"/>
      <c r="D301" s="17"/>
      <c r="E301" s="17"/>
      <c r="F301" s="170"/>
      <c r="H301" s="93"/>
      <c r="I301" s="93"/>
      <c r="J301" s="93"/>
      <c r="K301" s="93"/>
      <c r="L301" s="93"/>
      <c r="M301" s="93"/>
    </row>
    <row r="302" spans="3:13" ht="15" customHeight="1">
      <c r="C302" s="17"/>
      <c r="D302" s="17"/>
      <c r="E302" s="17"/>
      <c r="F302" s="170"/>
      <c r="H302" s="93"/>
      <c r="I302" s="93"/>
      <c r="J302" s="93"/>
      <c r="K302" s="93"/>
      <c r="L302" s="93"/>
      <c r="M302" s="93"/>
    </row>
    <row r="303" spans="3:13" ht="15" customHeight="1">
      <c r="C303" s="17"/>
      <c r="D303" s="17"/>
      <c r="E303" s="17"/>
      <c r="F303" s="170"/>
      <c r="H303" s="93"/>
      <c r="I303" s="93"/>
      <c r="J303" s="93"/>
      <c r="K303" s="93"/>
      <c r="L303" s="93"/>
      <c r="M303" s="93"/>
    </row>
    <row r="304" spans="3:13" ht="15" customHeight="1">
      <c r="C304" s="17"/>
      <c r="D304" s="17"/>
      <c r="E304" s="17"/>
      <c r="F304" s="170"/>
      <c r="H304" s="93"/>
      <c r="I304" s="93"/>
      <c r="J304" s="93"/>
      <c r="K304" s="93"/>
      <c r="L304" s="93"/>
      <c r="M304" s="93"/>
    </row>
    <row r="305" spans="1:13" ht="15" customHeight="1">
      <c r="C305" s="17"/>
      <c r="D305" s="17"/>
      <c r="E305" s="17"/>
      <c r="F305" s="170"/>
      <c r="H305" s="93"/>
      <c r="I305" s="93"/>
      <c r="J305" s="93"/>
      <c r="K305" s="93"/>
      <c r="L305" s="93"/>
      <c r="M305" s="93"/>
    </row>
    <row r="306" spans="1:13" ht="15" customHeight="1">
      <c r="C306" s="17"/>
      <c r="D306" s="17"/>
      <c r="E306" s="17"/>
      <c r="F306" s="170"/>
      <c r="H306" s="93"/>
      <c r="I306" s="93"/>
      <c r="J306" s="93"/>
      <c r="K306" s="93"/>
      <c r="L306" s="93"/>
      <c r="M306" s="93"/>
    </row>
    <row r="307" spans="1:13" ht="15" customHeight="1">
      <c r="C307" s="17"/>
      <c r="D307" s="17"/>
      <c r="E307" s="17"/>
      <c r="F307" s="170"/>
      <c r="H307" s="93"/>
      <c r="I307" s="93"/>
      <c r="J307" s="93"/>
      <c r="K307" s="93"/>
      <c r="L307" s="93"/>
      <c r="M307" s="93"/>
    </row>
    <row r="308" spans="1:13" ht="15" customHeight="1">
      <c r="C308" s="17"/>
      <c r="D308" s="17"/>
      <c r="E308" s="17"/>
      <c r="F308" s="170"/>
      <c r="H308" s="93"/>
      <c r="I308" s="93"/>
      <c r="J308" s="93"/>
      <c r="K308" s="93"/>
      <c r="L308" s="93"/>
      <c r="M308" s="93"/>
    </row>
    <row r="309" spans="1:13" ht="15" customHeight="1">
      <c r="C309" s="17"/>
      <c r="D309" s="17"/>
      <c r="E309" s="17"/>
      <c r="F309" s="170"/>
      <c r="H309" s="93"/>
      <c r="I309" s="93"/>
      <c r="J309" s="93"/>
      <c r="K309" s="93"/>
      <c r="L309" s="93"/>
      <c r="M309" s="93"/>
    </row>
    <row r="310" spans="1:13" ht="15" customHeight="1">
      <c r="C310" s="17"/>
      <c r="D310" s="17"/>
      <c r="E310" s="17"/>
      <c r="F310" s="170"/>
      <c r="H310" s="93"/>
      <c r="I310" s="93"/>
      <c r="J310" s="93"/>
      <c r="K310" s="93"/>
      <c r="L310" s="93"/>
      <c r="M310" s="93"/>
    </row>
    <row r="311" spans="1:13" ht="15" customHeight="1">
      <c r="C311" s="17"/>
      <c r="D311" s="17"/>
      <c r="E311" s="17"/>
      <c r="F311" s="170"/>
      <c r="H311" s="93"/>
      <c r="I311" s="93"/>
      <c r="J311" s="93"/>
      <c r="K311" s="93"/>
      <c r="L311" s="93"/>
      <c r="M311" s="93"/>
    </row>
    <row r="312" spans="1:13" ht="15" customHeight="1">
      <c r="C312" s="17"/>
      <c r="D312" s="17"/>
      <c r="E312" s="17"/>
      <c r="F312" s="170"/>
      <c r="H312" s="93"/>
      <c r="I312" s="93"/>
      <c r="J312" s="93"/>
      <c r="K312" s="93"/>
      <c r="L312" s="93"/>
      <c r="M312" s="93"/>
    </row>
    <row r="313" spans="1:13" ht="15" customHeight="1">
      <c r="C313" s="17"/>
      <c r="D313" s="17"/>
      <c r="E313" s="17"/>
      <c r="F313" s="170"/>
      <c r="H313" s="93"/>
      <c r="I313" s="93"/>
      <c r="J313" s="93"/>
      <c r="K313" s="93"/>
      <c r="L313" s="93"/>
      <c r="M313" s="93"/>
    </row>
    <row r="314" spans="1:13" ht="15" customHeight="1">
      <c r="C314" s="17"/>
      <c r="D314" s="17"/>
      <c r="E314" s="17"/>
      <c r="F314" s="170"/>
      <c r="H314" s="93"/>
      <c r="I314" s="93"/>
      <c r="J314" s="93"/>
      <c r="K314" s="93"/>
      <c r="L314" s="93"/>
      <c r="M314" s="93"/>
    </row>
    <row r="315" spans="1:13" ht="15" customHeight="1">
      <c r="C315" s="17"/>
      <c r="D315" s="17"/>
      <c r="E315" s="17"/>
      <c r="F315" s="170"/>
      <c r="H315" s="93"/>
      <c r="I315" s="93"/>
      <c r="J315" s="93"/>
      <c r="K315" s="93"/>
      <c r="L315" s="93"/>
      <c r="M315" s="93"/>
    </row>
    <row r="316" spans="1:13" ht="15" customHeight="1">
      <c r="A316" s="105"/>
      <c r="B316" s="105"/>
      <c r="C316" s="106"/>
      <c r="D316" s="106"/>
      <c r="E316" s="106"/>
      <c r="F316" s="107"/>
      <c r="G316" s="105"/>
      <c r="H316" s="93"/>
      <c r="I316" s="93"/>
      <c r="J316" s="93"/>
      <c r="K316" s="93"/>
      <c r="L316" s="93"/>
      <c r="M316" s="93"/>
    </row>
    <row r="317" spans="1:13" ht="15" customHeight="1">
      <c r="A317" s="105"/>
      <c r="B317" s="105"/>
      <c r="C317" s="106"/>
      <c r="D317" s="93"/>
      <c r="E317" s="106"/>
      <c r="F317" s="107"/>
      <c r="G317" s="105"/>
      <c r="H317" s="93"/>
      <c r="I317" s="93"/>
      <c r="J317" s="93"/>
      <c r="K317" s="93"/>
      <c r="L317" s="93"/>
      <c r="M317" s="93"/>
    </row>
    <row r="318" spans="1:13" ht="15" customHeight="1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</row>
    <row r="319" spans="1:13" ht="19" customHeight="1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</row>
  </sheetData>
  <mergeCells count="6">
    <mergeCell ref="N58:R59"/>
    <mergeCell ref="A1:M1"/>
    <mergeCell ref="A4:L4"/>
    <mergeCell ref="A5:K5"/>
    <mergeCell ref="A11:M11"/>
    <mergeCell ref="A12:M1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Spinner 1">
              <controlPr defaultSize="0" autoPict="0">
                <anchor moveWithCells="1" sizeWithCells="1">
                  <from>
                    <xdr:col>6</xdr:col>
                    <xdr:colOff>101600</xdr:colOff>
                    <xdr:row>6</xdr:row>
                    <xdr:rowOff>12700</xdr:rowOff>
                  </from>
                  <to>
                    <xdr:col>6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Spinner 3">
              <controlPr defaultSize="0" autoPict="0">
                <anchor moveWithCells="1" sizeWithCells="1">
                  <from>
                    <xdr:col>2</xdr:col>
                    <xdr:colOff>114300</xdr:colOff>
                    <xdr:row>6</xdr:row>
                    <xdr:rowOff>12700</xdr:rowOff>
                  </from>
                  <to>
                    <xdr:col>2</xdr:col>
                    <xdr:colOff>762000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Spinner 4">
              <controlPr defaultSize="0" autoPict="0">
                <anchor moveWithCells="1" sizeWithCells="1">
                  <from>
                    <xdr:col>5</xdr:col>
                    <xdr:colOff>63500</xdr:colOff>
                    <xdr:row>6</xdr:row>
                    <xdr:rowOff>25400</xdr:rowOff>
                  </from>
                  <to>
                    <xdr:col>5</xdr:col>
                    <xdr:colOff>711200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Spinner 5">
              <controlPr defaultSize="0" autoPict="0">
                <anchor moveWithCells="1" sizeWithCells="1">
                  <from>
                    <xdr:col>4</xdr:col>
                    <xdr:colOff>88900</xdr:colOff>
                    <xdr:row>6</xdr:row>
                    <xdr:rowOff>12700</xdr:rowOff>
                  </from>
                  <to>
                    <xdr:col>4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Spinner 6">
              <controlPr defaultSize="0" autoPict="0">
                <anchor moveWithCells="1" siz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Spinner 7">
              <controlPr defaultSize="0" autoPict="0">
                <anchor moveWithCells="1" sizeWithCells="1">
                  <from>
                    <xdr:col>10</xdr:col>
                    <xdr:colOff>88900</xdr:colOff>
                    <xdr:row>6</xdr:row>
                    <xdr:rowOff>25400</xdr:rowOff>
                  </from>
                  <to>
                    <xdr:col>10</xdr:col>
                    <xdr:colOff>736600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>
                <anchor moveWithCells="1" sizeWithCells="1">
                  <from>
                    <xdr:col>9</xdr:col>
                    <xdr:colOff>101600</xdr:colOff>
                    <xdr:row>6</xdr:row>
                    <xdr:rowOff>12700</xdr:rowOff>
                  </from>
                  <to>
                    <xdr:col>9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Spinner 9">
              <controlPr defaultSize="0" autoPict="0">
                <anchor moveWithCells="1" sizeWithCells="1">
                  <from>
                    <xdr:col>8</xdr:col>
                    <xdr:colOff>101600</xdr:colOff>
                    <xdr:row>6</xdr:row>
                    <xdr:rowOff>12700</xdr:rowOff>
                  </from>
                  <to>
                    <xdr:col>8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Spinner 10">
              <controlPr defaultSize="0" autoPict="0">
                <anchor moveWithCells="1" sizeWithCells="1">
                  <from>
                    <xdr:col>7</xdr:col>
                    <xdr:colOff>101600</xdr:colOff>
                    <xdr:row>6</xdr:row>
                    <xdr:rowOff>12700</xdr:rowOff>
                  </from>
                  <to>
                    <xdr:col>7</xdr:col>
                    <xdr:colOff>749300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2" name="Spinner 11">
              <controlPr defaultSize="0" autoPict="0">
                <anchor moveWithCells="1" sizeWithCells="1">
                  <from>
                    <xdr:col>11</xdr:col>
                    <xdr:colOff>88900</xdr:colOff>
                    <xdr:row>6</xdr:row>
                    <xdr:rowOff>12700</xdr:rowOff>
                  </from>
                  <to>
                    <xdr:col>11</xdr:col>
                    <xdr:colOff>736600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3" name="11280">
              <controlPr defaultSize="0" autoFill="0" autoPict="0" macro="[0]!ReiniciarEscenarioInt" altText="Reiniciar escenario">
                <anchor moveWithCells="1">
                  <from>
                    <xdr:col>10</xdr:col>
                    <xdr:colOff>495300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4">
    <tabColor rgb="FF2C3E50"/>
    <pageSetUpPr fitToPage="1"/>
  </sheetPr>
  <dimension ref="A1:T39"/>
  <sheetViews>
    <sheetView showGridLines="0" workbookViewId="0">
      <pane xSplit="1" ySplit="8" topLeftCell="B9" activePane="bottomRight" state="frozen"/>
      <selection pane="topRight"/>
      <selection pane="bottomLeft"/>
      <selection pane="bottomRight" activeCell="R25" sqref="R25"/>
    </sheetView>
  </sheetViews>
  <sheetFormatPr baseColWidth="10" defaultColWidth="8.83203125" defaultRowHeight="16"/>
  <cols>
    <col min="1" max="1" width="0.6640625" customWidth="1"/>
    <col min="2" max="2" width="15" customWidth="1"/>
    <col min="3" max="3" width="10" customWidth="1"/>
    <col min="4" max="6" width="13.1640625" customWidth="1"/>
    <col min="7" max="7" width="10" customWidth="1"/>
    <col min="8" max="8" width="11.6640625" customWidth="1"/>
    <col min="9" max="9" width="11.5" customWidth="1"/>
    <col min="10" max="13" width="10" customWidth="1"/>
    <col min="14" max="14" width="9.6640625" customWidth="1"/>
    <col min="15" max="15" width="12" customWidth="1"/>
    <col min="16" max="19" width="10" customWidth="1"/>
    <col min="20" max="20" width="0.6640625" customWidth="1"/>
  </cols>
  <sheetData>
    <row r="1" spans="1:20" ht="34" customHeight="1">
      <c r="A1" s="74"/>
      <c r="B1" s="271" t="str">
        <f>IF(SUM(DeltaF21c)=0,"📊  Resumen Ejecutivo","📊  Resumen Ejecutivo de Proyectos Comparados")&amp;" — Paraguay"</f>
        <v>📊  Resumen Ejecutivo — Paraguay</v>
      </c>
      <c r="C1" s="271"/>
      <c r="D1" s="271"/>
      <c r="E1" s="271"/>
      <c r="F1" s="271"/>
      <c r="G1" s="271"/>
      <c r="H1" s="271"/>
      <c r="I1" s="271"/>
      <c r="J1" s="271"/>
      <c r="K1" s="467" t="str">
        <f>IF(SUM(DeltaF21c)=0,"Estímulo Total","Estímulo Nacional Neto")</f>
        <v>Estímulo Total</v>
      </c>
      <c r="L1" s="468"/>
      <c r="M1" s="468"/>
      <c r="N1" s="468"/>
      <c r="O1" s="469">
        <f>IFERROR(Produccion!C28,0)</f>
        <v>0</v>
      </c>
      <c r="P1" s="431"/>
      <c r="Q1" s="431"/>
      <c r="R1" s="460" t="s">
        <v>580</v>
      </c>
      <c r="S1" s="431"/>
      <c r="T1" s="431"/>
    </row>
    <row r="2" spans="1:20" ht="6" customHeight="1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</row>
    <row r="3" spans="1:20" ht="22" customHeight="1">
      <c r="A3" s="175"/>
      <c r="B3" s="482" t="s">
        <v>131</v>
      </c>
      <c r="C3" s="431"/>
      <c r="D3" s="431"/>
      <c r="E3" s="431"/>
      <c r="F3" s="431"/>
      <c r="G3" s="431"/>
      <c r="H3" s="175"/>
      <c r="I3" s="487" t="s">
        <v>132</v>
      </c>
      <c r="J3" s="431"/>
      <c r="K3" s="431"/>
      <c r="L3" s="431"/>
      <c r="M3" s="431"/>
      <c r="N3" s="175"/>
      <c r="O3" s="463" t="s">
        <v>133</v>
      </c>
      <c r="P3" s="431"/>
      <c r="Q3" s="431"/>
      <c r="R3" s="431"/>
      <c r="S3" s="431"/>
      <c r="T3" s="175"/>
    </row>
    <row r="4" spans="1:20" ht="40" customHeight="1">
      <c r="A4" s="175"/>
      <c r="B4" s="455">
        <f>IFERROR(Produccion!K28,0)</f>
        <v>0</v>
      </c>
      <c r="C4" s="431"/>
      <c r="D4" s="431"/>
      <c r="E4" s="431"/>
      <c r="F4" s="431"/>
      <c r="G4" s="431"/>
      <c r="H4" s="175"/>
      <c r="I4" s="483">
        <f>IFERROR(PIB!K28,0)</f>
        <v>0</v>
      </c>
      <c r="J4" s="431"/>
      <c r="K4" s="431"/>
      <c r="L4" s="431"/>
      <c r="M4" s="431"/>
      <c r="N4" s="175"/>
      <c r="O4" s="458">
        <f>IFERROR(Empleo!K28,0)</f>
        <v>0</v>
      </c>
      <c r="P4" s="431"/>
      <c r="Q4" s="431"/>
      <c r="R4" s="431"/>
      <c r="S4" s="431"/>
      <c r="T4" s="175"/>
    </row>
    <row r="5" spans="1:20" ht="16" customHeight="1">
      <c r="A5" s="175"/>
      <c r="B5" s="484" t="s">
        <v>134</v>
      </c>
      <c r="C5" s="431"/>
      <c r="D5" s="497">
        <f>IFERROR(Produccion!K28/Parametros!C4,0)</f>
        <v>0</v>
      </c>
      <c r="E5" s="431"/>
      <c r="F5" s="431"/>
      <c r="G5" s="431"/>
      <c r="H5" s="175"/>
      <c r="I5" s="456" t="s">
        <v>134</v>
      </c>
      <c r="J5" s="431"/>
      <c r="K5" s="470">
        <f>IFERROR(PIB!K28/Parametros!C4,0)</f>
        <v>0</v>
      </c>
      <c r="L5" s="431"/>
      <c r="M5" s="431"/>
      <c r="N5" s="175"/>
      <c r="O5" s="461" t="s">
        <v>135</v>
      </c>
      <c r="P5" s="431"/>
      <c r="Q5" s="472">
        <f>IFERROR(Empleo!K28/'Informacion Empleo'!C27,0)</f>
        <v>0</v>
      </c>
      <c r="R5" s="431"/>
      <c r="S5" s="431"/>
      <c r="T5" s="175"/>
    </row>
    <row r="6" spans="1:20" ht="15" customHeight="1">
      <c r="A6" s="175"/>
      <c r="B6" s="484" t="s">
        <v>136</v>
      </c>
      <c r="C6" s="431"/>
      <c r="D6" s="454" t="str">
        <f>IFERROR(Produccion!K28/Produccion!C28,"—")</f>
        <v>—</v>
      </c>
      <c r="E6" s="431"/>
      <c r="F6" s="431"/>
      <c r="G6" s="431"/>
      <c r="H6" s="175"/>
      <c r="I6" s="456" t="s">
        <v>137</v>
      </c>
      <c r="J6" s="431"/>
      <c r="K6" s="485" t="str">
        <f>IFERROR(PIB!K28/PIB!C28,"—")</f>
        <v>—</v>
      </c>
      <c r="L6" s="431"/>
      <c r="M6" s="431"/>
      <c r="N6" s="175"/>
      <c r="O6" s="461" t="s">
        <v>138</v>
      </c>
      <c r="P6" s="431"/>
      <c r="Q6" s="476" t="str">
        <f>IFERROR(Empleo!K28/Produccion!C28,"—")</f>
        <v>—</v>
      </c>
      <c r="R6" s="431"/>
      <c r="S6" s="431"/>
      <c r="T6" s="175"/>
    </row>
    <row r="7" spans="1:20" ht="18" customHeight="1">
      <c r="A7" s="175"/>
      <c r="B7" s="484" t="s">
        <v>139</v>
      </c>
      <c r="C7" s="431"/>
      <c r="D7" s="471">
        <f>IFERROR(Produccion!I28,0)</f>
        <v>0</v>
      </c>
      <c r="E7" s="431"/>
      <c r="F7" s="431"/>
      <c r="G7" s="431"/>
      <c r="H7" s="175"/>
      <c r="I7" s="456" t="s">
        <v>140</v>
      </c>
      <c r="J7" s="431"/>
      <c r="K7" s="494" t="str">
        <f>IFERROR(PIB!K28/Produccion!K28,"—")</f>
        <v>—</v>
      </c>
      <c r="L7" s="431"/>
      <c r="M7" s="431"/>
      <c r="N7" s="175"/>
      <c r="O7" s="461" t="s">
        <v>141</v>
      </c>
      <c r="P7" s="431"/>
      <c r="Q7" s="491" t="str">
        <f>IFERROR(Empleo!C55/Empleo!E55,"—")</f>
        <v>—</v>
      </c>
      <c r="R7" s="431"/>
      <c r="S7" s="431"/>
      <c r="T7" s="175"/>
    </row>
    <row r="8" spans="1:20" ht="16" customHeight="1">
      <c r="A8" s="175"/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</row>
    <row r="9" spans="1:20" ht="16" customHeight="1">
      <c r="A9" s="175"/>
      <c r="B9" s="464" t="s">
        <v>142</v>
      </c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1"/>
      <c r="S9" s="431"/>
      <c r="T9" s="175"/>
    </row>
    <row r="10" spans="1:20" ht="27" customHeight="1">
      <c r="A10" s="175"/>
      <c r="B10" s="486" t="s">
        <v>143</v>
      </c>
      <c r="C10" s="431"/>
      <c r="D10" s="492" t="s">
        <v>144</v>
      </c>
      <c r="E10" s="492" t="s">
        <v>145</v>
      </c>
      <c r="F10" s="247" t="s">
        <v>146</v>
      </c>
      <c r="G10" s="248" t="s">
        <v>147</v>
      </c>
      <c r="H10" s="245"/>
      <c r="I10" s="246" t="s">
        <v>148</v>
      </c>
      <c r="J10" s="466" t="s">
        <v>149</v>
      </c>
      <c r="K10" s="475" t="s">
        <v>150</v>
      </c>
      <c r="L10" s="502" t="s">
        <v>151</v>
      </c>
      <c r="M10" s="486" t="s">
        <v>152</v>
      </c>
      <c r="N10" s="245"/>
      <c r="O10" s="479" t="s">
        <v>153</v>
      </c>
      <c r="P10" s="499" t="s">
        <v>154</v>
      </c>
      <c r="Q10" s="500" t="s">
        <v>155</v>
      </c>
      <c r="R10" s="475" t="s">
        <v>156</v>
      </c>
      <c r="S10" s="504" t="s">
        <v>157</v>
      </c>
      <c r="T10" s="175"/>
    </row>
    <row r="11" spans="1:20" ht="20" customHeight="1">
      <c r="A11" s="175"/>
      <c r="B11" s="503" t="s">
        <v>158</v>
      </c>
      <c r="C11" s="431"/>
      <c r="D11" s="177">
        <f>IFERROR(Produccion!C28,0)</f>
        <v>0</v>
      </c>
      <c r="E11" s="176">
        <f>IFERROR(Produccion!D28,0)</f>
        <v>0</v>
      </c>
      <c r="F11" s="176">
        <f>IFERROR(Produccion!E28,0)</f>
        <v>0</v>
      </c>
      <c r="G11" s="179">
        <f>IFERROR(Produccion!F28,0)</f>
        <v>0</v>
      </c>
      <c r="H11" s="175"/>
      <c r="I11" s="176">
        <f>IFERROR(Produccion!G28,0)</f>
        <v>0</v>
      </c>
      <c r="J11" s="176">
        <f>IFERROR(Produccion!H28,0)</f>
        <v>0</v>
      </c>
      <c r="K11" s="178">
        <f>IFERROR(Produccion!I28,0)</f>
        <v>0</v>
      </c>
      <c r="L11" s="408">
        <f>IFERROR(Produccion!J28,0)</f>
        <v>0</v>
      </c>
      <c r="M11" s="179">
        <f>IFERROR(Produccion!K28,0)</f>
        <v>0</v>
      </c>
      <c r="N11" s="175"/>
      <c r="O11" s="180">
        <f>IFERROR((Produccion!D28+Produccion!G28)/Produccion!K28,0)</f>
        <v>0</v>
      </c>
      <c r="P11" s="181">
        <f>IFERROR((Produccion!E28+Produccion!H28)/Produccion!K28,0)</f>
        <v>0</v>
      </c>
      <c r="Q11" s="410">
        <f>IFERROR(Produccion!J28/Produccion!K28,0)</f>
        <v>0</v>
      </c>
      <c r="R11" s="182">
        <f>IFERROR(Produccion!K28/Parametros!C4,0)</f>
        <v>0</v>
      </c>
      <c r="S11" s="183">
        <f>IFERROR((Produccion!D28+Produccion!G28)/Produccion!K28,0)</f>
        <v>0</v>
      </c>
      <c r="T11" s="175"/>
    </row>
    <row r="12" spans="1:20" ht="20" customHeight="1">
      <c r="A12" s="175"/>
      <c r="B12" s="477" t="s">
        <v>159</v>
      </c>
      <c r="C12" s="431"/>
      <c r="D12" s="177">
        <f>IFERROR(PIB!C28,0)</f>
        <v>0</v>
      </c>
      <c r="E12" s="184">
        <f>IFERROR(PIB!D28,0)</f>
        <v>0</v>
      </c>
      <c r="F12" s="184">
        <f>IFERROR(PIB!E28,0)</f>
        <v>0</v>
      </c>
      <c r="G12" s="179">
        <f>IFERROR(PIB!F28,0)</f>
        <v>0</v>
      </c>
      <c r="H12" s="175"/>
      <c r="I12" s="184">
        <f>IFERROR(PIB!G28,0)</f>
        <v>0</v>
      </c>
      <c r="J12" s="184">
        <f>IFERROR(PIB!H28,0)</f>
        <v>0</v>
      </c>
      <c r="K12" s="178">
        <f>IFERROR(PIB!I28,0)</f>
        <v>0</v>
      </c>
      <c r="L12" s="408">
        <f>IFERROR(PIB!J28,0)</f>
        <v>0</v>
      </c>
      <c r="M12" s="179">
        <f>IFERROR(PIB!K28,0)</f>
        <v>0</v>
      </c>
      <c r="N12" s="175"/>
      <c r="O12" s="180">
        <f>IFERROR((PIB!D28+PIB!G28)/PIB!K28,0)</f>
        <v>0</v>
      </c>
      <c r="P12" s="181">
        <f>IFERROR((PIB!E28+PIB!H28)/PIB!K28,0)</f>
        <v>0</v>
      </c>
      <c r="Q12" s="410">
        <f>IFERROR(PIB!J28/PIB!K28,0)</f>
        <v>0</v>
      </c>
      <c r="R12" s="182">
        <f>IFERROR(PIB!K28/Parametros!C4,0)</f>
        <v>0</v>
      </c>
      <c r="S12" s="183">
        <f>IFERROR((PIB!D28+PIB!G28)/PIB!K28,0)</f>
        <v>0</v>
      </c>
      <c r="T12" s="175"/>
    </row>
    <row r="13" spans="1:20" ht="20" customHeight="1">
      <c r="A13" s="175"/>
      <c r="B13" s="481" t="s">
        <v>160</v>
      </c>
      <c r="C13" s="431"/>
      <c r="D13" s="236">
        <f>IFERROR(Empleo!C28,0)</f>
        <v>0</v>
      </c>
      <c r="E13" s="239">
        <f>IFERROR(Empleo!D28,0)</f>
        <v>0</v>
      </c>
      <c r="F13" s="239">
        <f>IFERROR(Empleo!E28,0)</f>
        <v>0</v>
      </c>
      <c r="G13" s="237">
        <f>IFERROR(Empleo!F28,0)</f>
        <v>0</v>
      </c>
      <c r="H13" s="175"/>
      <c r="I13" s="239">
        <f>IFERROR(Empleo!G28,0)</f>
        <v>0</v>
      </c>
      <c r="J13" s="239">
        <f>IFERROR(Empleo!H28,0)</f>
        <v>0</v>
      </c>
      <c r="K13" s="238">
        <f>IFERROR(Empleo!I28,0)</f>
        <v>0</v>
      </c>
      <c r="L13" s="409">
        <f>IFERROR(Empleo!J28,0)</f>
        <v>0</v>
      </c>
      <c r="M13" s="237">
        <f>IFERROR(Empleo!K28,0)</f>
        <v>0</v>
      </c>
      <c r="N13" s="175"/>
      <c r="O13" s="180">
        <f>IFERROR((Empleo!D28+Empleo!G28)/Empleo!K28,0)</f>
        <v>0</v>
      </c>
      <c r="P13" s="181">
        <f>IFERROR((Empleo!E28+Empleo!H28)/Empleo!K28,0)</f>
        <v>0</v>
      </c>
      <c r="Q13" s="410">
        <f>IFERROR(Empleo!J28/Empleo!K28,0)</f>
        <v>0</v>
      </c>
      <c r="R13" s="182">
        <f>IFERROR(Empleo!K28*1000/'Informacion Empleo'!C27,0)</f>
        <v>0</v>
      </c>
      <c r="S13" s="183">
        <f>IFERROR((Empleo!D28+Empleo!G28)/Empleo!K28,0)</f>
        <v>0</v>
      </c>
      <c r="T13" s="175"/>
    </row>
    <row r="14" spans="1:20" ht="20" customHeight="1">
      <c r="A14" s="175"/>
      <c r="B14" s="473" t="s">
        <v>161</v>
      </c>
      <c r="C14" s="431"/>
      <c r="D14" s="431"/>
      <c r="E14" s="431"/>
      <c r="F14" s="431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1"/>
      <c r="R14" s="431"/>
      <c r="S14" s="431"/>
      <c r="T14" s="175"/>
    </row>
    <row r="15" spans="1:20" ht="20" customHeight="1">
      <c r="A15" s="175"/>
      <c r="B15" s="17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</row>
    <row r="16" spans="1:20" ht="23" customHeight="1">
      <c r="A16" s="175"/>
      <c r="B16" s="457" t="s">
        <v>162</v>
      </c>
      <c r="C16" s="431"/>
      <c r="D16" s="431"/>
      <c r="E16" s="431"/>
      <c r="F16" s="431"/>
      <c r="G16" s="431"/>
      <c r="H16" s="431"/>
      <c r="I16" s="431"/>
      <c r="J16" s="431"/>
      <c r="K16" s="431"/>
      <c r="L16" s="431"/>
      <c r="M16" s="431"/>
      <c r="N16" s="431"/>
      <c r="O16" s="431"/>
      <c r="P16" s="431"/>
      <c r="Q16" s="431"/>
      <c r="R16" s="431"/>
      <c r="S16" s="431"/>
      <c r="T16" s="175"/>
    </row>
    <row r="17" spans="1:20" s="240" customFormat="1" ht="28" customHeight="1">
      <c r="A17" s="249"/>
      <c r="B17" s="465" t="s">
        <v>163</v>
      </c>
      <c r="C17" s="453"/>
      <c r="D17" s="250" t="s">
        <v>164</v>
      </c>
      <c r="E17" s="251" t="s">
        <v>165</v>
      </c>
      <c r="F17" s="252" t="s">
        <v>166</v>
      </c>
      <c r="G17" s="465" t="s">
        <v>167</v>
      </c>
      <c r="H17" s="453"/>
      <c r="I17" s="250" t="s">
        <v>164</v>
      </c>
      <c r="J17" s="251" t="s">
        <v>165</v>
      </c>
      <c r="K17" s="253" t="s">
        <v>166</v>
      </c>
      <c r="L17" s="465" t="s">
        <v>168</v>
      </c>
      <c r="M17" s="453"/>
      <c r="N17" s="250" t="s">
        <v>164</v>
      </c>
      <c r="O17" s="251" t="s">
        <v>165</v>
      </c>
      <c r="P17" s="465" t="s">
        <v>169</v>
      </c>
      <c r="Q17" s="453"/>
      <c r="R17" s="250" t="s">
        <v>164</v>
      </c>
      <c r="S17" s="251" t="s">
        <v>165</v>
      </c>
      <c r="T17" s="249"/>
    </row>
    <row r="18" spans="1:20" ht="20" customHeight="1">
      <c r="A18" s="175"/>
      <c r="B18" s="462" t="s">
        <v>170</v>
      </c>
      <c r="C18" s="431"/>
      <c r="D18" s="300">
        <f>IFERROR(Empleo!H55,0)</f>
        <v>0</v>
      </c>
      <c r="E18" s="301">
        <f>IFERROR(Empleo!H55/Empleo!I55,0)</f>
        <v>0</v>
      </c>
      <c r="F18" s="302">
        <f>IFERROR(Empleo!H55/'Informacion Empleo'!C27,0)</f>
        <v>0</v>
      </c>
      <c r="G18" s="462" t="s">
        <v>171</v>
      </c>
      <c r="H18" s="431"/>
      <c r="I18" s="254">
        <f>IFERROR(Empleo!C55,0)</f>
        <v>0</v>
      </c>
      <c r="J18" s="490">
        <f>IFERROR(Empleo!C55/Empleo!K28,0)</f>
        <v>0</v>
      </c>
      <c r="K18" s="478">
        <f>IFERROR(Empleo!C55/'Informacion Empleo'!C27,0)</f>
        <v>0</v>
      </c>
      <c r="L18" s="462" t="s">
        <v>172</v>
      </c>
      <c r="M18" s="431"/>
      <c r="N18" s="254">
        <f>Empleo!C82</f>
        <v>0</v>
      </c>
      <c r="O18" s="256">
        <f>IFERROR(N18/N21,0)</f>
        <v>0</v>
      </c>
      <c r="P18" s="462" t="s">
        <v>173</v>
      </c>
      <c r="Q18" s="431"/>
      <c r="R18" s="254">
        <f>Empleo!F82</f>
        <v>0</v>
      </c>
      <c r="S18" s="256">
        <f>IFERROR(R18/R21,0)</f>
        <v>0</v>
      </c>
      <c r="T18" s="175"/>
    </row>
    <row r="19" spans="1:20" ht="18" customHeight="1">
      <c r="A19" s="175"/>
      <c r="B19" s="462" t="s">
        <v>174</v>
      </c>
      <c r="C19" s="431"/>
      <c r="D19" s="258">
        <f>IFERROR(Empleo!G55,0)</f>
        <v>0</v>
      </c>
      <c r="E19" s="259">
        <f>IFERROR(Empleo!G55/Empleo!I55,0)</f>
        <v>0</v>
      </c>
      <c r="F19" s="260">
        <f>IFERROR(Empleo!G55/'Informacion Empleo'!C27,0)</f>
        <v>0</v>
      </c>
      <c r="G19" s="462" t="s">
        <v>175</v>
      </c>
      <c r="H19" s="431"/>
      <c r="I19" s="255">
        <f>IFERROR(Empleo!D55,0)</f>
        <v>0</v>
      </c>
      <c r="J19" s="493">
        <f>IFERROR(Empleo!D55/Empleo!K28,0)</f>
        <v>0</v>
      </c>
      <c r="K19" s="496">
        <f>IFERROR(Empleo!D55/'Informacion Empleo'!C27,0)</f>
        <v>0</v>
      </c>
      <c r="L19" s="462" t="s">
        <v>176</v>
      </c>
      <c r="M19" s="431"/>
      <c r="N19" s="255">
        <f>Empleo!D82</f>
        <v>0</v>
      </c>
      <c r="O19" s="257">
        <f>IFERROR(N19/N21,0)</f>
        <v>0</v>
      </c>
      <c r="P19" s="462" t="s">
        <v>177</v>
      </c>
      <c r="Q19" s="431"/>
      <c r="R19" s="255">
        <f>Empleo!G82</f>
        <v>0</v>
      </c>
      <c r="S19" s="257">
        <f>IFERROR(R19/R21,0)</f>
        <v>0</v>
      </c>
      <c r="T19" s="175"/>
    </row>
    <row r="20" spans="1:20" ht="18" customHeight="1">
      <c r="A20" s="175"/>
      <c r="B20" s="462" t="s">
        <v>178</v>
      </c>
      <c r="C20" s="431"/>
      <c r="D20" s="297">
        <f>IFERROR(Empleo!F55,0)</f>
        <v>0</v>
      </c>
      <c r="E20" s="298">
        <f>IFERROR(Empleo!F55/Empleo!I55,0)</f>
        <v>0</v>
      </c>
      <c r="F20" s="299">
        <f>IFERROR(Empleo!F55/'Informacion Empleo'!C27,0)</f>
        <v>0</v>
      </c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75"/>
    </row>
    <row r="21" spans="1:20" ht="18" customHeight="1">
      <c r="A21" s="175"/>
      <c r="B21" s="185"/>
      <c r="C21" s="185" t="s">
        <v>31</v>
      </c>
      <c r="D21" s="261">
        <f>SUM(D18:D20)</f>
        <v>0</v>
      </c>
      <c r="E21" s="185"/>
      <c r="F21" s="185"/>
      <c r="G21" s="185"/>
      <c r="H21" s="185"/>
      <c r="I21" s="261">
        <f>IFERROR(Empleo!E55,0)</f>
        <v>0</v>
      </c>
      <c r="J21" s="185"/>
      <c r="K21" s="185"/>
      <c r="L21" s="185"/>
      <c r="M21" s="185"/>
      <c r="N21" s="261">
        <f>IFERROR(Empleo!E82,0)</f>
        <v>0</v>
      </c>
      <c r="O21" s="185"/>
      <c r="P21" s="185"/>
      <c r="Q21" s="185"/>
      <c r="R21" s="261">
        <f>IFERROR(Empleo!H82,0)</f>
        <v>0</v>
      </c>
      <c r="S21" s="185"/>
      <c r="T21" s="175"/>
    </row>
    <row r="22" spans="1:20" ht="15" customHeight="1">
      <c r="A22" s="175"/>
      <c r="B22" s="17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</row>
    <row r="23" spans="1:20" s="240" customFormat="1" ht="25" customHeight="1">
      <c r="A23" s="249"/>
      <c r="B23" s="487" t="s">
        <v>179</v>
      </c>
      <c r="C23" s="453"/>
      <c r="D23" s="453"/>
      <c r="E23" s="453"/>
      <c r="F23" s="453"/>
      <c r="G23" s="453"/>
      <c r="H23" s="453"/>
      <c r="I23" s="453"/>
      <c r="J23" s="272"/>
      <c r="K23" s="463" t="s">
        <v>180</v>
      </c>
      <c r="L23" s="453"/>
      <c r="M23" s="453"/>
      <c r="N23" s="453"/>
      <c r="O23" s="453"/>
      <c r="P23" s="453"/>
      <c r="Q23" s="453"/>
      <c r="R23" s="453"/>
      <c r="S23" s="453"/>
      <c r="T23" s="249"/>
    </row>
    <row r="24" spans="1:20" s="240" customFormat="1" ht="25" customHeight="1">
      <c r="A24" s="249"/>
      <c r="B24" s="465" t="s">
        <v>5</v>
      </c>
      <c r="C24" s="453"/>
      <c r="D24" s="453"/>
      <c r="E24" s="488" t="s">
        <v>181</v>
      </c>
      <c r="F24" s="459" t="s">
        <v>182</v>
      </c>
      <c r="G24" s="488" t="s">
        <v>183</v>
      </c>
      <c r="H24" s="465" t="s">
        <v>184</v>
      </c>
      <c r="I24" s="475" t="s">
        <v>185</v>
      </c>
      <c r="J24" s="272"/>
      <c r="K24" s="465" t="s">
        <v>5</v>
      </c>
      <c r="L24" s="453"/>
      <c r="M24" s="453"/>
      <c r="N24" s="489" t="s">
        <v>186</v>
      </c>
      <c r="O24" s="459" t="s">
        <v>182</v>
      </c>
      <c r="P24" s="489" t="s">
        <v>183</v>
      </c>
      <c r="Q24" s="480" t="s">
        <v>184</v>
      </c>
      <c r="R24" s="466" t="s">
        <v>187</v>
      </c>
      <c r="S24" s="475" t="s">
        <v>188</v>
      </c>
      <c r="T24" s="249"/>
    </row>
    <row r="25" spans="1:20" s="240" customFormat="1" ht="25" customHeight="1">
      <c r="A25" s="249"/>
      <c r="B25" s="274">
        <v>1</v>
      </c>
      <c r="C25" s="452" t="str">
        <f>IFERROR(INDEX(Produccion!$A$6:$A$26,MATCH(LARGE(Produccion!$K$6:$K$26,1),Produccion!$K$6:$K$26,0)),"—")</f>
        <v>Agricultura, ganadería, caza y pesca</v>
      </c>
      <c r="D25" s="453"/>
      <c r="E25" s="275">
        <f>IFERROR(LARGE(Produccion!$K$6:$K$26,1),0)</f>
        <v>0</v>
      </c>
      <c r="F25" s="276">
        <f>IFERROR(INDEX(Produccion!$F$6:$F$26,MATCH(LARGE(Produccion!$K$6:$K$26,1),Produccion!$K$6:$K$26,0)),0)</f>
        <v>0</v>
      </c>
      <c r="G25" s="277">
        <f>IFERROR(INDEX(Produccion!$I$6:$I$26,MATCH(LARGE(Produccion!$K$6:$K$26,1),Produccion!$K$6:$K$26,0)),0)</f>
        <v>0</v>
      </c>
      <c r="H25" s="305">
        <f>IFERROR(LARGE(Produccion!$K$6:$K$26,1)/Produccion!$K$28,0)</f>
        <v>0</v>
      </c>
      <c r="I25" s="278">
        <f>IFERROR(LARGE(Produccion!$K$6:$K$26,1)/INDEX('Estimulos Nacionales'!$C$8:$C$28,MATCH(LARGE(Produccion!$K$6:$K$26,1),Produccion!$K$6:$K$26,0)),0)</f>
        <v>0</v>
      </c>
      <c r="J25" s="272"/>
      <c r="K25" s="279">
        <v>1</v>
      </c>
      <c r="L25" s="452" t="str">
        <f>IFERROR(INDEX(Empleo!$A$6:$A$26,MATCH(LARGE(Empleo!$K$6:$K$26,1),Empleo!$K$6:$K$26,0)),"—")</f>
        <v>Agricultura, ganadería, caza y pesca</v>
      </c>
      <c r="M25" s="453"/>
      <c r="N25" s="280">
        <f>IFERROR(LARGE(Empleo!$K$6:$K$26,1),0)</f>
        <v>0</v>
      </c>
      <c r="O25" s="281">
        <f>IFERROR(INDEX(Empleo!$F$6:$F$26,MATCH(LARGE(Empleo!$K$6:$K$26,1),Empleo!$K$6:$K$26,0)),0)</f>
        <v>0</v>
      </c>
      <c r="P25" s="282">
        <f>IFERROR(INDEX(Empleo!$I$6:$I$26,MATCH(LARGE(Empleo!$K$6:$K$26,1),Empleo!$K$6:$K$26,0)),0)</f>
        <v>0</v>
      </c>
      <c r="Q25" s="305">
        <f>IFERROR(LARGE(Empleo!$K$6:$K$26,1)/Empleo!$K$28,0)</f>
        <v>0</v>
      </c>
      <c r="R25" s="283">
        <f>IFERROR(LARGE(Empleo!$K$6:$K$26,1)/INDEX('Informacion Empleo'!$C$6:$C$26,MATCH(LARGE(Empleo!$K$6:$K$26,1),Empleo!$K$6:$K$26,0)),0)</f>
        <v>0</v>
      </c>
      <c r="S25" s="306">
        <f>IFERROR(LARGE(Empleo!$K$6:$K$26,1)/Produccion!$C$28,0)</f>
        <v>0</v>
      </c>
      <c r="T25" s="249"/>
    </row>
    <row r="26" spans="1:20" s="240" customFormat="1" ht="25" customHeight="1">
      <c r="A26" s="249"/>
      <c r="B26" s="274">
        <v>2</v>
      </c>
      <c r="C26" s="474" t="str">
        <f>IFERROR(INDEX(Produccion!$A$6:$A$26,MATCH(LARGE(Produccion!$K$6:$K$26,2),Produccion!$K$6:$K$26,0)),"—")</f>
        <v>Agricultura, ganadería, caza y pesca</v>
      </c>
      <c r="D26" s="453"/>
      <c r="E26" s="275">
        <f>IFERROR(LARGE(Produccion!$K$6:$K$26,2),0)</f>
        <v>0</v>
      </c>
      <c r="F26" s="284">
        <f>IFERROR(INDEX(Produccion!$F$6:$F$26,MATCH(LARGE(Produccion!$K$6:$K$26,2),Produccion!$K$6:$K$26,0)),0)</f>
        <v>0</v>
      </c>
      <c r="G26" s="285">
        <f>IFERROR(INDEX(Produccion!$I$6:$I$26,MATCH(LARGE(Produccion!$K$6:$K$26,2),Produccion!$K$6:$K$26,0)),0)</f>
        <v>0</v>
      </c>
      <c r="H26" s="286">
        <f>IFERROR(LARGE(Produccion!$K$6:$K$26,2)/Produccion!$K$28,0)</f>
        <v>0</v>
      </c>
      <c r="I26" s="278">
        <f>IFERROR(LARGE(Produccion!$K$6:$K$26,2)/INDEX('Estimulos Nacionales'!$C$8:$C$28,MATCH(LARGE(Produccion!$K$6:$K$26,2),Produccion!$K$6:$K$26,0)),0)</f>
        <v>0</v>
      </c>
      <c r="J26" s="272"/>
      <c r="K26" s="279">
        <v>2</v>
      </c>
      <c r="L26" s="474" t="str">
        <f>IFERROR(INDEX(Empleo!$A$6:$A$26,MATCH(LARGE(Empleo!$K$6:$K$26,2),Empleo!$K$6:$K$26,0)),"—")</f>
        <v>Agricultura, ganadería, caza y pesca</v>
      </c>
      <c r="M26" s="453"/>
      <c r="N26" s="280">
        <f>IFERROR(LARGE(Empleo!$K$6:$K$26,2),0)</f>
        <v>0</v>
      </c>
      <c r="O26" s="287">
        <f>IFERROR(INDEX(Empleo!$F$6:$F$26,MATCH(LARGE(Empleo!$K$6:$K$26,2),Empleo!$K$6:$K$26,0)),0)</f>
        <v>0</v>
      </c>
      <c r="P26" s="288">
        <f>IFERROR(INDEX(Empleo!$I$6:$I$26,MATCH(LARGE(Empleo!$K$6:$K$26,2),Empleo!$K$6:$K$26,0)),0)</f>
        <v>0</v>
      </c>
      <c r="Q26" s="286">
        <f>IFERROR(LARGE(Empleo!$K$6:$K$26,2)/Empleo!$K$28,0)</f>
        <v>0</v>
      </c>
      <c r="R26" s="283">
        <f>IFERROR(LARGE(Empleo!$K$6:$K$26,2)/INDEX('Informacion Empleo'!$C$6:$C$26,MATCH(LARGE(Empleo!$K$6:$K$26,2),Empleo!$K$6:$K$26,0)),0)</f>
        <v>0</v>
      </c>
      <c r="S26" s="289">
        <f>IFERROR(LARGE(Empleo!$K$6:$K$26,2)/Produccion!$C$28,0)</f>
        <v>0</v>
      </c>
      <c r="T26" s="249"/>
    </row>
    <row r="27" spans="1:20" s="240" customFormat="1" ht="25" customHeight="1">
      <c r="A27" s="249"/>
      <c r="B27" s="274">
        <v>3</v>
      </c>
      <c r="C27" s="452" t="str">
        <f>IFERROR(INDEX(Produccion!$A$6:$A$26,MATCH(LARGE(Produccion!$K$6:$K$26,3),Produccion!$K$6:$K$26,0)),"—")</f>
        <v>Agricultura, ganadería, caza y pesca</v>
      </c>
      <c r="D27" s="453"/>
      <c r="E27" s="275">
        <f>IFERROR(LARGE(Produccion!$K$6:$K$26,3),0)</f>
        <v>0</v>
      </c>
      <c r="F27" s="276">
        <f>IFERROR(INDEX(Produccion!$F$6:$F$26,MATCH(LARGE(Produccion!$K$6:$K$26,3),Produccion!$K$6:$K$26,0)),0)</f>
        <v>0</v>
      </c>
      <c r="G27" s="277">
        <f>IFERROR(INDEX(Produccion!$I$6:$I$26,MATCH(LARGE(Produccion!$K$6:$K$26,3),Produccion!$K$6:$K$26,0)),0)</f>
        <v>0</v>
      </c>
      <c r="H27" s="305">
        <f>IFERROR(LARGE(Produccion!$K$6:$K$26,3)/Produccion!$K$28,0)</f>
        <v>0</v>
      </c>
      <c r="I27" s="278">
        <f>IFERROR(LARGE(Produccion!$K$6:$K$26,3)/INDEX('Estimulos Nacionales'!$C$8:$C$28,MATCH(LARGE(Produccion!$K$6:$K$26,3),Produccion!$K$6:$K$26,0)),0)</f>
        <v>0</v>
      </c>
      <c r="J27" s="272"/>
      <c r="K27" s="279">
        <v>3</v>
      </c>
      <c r="L27" s="452" t="str">
        <f>IFERROR(INDEX(Empleo!$A$6:$A$26,MATCH(LARGE(Empleo!$K$6:$K$26,3),Empleo!$K$6:$K$26,0)),"—")</f>
        <v>Agricultura, ganadería, caza y pesca</v>
      </c>
      <c r="M27" s="453"/>
      <c r="N27" s="280">
        <f>IFERROR(LARGE(Empleo!$K$6:$K$26,3),0)</f>
        <v>0</v>
      </c>
      <c r="O27" s="281">
        <f>IFERROR(INDEX(Empleo!$F$6:$F$26,MATCH(LARGE(Empleo!$K$6:$K$26,3),Empleo!$K$6:$K$26,0)),0)</f>
        <v>0</v>
      </c>
      <c r="P27" s="282">
        <f>IFERROR(INDEX(Empleo!$I$6:$I$26,MATCH(LARGE(Empleo!$K$6:$K$26,3),Empleo!$K$6:$K$26,0)),0)</f>
        <v>0</v>
      </c>
      <c r="Q27" s="305">
        <f>IFERROR(LARGE(Empleo!$K$6:$K$26,3)/Empleo!$K$28,0)</f>
        <v>0</v>
      </c>
      <c r="R27" s="283">
        <f>IFERROR(LARGE(Empleo!$K$6:$K$26,3)/INDEX('Informacion Empleo'!$C$6:$C$26,MATCH(LARGE(Empleo!$K$6:$K$26,3),Empleo!$K$6:$K$26,0)),0)</f>
        <v>0</v>
      </c>
      <c r="S27" s="306">
        <f>IFERROR(LARGE(Empleo!$K$6:$K$26,3)/Produccion!$C$28,0)</f>
        <v>0</v>
      </c>
      <c r="T27" s="249"/>
    </row>
    <row r="28" spans="1:20" s="240" customFormat="1" ht="25" customHeight="1">
      <c r="A28" s="249"/>
      <c r="B28" s="274">
        <v>4</v>
      </c>
      <c r="C28" s="474" t="str">
        <f>IFERROR(INDEX(Produccion!$A$6:$A$26,MATCH(LARGE(Produccion!$K$6:$K$26,4),Produccion!$K$6:$K$26,0)),"—")</f>
        <v>Agricultura, ganadería, caza y pesca</v>
      </c>
      <c r="D28" s="453"/>
      <c r="E28" s="275">
        <f>IFERROR(LARGE(Produccion!$K$6:$K$26,4),0)</f>
        <v>0</v>
      </c>
      <c r="F28" s="284">
        <f>IFERROR(INDEX(Produccion!$F$6:$F$26,MATCH(LARGE(Produccion!$K$6:$K$26,4),Produccion!$K$6:$K$26,0)),0)</f>
        <v>0</v>
      </c>
      <c r="G28" s="285">
        <f>IFERROR(INDEX(Produccion!$I$6:$I$26,MATCH(LARGE(Produccion!$K$6:$K$26,4),Produccion!$K$6:$K$26,0)),0)</f>
        <v>0</v>
      </c>
      <c r="H28" s="286">
        <f>IFERROR(LARGE(Produccion!$K$6:$K$26,4)/Produccion!$K$28,0)</f>
        <v>0</v>
      </c>
      <c r="I28" s="278">
        <f>IFERROR(LARGE(Produccion!$K$6:$K$26,4)/INDEX('Estimulos Nacionales'!$C$8:$C$28,MATCH(LARGE(Produccion!$K$6:$K$26,4),Produccion!$K$6:$K$26,0)),0)</f>
        <v>0</v>
      </c>
      <c r="J28" s="272"/>
      <c r="K28" s="279">
        <v>4</v>
      </c>
      <c r="L28" s="474" t="str">
        <f>IFERROR(INDEX(Empleo!$A$6:$A$26,MATCH(LARGE(Empleo!$K$6:$K$26,4),Empleo!$K$6:$K$26,0)),"—")</f>
        <v>Agricultura, ganadería, caza y pesca</v>
      </c>
      <c r="M28" s="453"/>
      <c r="N28" s="280">
        <f>IFERROR(LARGE(Empleo!$K$6:$K$26,4),0)</f>
        <v>0</v>
      </c>
      <c r="O28" s="287">
        <f>IFERROR(INDEX(Empleo!$F$6:$F$26,MATCH(LARGE(Empleo!$K$6:$K$26,4),Empleo!$K$6:$K$26,0)),0)</f>
        <v>0</v>
      </c>
      <c r="P28" s="288">
        <f>IFERROR(INDEX(Empleo!$I$6:$I$26,MATCH(LARGE(Empleo!$K$6:$K$26,4),Empleo!$K$6:$K$26,0)),0)</f>
        <v>0</v>
      </c>
      <c r="Q28" s="286">
        <f>IFERROR(LARGE(Empleo!$K$6:$K$26,4)/Empleo!$K$28,0)</f>
        <v>0</v>
      </c>
      <c r="R28" s="283">
        <f>IFERROR(LARGE(Empleo!$K$6:$K$26,4)/INDEX('Informacion Empleo'!$C$6:$C$26,MATCH(LARGE(Empleo!$K$6:$K$26,4),Empleo!$K$6:$K$26,0)),0)</f>
        <v>0</v>
      </c>
      <c r="S28" s="289">
        <f>IFERROR(LARGE(Empleo!$K$6:$K$26,4)/Produccion!$C$28,0)</f>
        <v>0</v>
      </c>
      <c r="T28" s="249"/>
    </row>
    <row r="29" spans="1:20" s="240" customFormat="1" ht="25" customHeight="1">
      <c r="A29" s="249"/>
      <c r="B29" s="274">
        <v>5</v>
      </c>
      <c r="C29" s="452" t="str">
        <f>IFERROR(INDEX(Produccion!$A$6:$A$26,MATCH(LARGE(Produccion!$K$6:$K$26,5),Produccion!$K$6:$K$26,0)),"—")</f>
        <v>Agricultura, ganadería, caza y pesca</v>
      </c>
      <c r="D29" s="453"/>
      <c r="E29" s="275">
        <f>IFERROR(LARGE(Produccion!$K$6:$K$26,5),0)</f>
        <v>0</v>
      </c>
      <c r="F29" s="276">
        <f>IFERROR(INDEX(Produccion!$F$6:$F$26,MATCH(LARGE(Produccion!$K$6:$K$26,5),Produccion!$K$6:$K$26,0)),0)</f>
        <v>0</v>
      </c>
      <c r="G29" s="277">
        <f>IFERROR(INDEX(Produccion!$I$6:$I$26,MATCH(LARGE(Produccion!$K$6:$K$26,5),Produccion!$K$6:$K$26,0)),0)</f>
        <v>0</v>
      </c>
      <c r="H29" s="305">
        <f>IFERROR(LARGE(Produccion!$K$6:$K$26,5)/Produccion!$K$28,0)</f>
        <v>0</v>
      </c>
      <c r="I29" s="278">
        <f>IFERROR(LARGE(Produccion!$K$6:$K$26,5)/INDEX('Estimulos Nacionales'!$C$8:$C$28,MATCH(LARGE(Produccion!$K$6:$K$26,5),Produccion!$K$6:$K$26,0)),0)</f>
        <v>0</v>
      </c>
      <c r="J29" s="272"/>
      <c r="K29" s="279">
        <v>5</v>
      </c>
      <c r="L29" s="452" t="str">
        <f>IFERROR(INDEX(Empleo!$A$6:$A$26,MATCH(LARGE(Empleo!$K$6:$K$26,5),Empleo!$K$6:$K$26,0)),"—")</f>
        <v>Agricultura, ganadería, caza y pesca</v>
      </c>
      <c r="M29" s="453"/>
      <c r="N29" s="280">
        <f>IFERROR(LARGE(Empleo!$K$6:$K$26,5),0)</f>
        <v>0</v>
      </c>
      <c r="O29" s="281">
        <f>IFERROR(INDEX(Empleo!$F$6:$F$26,MATCH(LARGE(Empleo!$K$6:$K$26,5),Empleo!$K$6:$K$26,0)),0)</f>
        <v>0</v>
      </c>
      <c r="P29" s="282">
        <f>IFERROR(INDEX(Empleo!$I$6:$I$26,MATCH(LARGE(Empleo!$K$6:$K$26,5),Empleo!$K$6:$K$26,0)),0)</f>
        <v>0</v>
      </c>
      <c r="Q29" s="305">
        <f>IFERROR(LARGE(Empleo!$K$6:$K$26,5)/Empleo!$K$28,0)</f>
        <v>0</v>
      </c>
      <c r="R29" s="283">
        <f>IFERROR(LARGE(Empleo!$K$6:$K$26,5)/INDEX('Informacion Empleo'!$C$6:$C$26,MATCH(LARGE(Empleo!$K$6:$K$26,5),Empleo!$K$6:$K$26,0)),0)</f>
        <v>0</v>
      </c>
      <c r="S29" s="306">
        <f>IFERROR(LARGE(Empleo!$K$6:$K$26,5)/Produccion!$C$28,0)</f>
        <v>0</v>
      </c>
      <c r="T29" s="249"/>
    </row>
    <row r="30" spans="1:20" s="240" customFormat="1" ht="25" customHeight="1">
      <c r="A30" s="249"/>
      <c r="B30" s="501"/>
      <c r="C30" s="453"/>
      <c r="D30" s="453"/>
      <c r="E30" s="453"/>
      <c r="F30" s="453"/>
      <c r="G30" s="453"/>
      <c r="H30" s="453"/>
      <c r="I30" s="453"/>
      <c r="J30" s="453"/>
      <c r="K30" s="453"/>
      <c r="L30" s="453"/>
      <c r="M30" s="453"/>
      <c r="N30" s="453"/>
      <c r="O30" s="453"/>
      <c r="P30" s="453"/>
      <c r="Q30" s="453"/>
      <c r="R30" s="453"/>
      <c r="S30" s="453"/>
      <c r="T30" s="249"/>
    </row>
    <row r="31" spans="1:20" s="240" customFormat="1" ht="25" customHeight="1">
      <c r="A31" s="249"/>
      <c r="B31" s="249"/>
      <c r="C31" s="249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</row>
    <row r="32" spans="1:20" s="240" customFormat="1" ht="25" customHeight="1">
      <c r="A32" s="249"/>
      <c r="B32" s="495" t="s">
        <v>189</v>
      </c>
      <c r="C32" s="453"/>
      <c r="D32" s="453"/>
      <c r="E32" s="453"/>
      <c r="F32" s="453"/>
      <c r="G32" s="453"/>
      <c r="H32" s="453"/>
      <c r="I32" s="453"/>
      <c r="J32" s="272"/>
      <c r="K32" s="498" t="s">
        <v>190</v>
      </c>
      <c r="L32" s="453"/>
      <c r="M32" s="453"/>
      <c r="N32" s="453"/>
      <c r="O32" s="453"/>
      <c r="P32" s="453"/>
      <c r="Q32" s="453"/>
      <c r="R32" s="453"/>
      <c r="S32" s="453"/>
      <c r="T32" s="249"/>
    </row>
    <row r="33" spans="1:20" s="240" customFormat="1" ht="25" customHeight="1">
      <c r="A33" s="249"/>
      <c r="B33" s="465" t="s">
        <v>5</v>
      </c>
      <c r="C33" s="453"/>
      <c r="D33" s="453"/>
      <c r="E33" s="251" t="s">
        <v>181</v>
      </c>
      <c r="F33" s="250" t="s">
        <v>182</v>
      </c>
      <c r="G33" s="251" t="s">
        <v>183</v>
      </c>
      <c r="H33" s="262" t="s">
        <v>184</v>
      </c>
      <c r="I33" s="253" t="s">
        <v>185</v>
      </c>
      <c r="J33" s="272"/>
      <c r="K33" s="465" t="s">
        <v>5</v>
      </c>
      <c r="L33" s="453"/>
      <c r="M33" s="453"/>
      <c r="N33" s="273" t="s">
        <v>186</v>
      </c>
      <c r="O33" s="250" t="s">
        <v>182</v>
      </c>
      <c r="P33" s="273" t="s">
        <v>183</v>
      </c>
      <c r="Q33" s="290" t="s">
        <v>184</v>
      </c>
      <c r="R33" s="246" t="s">
        <v>187</v>
      </c>
      <c r="S33" s="253" t="s">
        <v>188</v>
      </c>
      <c r="T33" s="249"/>
    </row>
    <row r="34" spans="1:20" s="240" customFormat="1" ht="25" customHeight="1">
      <c r="A34" s="249"/>
      <c r="B34" s="274">
        <v>1</v>
      </c>
      <c r="C34" s="452" t="str">
        <f>IFERROR(INDEX(Produccion!$A$6:$A$26,MATCH(SMALL(Produccion!$K$6:$K$26,1),Produccion!$K$6:$K$26,0)),"—")</f>
        <v>Agricultura, ganadería, caza y pesca</v>
      </c>
      <c r="D34" s="453"/>
      <c r="E34" s="275">
        <f>IFERROR(SMALL(Produccion!$K$6:$K$26,1),0)</f>
        <v>0</v>
      </c>
      <c r="F34" s="276">
        <f>IFERROR(INDEX(Produccion!$F$6:$F$26,MATCH(SMALL(Produccion!$K$6:$K$26,1),Produccion!$K$6:$K$26,0)),0)</f>
        <v>0</v>
      </c>
      <c r="G34" s="277">
        <f>IFERROR(INDEX(Produccion!$I$6:$I$26,MATCH(SMALL(Produccion!$K$6:$K$26,1),Produccion!$K$6:$K$26,0)),0)</f>
        <v>0</v>
      </c>
      <c r="H34" s="305">
        <f>IFERROR(SMALL(Produccion!$K$6:$K$26,1)/Produccion!$K$28,0)</f>
        <v>0</v>
      </c>
      <c r="I34" s="278">
        <f>IFERROR(SMALL(Produccion!$K$6:$K$26,1)/INDEX('Estimulos Nacionales'!$C$8:$C$28,MATCH(SMALL(Produccion!$K$6:$K$26,1),Produccion!$K$6:$K$26,0)),0)</f>
        <v>0</v>
      </c>
      <c r="J34" s="272"/>
      <c r="K34" s="279">
        <v>1</v>
      </c>
      <c r="L34" s="452" t="str">
        <f>IFERROR(INDEX(Empleo!$A$6:$A$26,MATCH(SMALL(Empleo!$K$6:$K$26,1),Empleo!$K$6:$K$26,0)),"—")</f>
        <v>Agricultura, ganadería, caza y pesca</v>
      </c>
      <c r="M34" s="453"/>
      <c r="N34" s="280">
        <f>IFERROR(SMALL(Empleo!$K$6:$K$26,1),0)</f>
        <v>0</v>
      </c>
      <c r="O34" s="281">
        <f>IFERROR(INDEX(Empleo!$F$6:$F$26,MATCH(SMALL(Empleo!$K$6:$K$26,1),Empleo!$K$6:$K$26,0)),0)</f>
        <v>0</v>
      </c>
      <c r="P34" s="282">
        <f>IFERROR(INDEX(Empleo!$I$6:$I$26,MATCH(SMALL(Empleo!$K$6:$K$26,1),Empleo!$K$6:$K$26,0)),0)</f>
        <v>0</v>
      </c>
      <c r="Q34" s="305">
        <f>IFERROR(SMALL(Empleo!$K$6:$K$26,1)/Empleo!$K$28,0)</f>
        <v>0</v>
      </c>
      <c r="R34" s="283">
        <f>IFERROR(SMALL(Empleo!$K$6:$K$26,1)/INDEX('Informacion Empleo'!$C$6:$C$26,MATCH(SMALL(Empleo!$K$6:$K$26,1),Empleo!$K$6:$K$26,0)),0)</f>
        <v>0</v>
      </c>
      <c r="S34" s="306">
        <f>IFERROR(SMALL(Empleo!$K$6:$K$26,1)/Produccion!$C$28,0)</f>
        <v>0</v>
      </c>
      <c r="T34" s="249"/>
    </row>
    <row r="35" spans="1:20" s="240" customFormat="1" ht="25" customHeight="1">
      <c r="A35" s="249"/>
      <c r="B35" s="274">
        <v>2</v>
      </c>
      <c r="C35" s="474" t="str">
        <f>IFERROR(INDEX(Produccion!$A$6:$A$26,MATCH(SMALL(Produccion!$K$6:$K$26,2),Produccion!$K$6:$K$26,0)),"—")</f>
        <v>Agricultura, ganadería, caza y pesca</v>
      </c>
      <c r="D35" s="453"/>
      <c r="E35" s="275">
        <f>IFERROR(SMALL(Produccion!$K$6:$K$26,2),0)</f>
        <v>0</v>
      </c>
      <c r="F35" s="284">
        <f>IFERROR(INDEX(Produccion!$F$6:$F$26,MATCH(SMALL(Produccion!$K$6:$K$26,2),Produccion!$K$6:$K$26,0)),0)</f>
        <v>0</v>
      </c>
      <c r="G35" s="285">
        <f>IFERROR(INDEX(Produccion!$I$6:$I$26,MATCH(SMALL(Produccion!$K$6:$K$26,2),Produccion!$K$6:$K$26,0)),0)</f>
        <v>0</v>
      </c>
      <c r="H35" s="286">
        <f>IFERROR(SMALL(Produccion!$K$6:$K$26,2)/Produccion!$K$28,0)</f>
        <v>0</v>
      </c>
      <c r="I35" s="278">
        <f>IFERROR(SMALL(Produccion!$K$6:$K$26,2)/INDEX('Estimulos Nacionales'!$C$8:$C$28,MATCH(SMALL(Produccion!$K$6:$K$26,2),Produccion!$K$6:$K$26,0)),0)</f>
        <v>0</v>
      </c>
      <c r="J35" s="272"/>
      <c r="K35" s="279">
        <v>2</v>
      </c>
      <c r="L35" s="474" t="str">
        <f>IFERROR(INDEX(Empleo!$A$6:$A$26,MATCH(SMALL(Empleo!$K$6:$K$26,2),Empleo!$K$6:$K$26,0)),"—")</f>
        <v>Agricultura, ganadería, caza y pesca</v>
      </c>
      <c r="M35" s="453"/>
      <c r="N35" s="280">
        <f>IFERROR(SMALL(Empleo!$K$6:$K$26,2),0)</f>
        <v>0</v>
      </c>
      <c r="O35" s="287">
        <f>IFERROR(INDEX(Empleo!$F$6:$F$26,MATCH(SMALL(Empleo!$K$6:$K$26,2),Empleo!$K$6:$K$26,0)),0)</f>
        <v>0</v>
      </c>
      <c r="P35" s="288">
        <f>IFERROR(INDEX(Empleo!$I$6:$I$26,MATCH(SMALL(Empleo!$K$6:$K$26,2),Empleo!$K$6:$K$26,0)),0)</f>
        <v>0</v>
      </c>
      <c r="Q35" s="286">
        <f>IFERROR(SMALL(Empleo!$K$6:$K$26,2)/Empleo!$K$28,0)</f>
        <v>0</v>
      </c>
      <c r="R35" s="283">
        <f>IFERROR(SMALL(Empleo!$K$6:$K$26,2)/INDEX('Informacion Empleo'!$C$6:$C$26,MATCH(SMALL(Empleo!$K$6:$K$26,2),Empleo!$K$6:$K$26,0)),0)</f>
        <v>0</v>
      </c>
      <c r="S35" s="289">
        <f>IFERROR(SMALL(Empleo!$K$6:$K$26,2)/Produccion!$C$28,0)</f>
        <v>0</v>
      </c>
      <c r="T35" s="249"/>
    </row>
    <row r="36" spans="1:20" s="240" customFormat="1" ht="25" customHeight="1">
      <c r="A36" s="249"/>
      <c r="B36" s="274">
        <v>3</v>
      </c>
      <c r="C36" s="452" t="str">
        <f>IFERROR(INDEX(Produccion!$A$6:$A$26,MATCH(SMALL(Produccion!$K$6:$K$26,3),Produccion!$K$6:$K$26,0)),"—")</f>
        <v>Agricultura, ganadería, caza y pesca</v>
      </c>
      <c r="D36" s="453"/>
      <c r="E36" s="275">
        <f>IFERROR(SMALL(Produccion!$K$6:$K$26,3),0)</f>
        <v>0</v>
      </c>
      <c r="F36" s="276">
        <f>IFERROR(INDEX(Produccion!$F$6:$F$26,MATCH(SMALL(Produccion!$K$6:$K$26,3),Produccion!$K$6:$K$26,0)),0)</f>
        <v>0</v>
      </c>
      <c r="G36" s="277">
        <f>IFERROR(INDEX(Produccion!$I$6:$I$26,MATCH(SMALL(Produccion!$K$6:$K$26,3),Produccion!$K$6:$K$26,0)),0)</f>
        <v>0</v>
      </c>
      <c r="H36" s="305">
        <f>IFERROR(SMALL(Produccion!$K$6:$K$26,3)/Produccion!$K$28,0)</f>
        <v>0</v>
      </c>
      <c r="I36" s="278">
        <f>IFERROR(SMALL(Produccion!$K$6:$K$26,3)/INDEX('Estimulos Nacionales'!$C$8:$C$28,MATCH(SMALL(Produccion!$K$6:$K$26,3),Produccion!$K$6:$K$26,0)),0)</f>
        <v>0</v>
      </c>
      <c r="J36" s="272"/>
      <c r="K36" s="279">
        <v>3</v>
      </c>
      <c r="L36" s="452" t="str">
        <f>IFERROR(INDEX(Empleo!$A$6:$A$26,MATCH(SMALL(Empleo!$K$6:$K$26,3),Empleo!$K$6:$K$26,0)),"—")</f>
        <v>Agricultura, ganadería, caza y pesca</v>
      </c>
      <c r="M36" s="453"/>
      <c r="N36" s="280">
        <f>IFERROR(SMALL(Empleo!$K$6:$K$26,3),0)</f>
        <v>0</v>
      </c>
      <c r="O36" s="281">
        <f>IFERROR(INDEX(Empleo!$F$6:$F$26,MATCH(SMALL(Empleo!$K$6:$K$26,3),Empleo!$K$6:$K$26,0)),0)</f>
        <v>0</v>
      </c>
      <c r="P36" s="282">
        <f>IFERROR(INDEX(Empleo!$I$6:$I$26,MATCH(SMALL(Empleo!$K$6:$K$26,3),Empleo!$K$6:$K$26,0)),0)</f>
        <v>0</v>
      </c>
      <c r="Q36" s="305">
        <f>IFERROR(SMALL(Empleo!$K$6:$K$26,3)/Empleo!$K$28,0)</f>
        <v>0</v>
      </c>
      <c r="R36" s="283">
        <f>IFERROR(SMALL(Empleo!$K$6:$K$26,3)/INDEX('Informacion Empleo'!$C$6:$C$26,MATCH(SMALL(Empleo!$K$6:$K$26,3),Empleo!$K$6:$K$26,0)),0)</f>
        <v>0</v>
      </c>
      <c r="S36" s="306">
        <f>IFERROR(SMALL(Empleo!$K$6:$K$26,3)/Produccion!$C$28,0)</f>
        <v>0</v>
      </c>
      <c r="T36" s="249"/>
    </row>
    <row r="37" spans="1:20" s="240" customFormat="1" ht="25" customHeight="1">
      <c r="A37" s="249"/>
      <c r="B37" s="274">
        <v>4</v>
      </c>
      <c r="C37" s="474" t="str">
        <f>IFERROR(INDEX(Produccion!$A$6:$A$26,MATCH(SMALL(Produccion!$K$6:$K$26,4),Produccion!$K$6:$K$26,0)),"—")</f>
        <v>Agricultura, ganadería, caza y pesca</v>
      </c>
      <c r="D37" s="453"/>
      <c r="E37" s="275">
        <f>IFERROR(SMALL(Produccion!$K$6:$K$26,4),0)</f>
        <v>0</v>
      </c>
      <c r="F37" s="284">
        <f>IFERROR(INDEX(Produccion!$F$6:$F$26,MATCH(SMALL(Produccion!$K$6:$K$26,4),Produccion!$K$6:$K$26,0)),0)</f>
        <v>0</v>
      </c>
      <c r="G37" s="285">
        <f>IFERROR(INDEX(Produccion!$I$6:$I$26,MATCH(SMALL(Produccion!$K$6:$K$26,4),Produccion!$K$6:$K$26,0)),0)</f>
        <v>0</v>
      </c>
      <c r="H37" s="286">
        <f>IFERROR(SMALL(Produccion!$K$6:$K$26,4)/Produccion!$K$28,0)</f>
        <v>0</v>
      </c>
      <c r="I37" s="278">
        <f>IFERROR(SMALL(Produccion!$K$6:$K$26,4)/INDEX('Estimulos Nacionales'!$C$8:$C$28,MATCH(SMALL(Produccion!$K$6:$K$26,4),Produccion!$K$6:$K$26,0)),0)</f>
        <v>0</v>
      </c>
      <c r="J37" s="272"/>
      <c r="K37" s="279">
        <v>4</v>
      </c>
      <c r="L37" s="474" t="str">
        <f>IFERROR(INDEX(Empleo!$A$6:$A$26,MATCH(SMALL(Empleo!$K$6:$K$26,4),Empleo!$K$6:$K$26,0)),"—")</f>
        <v>Agricultura, ganadería, caza y pesca</v>
      </c>
      <c r="M37" s="453"/>
      <c r="N37" s="280">
        <f>IFERROR(SMALL(Empleo!$K$6:$K$26,4),0)</f>
        <v>0</v>
      </c>
      <c r="O37" s="287">
        <f>IFERROR(INDEX(Empleo!$F$6:$F$26,MATCH(SMALL(Empleo!$K$6:$K$26,4),Empleo!$K$6:$K$26,0)),0)</f>
        <v>0</v>
      </c>
      <c r="P37" s="288">
        <f>IFERROR(INDEX(Empleo!$I$6:$I$26,MATCH(SMALL(Empleo!$K$6:$K$26,4),Empleo!$K$6:$K$26,0)),0)</f>
        <v>0</v>
      </c>
      <c r="Q37" s="286">
        <f>IFERROR(SMALL(Empleo!$K$6:$K$26,4)/Empleo!$K$28,0)</f>
        <v>0</v>
      </c>
      <c r="R37" s="283">
        <f>IFERROR(SMALL(Empleo!$K$6:$K$26,4)/INDEX('Informacion Empleo'!$C$6:$C$26,MATCH(SMALL(Empleo!$K$6:$K$26,4),Empleo!$K$6:$K$26,0)),0)</f>
        <v>0</v>
      </c>
      <c r="S37" s="289">
        <f>IFERROR(SMALL(Empleo!$K$6:$K$26,4)/Produccion!$C$28,0)</f>
        <v>0</v>
      </c>
      <c r="T37" s="249"/>
    </row>
    <row r="38" spans="1:20" s="240" customFormat="1" ht="25" customHeight="1">
      <c r="A38" s="249"/>
      <c r="B38" s="274">
        <v>5</v>
      </c>
      <c r="C38" s="452" t="str">
        <f>IFERROR(INDEX(Produccion!$A$6:$A$26,MATCH(SMALL(Produccion!$K$6:$K$26,5),Produccion!$K$6:$K$26,0)),"—")</f>
        <v>Agricultura, ganadería, caza y pesca</v>
      </c>
      <c r="D38" s="453"/>
      <c r="E38" s="275">
        <f>IFERROR(SMALL(Produccion!$K$6:$K$26,5),0)</f>
        <v>0</v>
      </c>
      <c r="F38" s="276">
        <f>IFERROR(INDEX(Produccion!$F$6:$F$26,MATCH(SMALL(Produccion!$K$6:$K$26,5),Produccion!$K$6:$K$26,0)),0)</f>
        <v>0</v>
      </c>
      <c r="G38" s="277">
        <f>IFERROR(INDEX(Produccion!$I$6:$I$26,MATCH(SMALL(Produccion!$K$6:$K$26,5),Produccion!$K$6:$K$26,0)),0)</f>
        <v>0</v>
      </c>
      <c r="H38" s="305">
        <f>IFERROR(SMALL(Produccion!$K$6:$K$26,5)/Produccion!$K$28,0)</f>
        <v>0</v>
      </c>
      <c r="I38" s="278">
        <f>IFERROR(SMALL(Produccion!$K$6:$K$26,5)/INDEX('Estimulos Nacionales'!$C$8:$C$28,MATCH(SMALL(Produccion!$K$6:$K$26,5),Produccion!$K$6:$K$26,0)),0)</f>
        <v>0</v>
      </c>
      <c r="J38" s="272"/>
      <c r="K38" s="279">
        <v>5</v>
      </c>
      <c r="L38" s="452" t="str">
        <f>IFERROR(INDEX(Empleo!$A$6:$A$26,MATCH(SMALL(Empleo!$K$6:$K$26,5),Empleo!$K$6:$K$26,0)),"—")</f>
        <v>Agricultura, ganadería, caza y pesca</v>
      </c>
      <c r="M38" s="453"/>
      <c r="N38" s="280">
        <f>IFERROR(SMALL(Empleo!$K$6:$K$26,5),0)</f>
        <v>0</v>
      </c>
      <c r="O38" s="281">
        <f>IFERROR(INDEX(Empleo!$F$6:$F$26,MATCH(SMALL(Empleo!$K$6:$K$26,5),Empleo!$K$6:$K$26,0)),0)</f>
        <v>0</v>
      </c>
      <c r="P38" s="282">
        <f>IFERROR(INDEX(Empleo!$I$6:$I$26,MATCH(SMALL(Empleo!$K$6:$K$26,5),Empleo!$K$6:$K$26,0)),0)</f>
        <v>0</v>
      </c>
      <c r="Q38" s="305">
        <f>IFERROR(SMALL(Empleo!$K$6:$K$26,5)/Empleo!$K$28,0)</f>
        <v>0</v>
      </c>
      <c r="R38" s="283">
        <f>IFERROR(SMALL(Empleo!$K$6:$K$26,5)/INDEX('Informacion Empleo'!$C$6:$C$26,MATCH(SMALL(Empleo!$K$6:$K$26,5),Empleo!$K$6:$K$26,0)),0)</f>
        <v>0</v>
      </c>
      <c r="S38" s="306">
        <f>IFERROR(SMALL(Empleo!$K$6:$K$26,5)/Produccion!$C$28,0)</f>
        <v>0</v>
      </c>
      <c r="T38" s="249"/>
    </row>
    <row r="39" spans="1:20" ht="19" customHeight="1">
      <c r="A39" s="175"/>
      <c r="B39" s="473"/>
      <c r="C39" s="431"/>
      <c r="D39" s="431"/>
      <c r="E39" s="431"/>
      <c r="F39" s="431"/>
      <c r="G39" s="431"/>
      <c r="H39" s="431"/>
      <c r="I39" s="431"/>
      <c r="J39" s="431"/>
      <c r="K39" s="431"/>
      <c r="L39" s="431"/>
      <c r="M39" s="431"/>
      <c r="N39" s="431"/>
      <c r="O39" s="431"/>
      <c r="P39" s="431"/>
      <c r="Q39" s="431"/>
      <c r="R39" s="431"/>
      <c r="S39" s="431"/>
      <c r="T39" s="175"/>
    </row>
  </sheetData>
  <mergeCells count="103">
    <mergeCell ref="L36:M36"/>
    <mergeCell ref="I24"/>
    <mergeCell ref="L35:M35"/>
    <mergeCell ref="B19:C19"/>
    <mergeCell ref="L25:M25"/>
    <mergeCell ref="P19:Q19"/>
    <mergeCell ref="M10"/>
    <mergeCell ref="K24:M24"/>
    <mergeCell ref="Q10"/>
    <mergeCell ref="C34:D34"/>
    <mergeCell ref="B30:S30"/>
    <mergeCell ref="L10"/>
    <mergeCell ref="C29:D29"/>
    <mergeCell ref="C28:D28"/>
    <mergeCell ref="B11:C11"/>
    <mergeCell ref="P17:Q17"/>
    <mergeCell ref="S10"/>
    <mergeCell ref="S24"/>
    <mergeCell ref="R10"/>
    <mergeCell ref="C38:D38"/>
    <mergeCell ref="B5:C5"/>
    <mergeCell ref="B20:C20"/>
    <mergeCell ref="B32:I32"/>
    <mergeCell ref="L37:M37"/>
    <mergeCell ref="K19"/>
    <mergeCell ref="C26:D26"/>
    <mergeCell ref="D5:G5"/>
    <mergeCell ref="G17:H17"/>
    <mergeCell ref="C35:D35"/>
    <mergeCell ref="C25:D25"/>
    <mergeCell ref="G19:H19"/>
    <mergeCell ref="D10"/>
    <mergeCell ref="B24:D24"/>
    <mergeCell ref="K32:S32"/>
    <mergeCell ref="C36:D36"/>
    <mergeCell ref="R24"/>
    <mergeCell ref="K33:M33"/>
    <mergeCell ref="L26:M26"/>
    <mergeCell ref="L34:M34"/>
    <mergeCell ref="C37:D37"/>
    <mergeCell ref="L27:M27"/>
    <mergeCell ref="P10"/>
    <mergeCell ref="B33:D33"/>
    <mergeCell ref="B7:C7"/>
    <mergeCell ref="N24"/>
    <mergeCell ref="P24"/>
    <mergeCell ref="H24"/>
    <mergeCell ref="J18"/>
    <mergeCell ref="Q7:S7"/>
    <mergeCell ref="E10"/>
    <mergeCell ref="I7:J7"/>
    <mergeCell ref="E24"/>
    <mergeCell ref="B23:I23"/>
    <mergeCell ref="J19"/>
    <mergeCell ref="K7:M7"/>
    <mergeCell ref="B39:S39"/>
    <mergeCell ref="O3:S3"/>
    <mergeCell ref="O6:P6"/>
    <mergeCell ref="B14:S14"/>
    <mergeCell ref="L19:M19"/>
    <mergeCell ref="L28:M28"/>
    <mergeCell ref="K10"/>
    <mergeCell ref="Q6:S6"/>
    <mergeCell ref="B12:C12"/>
    <mergeCell ref="K18"/>
    <mergeCell ref="O10"/>
    <mergeCell ref="O24"/>
    <mergeCell ref="Q24"/>
    <mergeCell ref="G18:H18"/>
    <mergeCell ref="B13:C13"/>
    <mergeCell ref="L29:M29"/>
    <mergeCell ref="B3:G3"/>
    <mergeCell ref="I4:M4"/>
    <mergeCell ref="B6:C6"/>
    <mergeCell ref="K6:M6"/>
    <mergeCell ref="B10:C10"/>
    <mergeCell ref="O7:P7"/>
    <mergeCell ref="I3:M3"/>
    <mergeCell ref="G24"/>
    <mergeCell ref="L38:M38"/>
    <mergeCell ref="D6:G6"/>
    <mergeCell ref="C27:D27"/>
    <mergeCell ref="B4:G4"/>
    <mergeCell ref="I5:J5"/>
    <mergeCell ref="B16:S16"/>
    <mergeCell ref="O4:S4"/>
    <mergeCell ref="F24"/>
    <mergeCell ref="R1:T1"/>
    <mergeCell ref="O5:P5"/>
    <mergeCell ref="L18:M18"/>
    <mergeCell ref="K23:S23"/>
    <mergeCell ref="B9:S9"/>
    <mergeCell ref="B17:C17"/>
    <mergeCell ref="J10"/>
    <mergeCell ref="B18:C18"/>
    <mergeCell ref="K1:N1"/>
    <mergeCell ref="O1:Q1"/>
    <mergeCell ref="K5:M5"/>
    <mergeCell ref="D7:G7"/>
    <mergeCell ref="L17:M17"/>
    <mergeCell ref="Q5:S5"/>
    <mergeCell ref="I6:J6"/>
    <mergeCell ref="P18:Q18"/>
  </mergeCells>
  <conditionalFormatting sqref="H25:H29">
    <cfRule type="dataBar" priority="4">
      <dataBar>
        <cfvo type="num" val="0"/>
        <cfvo type="max"/>
        <color rgb="FF1A6B8A"/>
      </dataBar>
    </cfRule>
  </conditionalFormatting>
  <conditionalFormatting sqref="Q25:Q29">
    <cfRule type="dataBar" priority="5">
      <dataBar>
        <cfvo type="num" val="0"/>
        <cfvo type="max"/>
        <color rgb="FF2980B9"/>
      </dataBar>
    </cfRule>
  </conditionalFormatting>
  <conditionalFormatting sqref="H34:H38">
    <cfRule type="dataBar" priority="2">
      <dataBar>
        <cfvo type="num" val="0"/>
        <cfvo type="max"/>
        <color rgb="FF1A6B8A"/>
      </dataBar>
    </cfRule>
  </conditionalFormatting>
  <conditionalFormatting sqref="Q34:Q38">
    <cfRule type="dataBar" priority="3">
      <dataBar>
        <cfvo type="num" val="0"/>
        <cfvo type="max"/>
        <color rgb="FF2980B9"/>
      </dataBar>
    </cfRule>
  </conditionalFormatting>
  <pageMargins left="0.35" right="0.35" top="0.4" bottom="0.4" header="0.5" footer="0.5"/>
  <pageSetup paperSize="9" fitToHeight="0" orientation="landscape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A120D698-13D0-D142-A773-537C576BFDDF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B1:N1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27AE60"/>
  </sheetPr>
  <dimension ref="A1:X36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C13" sqref="C13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3.1640625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5" t="str">
        <f>IF(SUM(DeltaF21c)=0,"Efectos sobre la Producción","Diferencias entre los proyectos en Producción")&amp;" — Paraguay"</f>
        <v>Efectos sobre la Producción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4" customHeight="1">
      <c r="A2" s="316" t="s">
        <v>207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17" customHeight="1">
      <c r="A3" s="18" t="s">
        <v>208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79"/>
      <c r="B4" s="79"/>
      <c r="C4" s="80" t="s">
        <v>144</v>
      </c>
      <c r="D4" s="318" t="s">
        <v>191</v>
      </c>
      <c r="G4" s="317" t="s">
        <v>192</v>
      </c>
      <c r="J4" s="241" t="s">
        <v>193</v>
      </c>
      <c r="K4" s="81" t="s">
        <v>194</v>
      </c>
      <c r="L4" s="81" t="s">
        <v>195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88</v>
      </c>
      <c r="C5" s="84"/>
      <c r="D5" s="85" t="s">
        <v>196</v>
      </c>
      <c r="E5" s="86" t="s">
        <v>197</v>
      </c>
      <c r="F5" s="87" t="s">
        <v>31</v>
      </c>
      <c r="G5" s="88" t="s">
        <v>196</v>
      </c>
      <c r="H5" s="86" t="s">
        <v>197</v>
      </c>
      <c r="I5" s="89" t="s">
        <v>31</v>
      </c>
      <c r="J5" s="242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96</v>
      </c>
      <c r="C6" s="156" cm="1">
        <f t="array" ref="C6:C26">DeltaF21-DeltaF21c</f>
        <v>0</v>
      </c>
      <c r="D6" s="156" cm="1">
        <f t="array" ref="D6:D26">MMULT(A_21x21,EInicial_21)</f>
        <v>0</v>
      </c>
      <c r="E6" s="156" cm="1">
        <f t="array" ref="E6">SUMPRODUCT(MRIO!C4:HY4,TRANSPOSE(DF_MRIO))</f>
        <v>0</v>
      </c>
      <c r="F6" s="157" cm="1">
        <f t="array" ref="F6:F26">EDirecto_21+EIDirecto_21</f>
        <v>0</v>
      </c>
      <c r="G6" s="156" cm="1">
        <f t="array" ref="G6:G26">MMULT(L_21x21,EInicial_21)-EInicial_21-EDirecto_21</f>
        <v>0</v>
      </c>
      <c r="H6" s="156" cm="1">
        <f t="array" ref="H6">SUMPRODUCT(MRIO!C29:HY29,TRANSPOSE(DF_MRIO))-E6</f>
        <v>0</v>
      </c>
      <c r="I6" s="157" cm="1">
        <f t="array" ref="I6:I26">EIIndirecto_21+EIndirecto21</f>
        <v>0</v>
      </c>
      <c r="J6" s="156" cm="1">
        <f t="array" ref="J6:J26">_xlfn.TAKE(MMULT(L_22x22,(DeltaF22-DeltaF22c)),21)-EInicial_21-EDirecto_21-EIndirecto21</f>
        <v>0</v>
      </c>
      <c r="K6" s="157">
        <f t="shared" ref="K6:K26" si="0">J6+I6+F6+C6</f>
        <v>0</v>
      </c>
      <c r="L6" s="186" cm="1">
        <f t="array" ref="L6:L26">K6:K26/TRANSPOSE(VBP_21)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97</v>
      </c>
      <c r="C7" s="159">
        <v>0</v>
      </c>
      <c r="D7" s="159">
        <v>0</v>
      </c>
      <c r="E7" s="159" cm="1">
        <f t="array" ref="E7">SUMPRODUCT(MRIO!C5:HY5,TRANSPOSE(DF_MRIO))</f>
        <v>0</v>
      </c>
      <c r="F7" s="160">
        <v>0</v>
      </c>
      <c r="G7" s="159">
        <v>0</v>
      </c>
      <c r="H7" s="159" cm="1">
        <f t="array" ref="H7">SUMPRODUCT(MRIO!C30:HY30,TRANSPOSE(DF_MRIO))-E7</f>
        <v>0</v>
      </c>
      <c r="I7" s="160">
        <v>0</v>
      </c>
      <c r="J7" s="156">
        <v>0</v>
      </c>
      <c r="K7" s="160">
        <f t="shared" si="0"/>
        <v>0</v>
      </c>
      <c r="L7" s="187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98</v>
      </c>
      <c r="C8" s="156">
        <v>0</v>
      </c>
      <c r="D8" s="156">
        <v>0</v>
      </c>
      <c r="E8" s="156" cm="1">
        <f t="array" ref="E8">SUMPRODUCT(MRIO!C6:HY6,TRANSPOSE(DF_MRIO))</f>
        <v>0</v>
      </c>
      <c r="F8" s="157">
        <v>0</v>
      </c>
      <c r="G8" s="156">
        <v>0</v>
      </c>
      <c r="H8" s="156" cm="1">
        <f t="array" ref="H8">SUMPRODUCT(MRIO!C31:HY31,TRANSPOSE(DF_MRIO))-E8</f>
        <v>0</v>
      </c>
      <c r="I8" s="157">
        <v>0</v>
      </c>
      <c r="J8" s="156">
        <v>0</v>
      </c>
      <c r="K8" s="157">
        <f t="shared" si="0"/>
        <v>0</v>
      </c>
      <c r="L8" s="187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99</v>
      </c>
      <c r="C9" s="159">
        <v>0</v>
      </c>
      <c r="D9" s="159">
        <v>0</v>
      </c>
      <c r="E9" s="159" cm="1">
        <f t="array" ref="E9">SUMPRODUCT(MRIO!C7:HY7,TRANSPOSE(DF_MRIO))</f>
        <v>0</v>
      </c>
      <c r="F9" s="160">
        <v>0</v>
      </c>
      <c r="G9" s="159">
        <v>0</v>
      </c>
      <c r="H9" s="159" cm="1">
        <f t="array" ref="H9">SUMPRODUCT(MRIO!C32:HY32,TRANSPOSE(DF_MRIO))-E9</f>
        <v>0</v>
      </c>
      <c r="I9" s="160">
        <v>0</v>
      </c>
      <c r="J9" s="156">
        <v>0</v>
      </c>
      <c r="K9" s="160">
        <f t="shared" si="0"/>
        <v>0</v>
      </c>
      <c r="L9" s="187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100</v>
      </c>
      <c r="C10" s="156">
        <v>0</v>
      </c>
      <c r="D10" s="156">
        <v>0</v>
      </c>
      <c r="E10" s="156" cm="1">
        <f t="array" ref="E10">SUMPRODUCT(MRIO!C8:HY8,TRANSPOSE(DF_MRIO))</f>
        <v>0</v>
      </c>
      <c r="F10" s="157">
        <v>0</v>
      </c>
      <c r="G10" s="156">
        <v>0</v>
      </c>
      <c r="H10" s="156" cm="1">
        <f t="array" ref="H10">SUMPRODUCT(MRIO!C33:HY33,TRANSPOSE(DF_MRIO))-E10</f>
        <v>0</v>
      </c>
      <c r="I10" s="157">
        <v>0</v>
      </c>
      <c r="J10" s="156">
        <v>0</v>
      </c>
      <c r="K10" s="157">
        <f t="shared" si="0"/>
        <v>0</v>
      </c>
      <c r="L10" s="186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101</v>
      </c>
      <c r="C11" s="159">
        <v>0</v>
      </c>
      <c r="D11" s="159">
        <v>0</v>
      </c>
      <c r="E11" s="159" cm="1">
        <f t="array" ref="E11">SUMPRODUCT(MRIO!C9:HY9,TRANSPOSE(DF_MRIO))</f>
        <v>0</v>
      </c>
      <c r="F11" s="160">
        <v>0</v>
      </c>
      <c r="G11" s="159">
        <v>0</v>
      </c>
      <c r="H11" s="159" cm="1">
        <f t="array" ref="H11">SUMPRODUCT(MRIO!C34:HY34,TRANSPOSE(DF_MRIO))-E11</f>
        <v>0</v>
      </c>
      <c r="I11" s="160">
        <v>0</v>
      </c>
      <c r="J11" s="156">
        <v>0</v>
      </c>
      <c r="K11" s="160">
        <f t="shared" si="0"/>
        <v>0</v>
      </c>
      <c r="L11" s="187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102</v>
      </c>
      <c r="C12" s="156">
        <v>0</v>
      </c>
      <c r="D12" s="156">
        <v>0</v>
      </c>
      <c r="E12" s="156" cm="1">
        <f t="array" ref="E12">SUMPRODUCT(MRIO!C10:HY10,TRANSPOSE(DF_MRIO))</f>
        <v>0</v>
      </c>
      <c r="F12" s="157">
        <v>0</v>
      </c>
      <c r="G12" s="156">
        <v>0</v>
      </c>
      <c r="H12" s="156" cm="1">
        <f t="array" ref="H12">SUMPRODUCT(MRIO!C35:HY35,TRANSPOSE(DF_MRIO))-E12</f>
        <v>0</v>
      </c>
      <c r="I12" s="157">
        <v>0</v>
      </c>
      <c r="J12" s="156">
        <v>0</v>
      </c>
      <c r="K12" s="157">
        <f t="shared" si="0"/>
        <v>0</v>
      </c>
      <c r="L12" s="186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103</v>
      </c>
      <c r="C13" s="159">
        <v>0</v>
      </c>
      <c r="D13" s="159">
        <v>0</v>
      </c>
      <c r="E13" s="159" cm="1">
        <f t="array" ref="E13">SUMPRODUCT(MRIO!C11:HY11,TRANSPOSE(DF_MRIO))</f>
        <v>0</v>
      </c>
      <c r="F13" s="160">
        <v>0</v>
      </c>
      <c r="G13" s="159">
        <v>0</v>
      </c>
      <c r="H13" s="159" cm="1">
        <f t="array" ref="H13">SUMPRODUCT(MRIO!C36:HY36,TRANSPOSE(DF_MRIO))-E13</f>
        <v>0</v>
      </c>
      <c r="I13" s="160">
        <v>0</v>
      </c>
      <c r="J13" s="156">
        <v>0</v>
      </c>
      <c r="K13" s="160">
        <f t="shared" si="0"/>
        <v>0</v>
      </c>
      <c r="L13" s="187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104</v>
      </c>
      <c r="C14" s="156">
        <v>0</v>
      </c>
      <c r="D14" s="156">
        <v>0</v>
      </c>
      <c r="E14" s="156" cm="1">
        <f t="array" ref="E14">SUMPRODUCT(MRIO!C12:HY12,TRANSPOSE(DF_MRIO))</f>
        <v>0</v>
      </c>
      <c r="F14" s="157">
        <v>0</v>
      </c>
      <c r="G14" s="156">
        <v>0</v>
      </c>
      <c r="H14" s="156" cm="1">
        <f t="array" ref="H14">SUMPRODUCT(MRIO!C37:HY37,TRANSPOSE(DF_MRIO))-E14</f>
        <v>0</v>
      </c>
      <c r="I14" s="157">
        <v>0</v>
      </c>
      <c r="J14" s="156">
        <v>0</v>
      </c>
      <c r="K14" s="157">
        <f t="shared" si="0"/>
        <v>0</v>
      </c>
      <c r="L14" s="186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105</v>
      </c>
      <c r="C15" s="159">
        <v>0</v>
      </c>
      <c r="D15" s="159">
        <v>0</v>
      </c>
      <c r="E15" s="159" cm="1">
        <f t="array" ref="E15">SUMPRODUCT(MRIO!C13:HY13,TRANSPOSE(DF_MRIO))</f>
        <v>0</v>
      </c>
      <c r="F15" s="160">
        <v>0</v>
      </c>
      <c r="G15" s="159">
        <v>0</v>
      </c>
      <c r="H15" s="159" cm="1">
        <f t="array" ref="H15">SUMPRODUCT(MRIO!C38:HY38,TRANSPOSE(DF_MRIO))-E15</f>
        <v>0</v>
      </c>
      <c r="I15" s="160">
        <v>0</v>
      </c>
      <c r="J15" s="156">
        <v>0</v>
      </c>
      <c r="K15" s="160">
        <f t="shared" si="0"/>
        <v>0</v>
      </c>
      <c r="L15" s="187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106</v>
      </c>
      <c r="C16" s="156">
        <v>0</v>
      </c>
      <c r="D16" s="156">
        <v>0</v>
      </c>
      <c r="E16" s="156" cm="1">
        <f t="array" ref="E16">SUMPRODUCT(MRIO!C14:HY14,TRANSPOSE(DF_MRIO))</f>
        <v>0</v>
      </c>
      <c r="F16" s="157">
        <v>0</v>
      </c>
      <c r="G16" s="156">
        <v>0</v>
      </c>
      <c r="H16" s="156" cm="1">
        <f t="array" ref="H16">SUMPRODUCT(MRIO!C39:HY39,TRANSPOSE(DF_MRIO))-E16</f>
        <v>0</v>
      </c>
      <c r="I16" s="157">
        <v>0</v>
      </c>
      <c r="J16" s="156">
        <v>0</v>
      </c>
      <c r="K16" s="157">
        <f t="shared" si="0"/>
        <v>0</v>
      </c>
      <c r="L16" s="186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107</v>
      </c>
      <c r="C17" s="159">
        <v>0</v>
      </c>
      <c r="D17" s="159">
        <v>0</v>
      </c>
      <c r="E17" s="159" cm="1">
        <f t="array" ref="E17">SUMPRODUCT(MRIO!C15:HY15,TRANSPOSE(DF_MRIO))</f>
        <v>0</v>
      </c>
      <c r="F17" s="160">
        <v>0</v>
      </c>
      <c r="G17" s="159">
        <v>0</v>
      </c>
      <c r="H17" s="159" cm="1">
        <f t="array" ref="H17">SUMPRODUCT(MRIO!C40:HY40,TRANSPOSE(DF_MRIO))-E17</f>
        <v>0</v>
      </c>
      <c r="I17" s="160">
        <v>0</v>
      </c>
      <c r="J17" s="156">
        <v>0</v>
      </c>
      <c r="K17" s="160">
        <f t="shared" si="0"/>
        <v>0</v>
      </c>
      <c r="L17" s="187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108</v>
      </c>
      <c r="C18" s="156">
        <v>0</v>
      </c>
      <c r="D18" s="156">
        <v>0</v>
      </c>
      <c r="E18" s="156" cm="1">
        <f t="array" ref="E18">SUMPRODUCT(MRIO!C16:HY16,TRANSPOSE(DF_MRIO))</f>
        <v>0</v>
      </c>
      <c r="F18" s="157">
        <v>0</v>
      </c>
      <c r="G18" s="156">
        <v>0</v>
      </c>
      <c r="H18" s="156" cm="1">
        <f t="array" ref="H18">SUMPRODUCT(MRIO!C41:HY41,TRANSPOSE(DF_MRIO))-E18</f>
        <v>0</v>
      </c>
      <c r="I18" s="157">
        <v>0</v>
      </c>
      <c r="J18" s="156">
        <v>0</v>
      </c>
      <c r="K18" s="157">
        <f t="shared" si="0"/>
        <v>0</v>
      </c>
      <c r="L18" s="186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109</v>
      </c>
      <c r="C19" s="159">
        <v>0</v>
      </c>
      <c r="D19" s="159">
        <v>0</v>
      </c>
      <c r="E19" s="159" cm="1">
        <f t="array" ref="E19">SUMPRODUCT(MRIO!C17:HY17,TRANSPOSE(DF_MRIO))</f>
        <v>0</v>
      </c>
      <c r="F19" s="160">
        <v>0</v>
      </c>
      <c r="G19" s="159">
        <v>0</v>
      </c>
      <c r="H19" s="159" cm="1">
        <f t="array" ref="H19">SUMPRODUCT(MRIO!C42:HY42,TRANSPOSE(DF_MRIO))-E19</f>
        <v>0</v>
      </c>
      <c r="I19" s="160">
        <v>0</v>
      </c>
      <c r="J19" s="156">
        <v>0</v>
      </c>
      <c r="K19" s="160">
        <f t="shared" si="0"/>
        <v>0</v>
      </c>
      <c r="L19" s="187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110</v>
      </c>
      <c r="C20" s="156">
        <v>0</v>
      </c>
      <c r="D20" s="156">
        <v>0</v>
      </c>
      <c r="E20" s="156" cm="1">
        <f t="array" ref="E20">SUMPRODUCT(MRIO!C18:HY18,TRANSPOSE(DF_MRIO))</f>
        <v>0</v>
      </c>
      <c r="F20" s="157">
        <v>0</v>
      </c>
      <c r="G20" s="156">
        <v>0</v>
      </c>
      <c r="H20" s="156" cm="1">
        <f t="array" ref="H20">SUMPRODUCT(MRIO!C43:HY43,TRANSPOSE(DF_MRIO))-E20</f>
        <v>0</v>
      </c>
      <c r="I20" s="157">
        <v>0</v>
      </c>
      <c r="J20" s="156">
        <v>0</v>
      </c>
      <c r="K20" s="157">
        <f t="shared" si="0"/>
        <v>0</v>
      </c>
      <c r="L20" s="186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111</v>
      </c>
      <c r="C21" s="159">
        <v>0</v>
      </c>
      <c r="D21" s="159">
        <v>0</v>
      </c>
      <c r="E21" s="159" cm="1">
        <f t="array" ref="E21">SUMPRODUCT(MRIO!C19:HY19,TRANSPOSE(DF_MRIO))</f>
        <v>0</v>
      </c>
      <c r="F21" s="160">
        <v>0</v>
      </c>
      <c r="G21" s="159">
        <v>0</v>
      </c>
      <c r="H21" s="159" cm="1">
        <f t="array" ref="H21">SUMPRODUCT(MRIO!C44:HY44,TRANSPOSE(DF_MRIO))-E21</f>
        <v>0</v>
      </c>
      <c r="I21" s="160">
        <v>0</v>
      </c>
      <c r="J21" s="156">
        <v>0</v>
      </c>
      <c r="K21" s="160">
        <f t="shared" si="0"/>
        <v>0</v>
      </c>
      <c r="L21" s="187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112</v>
      </c>
      <c r="C22" s="156">
        <v>0</v>
      </c>
      <c r="D22" s="156">
        <v>0</v>
      </c>
      <c r="E22" s="156" cm="1">
        <f t="array" ref="E22">SUMPRODUCT(MRIO!C20:HY20,TRANSPOSE(DF_MRIO))</f>
        <v>0</v>
      </c>
      <c r="F22" s="157">
        <v>0</v>
      </c>
      <c r="G22" s="156">
        <v>0</v>
      </c>
      <c r="H22" s="156" cm="1">
        <f t="array" ref="H22">SUMPRODUCT(MRIO!C45:HY45,TRANSPOSE(DF_MRIO))-E22</f>
        <v>0</v>
      </c>
      <c r="I22" s="157">
        <v>0</v>
      </c>
      <c r="J22" s="156">
        <v>0</v>
      </c>
      <c r="K22" s="157">
        <f t="shared" si="0"/>
        <v>0</v>
      </c>
      <c r="L22" s="186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113</v>
      </c>
      <c r="C23" s="159">
        <v>0</v>
      </c>
      <c r="D23" s="159">
        <v>0</v>
      </c>
      <c r="E23" s="159" cm="1">
        <f t="array" ref="E23">SUMPRODUCT(MRIO!C21:HY21,TRANSPOSE(DF_MRIO))</f>
        <v>0</v>
      </c>
      <c r="F23" s="160">
        <v>0</v>
      </c>
      <c r="G23" s="159">
        <v>0</v>
      </c>
      <c r="H23" s="159" cm="1">
        <f t="array" ref="H23">SUMPRODUCT(MRIO!C46:HY46,TRANSPOSE(DF_MRIO))-E23</f>
        <v>0</v>
      </c>
      <c r="I23" s="160">
        <v>0</v>
      </c>
      <c r="J23" s="156">
        <v>0</v>
      </c>
      <c r="K23" s="160">
        <f t="shared" si="0"/>
        <v>0</v>
      </c>
      <c r="L23" s="187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114</v>
      </c>
      <c r="C24" s="156">
        <v>0</v>
      </c>
      <c r="D24" s="156">
        <v>0</v>
      </c>
      <c r="E24" s="156" cm="1">
        <f t="array" ref="E24">SUMPRODUCT(MRIO!C22:HY22,TRANSPOSE(DF_MRIO))</f>
        <v>0</v>
      </c>
      <c r="F24" s="157">
        <v>0</v>
      </c>
      <c r="G24" s="156">
        <v>0</v>
      </c>
      <c r="H24" s="156" cm="1">
        <f t="array" ref="H24">SUMPRODUCT(MRIO!C47:HY47,TRANSPOSE(DF_MRIO))-E24</f>
        <v>0</v>
      </c>
      <c r="I24" s="157">
        <v>0</v>
      </c>
      <c r="J24" s="156">
        <v>0</v>
      </c>
      <c r="K24" s="157">
        <f t="shared" si="0"/>
        <v>0</v>
      </c>
      <c r="L24" s="186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115</v>
      </c>
      <c r="C25" s="159">
        <v>0</v>
      </c>
      <c r="D25" s="159">
        <v>0</v>
      </c>
      <c r="E25" s="159" cm="1">
        <f t="array" ref="E25">SUMPRODUCT(MRIO!C23:HY23,TRANSPOSE(DF_MRIO))</f>
        <v>0</v>
      </c>
      <c r="F25" s="160">
        <v>0</v>
      </c>
      <c r="G25" s="159">
        <v>0</v>
      </c>
      <c r="H25" s="159" cm="1">
        <f t="array" ref="H25">SUMPRODUCT(MRIO!C48:HY48,TRANSPOSE(DF_MRIO))-E25</f>
        <v>0</v>
      </c>
      <c r="I25" s="160">
        <v>0</v>
      </c>
      <c r="J25" s="156">
        <v>0</v>
      </c>
      <c r="K25" s="160">
        <f t="shared" si="0"/>
        <v>0</v>
      </c>
      <c r="L25" s="187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116</v>
      </c>
      <c r="C26" s="156">
        <v>0</v>
      </c>
      <c r="D26" s="156">
        <v>0</v>
      </c>
      <c r="E26" s="156" cm="1">
        <f t="array" ref="E26">SUMPRODUCT(MRIO!C24:HY24,TRANSPOSE(DF_MRIO))</f>
        <v>0</v>
      </c>
      <c r="F26" s="157">
        <v>0</v>
      </c>
      <c r="G26" s="156">
        <v>0</v>
      </c>
      <c r="H26" s="156" cm="1">
        <f t="array" ref="H26">SUMPRODUCT(MRIO!C49:HY49,TRANSPOSE(DF_MRIO))-E26</f>
        <v>0</v>
      </c>
      <c r="I26" s="157">
        <v>0</v>
      </c>
      <c r="J26" s="156">
        <v>0</v>
      </c>
      <c r="K26" s="157">
        <f t="shared" si="0"/>
        <v>0</v>
      </c>
      <c r="L26" s="186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198</v>
      </c>
      <c r="B28" s="92"/>
      <c r="C28" s="162">
        <f t="shared" ref="C28:K28" si="1">SUM(C6:C26)</f>
        <v>0</v>
      </c>
      <c r="D28" s="162">
        <f t="shared" si="1"/>
        <v>0</v>
      </c>
      <c r="E28" s="162">
        <f t="shared" si="1"/>
        <v>0</v>
      </c>
      <c r="F28" s="162">
        <f t="shared" si="1"/>
        <v>0</v>
      </c>
      <c r="G28" s="162">
        <f t="shared" si="1"/>
        <v>0</v>
      </c>
      <c r="H28" s="162">
        <f t="shared" si="1"/>
        <v>0</v>
      </c>
      <c r="I28" s="162">
        <f t="shared" si="1"/>
        <v>0</v>
      </c>
      <c r="J28" s="163">
        <f t="shared" si="1"/>
        <v>0</v>
      </c>
      <c r="K28" s="164">
        <f t="shared" si="1"/>
        <v>0</v>
      </c>
      <c r="L28" s="188">
        <f>K28/'Matrices Nacionales'!X46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33" spans="4:7">
      <c r="D33" s="121"/>
      <c r="G33" s="119"/>
    </row>
    <row r="34" spans="4:7">
      <c r="D34" s="121"/>
    </row>
    <row r="35" spans="4:7">
      <c r="D35" s="120"/>
    </row>
    <row r="36" spans="4:7">
      <c r="E36" s="120"/>
    </row>
  </sheetData>
  <mergeCells count="1">
    <mergeCell ref="A1:L1"/>
  </mergeCells>
  <conditionalFormatting sqref="K6:K26">
    <cfRule type="dataBar" priority="32">
      <dataBar>
        <cfvo type="min"/>
        <cfvo type="max"/>
        <color rgb="FF638EC6"/>
      </dataBar>
    </cfRule>
  </conditionalFormatting>
  <conditionalFormatting sqref="L6:L26">
    <cfRule type="dataBar" priority="33">
      <dataBar>
        <cfvo type="min"/>
        <cfvo type="max"/>
        <color rgb="FF63C384"/>
      </dataBar>
    </cfRule>
  </conditionalFormatting>
  <conditionalFormatting sqref="I6:I26">
    <cfRule type="dataBar" priority="16">
      <dataBar>
        <cfvo type="min"/>
        <cfvo type="max"/>
        <color rgb="FF638EC6"/>
      </dataBar>
    </cfRule>
  </conditionalFormatting>
  <conditionalFormatting sqref="F6:F26">
    <cfRule type="dataBar" priority="15">
      <dataBar>
        <cfvo type="min"/>
        <cfvo type="max"/>
        <color rgb="FF638EC6"/>
      </dataBar>
    </cfRule>
  </conditionalFormatting>
  <conditionalFormatting sqref="C6:C26">
    <cfRule type="cellIs" dxfId="49" priority="11" stopIfTrue="1" operator="equal">
      <formula>0</formula>
    </cfRule>
  </conditionalFormatting>
  <conditionalFormatting sqref="C6:C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48" priority="9" stopIfTrue="1" operator="equal">
      <formula>0</formula>
    </cfRule>
  </conditionalFormatting>
  <conditionalFormatting sqref="D6:D2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47" priority="7" stopIfTrue="1" operator="equal">
      <formula>0</formula>
    </cfRule>
  </conditionalFormatting>
  <conditionalFormatting sqref="E6:E2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26">
    <cfRule type="cellIs" dxfId="46" priority="5" stopIfTrue="1" operator="equal">
      <formula>0</formula>
    </cfRule>
  </conditionalFormatting>
  <conditionalFormatting sqref="G6:G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45" priority="3" stopIfTrue="1" operator="equal">
      <formula>0</formula>
    </cfRule>
  </conditionalFormatting>
  <conditionalFormatting sqref="H6:H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44" priority="1" stopIfTrue="1" operator="equal">
      <formula>0</formula>
    </cfRule>
  </conditionalFormatting>
  <conditionalFormatting sqref="J6:J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7160BD3F-4BE1-EE40-982C-13D2D8602C91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27AE60"/>
  </sheetPr>
  <dimension ref="A1:L109"/>
  <sheetViews>
    <sheetView showGridLines="0" zoomScale="130" zoomScaleNormal="130" workbookViewId="0">
      <pane ySplit="1" topLeftCell="A8" activePane="bottomLeft" state="frozen"/>
      <selection pane="bottomLeft" activeCell="D35" sqref="D35"/>
    </sheetView>
  </sheetViews>
  <sheetFormatPr baseColWidth="10" defaultRowHeight="16"/>
  <cols>
    <col min="1" max="1" width="30.6640625" customWidth="1"/>
    <col min="2" max="2" width="1.1640625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5" t="str">
        <f>IF(SUM(DeltaF21c)=0,"Efectos sobre el Empleo","Diferencias entre los proyectos en Empleo")&amp;" — Paraguay"</f>
        <v>Efectos sobre el Empleo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</row>
    <row r="2" spans="1:12" ht="14" customHeight="1">
      <c r="A2" s="316" t="s">
        <v>608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602</v>
      </c>
      <c r="B4" s="79"/>
      <c r="C4" s="80" t="s">
        <v>144</v>
      </c>
      <c r="D4" s="396" t="s">
        <v>191</v>
      </c>
      <c r="G4" s="399" t="s">
        <v>192</v>
      </c>
      <c r="J4" s="402" t="s">
        <v>193</v>
      </c>
      <c r="K4" s="81" t="s">
        <v>194</v>
      </c>
      <c r="L4" s="81" t="s">
        <v>195</v>
      </c>
    </row>
    <row r="5" spans="1:12" ht="20" customHeight="1" thickBot="1">
      <c r="A5" s="82" t="s">
        <v>5</v>
      </c>
      <c r="B5" s="83" t="s">
        <v>88</v>
      </c>
      <c r="C5" s="84"/>
      <c r="D5" s="397" t="s">
        <v>196</v>
      </c>
      <c r="E5" s="398" t="s">
        <v>197</v>
      </c>
      <c r="F5" s="398" t="s">
        <v>31</v>
      </c>
      <c r="G5" s="400" t="s">
        <v>196</v>
      </c>
      <c r="H5" s="401" t="s">
        <v>197</v>
      </c>
      <c r="I5" s="401" t="s">
        <v>31</v>
      </c>
      <c r="J5" s="403"/>
      <c r="K5" s="84"/>
      <c r="L5" s="84"/>
    </row>
    <row r="6" spans="1:12" ht="14" customHeight="1">
      <c r="A6" s="19" t="s">
        <v>10</v>
      </c>
      <c r="B6" s="90" t="s">
        <v>96</v>
      </c>
      <c r="C6" s="156" cm="1">
        <f t="array" ref="C6:C26">EInicial_21*Coef_trabajo</f>
        <v>0</v>
      </c>
      <c r="D6" s="156" cm="1">
        <f t="array" ref="D6:D26">EDirecto_21*Coef_trabajo</f>
        <v>0</v>
      </c>
      <c r="E6" s="155" cm="1">
        <f t="array" ref="E6:E26">EIDirecto_21*Coef_trabajo</f>
        <v>0</v>
      </c>
      <c r="F6" s="157">
        <f t="shared" ref="F6:F26" si="0">E6+D6</f>
        <v>0</v>
      </c>
      <c r="G6" s="156" cm="1">
        <f t="array" ref="G6:G26">EIndirecto21*Coef_trabajo</f>
        <v>0</v>
      </c>
      <c r="H6" s="155" cm="1">
        <f t="array" ref="H6:H26">EIIndirecto_21*Coef_trabajo</f>
        <v>0</v>
      </c>
      <c r="I6" s="157">
        <f t="shared" ref="I6:I26" si="1">H6+G6</f>
        <v>0</v>
      </c>
      <c r="J6" s="156" cm="1">
        <f t="array" ref="J6:J26">EInducido21*Coef_trabajo</f>
        <v>0</v>
      </c>
      <c r="K6" s="157">
        <f t="shared" ref="K6:K26" si="2">J6+I6+F6+C6</f>
        <v>0</v>
      </c>
      <c r="L6" s="186" cm="1">
        <f t="array" ref="L6:L26">K6:K26/EmpleoTotal21</f>
        <v>0</v>
      </c>
    </row>
    <row r="7" spans="1:12" ht="14" customHeight="1">
      <c r="A7" s="21" t="s">
        <v>11</v>
      </c>
      <c r="B7" s="91" t="s">
        <v>97</v>
      </c>
      <c r="C7" s="159">
        <v>0</v>
      </c>
      <c r="D7" s="159">
        <v>0</v>
      </c>
      <c r="E7" s="158">
        <v>0</v>
      </c>
      <c r="F7" s="160">
        <f t="shared" si="0"/>
        <v>0</v>
      </c>
      <c r="G7" s="159">
        <v>0</v>
      </c>
      <c r="H7" s="158">
        <v>0</v>
      </c>
      <c r="I7" s="160">
        <f t="shared" si="1"/>
        <v>0</v>
      </c>
      <c r="J7" s="156">
        <v>0</v>
      </c>
      <c r="K7" s="160">
        <f t="shared" si="2"/>
        <v>0</v>
      </c>
      <c r="L7" s="187">
        <v>0</v>
      </c>
    </row>
    <row r="8" spans="1:12" ht="14" customHeight="1">
      <c r="A8" s="19" t="s">
        <v>12</v>
      </c>
      <c r="B8" s="90" t="s">
        <v>98</v>
      </c>
      <c r="C8" s="156">
        <v>0</v>
      </c>
      <c r="D8" s="156">
        <v>0</v>
      </c>
      <c r="E8" s="155">
        <v>0</v>
      </c>
      <c r="F8" s="157">
        <f t="shared" si="0"/>
        <v>0</v>
      </c>
      <c r="G8" s="156">
        <v>0</v>
      </c>
      <c r="H8" s="155">
        <v>0</v>
      </c>
      <c r="I8" s="157">
        <f t="shared" si="1"/>
        <v>0</v>
      </c>
      <c r="J8" s="156">
        <v>0</v>
      </c>
      <c r="K8" s="157">
        <f t="shared" si="2"/>
        <v>0</v>
      </c>
      <c r="L8" s="187">
        <v>0</v>
      </c>
    </row>
    <row r="9" spans="1:12" ht="14" customHeight="1">
      <c r="A9" s="21" t="s">
        <v>13</v>
      </c>
      <c r="B9" s="91" t="s">
        <v>99</v>
      </c>
      <c r="C9" s="159">
        <v>0</v>
      </c>
      <c r="D9" s="159">
        <v>0</v>
      </c>
      <c r="E9" s="158">
        <v>0</v>
      </c>
      <c r="F9" s="160">
        <f t="shared" si="0"/>
        <v>0</v>
      </c>
      <c r="G9" s="159">
        <v>0</v>
      </c>
      <c r="H9" s="158">
        <v>0</v>
      </c>
      <c r="I9" s="160">
        <f t="shared" si="1"/>
        <v>0</v>
      </c>
      <c r="J9" s="156">
        <v>0</v>
      </c>
      <c r="K9" s="160">
        <f t="shared" si="2"/>
        <v>0</v>
      </c>
      <c r="L9" s="187">
        <v>0</v>
      </c>
    </row>
    <row r="10" spans="1:12" ht="14" customHeight="1">
      <c r="A10" s="19" t="s">
        <v>14</v>
      </c>
      <c r="B10" s="90" t="s">
        <v>100</v>
      </c>
      <c r="C10" s="156">
        <v>0</v>
      </c>
      <c r="D10" s="156">
        <v>0</v>
      </c>
      <c r="E10" s="155">
        <v>0</v>
      </c>
      <c r="F10" s="157">
        <f t="shared" si="0"/>
        <v>0</v>
      </c>
      <c r="G10" s="156">
        <v>0</v>
      </c>
      <c r="H10" s="155">
        <v>0</v>
      </c>
      <c r="I10" s="157">
        <f t="shared" si="1"/>
        <v>0</v>
      </c>
      <c r="J10" s="156">
        <v>0</v>
      </c>
      <c r="K10" s="157">
        <f t="shared" si="2"/>
        <v>0</v>
      </c>
      <c r="L10" s="186">
        <v>0</v>
      </c>
    </row>
    <row r="11" spans="1:12" ht="14" customHeight="1">
      <c r="A11" s="21" t="s">
        <v>15</v>
      </c>
      <c r="B11" s="91" t="s">
        <v>101</v>
      </c>
      <c r="C11" s="159">
        <v>0</v>
      </c>
      <c r="D11" s="159">
        <v>0</v>
      </c>
      <c r="E11" s="158">
        <v>0</v>
      </c>
      <c r="F11" s="160">
        <f t="shared" si="0"/>
        <v>0</v>
      </c>
      <c r="G11" s="159">
        <v>0</v>
      </c>
      <c r="H11" s="158">
        <v>0</v>
      </c>
      <c r="I11" s="160">
        <f t="shared" si="1"/>
        <v>0</v>
      </c>
      <c r="J11" s="156">
        <v>0</v>
      </c>
      <c r="K11" s="160">
        <f t="shared" si="2"/>
        <v>0</v>
      </c>
      <c r="L11" s="187">
        <v>0</v>
      </c>
    </row>
    <row r="12" spans="1:12" ht="14" customHeight="1">
      <c r="A12" s="19" t="s">
        <v>16</v>
      </c>
      <c r="B12" s="90" t="s">
        <v>102</v>
      </c>
      <c r="C12" s="156">
        <v>0</v>
      </c>
      <c r="D12" s="156">
        <v>0</v>
      </c>
      <c r="E12" s="155">
        <v>0</v>
      </c>
      <c r="F12" s="157">
        <f t="shared" si="0"/>
        <v>0</v>
      </c>
      <c r="G12" s="156">
        <v>0</v>
      </c>
      <c r="H12" s="155">
        <v>0</v>
      </c>
      <c r="I12" s="157">
        <f t="shared" si="1"/>
        <v>0</v>
      </c>
      <c r="J12" s="156">
        <v>0</v>
      </c>
      <c r="K12" s="157">
        <f t="shared" si="2"/>
        <v>0</v>
      </c>
      <c r="L12" s="186">
        <v>0</v>
      </c>
    </row>
    <row r="13" spans="1:12" ht="14" customHeight="1">
      <c r="A13" s="21" t="s">
        <v>17</v>
      </c>
      <c r="B13" s="91" t="s">
        <v>103</v>
      </c>
      <c r="C13" s="159">
        <v>0</v>
      </c>
      <c r="D13" s="159">
        <v>0</v>
      </c>
      <c r="E13" s="158">
        <v>0</v>
      </c>
      <c r="F13" s="160">
        <f t="shared" si="0"/>
        <v>0</v>
      </c>
      <c r="G13" s="159">
        <v>0</v>
      </c>
      <c r="H13" s="158">
        <v>0</v>
      </c>
      <c r="I13" s="160">
        <f t="shared" si="1"/>
        <v>0</v>
      </c>
      <c r="J13" s="156">
        <v>0</v>
      </c>
      <c r="K13" s="160">
        <f t="shared" si="2"/>
        <v>0</v>
      </c>
      <c r="L13" s="187">
        <v>0</v>
      </c>
    </row>
    <row r="14" spans="1:12" ht="14" customHeight="1">
      <c r="A14" s="19" t="s">
        <v>18</v>
      </c>
      <c r="B14" s="90" t="s">
        <v>104</v>
      </c>
      <c r="C14" s="156">
        <v>0</v>
      </c>
      <c r="D14" s="156">
        <v>0</v>
      </c>
      <c r="E14" s="155">
        <v>0</v>
      </c>
      <c r="F14" s="157">
        <f t="shared" si="0"/>
        <v>0</v>
      </c>
      <c r="G14" s="156">
        <v>0</v>
      </c>
      <c r="H14" s="155">
        <v>0</v>
      </c>
      <c r="I14" s="157">
        <f t="shared" si="1"/>
        <v>0</v>
      </c>
      <c r="J14" s="156">
        <v>0</v>
      </c>
      <c r="K14" s="157">
        <f t="shared" si="2"/>
        <v>0</v>
      </c>
      <c r="L14" s="186">
        <v>0</v>
      </c>
    </row>
    <row r="15" spans="1:12" ht="14" customHeight="1">
      <c r="A15" s="21" t="s">
        <v>19</v>
      </c>
      <c r="B15" s="91" t="s">
        <v>105</v>
      </c>
      <c r="C15" s="159">
        <v>0</v>
      </c>
      <c r="D15" s="159">
        <v>0</v>
      </c>
      <c r="E15" s="158">
        <v>0</v>
      </c>
      <c r="F15" s="160">
        <f t="shared" si="0"/>
        <v>0</v>
      </c>
      <c r="G15" s="159">
        <v>0</v>
      </c>
      <c r="H15" s="158">
        <v>0</v>
      </c>
      <c r="I15" s="160">
        <f t="shared" si="1"/>
        <v>0</v>
      </c>
      <c r="J15" s="156">
        <v>0</v>
      </c>
      <c r="K15" s="160">
        <f t="shared" si="2"/>
        <v>0</v>
      </c>
      <c r="L15" s="187">
        <v>0</v>
      </c>
    </row>
    <row r="16" spans="1:12" ht="14" customHeight="1">
      <c r="A16" s="19" t="s">
        <v>20</v>
      </c>
      <c r="B16" s="90" t="s">
        <v>106</v>
      </c>
      <c r="C16" s="156">
        <v>0</v>
      </c>
      <c r="D16" s="156">
        <v>0</v>
      </c>
      <c r="E16" s="155">
        <v>0</v>
      </c>
      <c r="F16" s="157">
        <f t="shared" si="0"/>
        <v>0</v>
      </c>
      <c r="G16" s="156">
        <v>0</v>
      </c>
      <c r="H16" s="155">
        <v>0</v>
      </c>
      <c r="I16" s="157">
        <f t="shared" si="1"/>
        <v>0</v>
      </c>
      <c r="J16" s="156">
        <v>0</v>
      </c>
      <c r="K16" s="157">
        <f t="shared" si="2"/>
        <v>0</v>
      </c>
      <c r="L16" s="186">
        <v>0</v>
      </c>
    </row>
    <row r="17" spans="1:12" ht="14" customHeight="1">
      <c r="A17" s="21" t="s">
        <v>21</v>
      </c>
      <c r="B17" s="91" t="s">
        <v>107</v>
      </c>
      <c r="C17" s="159">
        <v>0</v>
      </c>
      <c r="D17" s="159">
        <v>0</v>
      </c>
      <c r="E17" s="158">
        <v>0</v>
      </c>
      <c r="F17" s="160">
        <f t="shared" si="0"/>
        <v>0</v>
      </c>
      <c r="G17" s="159">
        <v>0</v>
      </c>
      <c r="H17" s="158">
        <v>0</v>
      </c>
      <c r="I17" s="160">
        <f t="shared" si="1"/>
        <v>0</v>
      </c>
      <c r="J17" s="156">
        <v>0</v>
      </c>
      <c r="K17" s="160">
        <f t="shared" si="2"/>
        <v>0</v>
      </c>
      <c r="L17" s="187">
        <v>0</v>
      </c>
    </row>
    <row r="18" spans="1:12" ht="14" customHeight="1">
      <c r="A18" s="19" t="s">
        <v>22</v>
      </c>
      <c r="B18" s="90" t="s">
        <v>108</v>
      </c>
      <c r="C18" s="156">
        <v>0</v>
      </c>
      <c r="D18" s="156">
        <v>0</v>
      </c>
      <c r="E18" s="155">
        <v>0</v>
      </c>
      <c r="F18" s="157">
        <f t="shared" si="0"/>
        <v>0</v>
      </c>
      <c r="G18" s="156">
        <v>0</v>
      </c>
      <c r="H18" s="155">
        <v>0</v>
      </c>
      <c r="I18" s="157">
        <f t="shared" si="1"/>
        <v>0</v>
      </c>
      <c r="J18" s="156">
        <v>0</v>
      </c>
      <c r="K18" s="157">
        <f t="shared" si="2"/>
        <v>0</v>
      </c>
      <c r="L18" s="186">
        <v>0</v>
      </c>
    </row>
    <row r="19" spans="1:12" ht="14" customHeight="1">
      <c r="A19" s="21" t="s">
        <v>23</v>
      </c>
      <c r="B19" s="91" t="s">
        <v>109</v>
      </c>
      <c r="C19" s="159">
        <v>0</v>
      </c>
      <c r="D19" s="159">
        <v>0</v>
      </c>
      <c r="E19" s="158">
        <v>0</v>
      </c>
      <c r="F19" s="160">
        <f t="shared" si="0"/>
        <v>0</v>
      </c>
      <c r="G19" s="159">
        <v>0</v>
      </c>
      <c r="H19" s="158">
        <v>0</v>
      </c>
      <c r="I19" s="160">
        <f t="shared" si="1"/>
        <v>0</v>
      </c>
      <c r="J19" s="156">
        <v>0</v>
      </c>
      <c r="K19" s="160">
        <f t="shared" si="2"/>
        <v>0</v>
      </c>
      <c r="L19" s="187">
        <v>0</v>
      </c>
    </row>
    <row r="20" spans="1:12" ht="14" customHeight="1">
      <c r="A20" s="19" t="s">
        <v>24</v>
      </c>
      <c r="B20" s="90" t="s">
        <v>110</v>
      </c>
      <c r="C20" s="156">
        <v>0</v>
      </c>
      <c r="D20" s="156">
        <v>0</v>
      </c>
      <c r="E20" s="155">
        <v>0</v>
      </c>
      <c r="F20" s="157">
        <f t="shared" si="0"/>
        <v>0</v>
      </c>
      <c r="G20" s="156">
        <v>0</v>
      </c>
      <c r="H20" s="155">
        <v>0</v>
      </c>
      <c r="I20" s="157">
        <f t="shared" si="1"/>
        <v>0</v>
      </c>
      <c r="J20" s="156">
        <v>0</v>
      </c>
      <c r="K20" s="157">
        <f t="shared" si="2"/>
        <v>0</v>
      </c>
      <c r="L20" s="186">
        <v>0</v>
      </c>
    </row>
    <row r="21" spans="1:12" ht="14" customHeight="1">
      <c r="A21" s="21" t="s">
        <v>25</v>
      </c>
      <c r="B21" s="91" t="s">
        <v>111</v>
      </c>
      <c r="C21" s="159">
        <v>0</v>
      </c>
      <c r="D21" s="159">
        <v>0</v>
      </c>
      <c r="E21" s="158">
        <v>0</v>
      </c>
      <c r="F21" s="160">
        <f t="shared" si="0"/>
        <v>0</v>
      </c>
      <c r="G21" s="159">
        <v>0</v>
      </c>
      <c r="H21" s="158">
        <v>0</v>
      </c>
      <c r="I21" s="160">
        <f t="shared" si="1"/>
        <v>0</v>
      </c>
      <c r="J21" s="156">
        <v>0</v>
      </c>
      <c r="K21" s="160">
        <f t="shared" si="2"/>
        <v>0</v>
      </c>
      <c r="L21" s="187">
        <v>0</v>
      </c>
    </row>
    <row r="22" spans="1:12" ht="14" customHeight="1">
      <c r="A22" s="19" t="s">
        <v>26</v>
      </c>
      <c r="B22" s="90" t="s">
        <v>112</v>
      </c>
      <c r="C22" s="156">
        <v>0</v>
      </c>
      <c r="D22" s="156">
        <v>0</v>
      </c>
      <c r="E22" s="155">
        <v>0</v>
      </c>
      <c r="F22" s="157">
        <f t="shared" si="0"/>
        <v>0</v>
      </c>
      <c r="G22" s="156">
        <v>0</v>
      </c>
      <c r="H22" s="155">
        <v>0</v>
      </c>
      <c r="I22" s="157">
        <f t="shared" si="1"/>
        <v>0</v>
      </c>
      <c r="J22" s="156">
        <v>0</v>
      </c>
      <c r="K22" s="157">
        <f t="shared" si="2"/>
        <v>0</v>
      </c>
      <c r="L22" s="186">
        <v>0</v>
      </c>
    </row>
    <row r="23" spans="1:12" ht="14" customHeight="1">
      <c r="A23" s="21" t="s">
        <v>27</v>
      </c>
      <c r="B23" s="91" t="s">
        <v>113</v>
      </c>
      <c r="C23" s="159">
        <v>0</v>
      </c>
      <c r="D23" s="159">
        <v>0</v>
      </c>
      <c r="E23" s="158">
        <v>0</v>
      </c>
      <c r="F23" s="160">
        <f t="shared" si="0"/>
        <v>0</v>
      </c>
      <c r="G23" s="159">
        <v>0</v>
      </c>
      <c r="H23" s="158">
        <v>0</v>
      </c>
      <c r="I23" s="160">
        <f t="shared" si="1"/>
        <v>0</v>
      </c>
      <c r="J23" s="156">
        <v>0</v>
      </c>
      <c r="K23" s="160">
        <f t="shared" si="2"/>
        <v>0</v>
      </c>
      <c r="L23" s="187">
        <v>0</v>
      </c>
    </row>
    <row r="24" spans="1:12" ht="14" customHeight="1">
      <c r="A24" s="19" t="s">
        <v>28</v>
      </c>
      <c r="B24" s="90" t="s">
        <v>114</v>
      </c>
      <c r="C24" s="156">
        <v>0</v>
      </c>
      <c r="D24" s="156">
        <v>0</v>
      </c>
      <c r="E24" s="155">
        <v>0</v>
      </c>
      <c r="F24" s="157">
        <f t="shared" si="0"/>
        <v>0</v>
      </c>
      <c r="G24" s="156">
        <v>0</v>
      </c>
      <c r="H24" s="155">
        <v>0</v>
      </c>
      <c r="I24" s="157">
        <f t="shared" si="1"/>
        <v>0</v>
      </c>
      <c r="J24" s="156">
        <v>0</v>
      </c>
      <c r="K24" s="157">
        <f t="shared" si="2"/>
        <v>0</v>
      </c>
      <c r="L24" s="186">
        <v>0</v>
      </c>
    </row>
    <row r="25" spans="1:12" ht="14" customHeight="1">
      <c r="A25" s="21" t="s">
        <v>29</v>
      </c>
      <c r="B25" s="91" t="s">
        <v>115</v>
      </c>
      <c r="C25" s="159">
        <v>0</v>
      </c>
      <c r="D25" s="159">
        <v>0</v>
      </c>
      <c r="E25" s="158">
        <v>0</v>
      </c>
      <c r="F25" s="160">
        <f t="shared" si="0"/>
        <v>0</v>
      </c>
      <c r="G25" s="159">
        <v>0</v>
      </c>
      <c r="H25" s="158">
        <v>0</v>
      </c>
      <c r="I25" s="160">
        <f t="shared" si="1"/>
        <v>0</v>
      </c>
      <c r="J25" s="156">
        <v>0</v>
      </c>
      <c r="K25" s="160">
        <f t="shared" si="2"/>
        <v>0</v>
      </c>
      <c r="L25" s="187">
        <v>0</v>
      </c>
    </row>
    <row r="26" spans="1:12" ht="14" customHeight="1">
      <c r="A26" s="19" t="s">
        <v>30</v>
      </c>
      <c r="B26" s="90" t="s">
        <v>116</v>
      </c>
      <c r="C26" s="156">
        <v>0</v>
      </c>
      <c r="D26" s="156">
        <v>0</v>
      </c>
      <c r="E26" s="155">
        <v>0</v>
      </c>
      <c r="F26" s="157">
        <f t="shared" si="0"/>
        <v>0</v>
      </c>
      <c r="G26" s="156">
        <v>0</v>
      </c>
      <c r="H26" s="155">
        <v>0</v>
      </c>
      <c r="I26" s="157">
        <f t="shared" si="1"/>
        <v>0</v>
      </c>
      <c r="J26" s="156">
        <v>0</v>
      </c>
      <c r="K26" s="157">
        <f t="shared" si="2"/>
        <v>0</v>
      </c>
      <c r="L26" s="186">
        <v>0</v>
      </c>
    </row>
    <row r="27" spans="1:12">
      <c r="A27" s="172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</row>
    <row r="28" spans="1:12" ht="18" customHeight="1">
      <c r="A28" s="92" t="s">
        <v>198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  <c r="L28" s="188">
        <f>K28/'Informacion Empleo'!C27</f>
        <v>0</v>
      </c>
    </row>
    <row r="31" spans="1:12">
      <c r="A31" s="122" t="s">
        <v>607</v>
      </c>
      <c r="B31" s="79"/>
      <c r="C31" s="507" t="s">
        <v>199</v>
      </c>
      <c r="D31" s="508"/>
      <c r="F31" s="509" t="s">
        <v>200</v>
      </c>
      <c r="G31" s="510"/>
      <c r="H31" s="510"/>
    </row>
    <row r="32" spans="1:12" ht="17" customHeight="1" thickBot="1">
      <c r="A32" s="82" t="s">
        <v>5</v>
      </c>
      <c r="B32" s="83" t="s">
        <v>88</v>
      </c>
      <c r="C32" s="397" t="s">
        <v>171</v>
      </c>
      <c r="D32" s="398" t="s">
        <v>175</v>
      </c>
      <c r="E32" s="398" t="s">
        <v>31</v>
      </c>
      <c r="F32" s="404" t="s">
        <v>201</v>
      </c>
      <c r="G32" s="405" t="s">
        <v>202</v>
      </c>
      <c r="H32" s="405" t="s">
        <v>203</v>
      </c>
      <c r="I32" s="405" t="s">
        <v>31</v>
      </c>
    </row>
    <row r="33" spans="1:9">
      <c r="A33" s="19" t="s">
        <v>10</v>
      </c>
      <c r="B33" s="90"/>
      <c r="C33" s="155" cm="1">
        <f t="array" ref="C33:C53">ETotal_21*Coef_trabajo_M</f>
        <v>0</v>
      </c>
      <c r="D33" s="156" cm="1">
        <f t="array" ref="D33:D53">ETotal_21*Coef_trabajo_H</f>
        <v>0</v>
      </c>
      <c r="E33" s="157">
        <f t="shared" ref="E33:E53" si="4">D33+C33</f>
        <v>0</v>
      </c>
      <c r="F33" s="156" cm="1">
        <f t="array" ref="F33:F53">ETotal_21*Coef_trabajo_Baja</f>
        <v>0</v>
      </c>
      <c r="G33" s="156" cm="1">
        <f t="array" ref="G33:G53">ETotal_21*Coef_trabajo_Media</f>
        <v>0</v>
      </c>
      <c r="H33" s="156" cm="1">
        <f t="array" ref="H33:H53">ETotal_21*Coef_trabajo_Alta</f>
        <v>0</v>
      </c>
      <c r="I33" s="157">
        <f t="shared" ref="I33:I53" si="5">H33+G33+F33</f>
        <v>0</v>
      </c>
    </row>
    <row r="34" spans="1:9">
      <c r="A34" s="21" t="s">
        <v>11</v>
      </c>
      <c r="B34" s="91"/>
      <c r="C34" s="158">
        <v>0</v>
      </c>
      <c r="D34" s="159">
        <v>0</v>
      </c>
      <c r="E34" s="160">
        <f t="shared" si="4"/>
        <v>0</v>
      </c>
      <c r="F34" s="159">
        <v>0</v>
      </c>
      <c r="G34" s="159">
        <v>0</v>
      </c>
      <c r="H34" s="159">
        <v>0</v>
      </c>
      <c r="I34" s="160">
        <f t="shared" si="5"/>
        <v>0</v>
      </c>
    </row>
    <row r="35" spans="1:9">
      <c r="A35" s="19" t="s">
        <v>12</v>
      </c>
      <c r="B35" s="90"/>
      <c r="C35" s="155">
        <v>0</v>
      </c>
      <c r="D35" s="156">
        <v>0</v>
      </c>
      <c r="E35" s="157">
        <f t="shared" si="4"/>
        <v>0</v>
      </c>
      <c r="F35" s="156">
        <v>0</v>
      </c>
      <c r="G35" s="156">
        <v>0</v>
      </c>
      <c r="H35" s="156">
        <v>0</v>
      </c>
      <c r="I35" s="157">
        <f t="shared" si="5"/>
        <v>0</v>
      </c>
    </row>
    <row r="36" spans="1:9">
      <c r="A36" s="21" t="s">
        <v>13</v>
      </c>
      <c r="B36" s="91"/>
      <c r="C36" s="158">
        <v>0</v>
      </c>
      <c r="D36" s="159">
        <v>0</v>
      </c>
      <c r="E36" s="160">
        <f t="shared" si="4"/>
        <v>0</v>
      </c>
      <c r="F36" s="159">
        <v>0</v>
      </c>
      <c r="G36" s="159">
        <v>0</v>
      </c>
      <c r="H36" s="159">
        <v>0</v>
      </c>
      <c r="I36" s="160">
        <f t="shared" si="5"/>
        <v>0</v>
      </c>
    </row>
    <row r="37" spans="1:9">
      <c r="A37" s="19" t="s">
        <v>14</v>
      </c>
      <c r="B37" s="90"/>
      <c r="C37" s="155">
        <v>0</v>
      </c>
      <c r="D37" s="156">
        <v>0</v>
      </c>
      <c r="E37" s="157">
        <f t="shared" si="4"/>
        <v>0</v>
      </c>
      <c r="F37" s="156">
        <v>0</v>
      </c>
      <c r="G37" s="156">
        <v>0</v>
      </c>
      <c r="H37" s="156">
        <v>0</v>
      </c>
      <c r="I37" s="157">
        <f t="shared" si="5"/>
        <v>0</v>
      </c>
    </row>
    <row r="38" spans="1:9">
      <c r="A38" s="21" t="s">
        <v>15</v>
      </c>
      <c r="B38" s="91"/>
      <c r="C38" s="158">
        <v>0</v>
      </c>
      <c r="D38" s="159">
        <v>0</v>
      </c>
      <c r="E38" s="160">
        <f t="shared" si="4"/>
        <v>0</v>
      </c>
      <c r="F38" s="159">
        <v>0</v>
      </c>
      <c r="G38" s="159">
        <v>0</v>
      </c>
      <c r="H38" s="159">
        <v>0</v>
      </c>
      <c r="I38" s="160">
        <f t="shared" si="5"/>
        <v>0</v>
      </c>
    </row>
    <row r="39" spans="1:9">
      <c r="A39" s="19" t="s">
        <v>16</v>
      </c>
      <c r="B39" s="90"/>
      <c r="C39" s="155">
        <v>0</v>
      </c>
      <c r="D39" s="156">
        <v>0</v>
      </c>
      <c r="E39" s="157">
        <f t="shared" si="4"/>
        <v>0</v>
      </c>
      <c r="F39" s="156">
        <v>0</v>
      </c>
      <c r="G39" s="156">
        <v>0</v>
      </c>
      <c r="H39" s="156">
        <v>0</v>
      </c>
      <c r="I39" s="157">
        <f t="shared" si="5"/>
        <v>0</v>
      </c>
    </row>
    <row r="40" spans="1:9">
      <c r="A40" s="21" t="s">
        <v>17</v>
      </c>
      <c r="B40" s="91"/>
      <c r="C40" s="158">
        <v>0</v>
      </c>
      <c r="D40" s="159">
        <v>0</v>
      </c>
      <c r="E40" s="160">
        <f t="shared" si="4"/>
        <v>0</v>
      </c>
      <c r="F40" s="159">
        <v>0</v>
      </c>
      <c r="G40" s="159">
        <v>0</v>
      </c>
      <c r="H40" s="159">
        <v>0</v>
      </c>
      <c r="I40" s="160">
        <f t="shared" si="5"/>
        <v>0</v>
      </c>
    </row>
    <row r="41" spans="1:9">
      <c r="A41" s="19" t="s">
        <v>18</v>
      </c>
      <c r="B41" s="90"/>
      <c r="C41" s="155">
        <v>0</v>
      </c>
      <c r="D41" s="156">
        <v>0</v>
      </c>
      <c r="E41" s="157">
        <f t="shared" si="4"/>
        <v>0</v>
      </c>
      <c r="F41" s="156">
        <v>0</v>
      </c>
      <c r="G41" s="156">
        <v>0</v>
      </c>
      <c r="H41" s="156">
        <v>0</v>
      </c>
      <c r="I41" s="157">
        <f t="shared" si="5"/>
        <v>0</v>
      </c>
    </row>
    <row r="42" spans="1:9">
      <c r="A42" s="21" t="s">
        <v>19</v>
      </c>
      <c r="B42" s="91"/>
      <c r="C42" s="158">
        <v>0</v>
      </c>
      <c r="D42" s="159">
        <v>0</v>
      </c>
      <c r="E42" s="160">
        <f t="shared" si="4"/>
        <v>0</v>
      </c>
      <c r="F42" s="159">
        <v>0</v>
      </c>
      <c r="G42" s="159">
        <v>0</v>
      </c>
      <c r="H42" s="159">
        <v>0</v>
      </c>
      <c r="I42" s="160">
        <f t="shared" si="5"/>
        <v>0</v>
      </c>
    </row>
    <row r="43" spans="1:9">
      <c r="A43" s="19" t="s">
        <v>20</v>
      </c>
      <c r="B43" s="90"/>
      <c r="C43" s="155">
        <v>0</v>
      </c>
      <c r="D43" s="156">
        <v>0</v>
      </c>
      <c r="E43" s="157">
        <f t="shared" si="4"/>
        <v>0</v>
      </c>
      <c r="F43" s="156">
        <v>0</v>
      </c>
      <c r="G43" s="156">
        <v>0</v>
      </c>
      <c r="H43" s="156">
        <v>0</v>
      </c>
      <c r="I43" s="157">
        <f t="shared" si="5"/>
        <v>0</v>
      </c>
    </row>
    <row r="44" spans="1:9">
      <c r="A44" s="21" t="s">
        <v>21</v>
      </c>
      <c r="B44" s="91"/>
      <c r="C44" s="158">
        <v>0</v>
      </c>
      <c r="D44" s="159">
        <v>0</v>
      </c>
      <c r="E44" s="160">
        <f t="shared" si="4"/>
        <v>0</v>
      </c>
      <c r="F44" s="159">
        <v>0</v>
      </c>
      <c r="G44" s="159">
        <v>0</v>
      </c>
      <c r="H44" s="159">
        <v>0</v>
      </c>
      <c r="I44" s="160">
        <f t="shared" si="5"/>
        <v>0</v>
      </c>
    </row>
    <row r="45" spans="1:9">
      <c r="A45" s="19" t="s">
        <v>22</v>
      </c>
      <c r="B45" s="90"/>
      <c r="C45" s="155">
        <v>0</v>
      </c>
      <c r="D45" s="156">
        <v>0</v>
      </c>
      <c r="E45" s="157">
        <f t="shared" si="4"/>
        <v>0</v>
      </c>
      <c r="F45" s="156">
        <v>0</v>
      </c>
      <c r="G45" s="156">
        <v>0</v>
      </c>
      <c r="H45" s="156">
        <v>0</v>
      </c>
      <c r="I45" s="157">
        <f t="shared" si="5"/>
        <v>0</v>
      </c>
    </row>
    <row r="46" spans="1:9">
      <c r="A46" s="21" t="s">
        <v>23</v>
      </c>
      <c r="B46" s="91"/>
      <c r="C46" s="158">
        <v>0</v>
      </c>
      <c r="D46" s="159">
        <v>0</v>
      </c>
      <c r="E46" s="160">
        <f t="shared" si="4"/>
        <v>0</v>
      </c>
      <c r="F46" s="159">
        <v>0</v>
      </c>
      <c r="G46" s="159">
        <v>0</v>
      </c>
      <c r="H46" s="159">
        <v>0</v>
      </c>
      <c r="I46" s="160">
        <f t="shared" si="5"/>
        <v>0</v>
      </c>
    </row>
    <row r="47" spans="1:9">
      <c r="A47" s="19" t="s">
        <v>24</v>
      </c>
      <c r="B47" s="90"/>
      <c r="C47" s="155">
        <v>0</v>
      </c>
      <c r="D47" s="156">
        <v>0</v>
      </c>
      <c r="E47" s="157">
        <f t="shared" si="4"/>
        <v>0</v>
      </c>
      <c r="F47" s="156">
        <v>0</v>
      </c>
      <c r="G47" s="156">
        <v>0</v>
      </c>
      <c r="H47" s="156">
        <v>0</v>
      </c>
      <c r="I47" s="157">
        <f t="shared" si="5"/>
        <v>0</v>
      </c>
    </row>
    <row r="48" spans="1:9">
      <c r="A48" s="21" t="s">
        <v>25</v>
      </c>
      <c r="B48" s="91"/>
      <c r="C48" s="158">
        <v>0</v>
      </c>
      <c r="D48" s="159">
        <v>0</v>
      </c>
      <c r="E48" s="160">
        <f t="shared" si="4"/>
        <v>0</v>
      </c>
      <c r="F48" s="159">
        <v>0</v>
      </c>
      <c r="G48" s="159">
        <v>0</v>
      </c>
      <c r="H48" s="159">
        <v>0</v>
      </c>
      <c r="I48" s="160">
        <f t="shared" si="5"/>
        <v>0</v>
      </c>
    </row>
    <row r="49" spans="1:9">
      <c r="A49" s="19" t="s">
        <v>26</v>
      </c>
      <c r="B49" s="90"/>
      <c r="C49" s="155">
        <v>0</v>
      </c>
      <c r="D49" s="156">
        <v>0</v>
      </c>
      <c r="E49" s="157">
        <f t="shared" si="4"/>
        <v>0</v>
      </c>
      <c r="F49" s="156">
        <v>0</v>
      </c>
      <c r="G49" s="156">
        <v>0</v>
      </c>
      <c r="H49" s="156">
        <v>0</v>
      </c>
      <c r="I49" s="157">
        <f t="shared" si="5"/>
        <v>0</v>
      </c>
    </row>
    <row r="50" spans="1:9">
      <c r="A50" s="21" t="s">
        <v>27</v>
      </c>
      <c r="B50" s="91"/>
      <c r="C50" s="158">
        <v>0</v>
      </c>
      <c r="D50" s="159">
        <v>0</v>
      </c>
      <c r="E50" s="160">
        <f t="shared" si="4"/>
        <v>0</v>
      </c>
      <c r="F50" s="159">
        <v>0</v>
      </c>
      <c r="G50" s="159">
        <v>0</v>
      </c>
      <c r="H50" s="159">
        <v>0</v>
      </c>
      <c r="I50" s="160">
        <f t="shared" si="5"/>
        <v>0</v>
      </c>
    </row>
    <row r="51" spans="1:9">
      <c r="A51" s="19" t="s">
        <v>28</v>
      </c>
      <c r="B51" s="90"/>
      <c r="C51" s="155">
        <v>0</v>
      </c>
      <c r="D51" s="156">
        <v>0</v>
      </c>
      <c r="E51" s="157">
        <f t="shared" si="4"/>
        <v>0</v>
      </c>
      <c r="F51" s="156">
        <v>0</v>
      </c>
      <c r="G51" s="156">
        <v>0</v>
      </c>
      <c r="H51" s="156">
        <v>0</v>
      </c>
      <c r="I51" s="157">
        <f t="shared" si="5"/>
        <v>0</v>
      </c>
    </row>
    <row r="52" spans="1:9">
      <c r="A52" s="21" t="s">
        <v>29</v>
      </c>
      <c r="B52" s="91"/>
      <c r="C52" s="158">
        <v>0</v>
      </c>
      <c r="D52" s="159">
        <v>0</v>
      </c>
      <c r="E52" s="160">
        <f t="shared" si="4"/>
        <v>0</v>
      </c>
      <c r="F52" s="159">
        <v>0</v>
      </c>
      <c r="G52" s="159">
        <v>0</v>
      </c>
      <c r="H52" s="159">
        <v>0</v>
      </c>
      <c r="I52" s="160">
        <f t="shared" si="5"/>
        <v>0</v>
      </c>
    </row>
    <row r="53" spans="1:9">
      <c r="A53" s="19" t="s">
        <v>30</v>
      </c>
      <c r="B53" s="90"/>
      <c r="C53" s="155">
        <v>0</v>
      </c>
      <c r="D53" s="156">
        <v>0</v>
      </c>
      <c r="E53" s="157">
        <f t="shared" si="4"/>
        <v>0</v>
      </c>
      <c r="F53" s="156">
        <v>0</v>
      </c>
      <c r="G53" s="156">
        <v>0</v>
      </c>
      <c r="H53" s="156">
        <v>0</v>
      </c>
      <c r="I53" s="157">
        <f t="shared" si="5"/>
        <v>0</v>
      </c>
    </row>
    <row r="54" spans="1:9">
      <c r="A54" s="18"/>
      <c r="B54" s="18"/>
      <c r="C54" s="161"/>
      <c r="D54" s="161"/>
      <c r="E54" s="161"/>
      <c r="F54" s="161"/>
      <c r="G54" s="161"/>
      <c r="H54" s="161"/>
      <c r="I54" s="171"/>
    </row>
    <row r="55" spans="1:9">
      <c r="A55" s="92" t="s">
        <v>198</v>
      </c>
      <c r="B55" s="92"/>
      <c r="C55" s="162">
        <f t="shared" ref="C55:I55" si="6">SUM(C33:C53)</f>
        <v>0</v>
      </c>
      <c r="D55" s="162">
        <f t="shared" si="6"/>
        <v>0</v>
      </c>
      <c r="E55" s="162">
        <f t="shared" si="6"/>
        <v>0</v>
      </c>
      <c r="F55" s="162">
        <f t="shared" si="6"/>
        <v>0</v>
      </c>
      <c r="G55" s="162">
        <f t="shared" si="6"/>
        <v>0</v>
      </c>
      <c r="H55" s="162">
        <f t="shared" si="6"/>
        <v>0</v>
      </c>
      <c r="I55" s="162">
        <f t="shared" si="6"/>
        <v>0</v>
      </c>
    </row>
    <row r="58" spans="1:9">
      <c r="A58" s="122" t="s">
        <v>602</v>
      </c>
      <c r="B58" s="79"/>
      <c r="C58" s="507" t="s">
        <v>603</v>
      </c>
      <c r="D58" s="508"/>
      <c r="F58" s="509" t="s">
        <v>204</v>
      </c>
      <c r="G58" s="510"/>
    </row>
    <row r="59" spans="1:9" ht="17" thickBot="1">
      <c r="A59" s="82" t="s">
        <v>5</v>
      </c>
      <c r="B59" s="83" t="s">
        <v>88</v>
      </c>
      <c r="C59" s="397" t="s">
        <v>172</v>
      </c>
      <c r="D59" s="398" t="s">
        <v>176</v>
      </c>
      <c r="E59" s="398" t="s">
        <v>31</v>
      </c>
      <c r="F59" s="400" t="s">
        <v>205</v>
      </c>
      <c r="G59" s="401" t="s">
        <v>206</v>
      </c>
      <c r="H59" s="401" t="s">
        <v>31</v>
      </c>
    </row>
    <row r="60" spans="1:9">
      <c r="A60" s="338" t="s">
        <v>10</v>
      </c>
      <c r="B60" s="90"/>
      <c r="C60" s="156" cm="1">
        <f t="array" ref="C60:C80">ETotal_21*Coef_trabajo_Formal</f>
        <v>0</v>
      </c>
      <c r="D60" s="156" cm="1">
        <f t="array" ref="D60:D80">ETotal_21*Coef_trabajo_Informal</f>
        <v>0</v>
      </c>
      <c r="E60" s="157">
        <f t="shared" ref="E60:E80" si="7">D60+C60</f>
        <v>0</v>
      </c>
      <c r="F60" s="156" cm="1">
        <f t="array" ref="F60:F80">ETotal_21*Coef_trabajo_Urbano</f>
        <v>0</v>
      </c>
      <c r="G60" s="156" cm="1">
        <f t="array" ref="G60:G80">ETotal_21*Coef_trabajo_Rural</f>
        <v>0</v>
      </c>
      <c r="H60" s="157">
        <f t="shared" ref="H60:H80" si="8">G60+F60</f>
        <v>0</v>
      </c>
    </row>
    <row r="61" spans="1:9">
      <c r="A61" s="339" t="s">
        <v>11</v>
      </c>
      <c r="B61" s="91"/>
      <c r="C61" s="159">
        <v>0</v>
      </c>
      <c r="D61" s="159">
        <v>0</v>
      </c>
      <c r="E61" s="160">
        <f t="shared" si="7"/>
        <v>0</v>
      </c>
      <c r="F61" s="159">
        <v>0</v>
      </c>
      <c r="G61" s="159">
        <v>0</v>
      </c>
      <c r="H61" s="160">
        <f t="shared" si="8"/>
        <v>0</v>
      </c>
    </row>
    <row r="62" spans="1:9">
      <c r="A62" s="338" t="s">
        <v>12</v>
      </c>
      <c r="B62" s="90"/>
      <c r="C62" s="156">
        <v>0</v>
      </c>
      <c r="D62" s="156">
        <v>0</v>
      </c>
      <c r="E62" s="157">
        <f t="shared" si="7"/>
        <v>0</v>
      </c>
      <c r="F62" s="156">
        <v>0</v>
      </c>
      <c r="G62" s="156">
        <v>0</v>
      </c>
      <c r="H62" s="157">
        <f t="shared" si="8"/>
        <v>0</v>
      </c>
    </row>
    <row r="63" spans="1:9" ht="17" customHeight="1">
      <c r="A63" s="339" t="s">
        <v>13</v>
      </c>
      <c r="B63" s="91"/>
      <c r="C63" s="159">
        <v>0</v>
      </c>
      <c r="D63" s="159">
        <v>0</v>
      </c>
      <c r="E63" s="160">
        <f t="shared" si="7"/>
        <v>0</v>
      </c>
      <c r="F63" s="159">
        <v>0</v>
      </c>
      <c r="G63" s="159">
        <v>0</v>
      </c>
      <c r="H63" s="160">
        <f t="shared" si="8"/>
        <v>0</v>
      </c>
    </row>
    <row r="64" spans="1:9">
      <c r="A64" s="338" t="s">
        <v>14</v>
      </c>
      <c r="B64" s="90"/>
      <c r="C64" s="156">
        <v>0</v>
      </c>
      <c r="D64" s="156">
        <v>0</v>
      </c>
      <c r="E64" s="157">
        <f t="shared" si="7"/>
        <v>0</v>
      </c>
      <c r="F64" s="156">
        <v>0</v>
      </c>
      <c r="G64" s="156">
        <v>0</v>
      </c>
      <c r="H64" s="157">
        <f t="shared" si="8"/>
        <v>0</v>
      </c>
    </row>
    <row r="65" spans="1:8">
      <c r="A65" s="339" t="s">
        <v>15</v>
      </c>
      <c r="B65" s="91"/>
      <c r="C65" s="159">
        <v>0</v>
      </c>
      <c r="D65" s="159">
        <v>0</v>
      </c>
      <c r="E65" s="160">
        <f t="shared" si="7"/>
        <v>0</v>
      </c>
      <c r="F65" s="159">
        <v>0</v>
      </c>
      <c r="G65" s="159">
        <v>0</v>
      </c>
      <c r="H65" s="160">
        <f t="shared" si="8"/>
        <v>0</v>
      </c>
    </row>
    <row r="66" spans="1:8">
      <c r="A66" s="338" t="s">
        <v>16</v>
      </c>
      <c r="B66" s="90"/>
      <c r="C66" s="156">
        <v>0</v>
      </c>
      <c r="D66" s="156">
        <v>0</v>
      </c>
      <c r="E66" s="157">
        <f t="shared" si="7"/>
        <v>0</v>
      </c>
      <c r="F66" s="156">
        <v>0</v>
      </c>
      <c r="G66" s="156">
        <v>0</v>
      </c>
      <c r="H66" s="157">
        <f t="shared" si="8"/>
        <v>0</v>
      </c>
    </row>
    <row r="67" spans="1:8">
      <c r="A67" s="339" t="s">
        <v>17</v>
      </c>
      <c r="B67" s="91"/>
      <c r="C67" s="159">
        <v>0</v>
      </c>
      <c r="D67" s="159">
        <v>0</v>
      </c>
      <c r="E67" s="160">
        <f t="shared" si="7"/>
        <v>0</v>
      </c>
      <c r="F67" s="159">
        <v>0</v>
      </c>
      <c r="G67" s="159">
        <v>0</v>
      </c>
      <c r="H67" s="160">
        <f t="shared" si="8"/>
        <v>0</v>
      </c>
    </row>
    <row r="68" spans="1:8">
      <c r="A68" s="338" t="s">
        <v>18</v>
      </c>
      <c r="B68" s="90"/>
      <c r="C68" s="156">
        <v>0</v>
      </c>
      <c r="D68" s="156">
        <v>0</v>
      </c>
      <c r="E68" s="157">
        <f t="shared" si="7"/>
        <v>0</v>
      </c>
      <c r="F68" s="156">
        <v>0</v>
      </c>
      <c r="G68" s="156">
        <v>0</v>
      </c>
      <c r="H68" s="157">
        <f t="shared" si="8"/>
        <v>0</v>
      </c>
    </row>
    <row r="69" spans="1:8">
      <c r="A69" s="339" t="s">
        <v>19</v>
      </c>
      <c r="B69" s="91"/>
      <c r="C69" s="159">
        <v>0</v>
      </c>
      <c r="D69" s="159">
        <v>0</v>
      </c>
      <c r="E69" s="160">
        <f t="shared" si="7"/>
        <v>0</v>
      </c>
      <c r="F69" s="159">
        <v>0</v>
      </c>
      <c r="G69" s="159">
        <v>0</v>
      </c>
      <c r="H69" s="160">
        <f t="shared" si="8"/>
        <v>0</v>
      </c>
    </row>
    <row r="70" spans="1:8">
      <c r="A70" s="338" t="s">
        <v>20</v>
      </c>
      <c r="B70" s="90"/>
      <c r="C70" s="156">
        <v>0</v>
      </c>
      <c r="D70" s="156">
        <v>0</v>
      </c>
      <c r="E70" s="157">
        <f t="shared" si="7"/>
        <v>0</v>
      </c>
      <c r="F70" s="156">
        <v>0</v>
      </c>
      <c r="G70" s="156">
        <v>0</v>
      </c>
      <c r="H70" s="157">
        <f t="shared" si="8"/>
        <v>0</v>
      </c>
    </row>
    <row r="71" spans="1:8">
      <c r="A71" s="339" t="s">
        <v>21</v>
      </c>
      <c r="B71" s="91"/>
      <c r="C71" s="159">
        <v>0</v>
      </c>
      <c r="D71" s="159">
        <v>0</v>
      </c>
      <c r="E71" s="160">
        <f t="shared" si="7"/>
        <v>0</v>
      </c>
      <c r="F71" s="159">
        <v>0</v>
      </c>
      <c r="G71" s="159">
        <v>0</v>
      </c>
      <c r="H71" s="160">
        <f t="shared" si="8"/>
        <v>0</v>
      </c>
    </row>
    <row r="72" spans="1:8">
      <c r="A72" s="338" t="s">
        <v>22</v>
      </c>
      <c r="B72" s="90"/>
      <c r="C72" s="156">
        <v>0</v>
      </c>
      <c r="D72" s="156">
        <v>0</v>
      </c>
      <c r="E72" s="157">
        <f t="shared" si="7"/>
        <v>0</v>
      </c>
      <c r="F72" s="156">
        <v>0</v>
      </c>
      <c r="G72" s="156">
        <v>0</v>
      </c>
      <c r="H72" s="157">
        <f t="shared" si="8"/>
        <v>0</v>
      </c>
    </row>
    <row r="73" spans="1:8">
      <c r="A73" s="339" t="s">
        <v>23</v>
      </c>
      <c r="B73" s="91"/>
      <c r="C73" s="159">
        <v>0</v>
      </c>
      <c r="D73" s="159">
        <v>0</v>
      </c>
      <c r="E73" s="160">
        <f t="shared" si="7"/>
        <v>0</v>
      </c>
      <c r="F73" s="159">
        <v>0</v>
      </c>
      <c r="G73" s="159">
        <v>0</v>
      </c>
      <c r="H73" s="160">
        <f t="shared" si="8"/>
        <v>0</v>
      </c>
    </row>
    <row r="74" spans="1:8">
      <c r="A74" s="338" t="s">
        <v>24</v>
      </c>
      <c r="B74" s="90"/>
      <c r="C74" s="156">
        <v>0</v>
      </c>
      <c r="D74" s="156">
        <v>0</v>
      </c>
      <c r="E74" s="157">
        <f t="shared" si="7"/>
        <v>0</v>
      </c>
      <c r="F74" s="156">
        <v>0</v>
      </c>
      <c r="G74" s="156">
        <v>0</v>
      </c>
      <c r="H74" s="157">
        <f t="shared" si="8"/>
        <v>0</v>
      </c>
    </row>
    <row r="75" spans="1:8">
      <c r="A75" s="339" t="s">
        <v>25</v>
      </c>
      <c r="B75" s="91"/>
      <c r="C75" s="159">
        <v>0</v>
      </c>
      <c r="D75" s="159">
        <v>0</v>
      </c>
      <c r="E75" s="160">
        <f t="shared" si="7"/>
        <v>0</v>
      </c>
      <c r="F75" s="159">
        <v>0</v>
      </c>
      <c r="G75" s="159">
        <v>0</v>
      </c>
      <c r="H75" s="160">
        <f t="shared" si="8"/>
        <v>0</v>
      </c>
    </row>
    <row r="76" spans="1:8">
      <c r="A76" s="338" t="s">
        <v>26</v>
      </c>
      <c r="B76" s="90"/>
      <c r="C76" s="156">
        <v>0</v>
      </c>
      <c r="D76" s="156">
        <v>0</v>
      </c>
      <c r="E76" s="157">
        <f t="shared" si="7"/>
        <v>0</v>
      </c>
      <c r="F76" s="156">
        <v>0</v>
      </c>
      <c r="G76" s="156">
        <v>0</v>
      </c>
      <c r="H76" s="157">
        <f t="shared" si="8"/>
        <v>0</v>
      </c>
    </row>
    <row r="77" spans="1:8">
      <c r="A77" s="339" t="s">
        <v>27</v>
      </c>
      <c r="B77" s="91"/>
      <c r="C77" s="159">
        <v>0</v>
      </c>
      <c r="D77" s="159">
        <v>0</v>
      </c>
      <c r="E77" s="160">
        <f t="shared" si="7"/>
        <v>0</v>
      </c>
      <c r="F77" s="159">
        <v>0</v>
      </c>
      <c r="G77" s="159">
        <v>0</v>
      </c>
      <c r="H77" s="160">
        <f t="shared" si="8"/>
        <v>0</v>
      </c>
    </row>
    <row r="78" spans="1:8">
      <c r="A78" s="338" t="s">
        <v>28</v>
      </c>
      <c r="B78" s="90"/>
      <c r="C78" s="156">
        <v>0</v>
      </c>
      <c r="D78" s="156">
        <v>0</v>
      </c>
      <c r="E78" s="157">
        <f t="shared" si="7"/>
        <v>0</v>
      </c>
      <c r="F78" s="156">
        <v>0</v>
      </c>
      <c r="G78" s="156">
        <v>0</v>
      </c>
      <c r="H78" s="157">
        <f t="shared" si="8"/>
        <v>0</v>
      </c>
    </row>
    <row r="79" spans="1:8">
      <c r="A79" s="339" t="s">
        <v>29</v>
      </c>
      <c r="B79" s="91"/>
      <c r="C79" s="159">
        <v>0</v>
      </c>
      <c r="D79" s="159">
        <v>0</v>
      </c>
      <c r="E79" s="160">
        <f t="shared" si="7"/>
        <v>0</v>
      </c>
      <c r="F79" s="159">
        <v>0</v>
      </c>
      <c r="G79" s="159">
        <v>0</v>
      </c>
      <c r="H79" s="160">
        <f t="shared" si="8"/>
        <v>0</v>
      </c>
    </row>
    <row r="80" spans="1:8">
      <c r="A80" s="338" t="s">
        <v>30</v>
      </c>
      <c r="B80" s="90"/>
      <c r="C80" s="156">
        <v>0</v>
      </c>
      <c r="D80" s="156">
        <v>0</v>
      </c>
      <c r="E80" s="157">
        <f t="shared" si="7"/>
        <v>0</v>
      </c>
      <c r="F80" s="156">
        <v>0</v>
      </c>
      <c r="G80" s="156">
        <v>0</v>
      </c>
      <c r="H80" s="157">
        <f t="shared" si="8"/>
        <v>0</v>
      </c>
    </row>
    <row r="81" spans="1:8">
      <c r="A81" s="18"/>
      <c r="B81" s="18"/>
      <c r="C81" s="161"/>
      <c r="D81" s="161"/>
      <c r="E81" s="161"/>
    </row>
    <row r="82" spans="1:8">
      <c r="A82" s="92" t="s">
        <v>198</v>
      </c>
      <c r="B82" s="92"/>
      <c r="C82" s="162">
        <f t="shared" ref="C82:H82" si="9">SUM(C60:C80)</f>
        <v>0</v>
      </c>
      <c r="D82" s="162">
        <f t="shared" si="9"/>
        <v>0</v>
      </c>
      <c r="E82" s="162">
        <f t="shared" si="9"/>
        <v>0</v>
      </c>
      <c r="F82" s="162">
        <f t="shared" si="9"/>
        <v>0</v>
      </c>
      <c r="G82" s="162">
        <f t="shared" si="9"/>
        <v>0</v>
      </c>
      <c r="H82" s="162">
        <f t="shared" si="9"/>
        <v>0</v>
      </c>
    </row>
    <row r="86" spans="1:8" ht="34" customHeight="1">
      <c r="A86" s="406" t="s">
        <v>601</v>
      </c>
      <c r="C86" s="506" t="s">
        <v>611</v>
      </c>
      <c r="D86" s="506"/>
      <c r="E86" s="506"/>
    </row>
    <row r="87" spans="1:8" ht="30" customHeight="1">
      <c r="A87" s="354" t="s">
        <v>5</v>
      </c>
      <c r="B87" s="353" t="s">
        <v>539</v>
      </c>
      <c r="C87" s="407" t="s">
        <v>612</v>
      </c>
      <c r="D87" s="407" t="s">
        <v>613</v>
      </c>
      <c r="E87" s="407" t="s">
        <v>31</v>
      </c>
      <c r="F87" s="407" t="s">
        <v>567</v>
      </c>
      <c r="G87" s="407" t="s">
        <v>568</v>
      </c>
    </row>
    <row r="88" spans="1:8">
      <c r="A88" s="346" t="s">
        <v>10</v>
      </c>
      <c r="B88" s="356">
        <f>INDEX(EIDirecto_21,1)+INDEX(EIIndirecto_21,1)</f>
        <v>0</v>
      </c>
      <c r="C88" s="156">
        <f>INDEX(EIDirecto_21,1)*INDEX(Coef_trabajo,1)</f>
        <v>0</v>
      </c>
      <c r="D88" s="156">
        <f>INDEX(EIIndirecto_21,1)*INDEX(Coef_trabajo,1)</f>
        <v>0</v>
      </c>
      <c r="E88" s="157">
        <f t="shared" ref="E88:E108" si="10">C88+D88</f>
        <v>0</v>
      </c>
      <c r="F88" s="186" t="str">
        <f>IFERROR(E88/$E$109,"")</f>
        <v/>
      </c>
      <c r="G88" s="375">
        <f>INDEX(EInducido21,1)*INDEX(Coef_trabajo,1)</f>
        <v>0</v>
      </c>
    </row>
    <row r="89" spans="1:8">
      <c r="A89" s="348" t="s">
        <v>11</v>
      </c>
      <c r="B89" s="361">
        <f>INDEX(EIDirecto_21,2)+INDEX(EIIndirecto_21,2)</f>
        <v>0</v>
      </c>
      <c r="C89" s="159">
        <f>INDEX(EIDirecto_21,2)*INDEX(Coef_trabajo,2)</f>
        <v>0</v>
      </c>
      <c r="D89" s="159">
        <f>INDEX(EIIndirecto_21,2)*INDEX(Coef_trabajo,2)</f>
        <v>0</v>
      </c>
      <c r="E89" s="160">
        <f t="shared" si="10"/>
        <v>0</v>
      </c>
      <c r="F89" s="187" t="str">
        <f t="shared" ref="F89:F108" si="11">IFERROR(E89/$E$109,"")</f>
        <v/>
      </c>
      <c r="G89" s="376">
        <f>INDEX(EInducido21,2)*INDEX(Coef_trabajo,2)</f>
        <v>0</v>
      </c>
    </row>
    <row r="90" spans="1:8">
      <c r="A90" s="346" t="s">
        <v>12</v>
      </c>
      <c r="B90" s="356">
        <f>INDEX(EIDirecto_21,3)+INDEX(EIIndirecto_21,3)</f>
        <v>0</v>
      </c>
      <c r="C90" s="156">
        <f>INDEX(EIDirecto_21,3)*INDEX(Coef_trabajo,3)</f>
        <v>0</v>
      </c>
      <c r="D90" s="156">
        <f>INDEX(EIIndirecto_21,3)*INDEX(Coef_trabajo,3)</f>
        <v>0</v>
      </c>
      <c r="E90" s="157">
        <f t="shared" si="10"/>
        <v>0</v>
      </c>
      <c r="F90" s="187" t="str">
        <f t="shared" si="11"/>
        <v/>
      </c>
      <c r="G90" s="375">
        <f>INDEX(EInducido21,3)*INDEX(Coef_trabajo,3)</f>
        <v>0</v>
      </c>
    </row>
    <row r="91" spans="1:8">
      <c r="A91" s="348" t="s">
        <v>13</v>
      </c>
      <c r="B91" s="361">
        <f>INDEX(EIDirecto_21,4)+INDEX(EIIndirecto_21,4)</f>
        <v>0</v>
      </c>
      <c r="C91" s="159">
        <f>INDEX(EIDirecto_21,4)*INDEX(Coef_trabajo,4)</f>
        <v>0</v>
      </c>
      <c r="D91" s="159">
        <f>INDEX(EIIndirecto_21,4)*INDEX(Coef_trabajo,4)</f>
        <v>0</v>
      </c>
      <c r="E91" s="160">
        <f t="shared" si="10"/>
        <v>0</v>
      </c>
      <c r="F91" s="187" t="str">
        <f t="shared" si="11"/>
        <v/>
      </c>
      <c r="G91" s="376">
        <f>INDEX(EInducido21,4)*INDEX(Coef_trabajo,4)</f>
        <v>0</v>
      </c>
    </row>
    <row r="92" spans="1:8">
      <c r="A92" s="346" t="s">
        <v>14</v>
      </c>
      <c r="B92" s="356">
        <f>INDEX(EIDirecto_21,5)+INDEX(EIIndirecto_21,5)</f>
        <v>0</v>
      </c>
      <c r="C92" s="156">
        <f>INDEX(EIDirecto_21,5)*INDEX(Coef_trabajo,5)</f>
        <v>0</v>
      </c>
      <c r="D92" s="156">
        <f>INDEX(EIIndirecto_21,5)*INDEX(Coef_trabajo,5)</f>
        <v>0</v>
      </c>
      <c r="E92" s="157">
        <f t="shared" si="10"/>
        <v>0</v>
      </c>
      <c r="F92" s="186" t="str">
        <f t="shared" si="11"/>
        <v/>
      </c>
      <c r="G92" s="375">
        <f>INDEX(EInducido21,5)*INDEX(Coef_trabajo,5)</f>
        <v>0</v>
      </c>
    </row>
    <row r="93" spans="1:8">
      <c r="A93" s="348" t="s">
        <v>15</v>
      </c>
      <c r="B93" s="361">
        <f>INDEX(EIDirecto_21,6)+INDEX(EIIndirecto_21,6)</f>
        <v>0</v>
      </c>
      <c r="C93" s="159">
        <f>INDEX(EIDirecto_21,6)*INDEX(Coef_trabajo,6)</f>
        <v>0</v>
      </c>
      <c r="D93" s="159">
        <f>INDEX(EIIndirecto_21,6)*INDEX(Coef_trabajo,6)</f>
        <v>0</v>
      </c>
      <c r="E93" s="160">
        <f t="shared" si="10"/>
        <v>0</v>
      </c>
      <c r="F93" s="187" t="str">
        <f t="shared" si="11"/>
        <v/>
      </c>
      <c r="G93" s="376">
        <f>INDEX(EInducido21,6)*INDEX(Coef_trabajo,6)</f>
        <v>0</v>
      </c>
    </row>
    <row r="94" spans="1:8">
      <c r="A94" s="346" t="s">
        <v>16</v>
      </c>
      <c r="B94" s="356">
        <f>INDEX(EIDirecto_21,7)+INDEX(EIIndirecto_21,7)</f>
        <v>0</v>
      </c>
      <c r="C94" s="156">
        <f>INDEX(EIDirecto_21,7)*INDEX(Coef_trabajo,7)</f>
        <v>0</v>
      </c>
      <c r="D94" s="156">
        <f>INDEX(EIIndirecto_21,7)*INDEX(Coef_trabajo,7)</f>
        <v>0</v>
      </c>
      <c r="E94" s="157">
        <f t="shared" si="10"/>
        <v>0</v>
      </c>
      <c r="F94" s="186" t="str">
        <f t="shared" si="11"/>
        <v/>
      </c>
      <c r="G94" s="375">
        <f>INDEX(EInducido21,7)*INDEX(Coef_trabajo,7)</f>
        <v>0</v>
      </c>
    </row>
    <row r="95" spans="1:8">
      <c r="A95" s="348" t="s">
        <v>17</v>
      </c>
      <c r="B95" s="361">
        <f>INDEX(EIDirecto_21,8)+INDEX(EIIndirecto_21,8)</f>
        <v>0</v>
      </c>
      <c r="C95" s="159">
        <f>INDEX(EIDirecto_21,8)*INDEX(Coef_trabajo,8)</f>
        <v>0</v>
      </c>
      <c r="D95" s="159">
        <f>INDEX(EIIndirecto_21,8)*INDEX(Coef_trabajo,8)</f>
        <v>0</v>
      </c>
      <c r="E95" s="160">
        <f t="shared" si="10"/>
        <v>0</v>
      </c>
      <c r="F95" s="187" t="str">
        <f t="shared" si="11"/>
        <v/>
      </c>
      <c r="G95" s="376">
        <f>INDEX(EInducido21,8)*INDEX(Coef_trabajo,8)</f>
        <v>0</v>
      </c>
    </row>
    <row r="96" spans="1:8">
      <c r="A96" s="346" t="s">
        <v>18</v>
      </c>
      <c r="B96" s="356">
        <f>INDEX(EIDirecto_21,9)+INDEX(EIIndirecto_21,9)</f>
        <v>0</v>
      </c>
      <c r="C96" s="156">
        <f>INDEX(EIDirecto_21,9)*INDEX(Coef_trabajo,9)</f>
        <v>0</v>
      </c>
      <c r="D96" s="156">
        <f>INDEX(EIIndirecto_21,9)*INDEX(Coef_trabajo,9)</f>
        <v>0</v>
      </c>
      <c r="E96" s="157">
        <f t="shared" si="10"/>
        <v>0</v>
      </c>
      <c r="F96" s="186" t="str">
        <f t="shared" si="11"/>
        <v/>
      </c>
      <c r="G96" s="375">
        <f>INDEX(EInducido21,9)*INDEX(Coef_trabajo,9)</f>
        <v>0</v>
      </c>
    </row>
    <row r="97" spans="1:7">
      <c r="A97" s="348" t="s">
        <v>19</v>
      </c>
      <c r="B97" s="361">
        <f>INDEX(EIDirecto_21,10)+INDEX(EIIndirecto_21,10)</f>
        <v>0</v>
      </c>
      <c r="C97" s="159">
        <f>INDEX(EIDirecto_21,10)*INDEX(Coef_trabajo,10)</f>
        <v>0</v>
      </c>
      <c r="D97" s="159">
        <f>INDEX(EIIndirecto_21,10)*INDEX(Coef_trabajo,10)</f>
        <v>0</v>
      </c>
      <c r="E97" s="160">
        <f t="shared" si="10"/>
        <v>0</v>
      </c>
      <c r="F97" s="187" t="str">
        <f t="shared" si="11"/>
        <v/>
      </c>
      <c r="G97" s="376">
        <f>INDEX(EInducido21,10)*INDEX(Coef_trabajo,10)</f>
        <v>0</v>
      </c>
    </row>
    <row r="98" spans="1:7">
      <c r="A98" s="346" t="s">
        <v>20</v>
      </c>
      <c r="B98" s="356">
        <f>INDEX(EIDirecto_21,11)+INDEX(EIIndirecto_21,11)</f>
        <v>0</v>
      </c>
      <c r="C98" s="156">
        <f>INDEX(EIDirecto_21,11)*INDEX(Coef_trabajo,11)</f>
        <v>0</v>
      </c>
      <c r="D98" s="156">
        <f>INDEX(EIIndirecto_21,11)*INDEX(Coef_trabajo,11)</f>
        <v>0</v>
      </c>
      <c r="E98" s="157">
        <f t="shared" si="10"/>
        <v>0</v>
      </c>
      <c r="F98" s="186" t="str">
        <f t="shared" si="11"/>
        <v/>
      </c>
      <c r="G98" s="375">
        <f>INDEX(EInducido21,11)*INDEX(Coef_trabajo,11)</f>
        <v>0</v>
      </c>
    </row>
    <row r="99" spans="1:7">
      <c r="A99" s="348" t="s">
        <v>21</v>
      </c>
      <c r="B99" s="361">
        <f>INDEX(EIDirecto_21,12)+INDEX(EIIndirecto_21,12)</f>
        <v>0</v>
      </c>
      <c r="C99" s="159">
        <f>INDEX(EIDirecto_21,12)*INDEX(Coef_trabajo,12)</f>
        <v>0</v>
      </c>
      <c r="D99" s="159">
        <f>INDEX(EIIndirecto_21,12)*INDEX(Coef_trabajo,12)</f>
        <v>0</v>
      </c>
      <c r="E99" s="160">
        <f t="shared" si="10"/>
        <v>0</v>
      </c>
      <c r="F99" s="187" t="str">
        <f t="shared" si="11"/>
        <v/>
      </c>
      <c r="G99" s="376">
        <f>INDEX(EInducido21,12)*INDEX(Coef_trabajo,12)</f>
        <v>0</v>
      </c>
    </row>
    <row r="100" spans="1:7">
      <c r="A100" s="346" t="s">
        <v>22</v>
      </c>
      <c r="B100" s="356">
        <f>INDEX(EIDirecto_21,13)+INDEX(EIIndirecto_21,13)</f>
        <v>0</v>
      </c>
      <c r="C100" s="156">
        <f>INDEX(EIDirecto_21,13)*INDEX(Coef_trabajo,13)</f>
        <v>0</v>
      </c>
      <c r="D100" s="156">
        <f>INDEX(EIIndirecto_21,13)*INDEX(Coef_trabajo,13)</f>
        <v>0</v>
      </c>
      <c r="E100" s="157">
        <f t="shared" si="10"/>
        <v>0</v>
      </c>
      <c r="F100" s="186" t="str">
        <f t="shared" si="11"/>
        <v/>
      </c>
      <c r="G100" s="375">
        <f>INDEX(EInducido21,13)*INDEX(Coef_trabajo,13)</f>
        <v>0</v>
      </c>
    </row>
    <row r="101" spans="1:7">
      <c r="A101" s="348" t="s">
        <v>23</v>
      </c>
      <c r="B101" s="361">
        <f>INDEX(EIDirecto_21,14)+INDEX(EIIndirecto_21,14)</f>
        <v>0</v>
      </c>
      <c r="C101" s="159">
        <f>INDEX(EIDirecto_21,14)*INDEX(Coef_trabajo,14)</f>
        <v>0</v>
      </c>
      <c r="D101" s="159">
        <f>INDEX(EIIndirecto_21,14)*INDEX(Coef_trabajo,14)</f>
        <v>0</v>
      </c>
      <c r="E101" s="160">
        <f t="shared" si="10"/>
        <v>0</v>
      </c>
      <c r="F101" s="187" t="str">
        <f t="shared" si="11"/>
        <v/>
      </c>
      <c r="G101" s="376">
        <f>INDEX(EInducido21,14)*INDEX(Coef_trabajo,14)</f>
        <v>0</v>
      </c>
    </row>
    <row r="102" spans="1:7">
      <c r="A102" s="346" t="s">
        <v>24</v>
      </c>
      <c r="B102" s="356">
        <f>INDEX(EIDirecto_21,15)+INDEX(EIIndirecto_21,15)</f>
        <v>0</v>
      </c>
      <c r="C102" s="156">
        <f>INDEX(EIDirecto_21,15)*INDEX(Coef_trabajo,15)</f>
        <v>0</v>
      </c>
      <c r="D102" s="156">
        <f>INDEX(EIIndirecto_21,15)*INDEX(Coef_trabajo,15)</f>
        <v>0</v>
      </c>
      <c r="E102" s="157">
        <f t="shared" si="10"/>
        <v>0</v>
      </c>
      <c r="F102" s="186" t="str">
        <f t="shared" si="11"/>
        <v/>
      </c>
      <c r="G102" s="375">
        <f>INDEX(EInducido21,15)*INDEX(Coef_trabajo,15)</f>
        <v>0</v>
      </c>
    </row>
    <row r="103" spans="1:7">
      <c r="A103" s="348" t="s">
        <v>25</v>
      </c>
      <c r="B103" s="361">
        <f>INDEX(EIDirecto_21,16)+INDEX(EIIndirecto_21,16)</f>
        <v>0</v>
      </c>
      <c r="C103" s="159">
        <f>INDEX(EIDirecto_21,16)*INDEX(Coef_trabajo,16)</f>
        <v>0</v>
      </c>
      <c r="D103" s="159">
        <f>INDEX(EIIndirecto_21,16)*INDEX(Coef_trabajo,16)</f>
        <v>0</v>
      </c>
      <c r="E103" s="160">
        <f t="shared" si="10"/>
        <v>0</v>
      </c>
      <c r="F103" s="187" t="str">
        <f t="shared" si="11"/>
        <v/>
      </c>
      <c r="G103" s="376">
        <f>INDEX(EInducido21,16)*INDEX(Coef_trabajo,16)</f>
        <v>0</v>
      </c>
    </row>
    <row r="104" spans="1:7">
      <c r="A104" s="346" t="s">
        <v>26</v>
      </c>
      <c r="B104" s="356">
        <f>INDEX(EIDirecto_21,17)+INDEX(EIIndirecto_21,17)</f>
        <v>0</v>
      </c>
      <c r="C104" s="156">
        <f>INDEX(EIDirecto_21,17)*INDEX(Coef_trabajo,17)</f>
        <v>0</v>
      </c>
      <c r="D104" s="156">
        <f>INDEX(EIIndirecto_21,17)*INDEX(Coef_trabajo,17)</f>
        <v>0</v>
      </c>
      <c r="E104" s="157">
        <f t="shared" si="10"/>
        <v>0</v>
      </c>
      <c r="F104" s="186" t="str">
        <f t="shared" si="11"/>
        <v/>
      </c>
      <c r="G104" s="375">
        <f>INDEX(EInducido21,17)*INDEX(Coef_trabajo,17)</f>
        <v>0</v>
      </c>
    </row>
    <row r="105" spans="1:7">
      <c r="A105" s="348" t="s">
        <v>27</v>
      </c>
      <c r="B105" s="361">
        <f>INDEX(EIDirecto_21,18)+INDEX(EIIndirecto_21,18)</f>
        <v>0</v>
      </c>
      <c r="C105" s="159">
        <f>INDEX(EIDirecto_21,18)*INDEX(Coef_trabajo,18)</f>
        <v>0</v>
      </c>
      <c r="D105" s="159">
        <f>INDEX(EIIndirecto_21,18)*INDEX(Coef_trabajo,18)</f>
        <v>0</v>
      </c>
      <c r="E105" s="160">
        <f t="shared" si="10"/>
        <v>0</v>
      </c>
      <c r="F105" s="187" t="str">
        <f t="shared" si="11"/>
        <v/>
      </c>
      <c r="G105" s="376">
        <f>INDEX(EInducido21,18)*INDEX(Coef_trabajo,18)</f>
        <v>0</v>
      </c>
    </row>
    <row r="106" spans="1:7">
      <c r="A106" s="346" t="s">
        <v>28</v>
      </c>
      <c r="B106" s="356">
        <f>INDEX(EIDirecto_21,19)+INDEX(EIIndirecto_21,19)</f>
        <v>0</v>
      </c>
      <c r="C106" s="156">
        <f>INDEX(EIDirecto_21,19)*INDEX(Coef_trabajo,19)</f>
        <v>0</v>
      </c>
      <c r="D106" s="156">
        <f>INDEX(EIIndirecto_21,19)*INDEX(Coef_trabajo,19)</f>
        <v>0</v>
      </c>
      <c r="E106" s="157">
        <f t="shared" si="10"/>
        <v>0</v>
      </c>
      <c r="F106" s="186" t="str">
        <f t="shared" si="11"/>
        <v/>
      </c>
      <c r="G106" s="375">
        <f>INDEX(EInducido21,19)*INDEX(Coef_trabajo,19)</f>
        <v>0</v>
      </c>
    </row>
    <row r="107" spans="1:7">
      <c r="A107" s="348" t="s">
        <v>29</v>
      </c>
      <c r="B107" s="361">
        <f>INDEX(EIDirecto_21,20)+INDEX(EIIndirecto_21,20)</f>
        <v>0</v>
      </c>
      <c r="C107" s="159">
        <f>INDEX(EIDirecto_21,20)*INDEX(Coef_trabajo,20)</f>
        <v>0</v>
      </c>
      <c r="D107" s="159">
        <f>INDEX(EIIndirecto_21,20)*INDEX(Coef_trabajo,20)</f>
        <v>0</v>
      </c>
      <c r="E107" s="160">
        <f t="shared" si="10"/>
        <v>0</v>
      </c>
      <c r="F107" s="187" t="str">
        <f t="shared" si="11"/>
        <v/>
      </c>
      <c r="G107" s="376">
        <f>INDEX(EInducido21,20)*INDEX(Coef_trabajo,20)</f>
        <v>0</v>
      </c>
    </row>
    <row r="108" spans="1:7">
      <c r="A108" s="346" t="s">
        <v>30</v>
      </c>
      <c r="B108" s="356">
        <f>INDEX(EIDirecto_21,21)+INDEX(EIIndirecto_21,21)</f>
        <v>0</v>
      </c>
      <c r="C108" s="156">
        <f>INDEX(EIDirecto_21,21)*INDEX(Coef_trabajo,21)</f>
        <v>0</v>
      </c>
      <c r="D108" s="156">
        <f>INDEX(EIIndirecto_21,21)*INDEX(Coef_trabajo,21)</f>
        <v>0</v>
      </c>
      <c r="E108" s="157">
        <f t="shared" si="10"/>
        <v>0</v>
      </c>
      <c r="F108" s="186" t="str">
        <f t="shared" si="11"/>
        <v/>
      </c>
      <c r="G108" s="375">
        <f>INDEX(EInducido21,21)*INDEX(Coef_trabajo,21)</f>
        <v>0</v>
      </c>
    </row>
    <row r="109" spans="1:7">
      <c r="A109" s="366" t="s">
        <v>152</v>
      </c>
      <c r="B109" s="367">
        <f>SUM(B88:B108)</f>
        <v>0</v>
      </c>
      <c r="C109" s="368">
        <f>SUM(C88:C108)</f>
        <v>0</v>
      </c>
      <c r="D109" s="368">
        <f>SUM(D88:D108)</f>
        <v>0</v>
      </c>
      <c r="E109" s="368">
        <f>SUM(E88:E108)</f>
        <v>0</v>
      </c>
      <c r="F109" s="369" t="str">
        <f>IFERROR(E109/E109,"")</f>
        <v/>
      </c>
      <c r="G109" s="368">
        <f>SUM(G88:G108)</f>
        <v>0</v>
      </c>
    </row>
  </sheetData>
  <mergeCells count="6">
    <mergeCell ref="C86:E86"/>
    <mergeCell ref="A1:L1"/>
    <mergeCell ref="C58:D58"/>
    <mergeCell ref="F58:G58"/>
    <mergeCell ref="F31:H31"/>
    <mergeCell ref="C31:D31"/>
  </mergeCells>
  <conditionalFormatting sqref="K6:K26">
    <cfRule type="dataBar" priority="68">
      <dataBar>
        <cfvo type="min"/>
        <cfvo type="max"/>
        <color rgb="FF638EC6"/>
      </dataBar>
    </cfRule>
  </conditionalFormatting>
  <conditionalFormatting sqref="L6:L26">
    <cfRule type="dataBar" priority="69">
      <dataBar>
        <cfvo type="min"/>
        <cfvo type="max"/>
        <color rgb="FF63C384"/>
      </dataBar>
    </cfRule>
  </conditionalFormatting>
  <conditionalFormatting sqref="D6:E26"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H26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6:I26">
    <cfRule type="dataBar" priority="42">
      <dataBar>
        <cfvo type="min"/>
        <cfvo type="max"/>
        <color rgb="FF638EC6"/>
      </dataBar>
    </cfRule>
  </conditionalFormatting>
  <conditionalFormatting sqref="F6:F26">
    <cfRule type="dataBar" priority="41">
      <dataBar>
        <cfvo type="min"/>
        <cfvo type="max"/>
        <color rgb="FF638EC6"/>
      </dataBar>
    </cfRule>
  </conditionalFormatting>
  <conditionalFormatting sqref="E33:E53">
    <cfRule type="dataBar" priority="39">
      <dataBar>
        <cfvo type="min"/>
        <cfvo type="max"/>
        <color rgb="FF638EC6"/>
      </dataBar>
    </cfRule>
  </conditionalFormatting>
  <conditionalFormatting sqref="I33:I53">
    <cfRule type="dataBar" priority="38">
      <dataBar>
        <cfvo type="min"/>
        <cfvo type="max"/>
        <color rgb="FF638EC6"/>
      </dataBar>
    </cfRule>
  </conditionalFormatting>
  <conditionalFormatting sqref="H60:H80">
    <cfRule type="dataBar" priority="37">
      <dataBar>
        <cfvo type="min"/>
        <cfvo type="max"/>
        <color rgb="FF638EC6"/>
      </dataBar>
    </cfRule>
  </conditionalFormatting>
  <conditionalFormatting sqref="E60:E80">
    <cfRule type="dataBar" priority="36">
      <dataBar>
        <cfvo type="min"/>
        <cfvo type="max"/>
        <color rgb="FF638EC6"/>
      </dataBar>
    </cfRule>
  </conditionalFormatting>
  <conditionalFormatting sqref="E88:E108">
    <cfRule type="dataBar" priority="34">
      <dataBar>
        <cfvo type="min"/>
        <cfvo type="max"/>
        <color rgb="FF638EC6"/>
      </dataBar>
    </cfRule>
  </conditionalFormatting>
  <conditionalFormatting sqref="F88:F108">
    <cfRule type="dataBar" priority="32">
      <dataBar>
        <cfvo type="min"/>
        <cfvo type="max"/>
        <color rgb="FF63C384"/>
      </dataBar>
    </cfRule>
  </conditionalFormatting>
  <conditionalFormatting sqref="A1:L1">
    <cfRule type="expression" dxfId="42" priority="31">
      <formula>"suma(DeltaF21c)&gt;0"</formula>
    </cfRule>
  </conditionalFormatting>
  <conditionalFormatting sqref="C6:H26">
    <cfRule type="cellIs" dxfId="41" priority="25" stopIfTrue="1" operator="equal">
      <formula>0</formula>
    </cfRule>
  </conditionalFormatting>
  <conditionalFormatting sqref="J6:J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40" priority="27" stopIfTrue="1" operator="equal">
      <formula>0</formula>
    </cfRule>
  </conditionalFormatting>
  <conditionalFormatting sqref="C6:C26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33:D53">
    <cfRule type="cellIs" dxfId="39" priority="21" stopIfTrue="1" operator="equal">
      <formula>0</formula>
    </cfRule>
  </conditionalFormatting>
  <conditionalFormatting sqref="D33:D53"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33:F53">
    <cfRule type="cellIs" dxfId="38" priority="19" stopIfTrue="1" operator="equal">
      <formula>0</formula>
    </cfRule>
  </conditionalFormatting>
  <conditionalFormatting sqref="F33:F53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G53">
    <cfRule type="cellIs" dxfId="37" priority="17" stopIfTrue="1" operator="equal">
      <formula>0</formula>
    </cfRule>
  </conditionalFormatting>
  <conditionalFormatting sqref="G33:G53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33:H53">
    <cfRule type="cellIs" dxfId="36" priority="15" stopIfTrue="1" operator="equal">
      <formula>0</formula>
    </cfRule>
  </conditionalFormatting>
  <conditionalFormatting sqref="H33:H53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C80">
    <cfRule type="cellIs" dxfId="35" priority="13" stopIfTrue="1" operator="equal">
      <formula>0</formula>
    </cfRule>
  </conditionalFormatting>
  <conditionalFormatting sqref="C60:C80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0:D80">
    <cfRule type="cellIs" dxfId="34" priority="11" stopIfTrue="1" operator="equal">
      <formula>0</formula>
    </cfRule>
  </conditionalFormatting>
  <conditionalFormatting sqref="D60:D8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0:F80">
    <cfRule type="cellIs" dxfId="33" priority="9" stopIfTrue="1" operator="equal">
      <formula>0</formula>
    </cfRule>
  </conditionalFormatting>
  <conditionalFormatting sqref="F60:F80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0:G80">
    <cfRule type="cellIs" dxfId="32" priority="7" stopIfTrue="1" operator="equal">
      <formula>0</formula>
    </cfRule>
  </conditionalFormatting>
  <conditionalFormatting sqref="G60:G80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88:C108">
    <cfRule type="cellIs" dxfId="31" priority="5" stopIfTrue="1" operator="equal">
      <formula>0</formula>
    </cfRule>
  </conditionalFormatting>
  <conditionalFormatting sqref="C88:C108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88:D108">
    <cfRule type="cellIs" dxfId="30" priority="3" stopIfTrue="1" operator="equal">
      <formula>0</formula>
    </cfRule>
  </conditionalFormatting>
  <conditionalFormatting sqref="D88:D108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ellIs" dxfId="29" priority="1" stopIfTrue="1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" id="{7D876BE9-96CB-7248-B98E-B76DA24EFE63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F9B8-BB21-9840-A6A2-35754DA4F806}">
  <sheetPr codeName="Hoja17">
    <tabColor rgb="FF27AE60"/>
  </sheetPr>
  <dimension ref="A1:L82"/>
  <sheetViews>
    <sheetView showGridLines="0" zoomScale="130" zoomScaleNormal="130" workbookViewId="0">
      <pane xSplit="2" ySplit="5" topLeftCell="C21" activePane="bottomRight" state="frozen"/>
      <selection pane="topRight"/>
      <selection pane="bottomLeft"/>
      <selection pane="bottomRight" activeCell="A59" sqref="A59"/>
    </sheetView>
  </sheetViews>
  <sheetFormatPr baseColWidth="10" defaultRowHeight="16"/>
  <cols>
    <col min="1" max="1" width="30" bestFit="1" customWidth="1"/>
    <col min="2" max="2" width="6" hidden="1" customWidth="1"/>
    <col min="3" max="10" width="12" customWidth="1"/>
    <col min="11" max="11" width="13" customWidth="1"/>
    <col min="12" max="12" width="12" customWidth="1"/>
    <col min="13" max="13" width="10.1640625" customWidth="1"/>
    <col min="14" max="17" width="11.1640625" customWidth="1"/>
  </cols>
  <sheetData>
    <row r="1" spans="1:12" ht="26" customHeight="1">
      <c r="A1" s="505" t="str">
        <f>IF(SUM(DeltaF21c)=0,"Efectos sobre el Ingreso Laboral","Diferencias de Ingreso Laboral entre los proyectos en Empleo")&amp;" — Paraguay"</f>
        <v>Efectos sobre el Ingreso Laboral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</row>
    <row r="2" spans="1:12" ht="14" customHeight="1">
      <c r="A2" s="316" t="s">
        <v>608</v>
      </c>
    </row>
    <row r="3" spans="1:12" ht="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12" ht="20" customHeight="1">
      <c r="A4" s="122" t="s">
        <v>630</v>
      </c>
      <c r="B4" s="79"/>
      <c r="C4" s="80" t="s">
        <v>144</v>
      </c>
      <c r="D4" s="318" t="s">
        <v>191</v>
      </c>
      <c r="G4" s="317" t="s">
        <v>192</v>
      </c>
      <c r="J4" s="241" t="s">
        <v>193</v>
      </c>
      <c r="K4" s="81" t="s">
        <v>194</v>
      </c>
    </row>
    <row r="5" spans="1:12" ht="20" customHeight="1" thickBot="1">
      <c r="A5" s="82" t="s">
        <v>5</v>
      </c>
      <c r="B5" s="83" t="s">
        <v>88</v>
      </c>
      <c r="C5" s="84"/>
      <c r="D5" s="85" t="s">
        <v>196</v>
      </c>
      <c r="E5" s="86" t="s">
        <v>197</v>
      </c>
      <c r="F5" s="87" t="s">
        <v>31</v>
      </c>
      <c r="G5" s="88" t="s">
        <v>196</v>
      </c>
      <c r="H5" s="86" t="s">
        <v>197</v>
      </c>
      <c r="I5" s="89" t="s">
        <v>31</v>
      </c>
      <c r="J5" s="242"/>
      <c r="K5" s="84"/>
    </row>
    <row r="6" spans="1:12" ht="14" customHeight="1">
      <c r="A6" s="19" t="s">
        <v>10</v>
      </c>
      <c r="B6" s="90" t="s">
        <v>96</v>
      </c>
      <c r="C6" s="426" cm="1">
        <f t="array" ref="C6:C26">EInicial_21*Coef_IngresoTotal</f>
        <v>0</v>
      </c>
      <c r="D6" s="426" cm="1">
        <f t="array" ref="D6:D26">EDirecto_21*Coef_IngresoTotal</f>
        <v>0</v>
      </c>
      <c r="E6" s="426" cm="1">
        <f t="array" ref="E6:E26">EIDirecto_21*Coef_IngresoTotal</f>
        <v>0</v>
      </c>
      <c r="F6" s="165">
        <f t="shared" ref="F6:F26" si="0">E6+D6</f>
        <v>0</v>
      </c>
      <c r="G6" s="426" cm="1">
        <f t="array" ref="G6:G26">EIndirecto21*Coef_IngresoTotal</f>
        <v>0</v>
      </c>
      <c r="H6" s="426" cm="1">
        <f t="array" ref="H6:H26">EIIndirecto_21*Coef_IngresoTotal</f>
        <v>0</v>
      </c>
      <c r="I6" s="165">
        <f t="shared" ref="I6:I26" si="1">H6+G6</f>
        <v>0</v>
      </c>
      <c r="J6" s="426" cm="1">
        <f t="array" ref="J6:J26">EInducido21*Coef_IngresoTotal</f>
        <v>0</v>
      </c>
      <c r="K6" s="165">
        <f t="shared" ref="K6:K26" si="2">J6+I6+F6+C6</f>
        <v>0</v>
      </c>
    </row>
    <row r="7" spans="1:12" ht="14" customHeight="1">
      <c r="A7" s="21" t="s">
        <v>11</v>
      </c>
      <c r="B7" s="91" t="s">
        <v>97</v>
      </c>
      <c r="C7" s="427">
        <v>0</v>
      </c>
      <c r="D7" s="427">
        <v>0</v>
      </c>
      <c r="E7" s="427">
        <v>0</v>
      </c>
      <c r="F7" s="166">
        <f t="shared" si="0"/>
        <v>0</v>
      </c>
      <c r="G7" s="427">
        <v>0</v>
      </c>
      <c r="H7" s="427">
        <v>0</v>
      </c>
      <c r="I7" s="166">
        <f t="shared" si="1"/>
        <v>0</v>
      </c>
      <c r="J7" s="427">
        <v>0</v>
      </c>
      <c r="K7" s="166">
        <f t="shared" si="2"/>
        <v>0</v>
      </c>
    </row>
    <row r="8" spans="1:12" ht="14" customHeight="1">
      <c r="A8" s="19" t="s">
        <v>12</v>
      </c>
      <c r="B8" s="90" t="s">
        <v>98</v>
      </c>
      <c r="C8" s="426">
        <v>0</v>
      </c>
      <c r="D8" s="426">
        <v>0</v>
      </c>
      <c r="E8" s="426">
        <v>0</v>
      </c>
      <c r="F8" s="165">
        <f t="shared" si="0"/>
        <v>0</v>
      </c>
      <c r="G8" s="426">
        <v>0</v>
      </c>
      <c r="H8" s="426">
        <v>0</v>
      </c>
      <c r="I8" s="165">
        <f t="shared" si="1"/>
        <v>0</v>
      </c>
      <c r="J8" s="426">
        <v>0</v>
      </c>
      <c r="K8" s="165">
        <f t="shared" si="2"/>
        <v>0</v>
      </c>
    </row>
    <row r="9" spans="1:12" ht="14" customHeight="1">
      <c r="A9" s="21" t="s">
        <v>13</v>
      </c>
      <c r="B9" s="91" t="s">
        <v>99</v>
      </c>
      <c r="C9" s="427">
        <v>0</v>
      </c>
      <c r="D9" s="427">
        <v>0</v>
      </c>
      <c r="E9" s="427">
        <v>0</v>
      </c>
      <c r="F9" s="166">
        <f t="shared" si="0"/>
        <v>0</v>
      </c>
      <c r="G9" s="427">
        <v>0</v>
      </c>
      <c r="H9" s="427">
        <v>0</v>
      </c>
      <c r="I9" s="166">
        <f t="shared" si="1"/>
        <v>0</v>
      </c>
      <c r="J9" s="427">
        <v>0</v>
      </c>
      <c r="K9" s="166">
        <f t="shared" si="2"/>
        <v>0</v>
      </c>
    </row>
    <row r="10" spans="1:12" ht="14" customHeight="1">
      <c r="A10" s="19" t="s">
        <v>14</v>
      </c>
      <c r="B10" s="90" t="s">
        <v>100</v>
      </c>
      <c r="C10" s="426">
        <v>0</v>
      </c>
      <c r="D10" s="426">
        <v>0</v>
      </c>
      <c r="E10" s="426">
        <v>0</v>
      </c>
      <c r="F10" s="165">
        <f t="shared" si="0"/>
        <v>0</v>
      </c>
      <c r="G10" s="426">
        <v>0</v>
      </c>
      <c r="H10" s="426">
        <v>0</v>
      </c>
      <c r="I10" s="165">
        <f t="shared" si="1"/>
        <v>0</v>
      </c>
      <c r="J10" s="426">
        <v>0</v>
      </c>
      <c r="K10" s="165">
        <f t="shared" si="2"/>
        <v>0</v>
      </c>
    </row>
    <row r="11" spans="1:12" ht="14" customHeight="1">
      <c r="A11" s="21" t="s">
        <v>15</v>
      </c>
      <c r="B11" s="91" t="s">
        <v>101</v>
      </c>
      <c r="C11" s="427">
        <v>0</v>
      </c>
      <c r="D11" s="427">
        <v>0</v>
      </c>
      <c r="E11" s="427">
        <v>0</v>
      </c>
      <c r="F11" s="166">
        <f t="shared" si="0"/>
        <v>0</v>
      </c>
      <c r="G11" s="427">
        <v>0</v>
      </c>
      <c r="H11" s="427">
        <v>0</v>
      </c>
      <c r="I11" s="166">
        <f t="shared" si="1"/>
        <v>0</v>
      </c>
      <c r="J11" s="427">
        <v>0</v>
      </c>
      <c r="K11" s="166">
        <f t="shared" si="2"/>
        <v>0</v>
      </c>
    </row>
    <row r="12" spans="1:12" ht="14" customHeight="1">
      <c r="A12" s="19" t="s">
        <v>16</v>
      </c>
      <c r="B12" s="90" t="s">
        <v>102</v>
      </c>
      <c r="C12" s="426">
        <v>0</v>
      </c>
      <c r="D12" s="426">
        <v>0</v>
      </c>
      <c r="E12" s="426">
        <v>0</v>
      </c>
      <c r="F12" s="165">
        <f t="shared" si="0"/>
        <v>0</v>
      </c>
      <c r="G12" s="426">
        <v>0</v>
      </c>
      <c r="H12" s="426">
        <v>0</v>
      </c>
      <c r="I12" s="165">
        <f t="shared" si="1"/>
        <v>0</v>
      </c>
      <c r="J12" s="426">
        <v>0</v>
      </c>
      <c r="K12" s="165">
        <f t="shared" si="2"/>
        <v>0</v>
      </c>
    </row>
    <row r="13" spans="1:12" ht="14" customHeight="1">
      <c r="A13" s="21" t="s">
        <v>17</v>
      </c>
      <c r="B13" s="91" t="s">
        <v>103</v>
      </c>
      <c r="C13" s="427">
        <v>0</v>
      </c>
      <c r="D13" s="427">
        <v>0</v>
      </c>
      <c r="E13" s="427">
        <v>0</v>
      </c>
      <c r="F13" s="166">
        <f t="shared" si="0"/>
        <v>0</v>
      </c>
      <c r="G13" s="427">
        <v>0</v>
      </c>
      <c r="H13" s="427">
        <v>0</v>
      </c>
      <c r="I13" s="166">
        <f t="shared" si="1"/>
        <v>0</v>
      </c>
      <c r="J13" s="427">
        <v>0</v>
      </c>
      <c r="K13" s="166">
        <f t="shared" si="2"/>
        <v>0</v>
      </c>
    </row>
    <row r="14" spans="1:12" ht="14" customHeight="1">
      <c r="A14" s="19" t="s">
        <v>18</v>
      </c>
      <c r="B14" s="90" t="s">
        <v>104</v>
      </c>
      <c r="C14" s="426">
        <v>0</v>
      </c>
      <c r="D14" s="426">
        <v>0</v>
      </c>
      <c r="E14" s="426">
        <v>0</v>
      </c>
      <c r="F14" s="165">
        <f t="shared" si="0"/>
        <v>0</v>
      </c>
      <c r="G14" s="426">
        <v>0</v>
      </c>
      <c r="H14" s="426">
        <v>0</v>
      </c>
      <c r="I14" s="165">
        <f t="shared" si="1"/>
        <v>0</v>
      </c>
      <c r="J14" s="426">
        <v>0</v>
      </c>
      <c r="K14" s="165">
        <f t="shared" si="2"/>
        <v>0</v>
      </c>
    </row>
    <row r="15" spans="1:12" ht="14" customHeight="1">
      <c r="A15" s="21" t="s">
        <v>19</v>
      </c>
      <c r="B15" s="91" t="s">
        <v>105</v>
      </c>
      <c r="C15" s="427">
        <v>0</v>
      </c>
      <c r="D15" s="427">
        <v>0</v>
      </c>
      <c r="E15" s="427">
        <v>0</v>
      </c>
      <c r="F15" s="166">
        <f t="shared" si="0"/>
        <v>0</v>
      </c>
      <c r="G15" s="427">
        <v>0</v>
      </c>
      <c r="H15" s="427">
        <v>0</v>
      </c>
      <c r="I15" s="166">
        <f t="shared" si="1"/>
        <v>0</v>
      </c>
      <c r="J15" s="427">
        <v>0</v>
      </c>
      <c r="K15" s="166">
        <f t="shared" si="2"/>
        <v>0</v>
      </c>
    </row>
    <row r="16" spans="1:12" ht="14" customHeight="1">
      <c r="A16" s="19" t="s">
        <v>20</v>
      </c>
      <c r="B16" s="90" t="s">
        <v>106</v>
      </c>
      <c r="C16" s="426">
        <v>0</v>
      </c>
      <c r="D16" s="426">
        <v>0</v>
      </c>
      <c r="E16" s="426">
        <v>0</v>
      </c>
      <c r="F16" s="165">
        <f t="shared" si="0"/>
        <v>0</v>
      </c>
      <c r="G16" s="426">
        <v>0</v>
      </c>
      <c r="H16" s="426">
        <v>0</v>
      </c>
      <c r="I16" s="165">
        <f t="shared" si="1"/>
        <v>0</v>
      </c>
      <c r="J16" s="426">
        <v>0</v>
      </c>
      <c r="K16" s="165">
        <f t="shared" si="2"/>
        <v>0</v>
      </c>
    </row>
    <row r="17" spans="1:11" ht="14" customHeight="1">
      <c r="A17" s="21" t="s">
        <v>21</v>
      </c>
      <c r="B17" s="91" t="s">
        <v>107</v>
      </c>
      <c r="C17" s="427">
        <v>0</v>
      </c>
      <c r="D17" s="427">
        <v>0</v>
      </c>
      <c r="E17" s="427">
        <v>0</v>
      </c>
      <c r="F17" s="166">
        <f t="shared" si="0"/>
        <v>0</v>
      </c>
      <c r="G17" s="427">
        <v>0</v>
      </c>
      <c r="H17" s="427">
        <v>0</v>
      </c>
      <c r="I17" s="166">
        <f t="shared" si="1"/>
        <v>0</v>
      </c>
      <c r="J17" s="427">
        <v>0</v>
      </c>
      <c r="K17" s="166">
        <f t="shared" si="2"/>
        <v>0</v>
      </c>
    </row>
    <row r="18" spans="1:11" ht="14" customHeight="1">
      <c r="A18" s="19" t="s">
        <v>22</v>
      </c>
      <c r="B18" s="90" t="s">
        <v>108</v>
      </c>
      <c r="C18" s="426">
        <v>0</v>
      </c>
      <c r="D18" s="426">
        <v>0</v>
      </c>
      <c r="E18" s="426">
        <v>0</v>
      </c>
      <c r="F18" s="165">
        <f t="shared" si="0"/>
        <v>0</v>
      </c>
      <c r="G18" s="426">
        <v>0</v>
      </c>
      <c r="H18" s="426">
        <v>0</v>
      </c>
      <c r="I18" s="165">
        <f t="shared" si="1"/>
        <v>0</v>
      </c>
      <c r="J18" s="426">
        <v>0</v>
      </c>
      <c r="K18" s="165">
        <f t="shared" si="2"/>
        <v>0</v>
      </c>
    </row>
    <row r="19" spans="1:11" ht="14" customHeight="1">
      <c r="A19" s="21" t="s">
        <v>23</v>
      </c>
      <c r="B19" s="91" t="s">
        <v>109</v>
      </c>
      <c r="C19" s="427">
        <v>0</v>
      </c>
      <c r="D19" s="427">
        <v>0</v>
      </c>
      <c r="E19" s="427">
        <v>0</v>
      </c>
      <c r="F19" s="166">
        <f t="shared" si="0"/>
        <v>0</v>
      </c>
      <c r="G19" s="427">
        <v>0</v>
      </c>
      <c r="H19" s="427">
        <v>0</v>
      </c>
      <c r="I19" s="166">
        <f t="shared" si="1"/>
        <v>0</v>
      </c>
      <c r="J19" s="427">
        <v>0</v>
      </c>
      <c r="K19" s="166">
        <f t="shared" si="2"/>
        <v>0</v>
      </c>
    </row>
    <row r="20" spans="1:11" ht="14" customHeight="1">
      <c r="A20" s="19" t="s">
        <v>24</v>
      </c>
      <c r="B20" s="90" t="s">
        <v>110</v>
      </c>
      <c r="C20" s="426">
        <v>0</v>
      </c>
      <c r="D20" s="426">
        <v>0</v>
      </c>
      <c r="E20" s="426">
        <v>0</v>
      </c>
      <c r="F20" s="165">
        <f t="shared" si="0"/>
        <v>0</v>
      </c>
      <c r="G20" s="426">
        <v>0</v>
      </c>
      <c r="H20" s="426">
        <v>0</v>
      </c>
      <c r="I20" s="165">
        <f t="shared" si="1"/>
        <v>0</v>
      </c>
      <c r="J20" s="426">
        <v>0</v>
      </c>
      <c r="K20" s="165">
        <f t="shared" si="2"/>
        <v>0</v>
      </c>
    </row>
    <row r="21" spans="1:11" ht="14" customHeight="1">
      <c r="A21" s="21" t="s">
        <v>25</v>
      </c>
      <c r="B21" s="91" t="s">
        <v>111</v>
      </c>
      <c r="C21" s="427">
        <v>0</v>
      </c>
      <c r="D21" s="427">
        <v>0</v>
      </c>
      <c r="E21" s="427">
        <v>0</v>
      </c>
      <c r="F21" s="166">
        <f t="shared" si="0"/>
        <v>0</v>
      </c>
      <c r="G21" s="427">
        <v>0</v>
      </c>
      <c r="H21" s="427">
        <v>0</v>
      </c>
      <c r="I21" s="166">
        <f t="shared" si="1"/>
        <v>0</v>
      </c>
      <c r="J21" s="427">
        <v>0</v>
      </c>
      <c r="K21" s="166">
        <f t="shared" si="2"/>
        <v>0</v>
      </c>
    </row>
    <row r="22" spans="1:11" ht="14" customHeight="1">
      <c r="A22" s="19" t="s">
        <v>26</v>
      </c>
      <c r="B22" s="90" t="s">
        <v>112</v>
      </c>
      <c r="C22" s="426">
        <v>0</v>
      </c>
      <c r="D22" s="426">
        <v>0</v>
      </c>
      <c r="E22" s="426">
        <v>0</v>
      </c>
      <c r="F22" s="165">
        <f t="shared" si="0"/>
        <v>0</v>
      </c>
      <c r="G22" s="426">
        <v>0</v>
      </c>
      <c r="H22" s="426">
        <v>0</v>
      </c>
      <c r="I22" s="165">
        <f t="shared" si="1"/>
        <v>0</v>
      </c>
      <c r="J22" s="426">
        <v>0</v>
      </c>
      <c r="K22" s="165">
        <f t="shared" si="2"/>
        <v>0</v>
      </c>
    </row>
    <row r="23" spans="1:11" ht="14" customHeight="1">
      <c r="A23" s="21" t="s">
        <v>27</v>
      </c>
      <c r="B23" s="91" t="s">
        <v>113</v>
      </c>
      <c r="C23" s="427">
        <v>0</v>
      </c>
      <c r="D23" s="427">
        <v>0</v>
      </c>
      <c r="E23" s="427">
        <v>0</v>
      </c>
      <c r="F23" s="166">
        <f t="shared" si="0"/>
        <v>0</v>
      </c>
      <c r="G23" s="427">
        <v>0</v>
      </c>
      <c r="H23" s="427">
        <v>0</v>
      </c>
      <c r="I23" s="166">
        <f t="shared" si="1"/>
        <v>0</v>
      </c>
      <c r="J23" s="427">
        <v>0</v>
      </c>
      <c r="K23" s="166">
        <f t="shared" si="2"/>
        <v>0</v>
      </c>
    </row>
    <row r="24" spans="1:11" ht="14" customHeight="1">
      <c r="A24" s="19" t="s">
        <v>28</v>
      </c>
      <c r="B24" s="90" t="s">
        <v>114</v>
      </c>
      <c r="C24" s="426">
        <v>0</v>
      </c>
      <c r="D24" s="426">
        <v>0</v>
      </c>
      <c r="E24" s="426">
        <v>0</v>
      </c>
      <c r="F24" s="165">
        <f t="shared" si="0"/>
        <v>0</v>
      </c>
      <c r="G24" s="426">
        <v>0</v>
      </c>
      <c r="H24" s="426">
        <v>0</v>
      </c>
      <c r="I24" s="165">
        <f t="shared" si="1"/>
        <v>0</v>
      </c>
      <c r="J24" s="426">
        <v>0</v>
      </c>
      <c r="K24" s="165">
        <f t="shared" si="2"/>
        <v>0</v>
      </c>
    </row>
    <row r="25" spans="1:11" ht="14" customHeight="1">
      <c r="A25" s="21" t="s">
        <v>29</v>
      </c>
      <c r="B25" s="91" t="s">
        <v>115</v>
      </c>
      <c r="C25" s="427">
        <v>0</v>
      </c>
      <c r="D25" s="427">
        <v>0</v>
      </c>
      <c r="E25" s="427">
        <v>0</v>
      </c>
      <c r="F25" s="166">
        <f t="shared" si="0"/>
        <v>0</v>
      </c>
      <c r="G25" s="427">
        <v>0</v>
      </c>
      <c r="H25" s="427">
        <v>0</v>
      </c>
      <c r="I25" s="166">
        <f t="shared" si="1"/>
        <v>0</v>
      </c>
      <c r="J25" s="427">
        <v>0</v>
      </c>
      <c r="K25" s="166">
        <f t="shared" si="2"/>
        <v>0</v>
      </c>
    </row>
    <row r="26" spans="1:11" ht="14" customHeight="1">
      <c r="A26" s="19" t="s">
        <v>30</v>
      </c>
      <c r="B26" s="90" t="s">
        <v>116</v>
      </c>
      <c r="C26" s="426">
        <v>0</v>
      </c>
      <c r="D26" s="426">
        <v>0</v>
      </c>
      <c r="E26" s="426">
        <v>0</v>
      </c>
      <c r="F26" s="165">
        <f t="shared" si="0"/>
        <v>0</v>
      </c>
      <c r="G26" s="426">
        <v>0</v>
      </c>
      <c r="H26" s="426">
        <v>0</v>
      </c>
      <c r="I26" s="165">
        <f t="shared" si="1"/>
        <v>0</v>
      </c>
      <c r="J26" s="426">
        <v>0</v>
      </c>
      <c r="K26" s="165">
        <f t="shared" si="2"/>
        <v>0</v>
      </c>
    </row>
    <row r="27" spans="1:11">
      <c r="A27" s="172"/>
      <c r="B27" s="18"/>
      <c r="C27" s="161"/>
      <c r="D27" s="161"/>
      <c r="E27" s="161"/>
      <c r="F27" s="161"/>
      <c r="G27" s="161"/>
      <c r="H27" s="161"/>
      <c r="I27" s="161"/>
      <c r="J27" s="161"/>
      <c r="K27" s="161"/>
    </row>
    <row r="28" spans="1:11" ht="18" customHeight="1">
      <c r="A28" s="92" t="s">
        <v>198</v>
      </c>
      <c r="B28" s="92"/>
      <c r="C28" s="162">
        <f t="shared" ref="C28:K28" si="3">SUM(C6:C26)</f>
        <v>0</v>
      </c>
      <c r="D28" s="163">
        <f t="shared" si="3"/>
        <v>0</v>
      </c>
      <c r="E28" s="162">
        <f t="shared" si="3"/>
        <v>0</v>
      </c>
      <c r="F28" s="162">
        <f t="shared" si="3"/>
        <v>0</v>
      </c>
      <c r="G28" s="163">
        <f t="shared" si="3"/>
        <v>0</v>
      </c>
      <c r="H28" s="162">
        <f t="shared" si="3"/>
        <v>0</v>
      </c>
      <c r="I28" s="162">
        <f t="shared" si="3"/>
        <v>0</v>
      </c>
      <c r="J28" s="163">
        <f t="shared" si="3"/>
        <v>0</v>
      </c>
      <c r="K28" s="164">
        <f t="shared" si="3"/>
        <v>0</v>
      </c>
    </row>
    <row r="31" spans="1:11">
      <c r="A31" s="122" t="s">
        <v>589</v>
      </c>
      <c r="B31" s="79"/>
      <c r="C31" s="511" t="s">
        <v>590</v>
      </c>
      <c r="D31" s="512"/>
      <c r="E31" s="512"/>
      <c r="G31" s="513" t="s">
        <v>594</v>
      </c>
      <c r="H31" s="514"/>
      <c r="J31" s="319" t="s">
        <v>597</v>
      </c>
    </row>
    <row r="32" spans="1:11" ht="23" customHeight="1" thickBot="1">
      <c r="A32" s="82" t="s">
        <v>5</v>
      </c>
      <c r="B32" s="83" t="s">
        <v>88</v>
      </c>
      <c r="C32" s="85" t="s">
        <v>591</v>
      </c>
      <c r="D32" s="86" t="s">
        <v>592</v>
      </c>
      <c r="E32" s="87" t="s">
        <v>593</v>
      </c>
      <c r="G32" s="140" t="s">
        <v>595</v>
      </c>
      <c r="H32" s="141" t="s">
        <v>596</v>
      </c>
      <c r="J32" s="141" t="s">
        <v>598</v>
      </c>
    </row>
    <row r="33" spans="1:10">
      <c r="A33" s="19" t="s">
        <v>10</v>
      </c>
      <c r="B33" s="90"/>
      <c r="C33" s="426" cm="1">
        <f t="array" ref="C33:C53">ETotal_21*Coef_Sueldos</f>
        <v>0</v>
      </c>
      <c r="D33" s="426" cm="1">
        <f t="array" ref="D33:D53">ETotal_21*Coef_IMixtos</f>
        <v>0</v>
      </c>
      <c r="E33" s="426">
        <f>D33+C33</f>
        <v>0</v>
      </c>
      <c r="G33" s="426" cm="1">
        <f t="array" ref="G33:G53">ETotal_21*Coef_Contribuciones</f>
        <v>0</v>
      </c>
      <c r="H33" s="426">
        <f t="shared" ref="H33:H53" si="4">E33</f>
        <v>0</v>
      </c>
      <c r="J33" s="395" t="str">
        <f>IFERROR(D33/E33,"")</f>
        <v/>
      </c>
    </row>
    <row r="34" spans="1:10">
      <c r="A34" s="21" t="s">
        <v>11</v>
      </c>
      <c r="B34" s="91"/>
      <c r="C34" s="427">
        <v>0</v>
      </c>
      <c r="D34" s="427">
        <v>0</v>
      </c>
      <c r="E34" s="427">
        <f t="shared" ref="E34:E53" si="5">D34+C34</f>
        <v>0</v>
      </c>
      <c r="G34" s="427">
        <v>0</v>
      </c>
      <c r="H34" s="427">
        <f t="shared" si="4"/>
        <v>0</v>
      </c>
      <c r="J34" s="395" t="str">
        <f t="shared" ref="J34:J53" si="6">IFERROR(D34/E34,"")</f>
        <v/>
      </c>
    </row>
    <row r="35" spans="1:10">
      <c r="A35" s="19" t="s">
        <v>12</v>
      </c>
      <c r="B35" s="90"/>
      <c r="C35" s="426">
        <v>0</v>
      </c>
      <c r="D35" s="426">
        <v>0</v>
      </c>
      <c r="E35" s="426">
        <f t="shared" si="5"/>
        <v>0</v>
      </c>
      <c r="G35" s="426">
        <v>0</v>
      </c>
      <c r="H35" s="426">
        <f t="shared" si="4"/>
        <v>0</v>
      </c>
      <c r="J35" s="395" t="str">
        <f t="shared" si="6"/>
        <v/>
      </c>
    </row>
    <row r="36" spans="1:10">
      <c r="A36" s="21" t="s">
        <v>13</v>
      </c>
      <c r="B36" s="91"/>
      <c r="C36" s="427">
        <v>0</v>
      </c>
      <c r="D36" s="427">
        <v>0</v>
      </c>
      <c r="E36" s="427">
        <f t="shared" si="5"/>
        <v>0</v>
      </c>
      <c r="G36" s="427">
        <v>0</v>
      </c>
      <c r="H36" s="427">
        <f t="shared" si="4"/>
        <v>0</v>
      </c>
      <c r="J36" s="395" t="str">
        <f t="shared" si="6"/>
        <v/>
      </c>
    </row>
    <row r="37" spans="1:10">
      <c r="A37" s="19" t="s">
        <v>14</v>
      </c>
      <c r="B37" s="90"/>
      <c r="C37" s="426">
        <v>0</v>
      </c>
      <c r="D37" s="426">
        <v>0</v>
      </c>
      <c r="E37" s="426">
        <f t="shared" si="5"/>
        <v>0</v>
      </c>
      <c r="G37" s="426">
        <v>0</v>
      </c>
      <c r="H37" s="426">
        <f t="shared" si="4"/>
        <v>0</v>
      </c>
      <c r="J37" s="395" t="str">
        <f t="shared" si="6"/>
        <v/>
      </c>
    </row>
    <row r="38" spans="1:10">
      <c r="A38" s="21" t="s">
        <v>15</v>
      </c>
      <c r="B38" s="91"/>
      <c r="C38" s="427">
        <v>0</v>
      </c>
      <c r="D38" s="427">
        <v>0</v>
      </c>
      <c r="E38" s="427">
        <f t="shared" si="5"/>
        <v>0</v>
      </c>
      <c r="G38" s="427">
        <v>0</v>
      </c>
      <c r="H38" s="427">
        <f t="shared" si="4"/>
        <v>0</v>
      </c>
      <c r="J38" s="395" t="str">
        <f t="shared" si="6"/>
        <v/>
      </c>
    </row>
    <row r="39" spans="1:10">
      <c r="A39" s="19" t="s">
        <v>16</v>
      </c>
      <c r="B39" s="90"/>
      <c r="C39" s="426">
        <v>0</v>
      </c>
      <c r="D39" s="426">
        <v>0</v>
      </c>
      <c r="E39" s="426">
        <f t="shared" si="5"/>
        <v>0</v>
      </c>
      <c r="G39" s="426">
        <v>0</v>
      </c>
      <c r="H39" s="426">
        <f t="shared" si="4"/>
        <v>0</v>
      </c>
      <c r="J39" s="395" t="str">
        <f t="shared" si="6"/>
        <v/>
      </c>
    </row>
    <row r="40" spans="1:10">
      <c r="A40" s="21" t="s">
        <v>17</v>
      </c>
      <c r="B40" s="91"/>
      <c r="C40" s="427">
        <v>0</v>
      </c>
      <c r="D40" s="427">
        <v>0</v>
      </c>
      <c r="E40" s="427">
        <f t="shared" si="5"/>
        <v>0</v>
      </c>
      <c r="G40" s="427">
        <v>0</v>
      </c>
      <c r="H40" s="427">
        <f t="shared" si="4"/>
        <v>0</v>
      </c>
      <c r="J40" s="395" t="str">
        <f t="shared" si="6"/>
        <v/>
      </c>
    </row>
    <row r="41" spans="1:10">
      <c r="A41" s="19" t="s">
        <v>18</v>
      </c>
      <c r="B41" s="90"/>
      <c r="C41" s="426">
        <v>0</v>
      </c>
      <c r="D41" s="426">
        <v>0</v>
      </c>
      <c r="E41" s="426">
        <f t="shared" si="5"/>
        <v>0</v>
      </c>
      <c r="G41" s="426">
        <v>0</v>
      </c>
      <c r="H41" s="426">
        <f t="shared" si="4"/>
        <v>0</v>
      </c>
      <c r="J41" s="395" t="str">
        <f t="shared" si="6"/>
        <v/>
      </c>
    </row>
    <row r="42" spans="1:10">
      <c r="A42" s="21" t="s">
        <v>19</v>
      </c>
      <c r="B42" s="91"/>
      <c r="C42" s="427">
        <v>0</v>
      </c>
      <c r="D42" s="427">
        <v>0</v>
      </c>
      <c r="E42" s="427">
        <f t="shared" si="5"/>
        <v>0</v>
      </c>
      <c r="G42" s="427">
        <v>0</v>
      </c>
      <c r="H42" s="427">
        <f t="shared" si="4"/>
        <v>0</v>
      </c>
      <c r="J42" s="395" t="str">
        <f t="shared" si="6"/>
        <v/>
      </c>
    </row>
    <row r="43" spans="1:10">
      <c r="A43" s="19" t="s">
        <v>20</v>
      </c>
      <c r="B43" s="90"/>
      <c r="C43" s="426">
        <v>0</v>
      </c>
      <c r="D43" s="426">
        <v>0</v>
      </c>
      <c r="E43" s="426">
        <f t="shared" si="5"/>
        <v>0</v>
      </c>
      <c r="G43" s="426">
        <v>0</v>
      </c>
      <c r="H43" s="426">
        <f t="shared" si="4"/>
        <v>0</v>
      </c>
      <c r="J43" s="395" t="str">
        <f t="shared" si="6"/>
        <v/>
      </c>
    </row>
    <row r="44" spans="1:10">
      <c r="A44" s="21" t="s">
        <v>21</v>
      </c>
      <c r="B44" s="91"/>
      <c r="C44" s="427">
        <v>0</v>
      </c>
      <c r="D44" s="427">
        <v>0</v>
      </c>
      <c r="E44" s="427">
        <f t="shared" si="5"/>
        <v>0</v>
      </c>
      <c r="G44" s="427">
        <v>0</v>
      </c>
      <c r="H44" s="427">
        <f t="shared" si="4"/>
        <v>0</v>
      </c>
      <c r="J44" s="395" t="str">
        <f t="shared" si="6"/>
        <v/>
      </c>
    </row>
    <row r="45" spans="1:10">
      <c r="A45" s="19" t="s">
        <v>22</v>
      </c>
      <c r="B45" s="90"/>
      <c r="C45" s="426">
        <v>0</v>
      </c>
      <c r="D45" s="426">
        <v>0</v>
      </c>
      <c r="E45" s="426">
        <f t="shared" si="5"/>
        <v>0</v>
      </c>
      <c r="G45" s="426">
        <v>0</v>
      </c>
      <c r="H45" s="426">
        <f t="shared" si="4"/>
        <v>0</v>
      </c>
      <c r="J45" s="395" t="str">
        <f t="shared" si="6"/>
        <v/>
      </c>
    </row>
    <row r="46" spans="1:10">
      <c r="A46" s="21" t="s">
        <v>23</v>
      </c>
      <c r="B46" s="91"/>
      <c r="C46" s="427">
        <v>0</v>
      </c>
      <c r="D46" s="427">
        <v>0</v>
      </c>
      <c r="E46" s="427">
        <f t="shared" si="5"/>
        <v>0</v>
      </c>
      <c r="G46" s="427">
        <v>0</v>
      </c>
      <c r="H46" s="427">
        <f t="shared" si="4"/>
        <v>0</v>
      </c>
      <c r="J46" s="395" t="str">
        <f t="shared" si="6"/>
        <v/>
      </c>
    </row>
    <row r="47" spans="1:10">
      <c r="A47" s="19" t="s">
        <v>24</v>
      </c>
      <c r="B47" s="90"/>
      <c r="C47" s="426">
        <v>0</v>
      </c>
      <c r="D47" s="426">
        <v>0</v>
      </c>
      <c r="E47" s="426">
        <f t="shared" si="5"/>
        <v>0</v>
      </c>
      <c r="G47" s="426">
        <v>0</v>
      </c>
      <c r="H47" s="426">
        <f t="shared" si="4"/>
        <v>0</v>
      </c>
      <c r="J47" s="395" t="str">
        <f t="shared" si="6"/>
        <v/>
      </c>
    </row>
    <row r="48" spans="1:10">
      <c r="A48" s="21" t="s">
        <v>25</v>
      </c>
      <c r="B48" s="91"/>
      <c r="C48" s="427">
        <v>0</v>
      </c>
      <c r="D48" s="427">
        <v>0</v>
      </c>
      <c r="E48" s="427">
        <f t="shared" si="5"/>
        <v>0</v>
      </c>
      <c r="G48" s="427">
        <v>0</v>
      </c>
      <c r="H48" s="427">
        <f t="shared" si="4"/>
        <v>0</v>
      </c>
      <c r="J48" s="395" t="str">
        <f t="shared" si="6"/>
        <v/>
      </c>
    </row>
    <row r="49" spans="1:10">
      <c r="A49" s="19" t="s">
        <v>26</v>
      </c>
      <c r="B49" s="90"/>
      <c r="C49" s="426">
        <v>0</v>
      </c>
      <c r="D49" s="426">
        <v>0</v>
      </c>
      <c r="E49" s="426">
        <f t="shared" si="5"/>
        <v>0</v>
      </c>
      <c r="G49" s="426">
        <v>0</v>
      </c>
      <c r="H49" s="426">
        <f t="shared" si="4"/>
        <v>0</v>
      </c>
      <c r="J49" s="395" t="str">
        <f t="shared" si="6"/>
        <v/>
      </c>
    </row>
    <row r="50" spans="1:10">
      <c r="A50" s="21" t="s">
        <v>27</v>
      </c>
      <c r="B50" s="91"/>
      <c r="C50" s="427">
        <v>0</v>
      </c>
      <c r="D50" s="427">
        <v>0</v>
      </c>
      <c r="E50" s="427">
        <f t="shared" si="5"/>
        <v>0</v>
      </c>
      <c r="G50" s="427">
        <v>0</v>
      </c>
      <c r="H50" s="427">
        <f t="shared" si="4"/>
        <v>0</v>
      </c>
      <c r="J50" s="395" t="str">
        <f t="shared" si="6"/>
        <v/>
      </c>
    </row>
    <row r="51" spans="1:10">
      <c r="A51" s="19" t="s">
        <v>28</v>
      </c>
      <c r="B51" s="90"/>
      <c r="C51" s="426">
        <v>0</v>
      </c>
      <c r="D51" s="426">
        <v>0</v>
      </c>
      <c r="E51" s="426">
        <f t="shared" si="5"/>
        <v>0</v>
      </c>
      <c r="G51" s="426">
        <v>0</v>
      </c>
      <c r="H51" s="426">
        <f t="shared" si="4"/>
        <v>0</v>
      </c>
      <c r="J51" s="395" t="str">
        <f t="shared" si="6"/>
        <v/>
      </c>
    </row>
    <row r="52" spans="1:10">
      <c r="A52" s="21" t="s">
        <v>29</v>
      </c>
      <c r="B52" s="91"/>
      <c r="C52" s="427">
        <v>0</v>
      </c>
      <c r="D52" s="427">
        <v>0</v>
      </c>
      <c r="E52" s="427">
        <f t="shared" si="5"/>
        <v>0</v>
      </c>
      <c r="G52" s="427">
        <v>0</v>
      </c>
      <c r="H52" s="427">
        <f t="shared" si="4"/>
        <v>0</v>
      </c>
      <c r="J52" s="395" t="str">
        <f t="shared" si="6"/>
        <v/>
      </c>
    </row>
    <row r="53" spans="1:10">
      <c r="A53" s="19" t="s">
        <v>30</v>
      </c>
      <c r="B53" s="90"/>
      <c r="C53" s="426">
        <v>0</v>
      </c>
      <c r="D53" s="426">
        <v>0</v>
      </c>
      <c r="E53" s="426">
        <f t="shared" si="5"/>
        <v>0</v>
      </c>
      <c r="G53" s="426">
        <v>0</v>
      </c>
      <c r="H53" s="426">
        <f t="shared" si="4"/>
        <v>0</v>
      </c>
      <c r="J53" s="395" t="str">
        <f t="shared" si="6"/>
        <v/>
      </c>
    </row>
    <row r="54" spans="1:10">
      <c r="A54" s="18"/>
      <c r="B54" s="18"/>
      <c r="C54" s="161"/>
      <c r="D54" s="161"/>
      <c r="E54" s="161"/>
      <c r="G54" s="161"/>
      <c r="H54" s="161"/>
      <c r="J54" s="171"/>
    </row>
    <row r="55" spans="1:10">
      <c r="A55" s="92" t="s">
        <v>198</v>
      </c>
      <c r="B55" s="92"/>
      <c r="C55" s="162">
        <f t="shared" ref="C55:E55" si="7">SUM(C33:C53)</f>
        <v>0</v>
      </c>
      <c r="D55" s="162">
        <f t="shared" si="7"/>
        <v>0</v>
      </c>
      <c r="E55" s="162">
        <f t="shared" si="7"/>
        <v>0</v>
      </c>
      <c r="G55" s="162">
        <f>SUM(G33:G53)</f>
        <v>0</v>
      </c>
      <c r="H55" s="162">
        <f>SUM(H33:H53)</f>
        <v>0</v>
      </c>
      <c r="J55" s="162"/>
    </row>
    <row r="58" spans="1:10" ht="25" customHeight="1">
      <c r="A58" s="122" t="s">
        <v>599</v>
      </c>
      <c r="B58" s="79"/>
      <c r="C58" s="515" t="s">
        <v>633</v>
      </c>
      <c r="D58" s="517" t="s">
        <v>605</v>
      </c>
      <c r="E58" s="515" t="s">
        <v>604</v>
      </c>
    </row>
    <row r="59" spans="1:10" ht="17" thickBot="1">
      <c r="A59" s="82" t="s">
        <v>5</v>
      </c>
      <c r="B59" s="83" t="s">
        <v>88</v>
      </c>
      <c r="C59" s="516"/>
      <c r="D59" s="518"/>
      <c r="E59" s="516"/>
    </row>
    <row r="60" spans="1:10">
      <c r="A60" s="338" t="s">
        <v>10</v>
      </c>
      <c r="B60" s="90"/>
      <c r="C60" s="426">
        <f>K6</f>
        <v>0</v>
      </c>
      <c r="D60" s="156">
        <f>Empleo!K6</f>
        <v>0</v>
      </c>
      <c r="E60" s="156" t="str">
        <f t="shared" ref="E60:E80" si="8">IFERROR(C60*1000000/D60,"")</f>
        <v/>
      </c>
    </row>
    <row r="61" spans="1:10">
      <c r="A61" s="339" t="s">
        <v>11</v>
      </c>
      <c r="B61" s="91"/>
      <c r="C61" s="427">
        <f t="shared" ref="C61:C80" si="9">K7</f>
        <v>0</v>
      </c>
      <c r="D61" s="159">
        <f>Empleo!K7</f>
        <v>0</v>
      </c>
      <c r="E61" s="156" t="str">
        <f t="shared" si="8"/>
        <v/>
      </c>
    </row>
    <row r="62" spans="1:10">
      <c r="A62" s="338" t="s">
        <v>12</v>
      </c>
      <c r="B62" s="90"/>
      <c r="C62" s="426">
        <f t="shared" si="9"/>
        <v>0</v>
      </c>
      <c r="D62" s="156">
        <f>Empleo!K8</f>
        <v>0</v>
      </c>
      <c r="E62" s="156" t="str">
        <f t="shared" si="8"/>
        <v/>
      </c>
    </row>
    <row r="63" spans="1:10" ht="17" customHeight="1">
      <c r="A63" s="339" t="s">
        <v>13</v>
      </c>
      <c r="B63" s="91"/>
      <c r="C63" s="427">
        <f t="shared" si="9"/>
        <v>0</v>
      </c>
      <c r="D63" s="159">
        <f>Empleo!K9</f>
        <v>0</v>
      </c>
      <c r="E63" s="156" t="str">
        <f t="shared" si="8"/>
        <v/>
      </c>
    </row>
    <row r="64" spans="1:10">
      <c r="A64" s="338" t="s">
        <v>14</v>
      </c>
      <c r="B64" s="90"/>
      <c r="C64" s="426">
        <f t="shared" si="9"/>
        <v>0</v>
      </c>
      <c r="D64" s="156">
        <f>Empleo!K10</f>
        <v>0</v>
      </c>
      <c r="E64" s="156" t="str">
        <f t="shared" si="8"/>
        <v/>
      </c>
    </row>
    <row r="65" spans="1:5">
      <c r="A65" s="339" t="s">
        <v>15</v>
      </c>
      <c r="B65" s="91"/>
      <c r="C65" s="427">
        <f t="shared" si="9"/>
        <v>0</v>
      </c>
      <c r="D65" s="159">
        <f>Empleo!K11</f>
        <v>0</v>
      </c>
      <c r="E65" s="156" t="str">
        <f t="shared" si="8"/>
        <v/>
      </c>
    </row>
    <row r="66" spans="1:5">
      <c r="A66" s="338" t="s">
        <v>16</v>
      </c>
      <c r="B66" s="90"/>
      <c r="C66" s="426">
        <f t="shared" si="9"/>
        <v>0</v>
      </c>
      <c r="D66" s="156">
        <f>Empleo!K12</f>
        <v>0</v>
      </c>
      <c r="E66" s="156" t="str">
        <f t="shared" si="8"/>
        <v/>
      </c>
    </row>
    <row r="67" spans="1:5">
      <c r="A67" s="339" t="s">
        <v>17</v>
      </c>
      <c r="B67" s="91"/>
      <c r="C67" s="427">
        <f t="shared" si="9"/>
        <v>0</v>
      </c>
      <c r="D67" s="159">
        <f>Empleo!K13</f>
        <v>0</v>
      </c>
      <c r="E67" s="156" t="str">
        <f t="shared" si="8"/>
        <v/>
      </c>
    </row>
    <row r="68" spans="1:5">
      <c r="A68" s="338" t="s">
        <v>18</v>
      </c>
      <c r="B68" s="90"/>
      <c r="C68" s="426">
        <f t="shared" si="9"/>
        <v>0</v>
      </c>
      <c r="D68" s="156">
        <f>Empleo!K14</f>
        <v>0</v>
      </c>
      <c r="E68" s="156" t="str">
        <f t="shared" si="8"/>
        <v/>
      </c>
    </row>
    <row r="69" spans="1:5">
      <c r="A69" s="339" t="s">
        <v>19</v>
      </c>
      <c r="B69" s="91"/>
      <c r="C69" s="427">
        <f t="shared" si="9"/>
        <v>0</v>
      </c>
      <c r="D69" s="159">
        <f>Empleo!K15</f>
        <v>0</v>
      </c>
      <c r="E69" s="156" t="str">
        <f t="shared" si="8"/>
        <v/>
      </c>
    </row>
    <row r="70" spans="1:5">
      <c r="A70" s="338" t="s">
        <v>20</v>
      </c>
      <c r="B70" s="90"/>
      <c r="C70" s="426">
        <f t="shared" si="9"/>
        <v>0</v>
      </c>
      <c r="D70" s="156">
        <f>Empleo!K16</f>
        <v>0</v>
      </c>
      <c r="E70" s="156" t="str">
        <f t="shared" si="8"/>
        <v/>
      </c>
    </row>
    <row r="71" spans="1:5">
      <c r="A71" s="339" t="s">
        <v>21</v>
      </c>
      <c r="B71" s="91"/>
      <c r="C71" s="427">
        <f t="shared" si="9"/>
        <v>0</v>
      </c>
      <c r="D71" s="159">
        <f>Empleo!K17</f>
        <v>0</v>
      </c>
      <c r="E71" s="156" t="str">
        <f t="shared" si="8"/>
        <v/>
      </c>
    </row>
    <row r="72" spans="1:5">
      <c r="A72" s="338" t="s">
        <v>22</v>
      </c>
      <c r="B72" s="90"/>
      <c r="C72" s="426">
        <f t="shared" si="9"/>
        <v>0</v>
      </c>
      <c r="D72" s="156">
        <f>Empleo!K18</f>
        <v>0</v>
      </c>
      <c r="E72" s="156" t="str">
        <f t="shared" si="8"/>
        <v/>
      </c>
    </row>
    <row r="73" spans="1:5">
      <c r="A73" s="339" t="s">
        <v>23</v>
      </c>
      <c r="B73" s="91"/>
      <c r="C73" s="427">
        <f t="shared" si="9"/>
        <v>0</v>
      </c>
      <c r="D73" s="159">
        <f>Empleo!K19</f>
        <v>0</v>
      </c>
      <c r="E73" s="156" t="str">
        <f t="shared" si="8"/>
        <v/>
      </c>
    </row>
    <row r="74" spans="1:5">
      <c r="A74" s="338" t="s">
        <v>24</v>
      </c>
      <c r="B74" s="90"/>
      <c r="C74" s="426">
        <f t="shared" si="9"/>
        <v>0</v>
      </c>
      <c r="D74" s="156">
        <f>Empleo!K20</f>
        <v>0</v>
      </c>
      <c r="E74" s="156" t="str">
        <f t="shared" si="8"/>
        <v/>
      </c>
    </row>
    <row r="75" spans="1:5">
      <c r="A75" s="339" t="s">
        <v>25</v>
      </c>
      <c r="B75" s="91"/>
      <c r="C75" s="427">
        <f t="shared" si="9"/>
        <v>0</v>
      </c>
      <c r="D75" s="159">
        <f>Empleo!K21</f>
        <v>0</v>
      </c>
      <c r="E75" s="156" t="str">
        <f t="shared" si="8"/>
        <v/>
      </c>
    </row>
    <row r="76" spans="1:5">
      <c r="A76" s="338" t="s">
        <v>26</v>
      </c>
      <c r="B76" s="90"/>
      <c r="C76" s="426">
        <f t="shared" si="9"/>
        <v>0</v>
      </c>
      <c r="D76" s="156">
        <f>Empleo!K22</f>
        <v>0</v>
      </c>
      <c r="E76" s="156" t="str">
        <f t="shared" si="8"/>
        <v/>
      </c>
    </row>
    <row r="77" spans="1:5">
      <c r="A77" s="339" t="s">
        <v>27</v>
      </c>
      <c r="B77" s="91"/>
      <c r="C77" s="427">
        <f t="shared" si="9"/>
        <v>0</v>
      </c>
      <c r="D77" s="159">
        <f>Empleo!K23</f>
        <v>0</v>
      </c>
      <c r="E77" s="156" t="str">
        <f t="shared" si="8"/>
        <v/>
      </c>
    </row>
    <row r="78" spans="1:5">
      <c r="A78" s="338" t="s">
        <v>28</v>
      </c>
      <c r="B78" s="90"/>
      <c r="C78" s="426">
        <f t="shared" si="9"/>
        <v>0</v>
      </c>
      <c r="D78" s="156">
        <f>Empleo!K24</f>
        <v>0</v>
      </c>
      <c r="E78" s="156" t="str">
        <f t="shared" si="8"/>
        <v/>
      </c>
    </row>
    <row r="79" spans="1:5">
      <c r="A79" s="339" t="s">
        <v>29</v>
      </c>
      <c r="B79" s="91"/>
      <c r="C79" s="427">
        <f t="shared" si="9"/>
        <v>0</v>
      </c>
      <c r="D79" s="159">
        <f>Empleo!K25</f>
        <v>0</v>
      </c>
      <c r="E79" s="156" t="str">
        <f t="shared" si="8"/>
        <v/>
      </c>
    </row>
    <row r="80" spans="1:5">
      <c r="A80" s="338" t="s">
        <v>30</v>
      </c>
      <c r="B80" s="90"/>
      <c r="C80" s="426">
        <f t="shared" si="9"/>
        <v>0</v>
      </c>
      <c r="D80" s="156">
        <f>Empleo!K26</f>
        <v>0</v>
      </c>
      <c r="E80" s="156" t="str">
        <f t="shared" si="8"/>
        <v/>
      </c>
    </row>
    <row r="81" spans="1:6">
      <c r="A81" s="18"/>
      <c r="B81" s="18"/>
      <c r="C81" s="161"/>
      <c r="D81" s="161"/>
      <c r="E81" s="161"/>
    </row>
    <row r="82" spans="1:6">
      <c r="A82" s="92" t="s">
        <v>198</v>
      </c>
      <c r="B82" s="92"/>
      <c r="C82" s="162">
        <f t="shared" ref="C82:D82" si="10">SUM(C60:C80)</f>
        <v>0</v>
      </c>
      <c r="D82" s="162">
        <f t="shared" si="10"/>
        <v>0</v>
      </c>
      <c r="E82" s="162" t="str">
        <f>IFERROR(C82*1000000/D82,"")</f>
        <v/>
      </c>
      <c r="F82" s="162" t="s">
        <v>606</v>
      </c>
    </row>
  </sheetData>
  <mergeCells count="6">
    <mergeCell ref="A1:L1"/>
    <mergeCell ref="C31:E31"/>
    <mergeCell ref="G31:H31"/>
    <mergeCell ref="E58:E59"/>
    <mergeCell ref="C58:C59"/>
    <mergeCell ref="D58:D59"/>
  </mergeCells>
  <conditionalFormatting sqref="K6:K26">
    <cfRule type="dataBar" priority="42">
      <dataBar>
        <cfvo type="min"/>
        <cfvo type="max"/>
        <color rgb="FF638EC6"/>
      </dataBar>
    </cfRule>
  </conditionalFormatting>
  <conditionalFormatting sqref="E60:E80"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3:J53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{98F2EF09-539D-F84C-B623-57716FDBE4E6}</x14:id>
        </ext>
      </extLst>
    </cfRule>
  </conditionalFormatting>
  <conditionalFormatting sqref="A1:L1">
    <cfRule type="expression" dxfId="27" priority="32">
      <formula>"suma(DeltaF21c)&gt;0"</formula>
    </cfRule>
  </conditionalFormatting>
  <conditionalFormatting sqref="C6:C26">
    <cfRule type="cellIs" dxfId="26" priority="29" stopIfTrue="1" operator="equal">
      <formula>0</formula>
    </cfRule>
  </conditionalFormatting>
  <conditionalFormatting sqref="C6:C26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25" priority="27" stopIfTrue="1" operator="equal">
      <formula>0</formula>
    </cfRule>
  </conditionalFormatting>
  <conditionalFormatting sqref="D6:D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24" priority="25" stopIfTrue="1" operator="equal">
      <formula>0</formula>
    </cfRule>
  </conditionalFormatting>
  <conditionalFormatting sqref="E6:E26">
    <cfRule type="colorScale" priority="2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dataBar" priority="22">
      <dataBar>
        <cfvo type="min"/>
        <cfvo type="max"/>
        <color rgb="FF638EC6"/>
      </dataBar>
    </cfRule>
  </conditionalFormatting>
  <conditionalFormatting sqref="I6:I26">
    <cfRule type="dataBar" priority="21">
      <dataBar>
        <cfvo type="min"/>
        <cfvo type="max"/>
        <color rgb="FF638EC6"/>
      </dataBar>
    </cfRule>
  </conditionalFormatting>
  <conditionalFormatting sqref="G6:G26">
    <cfRule type="cellIs" dxfId="23" priority="19" stopIfTrue="1" operator="equal">
      <formula>0</formula>
    </cfRule>
  </conditionalFormatting>
  <conditionalFormatting sqref="G6:G2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22" priority="17" stopIfTrue="1" operator="equal">
      <formula>0</formula>
    </cfRule>
  </conditionalFormatting>
  <conditionalFormatting sqref="H6:H2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6:J26">
    <cfRule type="cellIs" dxfId="21" priority="15" stopIfTrue="1" operator="equal">
      <formula>0</formula>
    </cfRule>
  </conditionalFormatting>
  <conditionalFormatting sqref="J6:J26"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33:C53">
    <cfRule type="cellIs" dxfId="20" priority="13" stopIfTrue="1" operator="equal">
      <formula>0</formula>
    </cfRule>
  </conditionalFormatting>
  <conditionalFormatting sqref="C33:C53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33:D53">
    <cfRule type="cellIs" dxfId="19" priority="11" stopIfTrue="1" operator="equal">
      <formula>0</formula>
    </cfRule>
  </conditionalFormatting>
  <conditionalFormatting sqref="D33:D53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3:E53">
    <cfRule type="cellIs" dxfId="18" priority="9" stopIfTrue="1" operator="equal">
      <formula>0</formula>
    </cfRule>
  </conditionalFormatting>
  <conditionalFormatting sqref="E33:E5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33:G53">
    <cfRule type="cellIs" dxfId="17" priority="7" stopIfTrue="1" operator="equal">
      <formula>0</formula>
    </cfRule>
  </conditionalFormatting>
  <conditionalFormatting sqref="G33:G53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33:H53">
    <cfRule type="cellIs" dxfId="16" priority="5" stopIfTrue="1" operator="equal">
      <formula>0</formula>
    </cfRule>
  </conditionalFormatting>
  <conditionalFormatting sqref="H33:H53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60:C80">
    <cfRule type="cellIs" dxfId="15" priority="3" stopIfTrue="1" operator="equal">
      <formula>0</formula>
    </cfRule>
  </conditionalFormatting>
  <conditionalFormatting sqref="C60:C8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0:D80">
    <cfRule type="cellIs" dxfId="14" priority="1" stopIfTrue="1" operator="equal">
      <formula>0</formula>
    </cfRule>
  </conditionalFormatting>
  <conditionalFormatting sqref="D60:D80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F2EF09-539D-F84C-B623-57716FDBE4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J33:J53</xm:sqref>
        </x14:conditionalFormatting>
        <x14:conditionalFormatting xmlns:xm="http://schemas.microsoft.com/office/excel/2006/main">
          <x14:cfRule type="expression" priority="31" id="{FA0B8CC3-B46A-2545-BADA-E3584849EDCE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27AE60"/>
  </sheetPr>
  <dimension ref="A1:X28"/>
  <sheetViews>
    <sheetView showGridLines="0" zoomScale="130" zoomScaleNormal="130" workbookViewId="0">
      <pane xSplit="2" ySplit="5" topLeftCell="C6" activePane="bottomRight" state="frozen"/>
      <selection pane="topRight"/>
      <selection pane="bottomLeft"/>
      <selection pane="bottomRight" activeCell="G7" sqref="G7"/>
    </sheetView>
  </sheetViews>
  <sheetFormatPr baseColWidth="10" defaultRowHeight="16"/>
  <cols>
    <col min="1" max="1" width="28.6640625" customWidth="1"/>
    <col min="2" max="2" width="6" hidden="1" customWidth="1"/>
    <col min="3" max="10" width="12" customWidth="1"/>
    <col min="11" max="11" width="13" customWidth="1"/>
    <col min="12" max="12" width="11" customWidth="1"/>
    <col min="13" max="17" width="10.1640625" customWidth="1"/>
    <col min="18" max="18" width="17.83203125" customWidth="1"/>
    <col min="19" max="23" width="9.83203125" customWidth="1"/>
    <col min="24" max="24" width="14.83203125" customWidth="1"/>
    <col min="25" max="29" width="11.1640625" customWidth="1"/>
  </cols>
  <sheetData>
    <row r="1" spans="1:24" ht="26" customHeight="1">
      <c r="A1" s="505" t="str">
        <f>IF(SUM(DeltaF21c)=0,"Efectos sobre el Valor Agregado","Diferencias entre los proyectos en Valor Agregado")&amp;" — Paraguay"</f>
        <v>Efectos sobre el Valor Agregado — Paraguay</v>
      </c>
      <c r="B1" s="505"/>
      <c r="C1" s="505"/>
      <c r="D1" s="505"/>
      <c r="E1" s="505"/>
      <c r="F1" s="505"/>
      <c r="G1" s="505"/>
      <c r="H1" s="505"/>
      <c r="I1" s="505"/>
      <c r="J1" s="505"/>
      <c r="K1" s="505"/>
      <c r="L1" s="505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ht="19" customHeight="1">
      <c r="A2" s="316" t="s">
        <v>609</v>
      </c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 spans="1:24" ht="20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 spans="1:24" ht="20" customHeight="1">
      <c r="A4" s="122" t="s">
        <v>610</v>
      </c>
      <c r="B4" s="79"/>
      <c r="C4" s="80" t="s">
        <v>144</v>
      </c>
      <c r="D4" s="318" t="s">
        <v>191</v>
      </c>
      <c r="G4" s="317" t="s">
        <v>192</v>
      </c>
      <c r="J4" s="241" t="s">
        <v>193</v>
      </c>
      <c r="K4" s="81" t="s">
        <v>194</v>
      </c>
      <c r="L4" s="81" t="s">
        <v>195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 spans="1:24" ht="20" customHeight="1" thickBot="1">
      <c r="A5" s="82" t="s">
        <v>5</v>
      </c>
      <c r="B5" s="83" t="s">
        <v>88</v>
      </c>
      <c r="C5" s="84"/>
      <c r="D5" s="85" t="s">
        <v>196</v>
      </c>
      <c r="E5" s="86" t="s">
        <v>197</v>
      </c>
      <c r="F5" s="87" t="s">
        <v>31</v>
      </c>
      <c r="G5" s="88" t="s">
        <v>196</v>
      </c>
      <c r="H5" s="86" t="s">
        <v>197</v>
      </c>
      <c r="I5" s="89" t="s">
        <v>31</v>
      </c>
      <c r="J5" s="242"/>
      <c r="K5" s="84"/>
      <c r="L5" s="84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 spans="1:24" ht="14" customHeight="1">
      <c r="A6" s="19" t="s">
        <v>10</v>
      </c>
      <c r="B6" s="90" t="s">
        <v>96</v>
      </c>
      <c r="C6" s="156" cm="1">
        <f t="array" ref="C6:C26">EInicial_21*TRANSPOSE(ValorAgregado21/VBP_21)</f>
        <v>0</v>
      </c>
      <c r="D6" s="156" cm="1">
        <f t="array" ref="D6:D26">EDirecto_21*TRANSPOSE(ValorAgregado21/VBP_21)</f>
        <v>0</v>
      </c>
      <c r="E6" s="156" cm="1">
        <f t="array" ref="E6:E26">EIDirecto_21*TRANSPOSE(ValorAgregado21/VBP_21)</f>
        <v>0</v>
      </c>
      <c r="F6" s="165">
        <f t="shared" ref="F6:F26" si="0">E6+D6</f>
        <v>0</v>
      </c>
      <c r="G6" s="156" cm="1">
        <f t="array" ref="G6:G26">EIndirecto21*TRANSPOSE(ValorAgregado21/VBP_21)</f>
        <v>0</v>
      </c>
      <c r="H6" s="156" cm="1">
        <f t="array" ref="H6:H26">EIIndirecto_21*TRANSPOSE(ValorAgregado21/VBP_21)</f>
        <v>0</v>
      </c>
      <c r="I6" s="165">
        <f t="shared" ref="I6:I26" si="1">G6+H6</f>
        <v>0</v>
      </c>
      <c r="J6" s="156" cm="1">
        <f t="array" ref="J6:J26">EInducido21*TRANSPOSE(ValorAgregado21/VBP_21)</f>
        <v>0</v>
      </c>
      <c r="K6" s="165">
        <f t="shared" ref="K6:K26" si="2">J6+I6+F6+C6</f>
        <v>0</v>
      </c>
      <c r="L6" s="186" cm="1">
        <f t="array" ref="L6:L26">K6:K26/TRANSPOSE(ValorAgregado21)</f>
        <v>0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 spans="1:24" ht="14" customHeight="1">
      <c r="A7" s="21" t="s">
        <v>11</v>
      </c>
      <c r="B7" s="91" t="s">
        <v>97</v>
      </c>
      <c r="C7" s="159">
        <v>0</v>
      </c>
      <c r="D7" s="159">
        <v>0</v>
      </c>
      <c r="E7" s="159">
        <v>0</v>
      </c>
      <c r="F7" s="166">
        <f t="shared" si="0"/>
        <v>0</v>
      </c>
      <c r="G7" s="159">
        <v>0</v>
      </c>
      <c r="H7" s="159">
        <v>0</v>
      </c>
      <c r="I7" s="166">
        <f t="shared" si="1"/>
        <v>0</v>
      </c>
      <c r="J7" s="159">
        <v>0</v>
      </c>
      <c r="K7" s="166">
        <f t="shared" si="2"/>
        <v>0</v>
      </c>
      <c r="L7" s="187">
        <v>0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1:24" ht="14" customHeight="1">
      <c r="A8" s="19" t="s">
        <v>12</v>
      </c>
      <c r="B8" s="90" t="s">
        <v>98</v>
      </c>
      <c r="C8" s="156">
        <v>0</v>
      </c>
      <c r="D8" s="156">
        <v>0</v>
      </c>
      <c r="E8" s="156">
        <v>0</v>
      </c>
      <c r="F8" s="165">
        <f t="shared" si="0"/>
        <v>0</v>
      </c>
      <c r="G8" s="156">
        <v>0</v>
      </c>
      <c r="H8" s="156">
        <v>0</v>
      </c>
      <c r="I8" s="165">
        <f t="shared" si="1"/>
        <v>0</v>
      </c>
      <c r="J8" s="156">
        <v>0</v>
      </c>
      <c r="K8" s="165">
        <f t="shared" si="2"/>
        <v>0</v>
      </c>
      <c r="L8" s="187">
        <v>0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1:24" ht="14" customHeight="1">
      <c r="A9" s="21" t="s">
        <v>13</v>
      </c>
      <c r="B9" s="91" t="s">
        <v>99</v>
      </c>
      <c r="C9" s="159">
        <v>0</v>
      </c>
      <c r="D9" s="159">
        <v>0</v>
      </c>
      <c r="E9" s="159">
        <v>0</v>
      </c>
      <c r="F9" s="166">
        <f t="shared" si="0"/>
        <v>0</v>
      </c>
      <c r="G9" s="159">
        <v>0</v>
      </c>
      <c r="H9" s="159">
        <v>0</v>
      </c>
      <c r="I9" s="166">
        <f t="shared" si="1"/>
        <v>0</v>
      </c>
      <c r="J9" s="159">
        <v>0</v>
      </c>
      <c r="K9" s="166">
        <f t="shared" si="2"/>
        <v>0</v>
      </c>
      <c r="L9" s="187">
        <v>0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1:24" ht="14" customHeight="1">
      <c r="A10" s="19" t="s">
        <v>14</v>
      </c>
      <c r="B10" s="90" t="s">
        <v>100</v>
      </c>
      <c r="C10" s="156">
        <v>0</v>
      </c>
      <c r="D10" s="156">
        <v>0</v>
      </c>
      <c r="E10" s="156">
        <v>0</v>
      </c>
      <c r="F10" s="165">
        <f t="shared" si="0"/>
        <v>0</v>
      </c>
      <c r="G10" s="156">
        <v>0</v>
      </c>
      <c r="H10" s="156">
        <v>0</v>
      </c>
      <c r="I10" s="165">
        <f t="shared" si="1"/>
        <v>0</v>
      </c>
      <c r="J10" s="156">
        <v>0</v>
      </c>
      <c r="K10" s="165">
        <f t="shared" si="2"/>
        <v>0</v>
      </c>
      <c r="L10" s="186">
        <v>0</v>
      </c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1:24" ht="14" customHeight="1">
      <c r="A11" s="21" t="s">
        <v>15</v>
      </c>
      <c r="B11" s="91" t="s">
        <v>101</v>
      </c>
      <c r="C11" s="159">
        <v>0</v>
      </c>
      <c r="D11" s="159">
        <v>0</v>
      </c>
      <c r="E11" s="159">
        <v>0</v>
      </c>
      <c r="F11" s="166">
        <f t="shared" si="0"/>
        <v>0</v>
      </c>
      <c r="G11" s="159">
        <v>0</v>
      </c>
      <c r="H11" s="159">
        <v>0</v>
      </c>
      <c r="I11" s="166">
        <f t="shared" si="1"/>
        <v>0</v>
      </c>
      <c r="J11" s="159">
        <v>0</v>
      </c>
      <c r="K11" s="166">
        <f t="shared" si="2"/>
        <v>0</v>
      </c>
      <c r="L11" s="187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1:24" ht="14" customHeight="1">
      <c r="A12" s="19" t="s">
        <v>16</v>
      </c>
      <c r="B12" s="90" t="s">
        <v>102</v>
      </c>
      <c r="C12" s="156">
        <v>0</v>
      </c>
      <c r="D12" s="156">
        <v>0</v>
      </c>
      <c r="E12" s="156">
        <v>0</v>
      </c>
      <c r="F12" s="165">
        <f t="shared" si="0"/>
        <v>0</v>
      </c>
      <c r="G12" s="156">
        <v>0</v>
      </c>
      <c r="H12" s="156">
        <v>0</v>
      </c>
      <c r="I12" s="165">
        <f t="shared" si="1"/>
        <v>0</v>
      </c>
      <c r="J12" s="156">
        <v>0</v>
      </c>
      <c r="K12" s="165">
        <f t="shared" si="2"/>
        <v>0</v>
      </c>
      <c r="L12" s="186">
        <v>0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1:24" ht="14" customHeight="1">
      <c r="A13" s="21" t="s">
        <v>17</v>
      </c>
      <c r="B13" s="91" t="s">
        <v>103</v>
      </c>
      <c r="C13" s="159">
        <v>0</v>
      </c>
      <c r="D13" s="159">
        <v>0</v>
      </c>
      <c r="E13" s="159">
        <v>0</v>
      </c>
      <c r="F13" s="166">
        <f t="shared" si="0"/>
        <v>0</v>
      </c>
      <c r="G13" s="159">
        <v>0</v>
      </c>
      <c r="H13" s="159">
        <v>0</v>
      </c>
      <c r="I13" s="166">
        <f t="shared" si="1"/>
        <v>0</v>
      </c>
      <c r="J13" s="159">
        <v>0</v>
      </c>
      <c r="K13" s="166">
        <f t="shared" si="2"/>
        <v>0</v>
      </c>
      <c r="L13" s="187">
        <v>0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1:24" ht="14" customHeight="1">
      <c r="A14" s="19" t="s">
        <v>18</v>
      </c>
      <c r="B14" s="90" t="s">
        <v>104</v>
      </c>
      <c r="C14" s="156">
        <v>0</v>
      </c>
      <c r="D14" s="156">
        <v>0</v>
      </c>
      <c r="E14" s="156">
        <v>0</v>
      </c>
      <c r="F14" s="165">
        <f t="shared" si="0"/>
        <v>0</v>
      </c>
      <c r="G14" s="156">
        <v>0</v>
      </c>
      <c r="H14" s="156">
        <v>0</v>
      </c>
      <c r="I14" s="165">
        <f t="shared" si="1"/>
        <v>0</v>
      </c>
      <c r="J14" s="156">
        <v>0</v>
      </c>
      <c r="K14" s="165">
        <f t="shared" si="2"/>
        <v>0</v>
      </c>
      <c r="L14" s="186">
        <v>0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1:24" ht="14" customHeight="1">
      <c r="A15" s="21" t="s">
        <v>19</v>
      </c>
      <c r="B15" s="91" t="s">
        <v>105</v>
      </c>
      <c r="C15" s="159">
        <v>0</v>
      </c>
      <c r="D15" s="159">
        <v>0</v>
      </c>
      <c r="E15" s="159">
        <v>0</v>
      </c>
      <c r="F15" s="166">
        <f t="shared" si="0"/>
        <v>0</v>
      </c>
      <c r="G15" s="159">
        <v>0</v>
      </c>
      <c r="H15" s="159">
        <v>0</v>
      </c>
      <c r="I15" s="166">
        <f t="shared" si="1"/>
        <v>0</v>
      </c>
      <c r="J15" s="159">
        <v>0</v>
      </c>
      <c r="K15" s="166">
        <f t="shared" si="2"/>
        <v>0</v>
      </c>
      <c r="L15" s="187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1:24" ht="14" customHeight="1">
      <c r="A16" s="19" t="s">
        <v>20</v>
      </c>
      <c r="B16" s="90" t="s">
        <v>106</v>
      </c>
      <c r="C16" s="156">
        <v>0</v>
      </c>
      <c r="D16" s="156">
        <v>0</v>
      </c>
      <c r="E16" s="156">
        <v>0</v>
      </c>
      <c r="F16" s="165">
        <f t="shared" si="0"/>
        <v>0</v>
      </c>
      <c r="G16" s="156">
        <v>0</v>
      </c>
      <c r="H16" s="156">
        <v>0</v>
      </c>
      <c r="I16" s="165">
        <f t="shared" si="1"/>
        <v>0</v>
      </c>
      <c r="J16" s="156">
        <v>0</v>
      </c>
      <c r="K16" s="165">
        <f t="shared" si="2"/>
        <v>0</v>
      </c>
      <c r="L16" s="186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1:24" ht="14" customHeight="1">
      <c r="A17" s="21" t="s">
        <v>21</v>
      </c>
      <c r="B17" s="91" t="s">
        <v>107</v>
      </c>
      <c r="C17" s="159">
        <v>0</v>
      </c>
      <c r="D17" s="159">
        <v>0</v>
      </c>
      <c r="E17" s="159">
        <v>0</v>
      </c>
      <c r="F17" s="166">
        <f t="shared" si="0"/>
        <v>0</v>
      </c>
      <c r="G17" s="159">
        <v>0</v>
      </c>
      <c r="H17" s="159">
        <v>0</v>
      </c>
      <c r="I17" s="166">
        <f t="shared" si="1"/>
        <v>0</v>
      </c>
      <c r="J17" s="159">
        <v>0</v>
      </c>
      <c r="K17" s="166">
        <f t="shared" si="2"/>
        <v>0</v>
      </c>
      <c r="L17" s="187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1:24" ht="14" customHeight="1">
      <c r="A18" s="19" t="s">
        <v>22</v>
      </c>
      <c r="B18" s="90" t="s">
        <v>108</v>
      </c>
      <c r="C18" s="156">
        <v>0</v>
      </c>
      <c r="D18" s="156">
        <v>0</v>
      </c>
      <c r="E18" s="156">
        <v>0</v>
      </c>
      <c r="F18" s="165">
        <f t="shared" si="0"/>
        <v>0</v>
      </c>
      <c r="G18" s="156">
        <v>0</v>
      </c>
      <c r="H18" s="156">
        <v>0</v>
      </c>
      <c r="I18" s="165">
        <f t="shared" si="1"/>
        <v>0</v>
      </c>
      <c r="J18" s="156">
        <v>0</v>
      </c>
      <c r="K18" s="165">
        <f t="shared" si="2"/>
        <v>0</v>
      </c>
      <c r="L18" s="186">
        <v>0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1:24" ht="14" customHeight="1">
      <c r="A19" s="21" t="s">
        <v>23</v>
      </c>
      <c r="B19" s="91" t="s">
        <v>109</v>
      </c>
      <c r="C19" s="159">
        <v>0</v>
      </c>
      <c r="D19" s="159">
        <v>0</v>
      </c>
      <c r="E19" s="159">
        <v>0</v>
      </c>
      <c r="F19" s="166">
        <f t="shared" si="0"/>
        <v>0</v>
      </c>
      <c r="G19" s="159">
        <v>0</v>
      </c>
      <c r="H19" s="159">
        <v>0</v>
      </c>
      <c r="I19" s="166">
        <f t="shared" si="1"/>
        <v>0</v>
      </c>
      <c r="J19" s="159">
        <v>0</v>
      </c>
      <c r="K19" s="166">
        <f t="shared" si="2"/>
        <v>0</v>
      </c>
      <c r="L19" s="187">
        <v>0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1:24" ht="14" customHeight="1">
      <c r="A20" s="19" t="s">
        <v>24</v>
      </c>
      <c r="B20" s="90" t="s">
        <v>110</v>
      </c>
      <c r="C20" s="156">
        <v>0</v>
      </c>
      <c r="D20" s="156">
        <v>0</v>
      </c>
      <c r="E20" s="156">
        <v>0</v>
      </c>
      <c r="F20" s="165">
        <f t="shared" si="0"/>
        <v>0</v>
      </c>
      <c r="G20" s="156">
        <v>0</v>
      </c>
      <c r="H20" s="156">
        <v>0</v>
      </c>
      <c r="I20" s="165">
        <f t="shared" si="1"/>
        <v>0</v>
      </c>
      <c r="J20" s="156">
        <v>0</v>
      </c>
      <c r="K20" s="165">
        <f t="shared" si="2"/>
        <v>0</v>
      </c>
      <c r="L20" s="186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1:24" ht="14" customHeight="1">
      <c r="A21" s="21" t="s">
        <v>25</v>
      </c>
      <c r="B21" s="91" t="s">
        <v>111</v>
      </c>
      <c r="C21" s="159">
        <v>0</v>
      </c>
      <c r="D21" s="159">
        <v>0</v>
      </c>
      <c r="E21" s="159">
        <v>0</v>
      </c>
      <c r="F21" s="166">
        <f t="shared" si="0"/>
        <v>0</v>
      </c>
      <c r="G21" s="159">
        <v>0</v>
      </c>
      <c r="H21" s="159">
        <v>0</v>
      </c>
      <c r="I21" s="166">
        <f t="shared" si="1"/>
        <v>0</v>
      </c>
      <c r="J21" s="159">
        <v>0</v>
      </c>
      <c r="K21" s="166">
        <f t="shared" si="2"/>
        <v>0</v>
      </c>
      <c r="L21" s="187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ht="14" customHeight="1">
      <c r="A22" s="19" t="s">
        <v>26</v>
      </c>
      <c r="B22" s="90" t="s">
        <v>112</v>
      </c>
      <c r="C22" s="156">
        <v>0</v>
      </c>
      <c r="D22" s="156">
        <v>0</v>
      </c>
      <c r="E22" s="156">
        <v>0</v>
      </c>
      <c r="F22" s="165">
        <f t="shared" si="0"/>
        <v>0</v>
      </c>
      <c r="G22" s="156">
        <v>0</v>
      </c>
      <c r="H22" s="156">
        <v>0</v>
      </c>
      <c r="I22" s="165">
        <f t="shared" si="1"/>
        <v>0</v>
      </c>
      <c r="J22" s="156">
        <v>0</v>
      </c>
      <c r="K22" s="165">
        <f t="shared" si="2"/>
        <v>0</v>
      </c>
      <c r="L22" s="186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ht="14" customHeight="1">
      <c r="A23" s="21" t="s">
        <v>27</v>
      </c>
      <c r="B23" s="91" t="s">
        <v>113</v>
      </c>
      <c r="C23" s="159">
        <v>0</v>
      </c>
      <c r="D23" s="159">
        <v>0</v>
      </c>
      <c r="E23" s="159">
        <v>0</v>
      </c>
      <c r="F23" s="166">
        <f t="shared" si="0"/>
        <v>0</v>
      </c>
      <c r="G23" s="159">
        <v>0</v>
      </c>
      <c r="H23" s="159">
        <v>0</v>
      </c>
      <c r="I23" s="166">
        <f t="shared" si="1"/>
        <v>0</v>
      </c>
      <c r="J23" s="159">
        <v>0</v>
      </c>
      <c r="K23" s="166">
        <f t="shared" si="2"/>
        <v>0</v>
      </c>
      <c r="L23" s="187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4" customHeight="1">
      <c r="A24" s="19" t="s">
        <v>28</v>
      </c>
      <c r="B24" s="90" t="s">
        <v>114</v>
      </c>
      <c r="C24" s="156">
        <v>0</v>
      </c>
      <c r="D24" s="156">
        <v>0</v>
      </c>
      <c r="E24" s="156">
        <v>0</v>
      </c>
      <c r="F24" s="165">
        <f t="shared" si="0"/>
        <v>0</v>
      </c>
      <c r="G24" s="156">
        <v>0</v>
      </c>
      <c r="H24" s="156">
        <v>0</v>
      </c>
      <c r="I24" s="165">
        <f t="shared" si="1"/>
        <v>0</v>
      </c>
      <c r="J24" s="156">
        <v>0</v>
      </c>
      <c r="K24" s="165">
        <f t="shared" si="2"/>
        <v>0</v>
      </c>
      <c r="L24" s="186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1:24" ht="14" customHeight="1">
      <c r="A25" s="21" t="s">
        <v>29</v>
      </c>
      <c r="B25" s="91" t="s">
        <v>115</v>
      </c>
      <c r="C25" s="159">
        <v>0</v>
      </c>
      <c r="D25" s="159">
        <v>0</v>
      </c>
      <c r="E25" s="159">
        <v>0</v>
      </c>
      <c r="F25" s="166">
        <f t="shared" si="0"/>
        <v>0</v>
      </c>
      <c r="G25" s="159">
        <v>0</v>
      </c>
      <c r="H25" s="159">
        <v>0</v>
      </c>
      <c r="I25" s="166">
        <f t="shared" si="1"/>
        <v>0</v>
      </c>
      <c r="J25" s="159">
        <v>0</v>
      </c>
      <c r="K25" s="166">
        <f t="shared" si="2"/>
        <v>0</v>
      </c>
      <c r="L25" s="187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1:24" ht="14" customHeight="1">
      <c r="A26" s="19" t="s">
        <v>30</v>
      </c>
      <c r="B26" s="90" t="s">
        <v>116</v>
      </c>
      <c r="C26" s="156">
        <v>0</v>
      </c>
      <c r="D26" s="156">
        <v>0</v>
      </c>
      <c r="E26" s="156">
        <v>0</v>
      </c>
      <c r="F26" s="165">
        <f t="shared" si="0"/>
        <v>0</v>
      </c>
      <c r="G26" s="156">
        <v>0</v>
      </c>
      <c r="H26" s="156">
        <v>0</v>
      </c>
      <c r="I26" s="165">
        <f t="shared" si="1"/>
        <v>0</v>
      </c>
      <c r="J26" s="156">
        <v>0</v>
      </c>
      <c r="K26" s="165">
        <f t="shared" si="2"/>
        <v>0</v>
      </c>
      <c r="L26" s="186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1:24">
      <c r="A27" s="18"/>
      <c r="B27" s="18"/>
      <c r="C27" s="161"/>
      <c r="D27" s="161"/>
      <c r="E27" s="161"/>
      <c r="F27" s="161"/>
      <c r="G27" s="161"/>
      <c r="H27" s="161"/>
      <c r="I27" s="161"/>
      <c r="J27" s="161"/>
      <c r="K27" s="161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1:24" ht="18" customHeight="1">
      <c r="A28" s="92" t="s">
        <v>198</v>
      </c>
      <c r="B28" s="92"/>
      <c r="C28" s="167">
        <f t="shared" ref="C28:K28" si="3">SUM(C6:C26)</f>
        <v>0</v>
      </c>
      <c r="D28" s="167">
        <f t="shared" si="3"/>
        <v>0</v>
      </c>
      <c r="E28" s="167">
        <f t="shared" si="3"/>
        <v>0</v>
      </c>
      <c r="F28" s="167">
        <f t="shared" si="3"/>
        <v>0</v>
      </c>
      <c r="G28" s="167">
        <f t="shared" si="3"/>
        <v>0</v>
      </c>
      <c r="H28" s="167">
        <f t="shared" si="3"/>
        <v>0</v>
      </c>
      <c r="I28" s="167">
        <f t="shared" si="3"/>
        <v>0</v>
      </c>
      <c r="J28" s="168">
        <f t="shared" si="3"/>
        <v>0</v>
      </c>
      <c r="K28" s="169">
        <f t="shared" si="3"/>
        <v>0</v>
      </c>
      <c r="L28" s="188">
        <f>K28/'Matrices Nacionales'!X38</f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</sheetData>
  <mergeCells count="1">
    <mergeCell ref="A1:L1"/>
  </mergeCells>
  <conditionalFormatting sqref="K6:K26">
    <cfRule type="dataBar" priority="31">
      <dataBar>
        <cfvo type="min"/>
        <cfvo type="max"/>
        <color rgb="FF638EC6"/>
      </dataBar>
    </cfRule>
  </conditionalFormatting>
  <conditionalFormatting sqref="L6:L26">
    <cfRule type="dataBar" priority="32">
      <dataBar>
        <cfvo type="min"/>
        <cfvo type="max"/>
        <color rgb="FF63C384"/>
      </dataBar>
    </cfRule>
  </conditionalFormatting>
  <conditionalFormatting sqref="C6:C26">
    <cfRule type="cellIs" dxfId="12" priority="13" stopIfTrue="1" operator="equal">
      <formula>0</formula>
    </cfRule>
  </conditionalFormatting>
  <conditionalFormatting sqref="C6:C26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6:D26">
    <cfRule type="cellIs" dxfId="11" priority="11" stopIfTrue="1" operator="equal">
      <formula>0</formula>
    </cfRule>
  </conditionalFormatting>
  <conditionalFormatting sqref="D6:D26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:E26">
    <cfRule type="cellIs" dxfId="10" priority="9" stopIfTrue="1" operator="equal">
      <formula>0</formula>
    </cfRule>
  </conditionalFormatting>
  <conditionalFormatting sqref="E6:E2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G6:G26">
    <cfRule type="cellIs" dxfId="9" priority="7" stopIfTrue="1" operator="equal">
      <formula>0</formula>
    </cfRule>
  </conditionalFormatting>
  <conditionalFormatting sqref="G6:G2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6:H26">
    <cfRule type="cellIs" dxfId="8" priority="5" stopIfTrue="1" operator="equal">
      <formula>0</formula>
    </cfRule>
  </conditionalFormatting>
  <conditionalFormatting sqref="H6:H2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6:F26">
    <cfRule type="dataBar" priority="4">
      <dataBar>
        <cfvo type="min"/>
        <cfvo type="max"/>
        <color rgb="FF638EC6"/>
      </dataBar>
    </cfRule>
  </conditionalFormatting>
  <conditionalFormatting sqref="I6:I26">
    <cfRule type="dataBar" priority="3">
      <dataBar>
        <cfvo type="min"/>
        <cfvo type="max"/>
        <color rgb="FF638EC6"/>
      </dataBar>
    </cfRule>
  </conditionalFormatting>
  <conditionalFormatting sqref="J6:J26">
    <cfRule type="cellIs" dxfId="7" priority="1" stopIfTrue="1" operator="equal">
      <formula>0</formula>
    </cfRule>
  </conditionalFormatting>
  <conditionalFormatting sqref="J6:J2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EC5F423-7AD1-BC42-B844-5B0FDFB89393}">
            <xm:f>'Estimulos Nacionales'!$H$30&gt;0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A1:L1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5" tint="0.39997558519241921"/>
  </sheetPr>
  <dimension ref="A1:F27"/>
  <sheetViews>
    <sheetView showGridLines="0" zoomScale="143" workbookViewId="0">
      <selection activeCell="E4" sqref="E4"/>
    </sheetView>
  </sheetViews>
  <sheetFormatPr baseColWidth="10" defaultRowHeight="16"/>
  <cols>
    <col min="1" max="1" width="32" bestFit="1" customWidth="1"/>
    <col min="2" max="2" width="7" hidden="1" customWidth="1"/>
    <col min="3" max="4" width="18" customWidth="1"/>
    <col min="5" max="5" width="10.33203125" style="230" customWidth="1"/>
    <col min="6" max="6" width="22" customWidth="1"/>
  </cols>
  <sheetData>
    <row r="1" spans="1:6" ht="24" customHeight="1">
      <c r="A1" s="314" t="s">
        <v>209</v>
      </c>
    </row>
    <row r="2" spans="1:6" ht="14" customHeight="1">
      <c r="A2" s="23" t="s">
        <v>210</v>
      </c>
      <c r="B2" s="18"/>
      <c r="C2" s="18"/>
      <c r="D2" s="18"/>
      <c r="E2" s="18"/>
      <c r="F2" s="18"/>
    </row>
    <row r="3" spans="1:6" ht="32" customHeight="1">
      <c r="A3" s="24" t="s">
        <v>5</v>
      </c>
      <c r="B3" s="24" t="s">
        <v>88</v>
      </c>
      <c r="C3" s="24" t="s">
        <v>211</v>
      </c>
      <c r="D3" s="24" t="s">
        <v>212</v>
      </c>
      <c r="E3" s="24" t="s">
        <v>213</v>
      </c>
      <c r="F3" s="24" t="s">
        <v>214</v>
      </c>
    </row>
    <row r="4" spans="1:6" ht="14" customHeight="1">
      <c r="A4" s="295" t="s">
        <v>10</v>
      </c>
      <c r="B4" s="28" t="s">
        <v>96</v>
      </c>
      <c r="C4" s="293">
        <f>SUM(INDEX(L_21x21,,1))/(SUM(L_21x21)/21)</f>
        <v>0.98657116705841563</v>
      </c>
      <c r="D4" s="293">
        <f>SUM(INDEX(L_21x21,1,))/( SUM(L_21x21)/21)</f>
        <v>1.135611253886138</v>
      </c>
      <c r="E4" s="291" cm="1">
        <f t="array" ref="E4:E24">Coef_trabajo</f>
        <v>57.401399146650505</v>
      </c>
      <c r="F4" s="291" t="str">
        <f t="shared" ref="F4:F24" si="0">IF(AND(C4&gt;1,D4&gt;1),"Clave",IF(AND(C4&gt;1,D4&lt;1),"Dependiente sobre oferta",IF(AND(C4&lt;1,D4&lt;1),"Independientes","Dependiente en Demanda")))</f>
        <v>Dependiente en Demanda</v>
      </c>
    </row>
    <row r="5" spans="1:6" ht="14" customHeight="1">
      <c r="A5" s="296" t="s">
        <v>11</v>
      </c>
      <c r="B5" s="29" t="s">
        <v>97</v>
      </c>
      <c r="C5" s="294">
        <f>SUM(INDEX(L_21x21,,2))/(SUM(L_21x21)/21)</f>
        <v>1.0531087406690745</v>
      </c>
      <c r="D5" s="294">
        <f>SUM(INDEX(L_21x21,2,))/( SUM(L_21x21)/21)</f>
        <v>0.81094460115380373</v>
      </c>
      <c r="E5" s="394">
        <v>10.173933209647494</v>
      </c>
      <c r="F5" s="292" t="str">
        <f t="shared" si="0"/>
        <v>Dependiente sobre oferta</v>
      </c>
    </row>
    <row r="6" spans="1:6" ht="14" customHeight="1">
      <c r="A6" s="295" t="s">
        <v>12</v>
      </c>
      <c r="B6" s="28" t="s">
        <v>98</v>
      </c>
      <c r="C6" s="293">
        <f>SUM(INDEX(L_21x21,,3))/(SUM(L_21x21)/21)</f>
        <v>1.2165719072797232</v>
      </c>
      <c r="D6" s="293">
        <f>SUM(INDEX(L_21x21,3,))/( SUM(L_21x21)/21)</f>
        <v>0.94824260224104862</v>
      </c>
      <c r="E6" s="291">
        <v>7.7405266233868781</v>
      </c>
      <c r="F6" s="291" t="str">
        <f t="shared" si="0"/>
        <v>Dependiente sobre oferta</v>
      </c>
    </row>
    <row r="7" spans="1:6" ht="14" customHeight="1">
      <c r="A7" s="296" t="s">
        <v>13</v>
      </c>
      <c r="B7" s="29" t="s">
        <v>99</v>
      </c>
      <c r="C7" s="294">
        <f>SUM(INDEX(L_21x21,,4))/(SUM(L_21x21)/21)</f>
        <v>0.99522783654069102</v>
      </c>
      <c r="D7" s="294">
        <f>SUM(INDEX(L_21x21,4,))/( SUM(L_21x21)/21)</f>
        <v>0.85870463339217207</v>
      </c>
      <c r="E7" s="394">
        <v>60.576539029261099</v>
      </c>
      <c r="F7" s="292" t="str">
        <f t="shared" si="0"/>
        <v>Independientes</v>
      </c>
    </row>
    <row r="8" spans="1:6" ht="14" customHeight="1">
      <c r="A8" s="295" t="s">
        <v>14</v>
      </c>
      <c r="B8" s="28" t="s">
        <v>100</v>
      </c>
      <c r="C8" s="293">
        <f>SUM(INDEX(L_21x21,,5))/(SUM(L_21x21)/21)</f>
        <v>1.1671303128470196</v>
      </c>
      <c r="D8" s="293">
        <f>SUM(INDEX(L_21x21,5,))/( SUM(L_21x21)/21)</f>
        <v>1.0943022066775616</v>
      </c>
      <c r="E8" s="291">
        <v>17.741400034342625</v>
      </c>
      <c r="F8" s="291" t="str">
        <f t="shared" si="0"/>
        <v>Clave</v>
      </c>
    </row>
    <row r="9" spans="1:6" ht="14" customHeight="1">
      <c r="A9" s="296" t="s">
        <v>15</v>
      </c>
      <c r="B9" s="29" t="s">
        <v>101</v>
      </c>
      <c r="C9" s="294">
        <f>SUM(INDEX(L_21x21,,6))/(SUM(L_21x21)/21)</f>
        <v>1.03258942111937</v>
      </c>
      <c r="D9" s="294">
        <f>SUM(INDEX(L_21x21,6,))/( SUM(L_21x21)/21)</f>
        <v>1.0355764754839027</v>
      </c>
      <c r="E9" s="394">
        <v>6.7856371490280774</v>
      </c>
      <c r="F9" s="292" t="str">
        <f t="shared" si="0"/>
        <v>Clave</v>
      </c>
    </row>
    <row r="10" spans="1:6" ht="14" customHeight="1">
      <c r="A10" s="295" t="s">
        <v>16</v>
      </c>
      <c r="B10" s="28" t="s">
        <v>102</v>
      </c>
      <c r="C10" s="293">
        <f>SUM(INDEX(L_21x21,,7))/(SUM(L_21x21)/21)</f>
        <v>1.1002410264802149</v>
      </c>
      <c r="D10" s="293">
        <f>SUM(INDEX(L_21x21,7,))/( SUM(L_21x21)/21)</f>
        <v>0.80845131209110888</v>
      </c>
      <c r="E10" s="291">
        <v>34.966678783472666</v>
      </c>
      <c r="F10" s="291" t="str">
        <f t="shared" si="0"/>
        <v>Dependiente sobre oferta</v>
      </c>
    </row>
    <row r="11" spans="1:6" ht="14" customHeight="1">
      <c r="A11" s="296" t="s">
        <v>17</v>
      </c>
      <c r="B11" s="29" t="s">
        <v>103</v>
      </c>
      <c r="C11" s="294">
        <f>SUM(INDEX(L_21x21,,8))/(SUM(L_21x21)/21)</f>
        <v>0.85821126005653192</v>
      </c>
      <c r="D11" s="294">
        <f>SUM(INDEX(L_21x21,8,))/( SUM(L_21x21)/21)</f>
        <v>0.71348525768367188</v>
      </c>
      <c r="E11" s="394">
        <v>19.53</v>
      </c>
      <c r="F11" s="292" t="str">
        <f t="shared" si="0"/>
        <v>Independientes</v>
      </c>
    </row>
    <row r="12" spans="1:6" ht="14" customHeight="1">
      <c r="A12" s="295" t="s">
        <v>18</v>
      </c>
      <c r="B12" s="28" t="s">
        <v>104</v>
      </c>
      <c r="C12" s="293">
        <f>SUM(INDEX(L_21x21,,9))/(SUM(L_21x21)/21)</f>
        <v>0.96769797158261328</v>
      </c>
      <c r="D12" s="293">
        <f>SUM(INDEX(L_21x21,9,))/( SUM(L_21x21)/21)</f>
        <v>0.94451361096252107</v>
      </c>
      <c r="E12" s="291">
        <v>20.000000000000004</v>
      </c>
      <c r="F12" s="291" t="str">
        <f t="shared" si="0"/>
        <v>Independientes</v>
      </c>
    </row>
    <row r="13" spans="1:6" ht="14" customHeight="1">
      <c r="A13" s="296" t="s">
        <v>19</v>
      </c>
      <c r="B13" s="29" t="s">
        <v>105</v>
      </c>
      <c r="C13" s="294">
        <f>SUM(INDEX(L_21x21,,10))/(SUM(L_21x21)/21)</f>
        <v>1.0954360822287077</v>
      </c>
      <c r="D13" s="294">
        <f>SUM(INDEX(L_21x21,10,))/( SUM(L_21x21)/21)</f>
        <v>0.68160223207271653</v>
      </c>
      <c r="E13" s="394">
        <v>23.219464241828462</v>
      </c>
      <c r="F13" s="292" t="str">
        <f t="shared" si="0"/>
        <v>Dependiente sobre oferta</v>
      </c>
    </row>
    <row r="14" spans="1:6" ht="14" customHeight="1">
      <c r="A14" s="295" t="s">
        <v>20</v>
      </c>
      <c r="B14" s="28" t="s">
        <v>106</v>
      </c>
      <c r="C14" s="293">
        <f>SUM(INDEX(L_21x21,,11))/(SUM(L_21x21)/21)</f>
        <v>0.9974727999679146</v>
      </c>
      <c r="D14" s="293">
        <f>SUM(INDEX(L_21x21,11,))/( SUM(L_21x21)/21)</f>
        <v>0.98320684524357116</v>
      </c>
      <c r="E14" s="291">
        <v>25.475371491469456</v>
      </c>
      <c r="F14" s="291" t="str">
        <f t="shared" si="0"/>
        <v>Independientes</v>
      </c>
    </row>
    <row r="15" spans="1:6" ht="14" customHeight="1">
      <c r="A15" s="296" t="s">
        <v>21</v>
      </c>
      <c r="B15" s="29" t="s">
        <v>107</v>
      </c>
      <c r="C15" s="294">
        <f>SUM(INDEX(L_21x21,,12))/(SUM(L_21x21)/21)</f>
        <v>0.77709598629487264</v>
      </c>
      <c r="D15" s="294">
        <f>SUM(INDEX(L_21x21,12,))/( SUM(L_21x21)/21)</f>
        <v>1.0928358682243011</v>
      </c>
      <c r="E15" s="394">
        <v>7.5725429939128901</v>
      </c>
      <c r="F15" s="292" t="str">
        <f t="shared" si="0"/>
        <v>Dependiente en Demanda</v>
      </c>
    </row>
    <row r="16" spans="1:6" ht="14" customHeight="1">
      <c r="A16" s="295" t="s">
        <v>22</v>
      </c>
      <c r="B16" s="28" t="s">
        <v>108</v>
      </c>
      <c r="C16" s="293">
        <f>SUM(INDEX(L_21x21,,13))/(SUM(L_21x21)/21)</f>
        <v>1.0298010432765257</v>
      </c>
      <c r="D16" s="293">
        <f>SUM(INDEX(L_21x21,13,))/( SUM(L_21x21)/21)</f>
        <v>0.82915444324311705</v>
      </c>
      <c r="E16" s="291">
        <v>37.169431611367777</v>
      </c>
      <c r="F16" s="291" t="str">
        <f t="shared" si="0"/>
        <v>Dependiente sobre oferta</v>
      </c>
    </row>
    <row r="17" spans="1:6" ht="14" customHeight="1">
      <c r="A17" s="296" t="s">
        <v>23</v>
      </c>
      <c r="B17" s="29" t="s">
        <v>109</v>
      </c>
      <c r="C17" s="294">
        <f>SUM(INDEX(L_21x21,,14))/(SUM(L_21x21)/21)</f>
        <v>1.0104307025161192</v>
      </c>
      <c r="D17" s="294">
        <f>SUM(INDEX(L_21x21,14,))/( SUM(L_21x21)/21)</f>
        <v>1.9616603958032861</v>
      </c>
      <c r="E17" s="394">
        <v>82.255597473960478</v>
      </c>
      <c r="F17" s="292" t="str">
        <f t="shared" si="0"/>
        <v>Clave</v>
      </c>
    </row>
    <row r="18" spans="1:6" ht="14" customHeight="1">
      <c r="A18" s="295" t="s">
        <v>24</v>
      </c>
      <c r="B18" s="28" t="s">
        <v>110</v>
      </c>
      <c r="C18" s="293">
        <f>SUM(INDEX(L_21x21,,15))/(SUM(L_21x21)/21)</f>
        <v>0.97843356333621534</v>
      </c>
      <c r="D18" s="293">
        <f>SUM(INDEX(L_21x21,15,))/( SUM(L_21x21)/21)</f>
        <v>1.0482388767710453</v>
      </c>
      <c r="E18" s="291">
        <v>22.018256846317367</v>
      </c>
      <c r="F18" s="291" t="str">
        <f t="shared" si="0"/>
        <v>Dependiente en Demanda</v>
      </c>
    </row>
    <row r="19" spans="1:6" ht="14" customHeight="1">
      <c r="A19" s="296" t="s">
        <v>25</v>
      </c>
      <c r="B19" s="29" t="s">
        <v>111</v>
      </c>
      <c r="C19" s="294">
        <f>SUM(INDEX(L_21x21,,16))/(SUM(L_21x21)/21)</f>
        <v>1.1074380120219336</v>
      </c>
      <c r="D19" s="294">
        <f>SUM(INDEX(L_21x21,16,))/( SUM(L_21x21)/21)</f>
        <v>0.74000475630037588</v>
      </c>
      <c r="E19" s="394">
        <v>48.1479865625409</v>
      </c>
      <c r="F19" s="292" t="str">
        <f t="shared" si="0"/>
        <v>Dependiente sobre oferta</v>
      </c>
    </row>
    <row r="20" spans="1:6" ht="14" customHeight="1">
      <c r="A20" s="295" t="s">
        <v>26</v>
      </c>
      <c r="B20" s="28" t="s">
        <v>112</v>
      </c>
      <c r="C20" s="293">
        <f>SUM(INDEX(L_21x21,,17))/(SUM(L_21x21)/21)</f>
        <v>1.1242437143565969</v>
      </c>
      <c r="D20" s="293">
        <f>SUM(INDEX(L_21x21,17,))/( SUM(L_21x21)/21)</f>
        <v>1.2732847729651688</v>
      </c>
      <c r="E20" s="291">
        <v>18.093432484170226</v>
      </c>
      <c r="F20" s="291" t="str">
        <f t="shared" si="0"/>
        <v>Clave</v>
      </c>
    </row>
    <row r="21" spans="1:6" ht="14" customHeight="1">
      <c r="A21" s="296" t="s">
        <v>27</v>
      </c>
      <c r="B21" s="29" t="s">
        <v>113</v>
      </c>
      <c r="C21" s="294">
        <f>SUM(INDEX(L_21x21,,18))/(SUM(L_21x21)/21)</f>
        <v>0.84321673500573224</v>
      </c>
      <c r="D21" s="294">
        <f>SUM(INDEX(L_21x21,18,))/( SUM(L_21x21)/21)</f>
        <v>1.2773233836423115</v>
      </c>
      <c r="E21" s="394">
        <v>12.217678893565845</v>
      </c>
      <c r="F21" s="292" t="str">
        <f t="shared" si="0"/>
        <v>Dependiente en Demanda</v>
      </c>
    </row>
    <row r="22" spans="1:6" ht="14" customHeight="1">
      <c r="A22" s="295" t="s">
        <v>28</v>
      </c>
      <c r="B22" s="28" t="s">
        <v>114</v>
      </c>
      <c r="C22" s="293">
        <f>SUM(INDEX(L_21x21,,19))/(SUM(L_21x21)/21)</f>
        <v>0.74115666743283759</v>
      </c>
      <c r="D22" s="293">
        <f>SUM(INDEX(L_21x21,19,))/( SUM(L_21x21)/21)</f>
        <v>0.88381382216332915</v>
      </c>
      <c r="E22" s="291">
        <v>6.455915881171947</v>
      </c>
      <c r="F22" s="291" t="str">
        <f t="shared" si="0"/>
        <v>Independientes</v>
      </c>
    </row>
    <row r="23" spans="1:6" ht="14" customHeight="1">
      <c r="A23" s="296" t="s">
        <v>29</v>
      </c>
      <c r="B23" s="29" t="s">
        <v>115</v>
      </c>
      <c r="C23" s="294">
        <f>SUM(INDEX(L_21x21,,20))/(SUM(L_21x21)/21)</f>
        <v>1.0519892975316776</v>
      </c>
      <c r="D23" s="294">
        <f>SUM(INDEX(L_21x21,20,))/( SUM(L_21x21)/21)</f>
        <v>1.1394843630454587</v>
      </c>
      <c r="E23" s="394">
        <v>69.094397903308845</v>
      </c>
      <c r="F23" s="292" t="str">
        <f t="shared" si="0"/>
        <v>Clave</v>
      </c>
    </row>
    <row r="24" spans="1:6" ht="14" customHeight="1">
      <c r="A24" s="295" t="s">
        <v>30</v>
      </c>
      <c r="B24" s="28" t="s">
        <v>116</v>
      </c>
      <c r="C24" s="293">
        <f>SUM(INDEX(L_21x21,,21))/(SUM(L_21x21)/21)</f>
        <v>0.86593575239719489</v>
      </c>
      <c r="D24" s="293">
        <f>SUM(INDEX(L_21x21,21,))/( SUM(L_21x21)/21)</f>
        <v>0.73955828695337045</v>
      </c>
      <c r="E24" s="291">
        <v>83.792544026494198</v>
      </c>
      <c r="F24" s="291" t="str">
        <f t="shared" si="0"/>
        <v>Independientes</v>
      </c>
    </row>
    <row r="25" spans="1:6">
      <c r="A25" s="18"/>
      <c r="B25" s="18"/>
      <c r="C25" s="18"/>
      <c r="D25" s="18"/>
      <c r="E25" s="18"/>
      <c r="F25" s="30"/>
    </row>
    <row r="26" spans="1:6" ht="16" customHeight="1">
      <c r="A26" s="27" t="s">
        <v>198</v>
      </c>
      <c r="B26" s="27"/>
      <c r="C26" s="312">
        <f>SUM(C4:C24)</f>
        <v>20.999999999999979</v>
      </c>
      <c r="D26" s="312">
        <f>SUM(D4:D24)</f>
        <v>20.999999999999982</v>
      </c>
      <c r="E26" s="31"/>
      <c r="F26" s="31"/>
    </row>
    <row r="27" spans="1:6" ht="10" customHeight="1">
      <c r="A27" s="18"/>
      <c r="B27" s="18"/>
      <c r="C27" s="32"/>
      <c r="D27" s="32"/>
      <c r="E27" s="32"/>
      <c r="F27" s="18"/>
    </row>
  </sheetData>
  <conditionalFormatting sqref="E4:E24">
    <cfRule type="dataBar" priority="38">
      <dataBar>
        <cfvo type="min"/>
        <cfvo type="max"/>
        <color rgb="FF008AEF"/>
      </dataBar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2EB6-DF2C-D144-AA69-A74FE0B51BB9}">
  <sheetPr codeName="Hoja18">
    <tabColor theme="5" tint="0.39997558519241921"/>
  </sheetPr>
  <dimension ref="A1:J124"/>
  <sheetViews>
    <sheetView showGridLines="0" workbookViewId="0">
      <pane ySplit="1" topLeftCell="A49" activePane="bottomLeft" state="frozen"/>
      <selection pane="bottomLeft" activeCell="F59" sqref="F59"/>
    </sheetView>
  </sheetViews>
  <sheetFormatPr baseColWidth="10" defaultColWidth="8.83203125" defaultRowHeight="16"/>
  <cols>
    <col min="1" max="1" width="13.83203125" style="230" customWidth="1"/>
    <col min="2" max="2" width="34" style="230" customWidth="1"/>
    <col min="3" max="3" width="13" style="230" customWidth="1"/>
    <col min="4" max="4" width="14" style="230" customWidth="1"/>
    <col min="5" max="8" width="12" style="230" customWidth="1"/>
    <col min="9" max="9" width="13" style="230" customWidth="1"/>
    <col min="10" max="10" width="10.5" style="230" bestFit="1" customWidth="1"/>
    <col min="11" max="16384" width="8.83203125" style="230"/>
  </cols>
  <sheetData>
    <row r="1" spans="1:9" ht="6" customHeight="1">
      <c r="A1" s="521"/>
      <c r="B1" s="446"/>
      <c r="C1" s="446"/>
      <c r="D1" s="446"/>
      <c r="E1" s="446"/>
      <c r="F1" s="446"/>
      <c r="G1" s="446"/>
      <c r="H1" s="446"/>
      <c r="I1" s="446"/>
    </row>
    <row r="2" spans="1:9" ht="22" customHeight="1">
      <c r="A2" s="522" t="s">
        <v>528</v>
      </c>
      <c r="B2" s="446"/>
      <c r="C2" s="446"/>
      <c r="D2" s="446"/>
      <c r="E2" s="446"/>
      <c r="F2" s="446"/>
      <c r="G2" s="446"/>
      <c r="H2" s="446"/>
      <c r="I2" s="446"/>
    </row>
    <row r="3" spans="1:9" ht="14" customHeight="1">
      <c r="A3" s="523" t="s">
        <v>529</v>
      </c>
      <c r="B3" s="446"/>
      <c r="C3" s="446"/>
      <c r="D3" s="446"/>
      <c r="E3" s="446"/>
      <c r="F3" s="446"/>
      <c r="G3" s="446"/>
      <c r="H3" s="446"/>
      <c r="I3" s="446"/>
    </row>
    <row r="5" spans="1:9" ht="16" customHeight="1">
      <c r="A5" s="524" t="s">
        <v>530</v>
      </c>
      <c r="B5" s="446"/>
      <c r="C5" s="446"/>
      <c r="D5" s="446"/>
      <c r="E5" s="446"/>
      <c r="F5" s="446"/>
      <c r="G5" s="446"/>
      <c r="H5" s="446"/>
      <c r="I5" s="446"/>
    </row>
    <row r="6" spans="1:9" ht="15" customHeight="1">
      <c r="A6" s="525" t="s">
        <v>531</v>
      </c>
      <c r="B6" s="520"/>
      <c r="C6" s="347">
        <f>SUM(Export_21)</f>
        <v>12419.2</v>
      </c>
    </row>
    <row r="7" spans="1:9" ht="15" customHeight="1">
      <c r="A7" s="519" t="s">
        <v>532</v>
      </c>
      <c r="B7" s="520"/>
      <c r="C7" s="349">
        <f>SUM(MMULT(L_21x21,Export_21))</f>
        <v>20210.835443533491</v>
      </c>
    </row>
    <row r="8" spans="1:9" ht="15" customHeight="1">
      <c r="A8" s="525" t="s">
        <v>533</v>
      </c>
      <c r="B8" s="520"/>
      <c r="C8" s="350">
        <f>SUMPRODUCT(Coef_trabajo,MMULT(L_21x21,Export_21))</f>
        <v>712052.43315928988</v>
      </c>
    </row>
    <row r="9" spans="1:9" ht="15" customHeight="1">
      <c r="A9" s="519" t="s">
        <v>534</v>
      </c>
      <c r="B9" s="520"/>
      <c r="C9" s="351">
        <f>$C$8/'Informacion Empleo'!C27</f>
        <v>0.22953077409010478</v>
      </c>
    </row>
    <row r="10" spans="1:9" ht="15" customHeight="1">
      <c r="A10" s="525" t="s">
        <v>535</v>
      </c>
      <c r="B10" s="520"/>
      <c r="C10" s="352">
        <f>$C$8/SUMPRODUCT(Coef_trabajo,Export_21)</f>
        <v>1.7092428551628469</v>
      </c>
    </row>
    <row r="11" spans="1:9" ht="15" customHeight="1">
      <c r="A11" s="519" t="s">
        <v>536</v>
      </c>
      <c r="B11" s="520"/>
      <c r="C11" s="349">
        <f>$C$8/$C$6</f>
        <v>57.334806844183994</v>
      </c>
    </row>
    <row r="13" spans="1:9" ht="16" customHeight="1">
      <c r="A13" s="524" t="s">
        <v>537</v>
      </c>
      <c r="B13" s="446"/>
      <c r="C13" s="446"/>
      <c r="D13" s="446"/>
      <c r="E13" s="446"/>
      <c r="F13" s="446"/>
      <c r="G13" s="446"/>
      <c r="H13" s="446"/>
      <c r="I13" s="446"/>
    </row>
    <row r="14" spans="1:9" ht="30" customHeight="1">
      <c r="A14" s="353" t="s">
        <v>88</v>
      </c>
      <c r="B14" s="354" t="s">
        <v>5</v>
      </c>
      <c r="C14" s="353" t="s">
        <v>538</v>
      </c>
      <c r="D14" s="353" t="s">
        <v>539</v>
      </c>
      <c r="E14" s="353" t="s">
        <v>540</v>
      </c>
      <c r="F14" s="353" t="s">
        <v>541</v>
      </c>
      <c r="G14" s="353" t="s">
        <v>542</v>
      </c>
      <c r="H14" s="353" t="s">
        <v>543</v>
      </c>
      <c r="I14" s="353" t="s">
        <v>544</v>
      </c>
    </row>
    <row r="15" spans="1:9" ht="16" customHeight="1">
      <c r="A15" s="355" t="s">
        <v>96</v>
      </c>
      <c r="B15" s="346" t="s">
        <v>10</v>
      </c>
      <c r="C15" s="356">
        <f>INDEX(Export_21,1)</f>
        <v>3176.1</v>
      </c>
      <c r="D15" s="356">
        <f>INDEX(MMULT(L_21x21,Export_21),1)</f>
        <v>4815.9976861842852</v>
      </c>
      <c r="E15" s="357">
        <f>INDEX(Coef_trabajo,1)*C15</f>
        <v>182312.58382967667</v>
      </c>
      <c r="F15" s="357">
        <f t="shared" ref="F15:F35" si="0">G15-E15</f>
        <v>94132.42164433276</v>
      </c>
      <c r="G15" s="358">
        <f>INDEX(Coef_trabajo,1)*D15</f>
        <v>276445.00547400943</v>
      </c>
      <c r="H15" s="359">
        <f>IFERROR(G15/$G$36,"")</f>
        <v>0.38823686655694251</v>
      </c>
      <c r="I15" s="356">
        <f t="shared" ref="I15:I35" si="1">IFERROR(G15/C15,"")</f>
        <v>87.039137770854012</v>
      </c>
    </row>
    <row r="16" spans="1:9" ht="14" customHeight="1">
      <c r="A16" s="360" t="s">
        <v>97</v>
      </c>
      <c r="B16" s="348" t="s">
        <v>11</v>
      </c>
      <c r="C16" s="361">
        <f>INDEX(Export_21,2)</f>
        <v>11.5</v>
      </c>
      <c r="D16" s="361">
        <f>INDEX(MMULT(L_21x21,Export_21),2)</f>
        <v>20.33084563450257</v>
      </c>
      <c r="E16" s="362">
        <f>INDEX(Coef_trabajo,2)*C16</f>
        <v>117.00023191094618</v>
      </c>
      <c r="F16" s="362">
        <f t="shared" si="0"/>
        <v>89.844433670136283</v>
      </c>
      <c r="G16" s="363">
        <f>INDEX(Coef_trabajo,2)*D16</f>
        <v>206.84466558108247</v>
      </c>
      <c r="H16" s="364">
        <f t="shared" ref="H16:H35" si="2">IFERROR(G16/$G$36,"")</f>
        <v>2.9049077841548535E-4</v>
      </c>
      <c r="I16" s="361">
        <f t="shared" si="1"/>
        <v>17.986492659224563</v>
      </c>
    </row>
    <row r="17" spans="1:9" ht="14" customHeight="1">
      <c r="A17" s="355" t="s">
        <v>98</v>
      </c>
      <c r="B17" s="346" t="s">
        <v>12</v>
      </c>
      <c r="C17" s="356">
        <f>INDEX(Export_21,3)</f>
        <v>4112.3</v>
      </c>
      <c r="D17" s="356">
        <f>INDEX(MMULT(L_21x21,Export_21),3)</f>
        <v>4700.3169995611815</v>
      </c>
      <c r="E17" s="357">
        <f>INDEX(Coef_trabajo,3)*C17</f>
        <v>31831.367633353861</v>
      </c>
      <c r="F17" s="357">
        <f t="shared" si="0"/>
        <v>4551.5612401073959</v>
      </c>
      <c r="G17" s="358">
        <f>INDEX(Coef_trabajo,3)*D17</f>
        <v>36382.928873461256</v>
      </c>
      <c r="H17" s="359">
        <f t="shared" si="2"/>
        <v>5.1095856399274747E-2</v>
      </c>
      <c r="I17" s="356">
        <f t="shared" si="1"/>
        <v>8.8473430619024036</v>
      </c>
    </row>
    <row r="18" spans="1:9" ht="14" customHeight="1">
      <c r="A18" s="360" t="s">
        <v>99</v>
      </c>
      <c r="B18" s="348" t="s">
        <v>13</v>
      </c>
      <c r="C18" s="361">
        <f>INDEX(Export_21,4)</f>
        <v>140.80000000000001</v>
      </c>
      <c r="D18" s="361">
        <f>INDEX(MMULT(L_21x21,Export_21),4)</f>
        <v>294.09956926861634</v>
      </c>
      <c r="E18" s="362">
        <f>INDEX(Coef_trabajo,4)*C18</f>
        <v>8529.176695319964</v>
      </c>
      <c r="F18" s="362">
        <f t="shared" si="0"/>
        <v>9286.3573409692526</v>
      </c>
      <c r="G18" s="363">
        <f>INDEX(Coef_trabajo,4)*D18</f>
        <v>17815.534036289217</v>
      </c>
      <c r="H18" s="364">
        <f t="shared" si="2"/>
        <v>2.5019974943760619E-2</v>
      </c>
      <c r="I18" s="361">
        <f t="shared" si="1"/>
        <v>126.53078150773591</v>
      </c>
    </row>
    <row r="19" spans="1:9" ht="14" customHeight="1">
      <c r="A19" s="355" t="s">
        <v>100</v>
      </c>
      <c r="B19" s="346" t="s">
        <v>14</v>
      </c>
      <c r="C19" s="356">
        <f>INDEX(Export_21,5)</f>
        <v>18.7</v>
      </c>
      <c r="D19" s="356">
        <f>INDEX(MMULT(L_21x21,Export_21),5)</f>
        <v>315.15833378117316</v>
      </c>
      <c r="E19" s="357">
        <f>INDEX(Coef_trabajo,5)*C19</f>
        <v>331.76418064220707</v>
      </c>
      <c r="F19" s="357">
        <f t="shared" si="0"/>
        <v>5259.5858931264629</v>
      </c>
      <c r="G19" s="358">
        <f>INDEX(Coef_trabajo,5)*D19</f>
        <v>5591.35007376867</v>
      </c>
      <c r="H19" s="359">
        <f t="shared" si="2"/>
        <v>7.8524414964225749E-3</v>
      </c>
      <c r="I19" s="356">
        <f t="shared" si="1"/>
        <v>299.00267774164013</v>
      </c>
    </row>
    <row r="20" spans="1:9" ht="14" customHeight="1">
      <c r="A20" s="360" t="s">
        <v>101</v>
      </c>
      <c r="B20" s="348" t="s">
        <v>15</v>
      </c>
      <c r="C20" s="361">
        <f>INDEX(Export_21,6)</f>
        <v>397.1</v>
      </c>
      <c r="D20" s="361">
        <f>INDEX(MMULT(L_21x21,Export_21),6)</f>
        <v>761.23750858890253</v>
      </c>
      <c r="E20" s="362">
        <f>INDEX(Coef_trabajo,6)*C20</f>
        <v>2694.5765118790496</v>
      </c>
      <c r="F20" s="362">
        <f t="shared" si="0"/>
        <v>2470.9050056353872</v>
      </c>
      <c r="G20" s="363">
        <f>INDEX(Coef_trabajo,6)*D20</f>
        <v>5165.4815175144367</v>
      </c>
      <c r="H20" s="364">
        <f t="shared" si="2"/>
        <v>7.2543555459754902E-3</v>
      </c>
      <c r="I20" s="361">
        <f t="shared" si="1"/>
        <v>13.008011879915479</v>
      </c>
    </row>
    <row r="21" spans="1:9" ht="14" customHeight="1">
      <c r="A21" s="355" t="s">
        <v>102</v>
      </c>
      <c r="B21" s="346" t="s">
        <v>16</v>
      </c>
      <c r="C21" s="356">
        <f>INDEX(Export_21,7)</f>
        <v>11.8</v>
      </c>
      <c r="D21" s="356">
        <f>INDEX(MMULT(L_21x21,Export_21),7)</f>
        <v>30.926121611994795</v>
      </c>
      <c r="E21" s="357">
        <f>INDEX(Coef_trabajo,7)*C21</f>
        <v>412.60680964497749</v>
      </c>
      <c r="F21" s="357">
        <f t="shared" si="0"/>
        <v>668.77695078025647</v>
      </c>
      <c r="G21" s="358">
        <f>INDEX(Coef_trabajo,7)*D21</f>
        <v>1081.383760425234</v>
      </c>
      <c r="H21" s="359">
        <f t="shared" si="2"/>
        <v>1.5186855771663697E-3</v>
      </c>
      <c r="I21" s="356">
        <f t="shared" si="1"/>
        <v>91.642691561460495</v>
      </c>
    </row>
    <row r="22" spans="1:9" ht="14" customHeight="1">
      <c r="A22" s="360" t="s">
        <v>103</v>
      </c>
      <c r="B22" s="348" t="s">
        <v>17</v>
      </c>
      <c r="C22" s="361">
        <f>INDEX(Export_21,8)</f>
        <v>61.9</v>
      </c>
      <c r="D22" s="361">
        <f>INDEX(MMULT(L_21x21,Export_21),8)</f>
        <v>86.17172993221763</v>
      </c>
      <c r="E22" s="362">
        <f>INDEX(Coef_trabajo,8)*C22</f>
        <v>1208.9070000000002</v>
      </c>
      <c r="F22" s="362">
        <f t="shared" si="0"/>
        <v>474.02688557621036</v>
      </c>
      <c r="G22" s="363">
        <f>INDEX(Coef_trabajo,8)*D22</f>
        <v>1682.9338855762105</v>
      </c>
      <c r="H22" s="364">
        <f t="shared" si="2"/>
        <v>2.3634971347675027E-3</v>
      </c>
      <c r="I22" s="361">
        <f t="shared" si="1"/>
        <v>27.187946455189184</v>
      </c>
    </row>
    <row r="23" spans="1:9" ht="14" customHeight="1">
      <c r="A23" s="355" t="s">
        <v>104</v>
      </c>
      <c r="B23" s="346" t="s">
        <v>18</v>
      </c>
      <c r="C23" s="356">
        <f>INDEX(Export_21,9)</f>
        <v>62.1</v>
      </c>
      <c r="D23" s="356">
        <f>INDEX(MMULT(L_21x21,Export_21),9)</f>
        <v>141.33187524810435</v>
      </c>
      <c r="E23" s="357">
        <f>INDEX(Coef_trabajo,9)*C23</f>
        <v>1242.0000000000002</v>
      </c>
      <c r="F23" s="357">
        <f t="shared" si="0"/>
        <v>1584.6375049620872</v>
      </c>
      <c r="G23" s="358">
        <f>INDEX(Coef_trabajo,9)*D23</f>
        <v>2826.6375049620874</v>
      </c>
      <c r="H23" s="359">
        <f t="shared" si="2"/>
        <v>3.9697041584713664E-3</v>
      </c>
      <c r="I23" s="356">
        <f t="shared" si="1"/>
        <v>45.517512157199477</v>
      </c>
    </row>
    <row r="24" spans="1:9" ht="14" customHeight="1">
      <c r="A24" s="360" t="s">
        <v>105</v>
      </c>
      <c r="B24" s="348" t="s">
        <v>19</v>
      </c>
      <c r="C24" s="361">
        <f>INDEX(Export_21,10)</f>
        <v>103.4</v>
      </c>
      <c r="D24" s="361">
        <f>INDEX(MMULT(L_21x21,Export_21),10)</f>
        <v>113.89092504492693</v>
      </c>
      <c r="E24" s="362">
        <f>INDEX(Coef_trabajo,10)*C24</f>
        <v>2400.8926026050631</v>
      </c>
      <c r="F24" s="362">
        <f t="shared" si="0"/>
        <v>243.59365894438315</v>
      </c>
      <c r="G24" s="363">
        <f>INDEX(Coef_trabajo,10)*D24</f>
        <v>2644.4862615494462</v>
      </c>
      <c r="H24" s="364">
        <f t="shared" si="2"/>
        <v>3.7138925989146374E-3</v>
      </c>
      <c r="I24" s="361">
        <f t="shared" si="1"/>
        <v>25.575302336068145</v>
      </c>
    </row>
    <row r="25" spans="1:9" ht="14" customHeight="1">
      <c r="A25" s="355" t="s">
        <v>106</v>
      </c>
      <c r="B25" s="346" t="s">
        <v>20</v>
      </c>
      <c r="C25" s="356">
        <f>INDEX(Export_21,11)</f>
        <v>31.6</v>
      </c>
      <c r="D25" s="356">
        <f>INDEX(MMULT(L_21x21,Export_21),11)</f>
        <v>349.29452704798308</v>
      </c>
      <c r="E25" s="357">
        <f>INDEX(Coef_trabajo,11)*C25</f>
        <v>805.02173913043487</v>
      </c>
      <c r="F25" s="357">
        <f t="shared" si="0"/>
        <v>8093.3860973540604</v>
      </c>
      <c r="G25" s="358">
        <f>INDEX(Coef_trabajo,11)*D25</f>
        <v>8898.4078364844954</v>
      </c>
      <c r="H25" s="359">
        <f t="shared" si="2"/>
        <v>1.2496843521766148E-2</v>
      </c>
      <c r="I25" s="356">
        <f t="shared" si="1"/>
        <v>281.59518469887644</v>
      </c>
    </row>
    <row r="26" spans="1:9" ht="14" customHeight="1">
      <c r="A26" s="360" t="s">
        <v>107</v>
      </c>
      <c r="B26" s="348" t="s">
        <v>21</v>
      </c>
      <c r="C26" s="361">
        <f>INDEX(Export_21,12)</f>
        <v>1394.8</v>
      </c>
      <c r="D26" s="361">
        <f>INDEX(MMULT(L_21x21,Export_21),12)</f>
        <v>1879.5398281501778</v>
      </c>
      <c r="E26" s="362">
        <f>INDEX(Coef_trabajo,12)*C26</f>
        <v>10562.182967909699</v>
      </c>
      <c r="F26" s="362">
        <f t="shared" si="0"/>
        <v>3670.7131895291677</v>
      </c>
      <c r="G26" s="363">
        <f>INDEX(Coef_trabajo,12)*D26</f>
        <v>14232.896157438867</v>
      </c>
      <c r="H26" s="364">
        <f t="shared" si="2"/>
        <v>1.9988550694629664E-2</v>
      </c>
      <c r="I26" s="361">
        <f t="shared" si="1"/>
        <v>10.204255920159785</v>
      </c>
    </row>
    <row r="27" spans="1:9" ht="14" customHeight="1">
      <c r="A27" s="355" t="s">
        <v>108</v>
      </c>
      <c r="B27" s="346" t="s">
        <v>22</v>
      </c>
      <c r="C27" s="356">
        <f>INDEX(Export_21,13)</f>
        <v>0</v>
      </c>
      <c r="D27" s="356">
        <f>INDEX(MMULT(L_21x21,Export_21),13)</f>
        <v>48.747106814479622</v>
      </c>
      <c r="E27" s="357">
        <f>INDEX(Coef_trabajo,13)*C27</f>
        <v>0</v>
      </c>
      <c r="F27" s="357">
        <f t="shared" si="0"/>
        <v>1811.9022529928404</v>
      </c>
      <c r="G27" s="358">
        <f>INDEX(Coef_trabajo,13)*D27</f>
        <v>1811.9022529928404</v>
      </c>
      <c r="H27" s="359">
        <f t="shared" si="2"/>
        <v>2.5446191440616963E-3</v>
      </c>
      <c r="I27" s="356" t="str">
        <f>IFERROR(G27/C27,"")</f>
        <v/>
      </c>
    </row>
    <row r="28" spans="1:9" ht="14" customHeight="1">
      <c r="A28" s="360" t="s">
        <v>109</v>
      </c>
      <c r="B28" s="348" t="s">
        <v>23</v>
      </c>
      <c r="C28" s="361">
        <f>INDEX(Export_21,14)</f>
        <v>1435.6</v>
      </c>
      <c r="D28" s="361">
        <f>INDEX(MMULT(L_21x21,Export_21),14)</f>
        <v>2541.697042922191</v>
      </c>
      <c r="E28" s="362">
        <f>INDEX(Coef_trabajo,14)*C28</f>
        <v>118086.13573361766</v>
      </c>
      <c r="F28" s="362">
        <f t="shared" si="0"/>
        <v>90982.673129745745</v>
      </c>
      <c r="G28" s="363">
        <f>INDEX(Coef_trabajo,14)*D28</f>
        <v>209068.8088633634</v>
      </c>
      <c r="H28" s="364">
        <f t="shared" si="2"/>
        <v>0.29361434513431905</v>
      </c>
      <c r="I28" s="361">
        <f t="shared" si="1"/>
        <v>145.63165844480594</v>
      </c>
    </row>
    <row r="29" spans="1:9" ht="14" customHeight="1">
      <c r="A29" s="355" t="s">
        <v>110</v>
      </c>
      <c r="B29" s="346" t="s">
        <v>24</v>
      </c>
      <c r="C29" s="356">
        <f>INDEX(Export_21,15)</f>
        <v>593</v>
      </c>
      <c r="D29" s="356">
        <f>INDEX(MMULT(L_21x21,Export_21),15)</f>
        <v>1144.8645748998126</v>
      </c>
      <c r="E29" s="357">
        <f>INDEX(Coef_trabajo,15)*C29</f>
        <v>13056.826309866199</v>
      </c>
      <c r="F29" s="357">
        <f t="shared" si="0"/>
        <v>12151.095954527824</v>
      </c>
      <c r="G29" s="358">
        <f>INDEX(Coef_trabajo,15)*D29</f>
        <v>25207.922264394023</v>
      </c>
      <c r="H29" s="359">
        <f t="shared" si="2"/>
        <v>3.5401778142305537E-2</v>
      </c>
      <c r="I29" s="356">
        <f t="shared" si="1"/>
        <v>42.509143784812856</v>
      </c>
    </row>
    <row r="30" spans="1:9" ht="14" customHeight="1">
      <c r="A30" s="360" t="s">
        <v>111</v>
      </c>
      <c r="B30" s="348" t="s">
        <v>25</v>
      </c>
      <c r="C30" s="361">
        <f>INDEX(Export_21,16)</f>
        <v>708.7</v>
      </c>
      <c r="D30" s="361">
        <f>INDEX(MMULT(L_21x21,Export_21),16)</f>
        <v>776.16475651255325</v>
      </c>
      <c r="E30" s="362">
        <f>INDEX(Coef_trabajo,16)*C30</f>
        <v>34122.478076872736</v>
      </c>
      <c r="F30" s="362">
        <f t="shared" si="0"/>
        <v>3248.2921900115107</v>
      </c>
      <c r="G30" s="363">
        <f>INDEX(Coef_trabajo,16)*D30</f>
        <v>37370.770266884247</v>
      </c>
      <c r="H30" s="364">
        <f t="shared" si="2"/>
        <v>5.2483171921869139E-2</v>
      </c>
      <c r="I30" s="361">
        <f t="shared" si="1"/>
        <v>52.731438220522428</v>
      </c>
    </row>
    <row r="31" spans="1:9" ht="14" customHeight="1">
      <c r="A31" s="355" t="s">
        <v>112</v>
      </c>
      <c r="B31" s="346" t="s">
        <v>26</v>
      </c>
      <c r="C31" s="356">
        <f>INDEX(Export_21,17)</f>
        <v>18.3</v>
      </c>
      <c r="D31" s="356">
        <f>INDEX(MMULT(L_21x21,Export_21),17)</f>
        <v>417.44474833867184</v>
      </c>
      <c r="E31" s="357">
        <f>INDEX(Coef_trabajo,17)*C31</f>
        <v>331.10981446031514</v>
      </c>
      <c r="F31" s="357">
        <f t="shared" si="0"/>
        <v>7221.8985554768751</v>
      </c>
      <c r="G31" s="358">
        <f>INDEX(Coef_trabajo,17)*D31</f>
        <v>7553.0083699371899</v>
      </c>
      <c r="H31" s="359">
        <f t="shared" si="2"/>
        <v>1.0607376673688778E-2</v>
      </c>
      <c r="I31" s="356">
        <f t="shared" si="1"/>
        <v>412.73269781077539</v>
      </c>
    </row>
    <row r="32" spans="1:9" ht="14" customHeight="1">
      <c r="A32" s="360" t="s">
        <v>113</v>
      </c>
      <c r="B32" s="348" t="s">
        <v>27</v>
      </c>
      <c r="C32" s="361">
        <f>INDEX(Export_21,18)</f>
        <v>18.8</v>
      </c>
      <c r="D32" s="361">
        <f>INDEX(MMULT(L_21x21,Export_21),18)</f>
        <v>733.37145108990558</v>
      </c>
      <c r="E32" s="362">
        <f>INDEX(Coef_trabajo,18)*C32</f>
        <v>229.69236319903789</v>
      </c>
      <c r="F32" s="362">
        <f t="shared" si="0"/>
        <v>8730.404535925858</v>
      </c>
      <c r="G32" s="363">
        <f>INDEX(Coef_trabajo,18)*D32</f>
        <v>8960.0968991248956</v>
      </c>
      <c r="H32" s="364">
        <f t="shared" si="2"/>
        <v>1.2583479083654047E-2</v>
      </c>
      <c r="I32" s="361">
        <f t="shared" si="1"/>
        <v>476.6008988896221</v>
      </c>
    </row>
    <row r="33" spans="1:9" ht="14" customHeight="1">
      <c r="A33" s="355" t="s">
        <v>114</v>
      </c>
      <c r="B33" s="346" t="s">
        <v>28</v>
      </c>
      <c r="C33" s="356">
        <f>INDEX(Export_21,19)</f>
        <v>4.5</v>
      </c>
      <c r="D33" s="356">
        <f>INDEX(MMULT(L_21x21,Export_21),19)</f>
        <v>380.428224545332</v>
      </c>
      <c r="E33" s="357">
        <f>INDEX(Coef_trabajo,19)*C33</f>
        <v>29.051621465273762</v>
      </c>
      <c r="F33" s="357">
        <f t="shared" si="0"/>
        <v>2426.9609950229824</v>
      </c>
      <c r="G33" s="358">
        <f>INDEX(Coef_trabajo,19)*D33</f>
        <v>2456.0126164882563</v>
      </c>
      <c r="H33" s="359">
        <f t="shared" si="2"/>
        <v>3.4492019156387508E-3</v>
      </c>
      <c r="I33" s="356">
        <f t="shared" si="1"/>
        <v>545.78058144183478</v>
      </c>
    </row>
    <row r="34" spans="1:9" ht="14" customHeight="1">
      <c r="A34" s="360" t="s">
        <v>115</v>
      </c>
      <c r="B34" s="348" t="s">
        <v>29</v>
      </c>
      <c r="C34" s="361">
        <f>INDEX(Export_21,20)</f>
        <v>110.1</v>
      </c>
      <c r="D34" s="361">
        <f>INDEX(MMULT(L_21x21,Export_21),20)</f>
        <v>587.70050593803182</v>
      </c>
      <c r="E34" s="362">
        <f>INDEX(Coef_trabajo,20)*C34</f>
        <v>7607.2932091543034</v>
      </c>
      <c r="F34" s="362">
        <f t="shared" si="0"/>
        <v>32999.519396103991</v>
      </c>
      <c r="G34" s="363">
        <f>INDEX(Coef_trabajo,20)*D34</f>
        <v>40606.812605258296</v>
      </c>
      <c r="H34" s="364">
        <f t="shared" si="2"/>
        <v>5.7027840527264007E-2</v>
      </c>
      <c r="I34" s="361">
        <f t="shared" si="1"/>
        <v>368.81755318127426</v>
      </c>
    </row>
    <row r="35" spans="1:9" ht="14" customHeight="1">
      <c r="A35" s="355" t="s">
        <v>116</v>
      </c>
      <c r="B35" s="346" t="s">
        <v>30</v>
      </c>
      <c r="C35" s="356">
        <f>INDEX(Export_21,21)</f>
        <v>8.1</v>
      </c>
      <c r="D35" s="356">
        <f>INDEX(MMULT(L_21x21,Export_21),21)</f>
        <v>72.121082418449177</v>
      </c>
      <c r="E35" s="357">
        <f>INDEX(Coef_trabajo,21)*C35</f>
        <v>678.71960661460298</v>
      </c>
      <c r="F35" s="357">
        <f t="shared" si="0"/>
        <v>5364.4893671717164</v>
      </c>
      <c r="G35" s="358">
        <f>INDEX(Coef_trabajo,21)*D35</f>
        <v>6043.2089737863189</v>
      </c>
      <c r="H35" s="359">
        <f t="shared" si="2"/>
        <v>8.4870280506919096E-3</v>
      </c>
      <c r="I35" s="356">
        <f t="shared" si="1"/>
        <v>746.07518194892828</v>
      </c>
    </row>
    <row r="36" spans="1:9" ht="16" customHeight="1">
      <c r="A36" s="365"/>
      <c r="B36" s="366" t="s">
        <v>152</v>
      </c>
      <c r="C36" s="367">
        <f>SUM(C15:C35)</f>
        <v>12419.2</v>
      </c>
      <c r="D36" s="367">
        <f>SUM(D15:D35)</f>
        <v>20210.835443533491</v>
      </c>
      <c r="E36" s="368">
        <f>SUM(E15:E35)</f>
        <v>416589.38693732297</v>
      </c>
      <c r="F36" s="368">
        <f>SUM(F15:F35)</f>
        <v>295463.04622196691</v>
      </c>
      <c r="G36" s="368">
        <f>SUM(G15:G35)</f>
        <v>712052.43315928988</v>
      </c>
      <c r="H36" s="369">
        <v>1</v>
      </c>
      <c r="I36" s="367">
        <f>G36/C36</f>
        <v>57.334806844183994</v>
      </c>
    </row>
    <row r="39" spans="1:9" ht="16" customHeight="1">
      <c r="A39" s="524" t="s">
        <v>545</v>
      </c>
      <c r="B39" s="446"/>
      <c r="C39" s="446"/>
      <c r="D39" s="446"/>
      <c r="E39" s="446"/>
      <c r="F39" s="446"/>
      <c r="G39" s="446"/>
      <c r="H39" s="446"/>
      <c r="I39" s="446"/>
    </row>
    <row r="40" spans="1:9" ht="30" customHeight="1">
      <c r="A40" s="353" t="s">
        <v>546</v>
      </c>
      <c r="B40" s="353" t="s">
        <v>547</v>
      </c>
      <c r="C40" s="353" t="s">
        <v>548</v>
      </c>
      <c r="D40" s="353" t="s">
        <v>543</v>
      </c>
      <c r="E40" s="353" t="s">
        <v>549</v>
      </c>
      <c r="F40" s="353" t="s">
        <v>550</v>
      </c>
    </row>
    <row r="41" spans="1:9" ht="14" customHeight="1">
      <c r="A41" s="527" t="s">
        <v>167</v>
      </c>
      <c r="B41" s="346" t="s">
        <v>175</v>
      </c>
      <c r="C41" s="357">
        <f>SUMPRODUCT(Coef_trabajo_H,MMULT(L_21x21,Export_21))</f>
        <v>453102.43808204116</v>
      </c>
      <c r="D41" s="359">
        <f t="shared" ref="D41:D49" si="3">C41/$C$8</f>
        <v>0.63633296788507676</v>
      </c>
      <c r="E41" s="359">
        <f>'Informacion Empleo'!D53/'Informacion Empleo'!C53</f>
        <v>0.57918051298284545</v>
      </c>
      <c r="F41" s="370">
        <f t="shared" ref="F41:F49" si="4">(D41-E41)*100</f>
        <v>5.7152454902231309</v>
      </c>
    </row>
    <row r="42" spans="1:9" ht="14" customHeight="1">
      <c r="A42" s="528"/>
      <c r="B42" s="346" t="s">
        <v>171</v>
      </c>
      <c r="C42" s="357">
        <f>SUMPRODUCT(Coef_trabajo_M,MMULT(L_21x21,Export_21))</f>
        <v>258949.99507724875</v>
      </c>
      <c r="D42" s="359">
        <f t="shared" si="3"/>
        <v>0.36366703211492329</v>
      </c>
      <c r="E42" s="359">
        <f>'Informacion Empleo'!E53/'Informacion Empleo'!C53</f>
        <v>0.42081948701715455</v>
      </c>
      <c r="F42" s="370">
        <f t="shared" si="4"/>
        <v>-5.7152454902231256</v>
      </c>
    </row>
    <row r="43" spans="1:9" ht="14" customHeight="1">
      <c r="A43" s="529" t="s">
        <v>163</v>
      </c>
      <c r="B43" s="348" t="s">
        <v>551</v>
      </c>
      <c r="C43" s="362">
        <f>SUMPRODUCT(Coef_trabajo_Baja,MMULT(L_21x21,Export_21))</f>
        <v>305015.82261093688</v>
      </c>
      <c r="D43" s="364">
        <f t="shared" si="3"/>
        <v>0.42836146385683826</v>
      </c>
      <c r="E43" s="364">
        <f>'Informacion Empleo'!D79/'Informacion Empleo'!C79</f>
        <v>0.34015664321778449</v>
      </c>
      <c r="F43" s="371">
        <f t="shared" si="4"/>
        <v>8.8204820639053771</v>
      </c>
    </row>
    <row r="44" spans="1:9" ht="14" customHeight="1">
      <c r="A44" s="530"/>
      <c r="B44" s="348" t="s">
        <v>552</v>
      </c>
      <c r="C44" s="362">
        <f>SUMPRODUCT(Coef_trabajo_Media,MMULT(L_21x21,Export_21))</f>
        <v>248185.73613572487</v>
      </c>
      <c r="D44" s="364">
        <f t="shared" si="3"/>
        <v>0.34854980416899217</v>
      </c>
      <c r="E44" s="364">
        <f>'Informacion Empleo'!E79/'Informacion Empleo'!C79</f>
        <v>0.36053921576528208</v>
      </c>
      <c r="F44" s="371">
        <f t="shared" si="4"/>
        <v>-1.1989411596289912</v>
      </c>
    </row>
    <row r="45" spans="1:9" ht="14" customHeight="1">
      <c r="A45" s="528"/>
      <c r="B45" s="348" t="s">
        <v>553</v>
      </c>
      <c r="C45" s="362">
        <f>SUMPRODUCT(Coef_trabajo_Alta,MMULT(L_21x21,Export_21))</f>
        <v>158850.87441262804</v>
      </c>
      <c r="D45" s="364">
        <f t="shared" si="3"/>
        <v>0.22308873197416945</v>
      </c>
      <c r="E45" s="364">
        <f>'Informacion Empleo'!F79/'Informacion Empleo'!C79</f>
        <v>0.29930414101693342</v>
      </c>
      <c r="F45" s="371">
        <f t="shared" si="4"/>
        <v>-7.6215409042763973</v>
      </c>
    </row>
    <row r="46" spans="1:9" ht="14" customHeight="1">
      <c r="A46" s="527" t="s">
        <v>554</v>
      </c>
      <c r="B46" s="346" t="s">
        <v>172</v>
      </c>
      <c r="C46" s="357">
        <f>SUMPRODUCT(Coef_trabajo_Formal,MMULT(L_21x21,Export_21))</f>
        <v>200669.33592025834</v>
      </c>
      <c r="D46" s="359">
        <f t="shared" si="3"/>
        <v>0.28181820126632101</v>
      </c>
      <c r="E46" s="359">
        <f>'Informacion Empleo'!D105/'Informacion Empleo'!C105</f>
        <v>0.32504902151982668</v>
      </c>
      <c r="F46" s="370">
        <f t="shared" si="4"/>
        <v>-4.3230820253505664</v>
      </c>
    </row>
    <row r="47" spans="1:9" ht="14" customHeight="1">
      <c r="A47" s="528"/>
      <c r="B47" s="346" t="s">
        <v>176</v>
      </c>
      <c r="C47" s="357">
        <f>SUMPRODUCT(Coef_trabajo_Informal,MMULT(L_21x21,Export_21))</f>
        <v>511383.09723903151</v>
      </c>
      <c r="D47" s="359">
        <f t="shared" si="3"/>
        <v>0.71818179873367893</v>
      </c>
      <c r="E47" s="359">
        <f>'Informacion Empleo'!E105/'Informacion Empleo'!C105</f>
        <v>0.67495097848017327</v>
      </c>
      <c r="F47" s="370">
        <f t="shared" si="4"/>
        <v>4.3230820253505664</v>
      </c>
    </row>
    <row r="48" spans="1:9" ht="14" customHeight="1">
      <c r="A48" s="529" t="s">
        <v>555</v>
      </c>
      <c r="B48" s="348" t="s">
        <v>173</v>
      </c>
      <c r="C48" s="362">
        <f>SUMPRODUCT(Coef_trabajo_Urbano,MMULT(L_21x21,Export_21))</f>
        <v>357380.75625411904</v>
      </c>
      <c r="D48" s="364">
        <f t="shared" si="3"/>
        <v>0.50190230327346008</v>
      </c>
      <c r="E48" s="364">
        <f>'Informacion Empleo'!D131/'Informacion Empleo'!C131</f>
        <v>0.6316627925455699</v>
      </c>
      <c r="F48" s="371">
        <f t="shared" si="4"/>
        <v>-12.976048927210982</v>
      </c>
    </row>
    <row r="49" spans="1:10" ht="14" customHeight="1">
      <c r="A49" s="528"/>
      <c r="B49" s="348" t="s">
        <v>177</v>
      </c>
      <c r="C49" s="362">
        <f>SUMPRODUCT(Coef_trabajo_Rural,MMULT(L_21x21,Export_21))</f>
        <v>354671.67690517084</v>
      </c>
      <c r="D49" s="364">
        <f t="shared" si="3"/>
        <v>0.49809769672653997</v>
      </c>
      <c r="E49" s="364">
        <f>'Informacion Empleo'!E131/'Informacion Empleo'!C131</f>
        <v>0.36833720745443005</v>
      </c>
      <c r="F49" s="371">
        <f t="shared" si="4"/>
        <v>12.976048927210993</v>
      </c>
    </row>
    <row r="52" spans="1:10" ht="16" customHeight="1">
      <c r="A52" s="524" t="s">
        <v>556</v>
      </c>
      <c r="B52" s="446"/>
      <c r="C52" s="446"/>
      <c r="D52" s="446"/>
      <c r="E52" s="446"/>
      <c r="F52" s="446"/>
      <c r="G52" s="446"/>
      <c r="H52" s="446"/>
      <c r="I52" s="446"/>
    </row>
    <row r="53" spans="1:10" ht="26" customHeight="1">
      <c r="A53" s="526" t="s">
        <v>557</v>
      </c>
      <c r="B53" s="446"/>
      <c r="C53" s="446"/>
      <c r="D53" s="446"/>
      <c r="E53" s="446"/>
      <c r="F53" s="446"/>
      <c r="G53" s="446"/>
      <c r="H53" s="446"/>
      <c r="I53" s="446"/>
    </row>
    <row r="54" spans="1:10" ht="16" customHeight="1">
      <c r="A54" s="446"/>
      <c r="B54" s="446"/>
      <c r="C54" s="446"/>
      <c r="D54" s="446"/>
      <c r="E54" s="446"/>
      <c r="F54" s="446"/>
      <c r="G54" s="446"/>
      <c r="H54" s="446"/>
      <c r="I54" s="446"/>
    </row>
    <row r="55" spans="1:10" ht="26" customHeight="1">
      <c r="J55" s="383"/>
    </row>
    <row r="56" spans="1:10" ht="16" customHeight="1">
      <c r="A56" s="383"/>
      <c r="B56" s="383"/>
      <c r="C56" s="383"/>
      <c r="D56" s="383"/>
      <c r="E56" s="383"/>
      <c r="F56" s="383"/>
      <c r="G56" s="383"/>
      <c r="H56" s="383"/>
      <c r="I56" s="383"/>
      <c r="J56" s="383"/>
    </row>
    <row r="57" spans="1:10" ht="15" customHeight="1">
      <c r="A57" s="372" t="s">
        <v>576</v>
      </c>
      <c r="B57" s="383"/>
      <c r="C57" s="383"/>
      <c r="D57" s="383"/>
      <c r="E57" s="383"/>
      <c r="F57" s="383"/>
      <c r="G57" s="383"/>
      <c r="H57" s="383"/>
      <c r="I57" s="383"/>
      <c r="J57" s="383"/>
    </row>
    <row r="58" spans="1:10" ht="30" customHeight="1">
      <c r="A58" s="354" t="s">
        <v>120</v>
      </c>
      <c r="B58" s="353" t="s">
        <v>538</v>
      </c>
      <c r="C58" s="353" t="s">
        <v>539</v>
      </c>
      <c r="D58" s="353" t="s">
        <v>548</v>
      </c>
      <c r="E58" s="353" t="s">
        <v>577</v>
      </c>
      <c r="F58" s="353" t="s">
        <v>544</v>
      </c>
      <c r="G58" s="353" t="s">
        <v>578</v>
      </c>
      <c r="H58" s="383"/>
      <c r="I58" s="383"/>
      <c r="J58" s="383"/>
    </row>
    <row r="59" spans="1:10" ht="14" customHeight="1">
      <c r="A59" s="346" t="s">
        <v>73</v>
      </c>
      <c r="B59" s="356">
        <f>SUM(INDEX(Exp_Destino,0,1))</f>
        <v>2975.9069999999997</v>
      </c>
      <c r="C59" s="356">
        <f>SUM(MMULT(L_21x21,INDEX(Exp_Destino,0,1)))</f>
        <v>4526.7747973401983</v>
      </c>
      <c r="D59" s="358">
        <f>SUMPRODUCT(Coef_trabajo,MMULT(L_21x21,INDEX(Exp_Destino,0,1)))</f>
        <v>103897.8700187256</v>
      </c>
      <c r="E59" s="359">
        <f>IFERROR(D59/$D$69,"")</f>
        <v>0.21595345115742795</v>
      </c>
      <c r="F59" s="356">
        <f>IFERROR(D59/B59,"")</f>
        <v>34.913009720641675</v>
      </c>
      <c r="G59" s="359">
        <f>IFERROR(B59/$B$69,"")</f>
        <v>0.31252633019474346</v>
      </c>
      <c r="H59" s="383"/>
      <c r="I59" s="383"/>
      <c r="J59" s="383"/>
    </row>
    <row r="60" spans="1:10" ht="14" customHeight="1">
      <c r="A60" s="348" t="s">
        <v>74</v>
      </c>
      <c r="B60" s="356">
        <f>SUM(INDEX(Exp_Destino,0,2))</f>
        <v>452.35079999999999</v>
      </c>
      <c r="C60" s="356">
        <f>SUM(MMULT(L_21x21,INDEX(Exp_Destino,0,2)))</f>
        <v>779.27402222092996</v>
      </c>
      <c r="D60" s="358">
        <f>SUMPRODUCT(Coef_trabajo,MMULT(L_21x21,INDEX(Exp_Destino,0,2)))</f>
        <v>23256.428476169203</v>
      </c>
      <c r="E60" s="359">
        <f t="shared" ref="E60:E68" si="5">IFERROR(D60/$D$69,"")</f>
        <v>4.8338873454474553E-2</v>
      </c>
      <c r="F60" s="361">
        <f t="shared" ref="F60:F68" si="6">IFERROR(D60/B60,"")</f>
        <v>51.41237392786573</v>
      </c>
      <c r="G60" s="359">
        <f t="shared" ref="G60:G68" si="7">IFERROR(B60/$B$69,"")</f>
        <v>4.7505360713441774E-2</v>
      </c>
      <c r="H60" s="383"/>
      <c r="I60" s="383"/>
      <c r="J60" s="383"/>
    </row>
    <row r="61" spans="1:10" ht="14" customHeight="1">
      <c r="A61" s="346" t="s">
        <v>75</v>
      </c>
      <c r="B61" s="356">
        <f>SUM(INDEX(Exp_Destino,0,3))</f>
        <v>0</v>
      </c>
      <c r="C61" s="356">
        <f>SUM(MMULT(L_21x21,INDEX(Exp_Destino,0,3)))</f>
        <v>0</v>
      </c>
      <c r="D61" s="358">
        <f>SUMPRODUCT(Coef_trabajo,MMULT(L_21x21,INDEX(Exp_Destino,0,3)))</f>
        <v>0</v>
      </c>
      <c r="E61" s="359">
        <f t="shared" si="5"/>
        <v>0</v>
      </c>
      <c r="F61" s="356" t="str">
        <f t="shared" si="6"/>
        <v/>
      </c>
      <c r="G61" s="359">
        <f t="shared" si="7"/>
        <v>0</v>
      </c>
      <c r="H61" s="383"/>
      <c r="I61" s="383"/>
      <c r="J61" s="383"/>
    </row>
    <row r="62" spans="1:10" ht="14" customHeight="1">
      <c r="A62" s="348" t="s">
        <v>76</v>
      </c>
      <c r="B62" s="356">
        <f>SUM(INDEX(Exp_Destino,0,4))</f>
        <v>312.97559999999999</v>
      </c>
      <c r="C62" s="356">
        <f>SUM(MMULT(L_21x21,INDEX(Exp_Destino,0,4)))</f>
        <v>579.64409302896638</v>
      </c>
      <c r="D62" s="358">
        <f>SUMPRODUCT(Coef_trabajo,MMULT(L_21x21,INDEX(Exp_Destino,0,4)))</f>
        <v>14256.333030511429</v>
      </c>
      <c r="E62" s="359">
        <f t="shared" si="5"/>
        <v>2.9632025355608341E-2</v>
      </c>
      <c r="F62" s="361">
        <f t="shared" si="6"/>
        <v>45.550940809799322</v>
      </c>
      <c r="G62" s="359">
        <f t="shared" si="7"/>
        <v>3.2868337521467561E-2</v>
      </c>
      <c r="H62" s="383"/>
      <c r="I62" s="383"/>
      <c r="J62" s="383"/>
    </row>
    <row r="63" spans="1:10" ht="14" customHeight="1">
      <c r="A63" s="346" t="s">
        <v>77</v>
      </c>
      <c r="B63" s="356">
        <f>SUM(INDEX(Exp_Destino,0,5))</f>
        <v>3019.8331999999991</v>
      </c>
      <c r="C63" s="356">
        <f>SUM(MMULT(L_21x21,INDEX(Exp_Destino,0,5)))</f>
        <v>4554.1477675831675</v>
      </c>
      <c r="D63" s="358">
        <f>SUMPRODUCT(Coef_trabajo,MMULT(L_21x21,INDEX(Exp_Destino,0,5)))</f>
        <v>212672.65816926153</v>
      </c>
      <c r="E63" s="359">
        <f t="shared" si="5"/>
        <v>0.44204365777853249</v>
      </c>
      <c r="F63" s="356">
        <f t="shared" si="6"/>
        <v>70.425299705050463</v>
      </c>
      <c r="G63" s="359">
        <f t="shared" si="7"/>
        <v>0.31713940919398642</v>
      </c>
      <c r="H63" s="383"/>
      <c r="I63" s="383"/>
      <c r="J63" s="383"/>
    </row>
    <row r="64" spans="1:10" ht="14" customHeight="1">
      <c r="A64" s="348" t="s">
        <v>78</v>
      </c>
      <c r="B64" s="356">
        <f>SUM(INDEX(Exp_Destino,0,6))</f>
        <v>0</v>
      </c>
      <c r="C64" s="356">
        <f>SUM(MMULT(L_21x21,INDEX(Exp_Destino,0,6)))</f>
        <v>0</v>
      </c>
      <c r="D64" s="358">
        <f>SUMPRODUCT(Coef_trabajo,MMULT(L_21x21,INDEX(Exp_Destino,0,6)))</f>
        <v>0</v>
      </c>
      <c r="E64" s="359">
        <f t="shared" si="5"/>
        <v>0</v>
      </c>
      <c r="F64" s="361" t="str">
        <f t="shared" si="6"/>
        <v/>
      </c>
      <c r="G64" s="359">
        <f t="shared" si="7"/>
        <v>0</v>
      </c>
      <c r="H64" s="383"/>
      <c r="I64" s="383"/>
      <c r="J64" s="383"/>
    </row>
    <row r="65" spans="1:10" ht="14" customHeight="1">
      <c r="A65" s="346" t="s">
        <v>79</v>
      </c>
      <c r="B65" s="356">
        <f>SUM(INDEX(Exp_Destino,0,7))</f>
        <v>1588.3298000000002</v>
      </c>
      <c r="C65" s="356">
        <f>SUM(MMULT(L_21x21,INDEX(Exp_Destino,0,7)))</f>
        <v>2984.0927856323015</v>
      </c>
      <c r="D65" s="358">
        <f>SUMPRODUCT(Coef_trabajo,MMULT(L_21x21,INDEX(Exp_Destino,0,7)))</f>
        <v>72771.533952579688</v>
      </c>
      <c r="E65" s="359">
        <f t="shared" si="5"/>
        <v>0.15125684386260421</v>
      </c>
      <c r="F65" s="356">
        <f t="shared" si="6"/>
        <v>45.816387725382775</v>
      </c>
      <c r="G65" s="359">
        <f t="shared" si="7"/>
        <v>0.16680456866862808</v>
      </c>
      <c r="H65" s="383"/>
      <c r="I65" s="383"/>
      <c r="J65" s="383"/>
    </row>
    <row r="66" spans="1:10" ht="14" customHeight="1">
      <c r="A66" s="348" t="s">
        <v>80</v>
      </c>
      <c r="B66" s="356">
        <f>SUM(INDEX(Exp_Destino,0,8))</f>
        <v>29.175699999999999</v>
      </c>
      <c r="C66" s="356">
        <f>SUM(MMULT(L_21x21,INDEX(Exp_Destino,0,8)))</f>
        <v>46.037673074233773</v>
      </c>
      <c r="D66" s="358">
        <f>SUMPRODUCT(Coef_trabajo,MMULT(L_21x21,INDEX(Exp_Destino,0,8)))</f>
        <v>1249.535577832118</v>
      </c>
      <c r="E66" s="359">
        <f t="shared" si="5"/>
        <v>2.5971804843371959E-3</v>
      </c>
      <c r="F66" s="361">
        <f t="shared" si="6"/>
        <v>42.82795538177723</v>
      </c>
      <c r="G66" s="359">
        <f t="shared" si="7"/>
        <v>3.0639984555507877E-3</v>
      </c>
      <c r="H66" s="383"/>
      <c r="I66" s="383"/>
      <c r="J66" s="383"/>
    </row>
    <row r="67" spans="1:10" ht="14" customHeight="1">
      <c r="A67" s="346" t="s">
        <v>81</v>
      </c>
      <c r="B67" s="356">
        <f>SUM(INDEX(Exp_Destino,0,9))</f>
        <v>0</v>
      </c>
      <c r="C67" s="356">
        <f>SUM(MMULT(L_21x21,INDEX(Exp_Destino,0,9)))</f>
        <v>0</v>
      </c>
      <c r="D67" s="358">
        <f>SUMPRODUCT(Coef_trabajo,MMULT(L_21x21,INDEX(Exp_Destino,0,9)))</f>
        <v>0</v>
      </c>
      <c r="E67" s="359">
        <f t="shared" si="5"/>
        <v>0</v>
      </c>
      <c r="F67" s="356" t="str">
        <f t="shared" si="6"/>
        <v/>
      </c>
      <c r="G67" s="359">
        <f t="shared" si="7"/>
        <v>0</v>
      </c>
      <c r="H67" s="383"/>
      <c r="I67" s="383"/>
      <c r="J67" s="383"/>
    </row>
    <row r="68" spans="1:10" ht="14" customHeight="1">
      <c r="A68" s="348" t="s">
        <v>82</v>
      </c>
      <c r="B68" s="356">
        <f>SUM(INDEX(Exp_Destino,0,10))</f>
        <v>1143.5279999999998</v>
      </c>
      <c r="C68" s="356">
        <f>SUM(MMULT(L_21x21,INDEX(Exp_Destino,0,10)))</f>
        <v>2129.6787501474537</v>
      </c>
      <c r="D68" s="358">
        <f>SUMPRODUCT(Coef_trabajo,MMULT(L_21x21,INDEX(Exp_Destino,0,10)))</f>
        <v>53007.979854813435</v>
      </c>
      <c r="E68" s="359">
        <f t="shared" si="5"/>
        <v>0.11017796790701512</v>
      </c>
      <c r="F68" s="361">
        <f t="shared" si="6"/>
        <v>46.354772121726313</v>
      </c>
      <c r="G68" s="359">
        <f t="shared" si="7"/>
        <v>0.1200919952521818</v>
      </c>
      <c r="H68" s="383"/>
      <c r="I68" s="383"/>
      <c r="J68" s="383"/>
    </row>
    <row r="69" spans="1:10" ht="16" customHeight="1">
      <c r="A69" s="366" t="s">
        <v>579</v>
      </c>
      <c r="B69" s="367">
        <f>SUM(B59:B68)</f>
        <v>9522.1000999999997</v>
      </c>
      <c r="C69" s="367">
        <f>SUM(C59:C68)</f>
        <v>15599.649889027252</v>
      </c>
      <c r="D69" s="368">
        <f>SUM(D59:D68)</f>
        <v>481112.33907989308</v>
      </c>
      <c r="E69" s="369">
        <v>1</v>
      </c>
      <c r="F69" s="367">
        <f>D69/B69</f>
        <v>50.52586446553876</v>
      </c>
      <c r="G69" s="369">
        <v>1</v>
      </c>
      <c r="H69" s="384"/>
      <c r="I69" s="384"/>
      <c r="J69" s="383"/>
    </row>
    <row r="71" spans="1:10" ht="26" customHeight="1">
      <c r="A71" s="531" t="s">
        <v>558</v>
      </c>
      <c r="B71" s="531"/>
      <c r="C71" s="531"/>
      <c r="D71" s="531"/>
      <c r="E71" s="531"/>
      <c r="F71" s="531"/>
      <c r="G71" s="531"/>
      <c r="H71" s="531"/>
      <c r="I71" s="531"/>
    </row>
    <row r="72" spans="1:10">
      <c r="A72" s="531"/>
      <c r="B72" s="531"/>
      <c r="C72" s="531"/>
      <c r="D72" s="531"/>
      <c r="E72" s="531"/>
      <c r="F72" s="531"/>
      <c r="G72" s="531"/>
      <c r="H72" s="531"/>
      <c r="I72" s="531"/>
    </row>
    <row r="74" spans="1:10" ht="16" customHeight="1">
      <c r="A74" s="524" t="s">
        <v>559</v>
      </c>
      <c r="B74" s="524"/>
      <c r="C74" s="524"/>
      <c r="D74" s="524"/>
      <c r="E74" s="524"/>
      <c r="F74" s="524"/>
      <c r="G74" s="524"/>
      <c r="H74" s="524"/>
      <c r="I74" s="524"/>
    </row>
    <row r="75" spans="1:10" ht="24" customHeight="1">
      <c r="A75" s="526" t="s">
        <v>560</v>
      </c>
      <c r="B75" s="526"/>
      <c r="C75" s="526"/>
      <c r="D75" s="526"/>
      <c r="E75" s="526"/>
      <c r="F75" s="526"/>
      <c r="G75" s="526"/>
      <c r="H75" s="526"/>
      <c r="I75" s="526"/>
    </row>
    <row r="76" spans="1:10" ht="12" customHeight="1">
      <c r="A76" s="526"/>
      <c r="B76" s="526"/>
      <c r="C76" s="526"/>
      <c r="D76" s="526"/>
      <c r="E76" s="526"/>
      <c r="F76" s="526"/>
      <c r="G76" s="526"/>
      <c r="H76" s="526"/>
      <c r="I76" s="526"/>
    </row>
    <row r="78" spans="1:10" ht="15" customHeight="1">
      <c r="A78" s="372" t="s">
        <v>561</v>
      </c>
    </row>
    <row r="79" spans="1:10" ht="15" customHeight="1">
      <c r="A79" s="519" t="s">
        <v>562</v>
      </c>
      <c r="B79" s="520"/>
      <c r="C79" s="349">
        <f>SUM(EIDirecto_21)+SUM(EIIndirecto_21)</f>
        <v>0</v>
      </c>
    </row>
    <row r="80" spans="1:10" ht="15" customHeight="1">
      <c r="A80" s="525" t="s">
        <v>563</v>
      </c>
      <c r="B80" s="520"/>
      <c r="C80" s="350">
        <f>SUMPRODUCT(EIDirecto_21*Coef_trabajo)</f>
        <v>0</v>
      </c>
    </row>
    <row r="81" spans="1:8" ht="15" customHeight="1">
      <c r="A81" s="519" t="s">
        <v>564</v>
      </c>
      <c r="B81" s="520"/>
      <c r="C81" s="373">
        <f>SUMPRODUCT(EIIndirecto_21*Coef_trabajo)</f>
        <v>0</v>
      </c>
    </row>
    <row r="82" spans="1:8" ht="15" customHeight="1">
      <c r="A82" s="532" t="s">
        <v>565</v>
      </c>
      <c r="B82" s="520"/>
      <c r="C82" s="374">
        <f>SUMPRODUCT((EIDirecto_21+EIIndirecto_21)*Coef_trabajo)</f>
        <v>0</v>
      </c>
    </row>
    <row r="83" spans="1:8" ht="15" customHeight="1">
      <c r="A83" s="519"/>
      <c r="B83" s="520"/>
      <c r="C83" s="373"/>
    </row>
    <row r="85" spans="1:8" ht="15" customHeight="1">
      <c r="A85" s="372" t="s">
        <v>566</v>
      </c>
    </row>
    <row r="86" spans="1:8" ht="30" customHeight="1">
      <c r="A86" s="353" t="s">
        <v>88</v>
      </c>
      <c r="B86" s="354" t="s">
        <v>5</v>
      </c>
      <c r="C86" s="353" t="s">
        <v>539</v>
      </c>
      <c r="D86" s="353" t="s">
        <v>540</v>
      </c>
      <c r="E86" s="353" t="s">
        <v>541</v>
      </c>
      <c r="F86" s="353" t="s">
        <v>542</v>
      </c>
      <c r="G86" s="353" t="s">
        <v>567</v>
      </c>
      <c r="H86" s="353" t="s">
        <v>568</v>
      </c>
    </row>
    <row r="87" spans="1:8" ht="14" customHeight="1">
      <c r="A87" s="355" t="s">
        <v>96</v>
      </c>
      <c r="B87" s="346" t="s">
        <v>10</v>
      </c>
      <c r="C87" s="356">
        <f>INDEX(EIDirecto_21,1)+INDEX(EIIndirecto_21,1)</f>
        <v>0</v>
      </c>
      <c r="D87" s="357">
        <f>INDEX(EIDirecto_21,1)*INDEX(Coef_trabajo,1)</f>
        <v>0</v>
      </c>
      <c r="E87" s="357">
        <f>INDEX(EIIndirecto_21,1)*INDEX(Coef_trabajo,1)</f>
        <v>0</v>
      </c>
      <c r="F87" s="358">
        <f t="shared" ref="F87:F107" si="8">D87+E87</f>
        <v>0</v>
      </c>
      <c r="G87" s="359" t="str">
        <f>IFERROR(F87/$F$108,"")</f>
        <v/>
      </c>
      <c r="H87" s="375">
        <f>INDEX(EInducido21,1)*INDEX(Coef_trabajo,1)</f>
        <v>0</v>
      </c>
    </row>
    <row r="88" spans="1:8" ht="14" customHeight="1">
      <c r="A88" s="360" t="s">
        <v>97</v>
      </c>
      <c r="B88" s="348" t="s">
        <v>11</v>
      </c>
      <c r="C88" s="361">
        <f>INDEX(EIDirecto_21,2)+INDEX(EIIndirecto_21,2)</f>
        <v>0</v>
      </c>
      <c r="D88" s="362">
        <f>INDEX(EIDirecto_21,2)*INDEX(Coef_trabajo,2)</f>
        <v>0</v>
      </c>
      <c r="E88" s="362">
        <f>INDEX(EIIndirecto_21,2)*INDEX(Coef_trabajo,2)</f>
        <v>0</v>
      </c>
      <c r="F88" s="363">
        <f t="shared" si="8"/>
        <v>0</v>
      </c>
      <c r="G88" s="359" t="str">
        <f t="shared" ref="G88:G107" si="9">IFERROR(F88/$F$108,"")</f>
        <v/>
      </c>
      <c r="H88" s="376">
        <f>INDEX(EInducido21,2)*INDEX(Coef_trabajo,2)</f>
        <v>0</v>
      </c>
    </row>
    <row r="89" spans="1:8" ht="14" customHeight="1">
      <c r="A89" s="355" t="s">
        <v>98</v>
      </c>
      <c r="B89" s="346" t="s">
        <v>12</v>
      </c>
      <c r="C89" s="356">
        <f>INDEX(EIDirecto_21,3)+INDEX(EIIndirecto_21,3)</f>
        <v>0</v>
      </c>
      <c r="D89" s="357">
        <f>INDEX(EIDirecto_21,3)*INDEX(Coef_trabajo,3)</f>
        <v>0</v>
      </c>
      <c r="E89" s="357">
        <f>INDEX(EIIndirecto_21,3)*INDEX(Coef_trabajo,3)</f>
        <v>0</v>
      </c>
      <c r="F89" s="358">
        <f t="shared" si="8"/>
        <v>0</v>
      </c>
      <c r="G89" s="359" t="str">
        <f t="shared" si="9"/>
        <v/>
      </c>
      <c r="H89" s="375">
        <f>INDEX(EInducido21,3)*INDEX(Coef_trabajo,3)</f>
        <v>0</v>
      </c>
    </row>
    <row r="90" spans="1:8" ht="14" customHeight="1">
      <c r="A90" s="360" t="s">
        <v>99</v>
      </c>
      <c r="B90" s="348" t="s">
        <v>13</v>
      </c>
      <c r="C90" s="361">
        <f>INDEX(EIDirecto_21,4)+INDEX(EIIndirecto_21,4)</f>
        <v>0</v>
      </c>
      <c r="D90" s="362">
        <f>INDEX(EIDirecto_21,4)*INDEX(Coef_trabajo,4)</f>
        <v>0</v>
      </c>
      <c r="E90" s="362">
        <f>INDEX(EIIndirecto_21,4)*INDEX(Coef_trabajo,4)</f>
        <v>0</v>
      </c>
      <c r="F90" s="363">
        <f t="shared" si="8"/>
        <v>0</v>
      </c>
      <c r="G90" s="359" t="str">
        <f t="shared" si="9"/>
        <v/>
      </c>
      <c r="H90" s="376">
        <f>INDEX(EInducido21,4)*INDEX(Coef_trabajo,4)</f>
        <v>0</v>
      </c>
    </row>
    <row r="91" spans="1:8" ht="14" customHeight="1">
      <c r="A91" s="355" t="s">
        <v>100</v>
      </c>
      <c r="B91" s="346" t="s">
        <v>14</v>
      </c>
      <c r="C91" s="356">
        <f>INDEX(EIDirecto_21,5)+INDEX(EIIndirecto_21,5)</f>
        <v>0</v>
      </c>
      <c r="D91" s="357">
        <f>INDEX(EIDirecto_21,5)*INDEX(Coef_trabajo,5)</f>
        <v>0</v>
      </c>
      <c r="E91" s="357">
        <f>INDEX(EIIndirecto_21,5)*INDEX(Coef_trabajo,5)</f>
        <v>0</v>
      </c>
      <c r="F91" s="358">
        <f t="shared" si="8"/>
        <v>0</v>
      </c>
      <c r="G91" s="359" t="str">
        <f t="shared" si="9"/>
        <v/>
      </c>
      <c r="H91" s="375">
        <f>INDEX(EInducido21,5)*INDEX(Coef_trabajo,5)</f>
        <v>0</v>
      </c>
    </row>
    <row r="92" spans="1:8" ht="14" customHeight="1">
      <c r="A92" s="360" t="s">
        <v>101</v>
      </c>
      <c r="B92" s="348" t="s">
        <v>15</v>
      </c>
      <c r="C92" s="361">
        <f>INDEX(EIDirecto_21,6)+INDEX(EIIndirecto_21,6)</f>
        <v>0</v>
      </c>
      <c r="D92" s="362">
        <f>INDEX(EIDirecto_21,6)*INDEX(Coef_trabajo,6)</f>
        <v>0</v>
      </c>
      <c r="E92" s="362">
        <f>INDEX(EIIndirecto_21,6)*INDEX(Coef_trabajo,6)</f>
        <v>0</v>
      </c>
      <c r="F92" s="363">
        <f t="shared" si="8"/>
        <v>0</v>
      </c>
      <c r="G92" s="359" t="str">
        <f t="shared" si="9"/>
        <v/>
      </c>
      <c r="H92" s="376">
        <f>INDEX(EInducido21,6)*INDEX(Coef_trabajo,6)</f>
        <v>0</v>
      </c>
    </row>
    <row r="93" spans="1:8" ht="14" customHeight="1">
      <c r="A93" s="355" t="s">
        <v>102</v>
      </c>
      <c r="B93" s="346" t="s">
        <v>16</v>
      </c>
      <c r="C93" s="356">
        <f>INDEX(EIDirecto_21,7)+INDEX(EIIndirecto_21,7)</f>
        <v>0</v>
      </c>
      <c r="D93" s="357">
        <f>INDEX(EIDirecto_21,7)*INDEX(Coef_trabajo,7)</f>
        <v>0</v>
      </c>
      <c r="E93" s="357">
        <f>INDEX(EIIndirecto_21,7)*INDEX(Coef_trabajo,7)</f>
        <v>0</v>
      </c>
      <c r="F93" s="358">
        <f t="shared" si="8"/>
        <v>0</v>
      </c>
      <c r="G93" s="359" t="str">
        <f t="shared" si="9"/>
        <v/>
      </c>
      <c r="H93" s="375">
        <f>INDEX(EInducido21,7)*INDEX(Coef_trabajo,7)</f>
        <v>0</v>
      </c>
    </row>
    <row r="94" spans="1:8" ht="14" customHeight="1">
      <c r="A94" s="360" t="s">
        <v>103</v>
      </c>
      <c r="B94" s="348" t="s">
        <v>17</v>
      </c>
      <c r="C94" s="361">
        <f>INDEX(EIDirecto_21,8)+INDEX(EIIndirecto_21,8)</f>
        <v>0</v>
      </c>
      <c r="D94" s="362">
        <f>INDEX(EIDirecto_21,8)*INDEX(Coef_trabajo,8)</f>
        <v>0</v>
      </c>
      <c r="E94" s="362">
        <f>INDEX(EIIndirecto_21,8)*INDEX(Coef_trabajo,8)</f>
        <v>0</v>
      </c>
      <c r="F94" s="363">
        <f t="shared" si="8"/>
        <v>0</v>
      </c>
      <c r="G94" s="359" t="str">
        <f t="shared" si="9"/>
        <v/>
      </c>
      <c r="H94" s="376">
        <f>INDEX(EInducido21,8)*INDEX(Coef_trabajo,8)</f>
        <v>0</v>
      </c>
    </row>
    <row r="95" spans="1:8" ht="14" customHeight="1">
      <c r="A95" s="355" t="s">
        <v>104</v>
      </c>
      <c r="B95" s="346" t="s">
        <v>18</v>
      </c>
      <c r="C95" s="356">
        <f>INDEX(EIDirecto_21,9)+INDEX(EIIndirecto_21,9)</f>
        <v>0</v>
      </c>
      <c r="D95" s="357">
        <f>INDEX(EIDirecto_21,9)*INDEX(Coef_trabajo,9)</f>
        <v>0</v>
      </c>
      <c r="E95" s="357">
        <f>INDEX(EIIndirecto_21,9)*INDEX(Coef_trabajo,9)</f>
        <v>0</v>
      </c>
      <c r="F95" s="358">
        <f t="shared" si="8"/>
        <v>0</v>
      </c>
      <c r="G95" s="359" t="str">
        <f t="shared" si="9"/>
        <v/>
      </c>
      <c r="H95" s="375">
        <f>INDEX(EInducido21,9)*INDEX(Coef_trabajo,9)</f>
        <v>0</v>
      </c>
    </row>
    <row r="96" spans="1:8" ht="14" customHeight="1">
      <c r="A96" s="360" t="s">
        <v>105</v>
      </c>
      <c r="B96" s="348" t="s">
        <v>19</v>
      </c>
      <c r="C96" s="361">
        <f>INDEX(EIDirecto_21,10)+INDEX(EIIndirecto_21,10)</f>
        <v>0</v>
      </c>
      <c r="D96" s="362">
        <f>INDEX(EIDirecto_21,10)*INDEX(Coef_trabajo,10)</f>
        <v>0</v>
      </c>
      <c r="E96" s="362">
        <f>INDEX(EIIndirecto_21,10)*INDEX(Coef_trabajo,10)</f>
        <v>0</v>
      </c>
      <c r="F96" s="363">
        <f t="shared" si="8"/>
        <v>0</v>
      </c>
      <c r="G96" s="359" t="str">
        <f t="shared" si="9"/>
        <v/>
      </c>
      <c r="H96" s="376">
        <f>INDEX(EInducido21,10)*INDEX(Coef_trabajo,10)</f>
        <v>0</v>
      </c>
    </row>
    <row r="97" spans="1:8" ht="14" customHeight="1">
      <c r="A97" s="355" t="s">
        <v>106</v>
      </c>
      <c r="B97" s="346" t="s">
        <v>20</v>
      </c>
      <c r="C97" s="356">
        <f>INDEX(EIDirecto_21,11)+INDEX(EIIndirecto_21,11)</f>
        <v>0</v>
      </c>
      <c r="D97" s="357">
        <f>INDEX(EIDirecto_21,11)*INDEX(Coef_trabajo,11)</f>
        <v>0</v>
      </c>
      <c r="E97" s="357">
        <f>INDEX(EIIndirecto_21,11)*INDEX(Coef_trabajo,11)</f>
        <v>0</v>
      </c>
      <c r="F97" s="358">
        <f t="shared" si="8"/>
        <v>0</v>
      </c>
      <c r="G97" s="359" t="str">
        <f t="shared" si="9"/>
        <v/>
      </c>
      <c r="H97" s="375">
        <f>INDEX(EInducido21,11)*INDEX(Coef_trabajo,11)</f>
        <v>0</v>
      </c>
    </row>
    <row r="98" spans="1:8" ht="14" customHeight="1">
      <c r="A98" s="360" t="s">
        <v>107</v>
      </c>
      <c r="B98" s="348" t="s">
        <v>21</v>
      </c>
      <c r="C98" s="361">
        <f>INDEX(EIDirecto_21,12)+INDEX(EIIndirecto_21,12)</f>
        <v>0</v>
      </c>
      <c r="D98" s="362">
        <f>INDEX(EIDirecto_21,12)*INDEX(Coef_trabajo,12)</f>
        <v>0</v>
      </c>
      <c r="E98" s="362">
        <f>INDEX(EIIndirecto_21,12)*INDEX(Coef_trabajo,12)</f>
        <v>0</v>
      </c>
      <c r="F98" s="363">
        <f t="shared" si="8"/>
        <v>0</v>
      </c>
      <c r="G98" s="359" t="str">
        <f t="shared" si="9"/>
        <v/>
      </c>
      <c r="H98" s="376">
        <f>INDEX(EInducido21,12)*INDEX(Coef_trabajo,12)</f>
        <v>0</v>
      </c>
    </row>
    <row r="99" spans="1:8" ht="14" customHeight="1">
      <c r="A99" s="355" t="s">
        <v>108</v>
      </c>
      <c r="B99" s="346" t="s">
        <v>22</v>
      </c>
      <c r="C99" s="356">
        <f>INDEX(EIDirecto_21,13)+INDEX(EIIndirecto_21,13)</f>
        <v>0</v>
      </c>
      <c r="D99" s="357">
        <f>INDEX(EIDirecto_21,13)*INDEX(Coef_trabajo,13)</f>
        <v>0</v>
      </c>
      <c r="E99" s="357">
        <f>INDEX(EIIndirecto_21,13)*INDEX(Coef_trabajo,13)</f>
        <v>0</v>
      </c>
      <c r="F99" s="358">
        <f t="shared" si="8"/>
        <v>0</v>
      </c>
      <c r="G99" s="359" t="str">
        <f t="shared" si="9"/>
        <v/>
      </c>
      <c r="H99" s="375">
        <f>INDEX(EInducido21,13)*INDEX(Coef_trabajo,13)</f>
        <v>0</v>
      </c>
    </row>
    <row r="100" spans="1:8" ht="14" customHeight="1">
      <c r="A100" s="360" t="s">
        <v>109</v>
      </c>
      <c r="B100" s="348" t="s">
        <v>23</v>
      </c>
      <c r="C100" s="361">
        <f>INDEX(EIDirecto_21,14)+INDEX(EIIndirecto_21,14)</f>
        <v>0</v>
      </c>
      <c r="D100" s="362">
        <f>INDEX(EIDirecto_21,14)*INDEX(Coef_trabajo,14)</f>
        <v>0</v>
      </c>
      <c r="E100" s="362">
        <f>INDEX(EIIndirecto_21,14)*INDEX(Coef_trabajo,14)</f>
        <v>0</v>
      </c>
      <c r="F100" s="363">
        <f t="shared" si="8"/>
        <v>0</v>
      </c>
      <c r="G100" s="359" t="str">
        <f t="shared" si="9"/>
        <v/>
      </c>
      <c r="H100" s="376">
        <f>INDEX(EInducido21,14)*INDEX(Coef_trabajo,14)</f>
        <v>0</v>
      </c>
    </row>
    <row r="101" spans="1:8" ht="14" customHeight="1">
      <c r="A101" s="355" t="s">
        <v>110</v>
      </c>
      <c r="B101" s="346" t="s">
        <v>24</v>
      </c>
      <c r="C101" s="356">
        <f>INDEX(EIDirecto_21,15)+INDEX(EIIndirecto_21,15)</f>
        <v>0</v>
      </c>
      <c r="D101" s="357">
        <f>INDEX(EIDirecto_21,15)*INDEX(Coef_trabajo,15)</f>
        <v>0</v>
      </c>
      <c r="E101" s="357">
        <f>INDEX(EIIndirecto_21,15)*INDEX(Coef_trabajo,15)</f>
        <v>0</v>
      </c>
      <c r="F101" s="358">
        <f t="shared" si="8"/>
        <v>0</v>
      </c>
      <c r="G101" s="359" t="str">
        <f t="shared" si="9"/>
        <v/>
      </c>
      <c r="H101" s="375">
        <f>INDEX(EInducido21,15)*INDEX(Coef_trabajo,15)</f>
        <v>0</v>
      </c>
    </row>
    <row r="102" spans="1:8" ht="14" customHeight="1">
      <c r="A102" s="360" t="s">
        <v>111</v>
      </c>
      <c r="B102" s="348" t="s">
        <v>25</v>
      </c>
      <c r="C102" s="361">
        <f>INDEX(EIDirecto_21,16)+INDEX(EIIndirecto_21,16)</f>
        <v>0</v>
      </c>
      <c r="D102" s="362">
        <f>INDEX(EIDirecto_21,16)*INDEX(Coef_trabajo,16)</f>
        <v>0</v>
      </c>
      <c r="E102" s="362">
        <f>INDEX(EIIndirecto_21,16)*INDEX(Coef_trabajo,16)</f>
        <v>0</v>
      </c>
      <c r="F102" s="363">
        <f t="shared" si="8"/>
        <v>0</v>
      </c>
      <c r="G102" s="359" t="str">
        <f t="shared" si="9"/>
        <v/>
      </c>
      <c r="H102" s="376">
        <f>INDEX(EInducido21,16)*INDEX(Coef_trabajo,16)</f>
        <v>0</v>
      </c>
    </row>
    <row r="103" spans="1:8" ht="14" customHeight="1">
      <c r="A103" s="355" t="s">
        <v>112</v>
      </c>
      <c r="B103" s="346" t="s">
        <v>26</v>
      </c>
      <c r="C103" s="356">
        <f>INDEX(EIDirecto_21,17)+INDEX(EIIndirecto_21,17)</f>
        <v>0</v>
      </c>
      <c r="D103" s="357">
        <f>INDEX(EIDirecto_21,17)*INDEX(Coef_trabajo,17)</f>
        <v>0</v>
      </c>
      <c r="E103" s="357">
        <f>INDEX(EIIndirecto_21,17)*INDEX(Coef_trabajo,17)</f>
        <v>0</v>
      </c>
      <c r="F103" s="358">
        <f t="shared" si="8"/>
        <v>0</v>
      </c>
      <c r="G103" s="359" t="str">
        <f t="shared" si="9"/>
        <v/>
      </c>
      <c r="H103" s="375">
        <f>INDEX(EInducido21,17)*INDEX(Coef_trabajo,17)</f>
        <v>0</v>
      </c>
    </row>
    <row r="104" spans="1:8" ht="14" customHeight="1">
      <c r="A104" s="360" t="s">
        <v>113</v>
      </c>
      <c r="B104" s="348" t="s">
        <v>27</v>
      </c>
      <c r="C104" s="361">
        <f>INDEX(EIDirecto_21,18)+INDEX(EIIndirecto_21,18)</f>
        <v>0</v>
      </c>
      <c r="D104" s="362">
        <f>INDEX(EIDirecto_21,18)*INDEX(Coef_trabajo,18)</f>
        <v>0</v>
      </c>
      <c r="E104" s="362">
        <f>INDEX(EIIndirecto_21,18)*INDEX(Coef_trabajo,18)</f>
        <v>0</v>
      </c>
      <c r="F104" s="363">
        <f t="shared" si="8"/>
        <v>0</v>
      </c>
      <c r="G104" s="359" t="str">
        <f t="shared" si="9"/>
        <v/>
      </c>
      <c r="H104" s="376">
        <f>INDEX(EInducido21,18)*INDEX(Coef_trabajo,18)</f>
        <v>0</v>
      </c>
    </row>
    <row r="105" spans="1:8" ht="14" customHeight="1">
      <c r="A105" s="355" t="s">
        <v>114</v>
      </c>
      <c r="B105" s="346" t="s">
        <v>28</v>
      </c>
      <c r="C105" s="356">
        <f>INDEX(EIDirecto_21,19)+INDEX(EIIndirecto_21,19)</f>
        <v>0</v>
      </c>
      <c r="D105" s="357">
        <f>INDEX(EIDirecto_21,19)*INDEX(Coef_trabajo,19)</f>
        <v>0</v>
      </c>
      <c r="E105" s="357">
        <f>INDEX(EIIndirecto_21,19)*INDEX(Coef_trabajo,19)</f>
        <v>0</v>
      </c>
      <c r="F105" s="358">
        <f t="shared" si="8"/>
        <v>0</v>
      </c>
      <c r="G105" s="359" t="str">
        <f t="shared" si="9"/>
        <v/>
      </c>
      <c r="H105" s="375">
        <f>INDEX(EInducido21,19)*INDEX(Coef_trabajo,19)</f>
        <v>0</v>
      </c>
    </row>
    <row r="106" spans="1:8" ht="14" customHeight="1">
      <c r="A106" s="360" t="s">
        <v>115</v>
      </c>
      <c r="B106" s="348" t="s">
        <v>29</v>
      </c>
      <c r="C106" s="361">
        <f>INDEX(EIDirecto_21,20)+INDEX(EIIndirecto_21,20)</f>
        <v>0</v>
      </c>
      <c r="D106" s="362">
        <f>INDEX(EIDirecto_21,20)*INDEX(Coef_trabajo,20)</f>
        <v>0</v>
      </c>
      <c r="E106" s="362">
        <f>INDEX(EIIndirecto_21,20)*INDEX(Coef_trabajo,20)</f>
        <v>0</v>
      </c>
      <c r="F106" s="363">
        <f t="shared" si="8"/>
        <v>0</v>
      </c>
      <c r="G106" s="359" t="str">
        <f t="shared" si="9"/>
        <v/>
      </c>
      <c r="H106" s="376">
        <f>INDEX(EInducido21,20)*INDEX(Coef_trabajo,20)</f>
        <v>0</v>
      </c>
    </row>
    <row r="107" spans="1:8" ht="14" customHeight="1">
      <c r="A107" s="355" t="s">
        <v>116</v>
      </c>
      <c r="B107" s="346" t="s">
        <v>30</v>
      </c>
      <c r="C107" s="356">
        <f>INDEX(EIDirecto_21,21)+INDEX(EIIndirecto_21,21)</f>
        <v>0</v>
      </c>
      <c r="D107" s="357">
        <f>INDEX(EIDirecto_21,21)*INDEX(Coef_trabajo,21)</f>
        <v>0</v>
      </c>
      <c r="E107" s="357">
        <f>INDEX(EIIndirecto_21,21)*INDEX(Coef_trabajo,21)</f>
        <v>0</v>
      </c>
      <c r="F107" s="358">
        <f t="shared" si="8"/>
        <v>0</v>
      </c>
      <c r="G107" s="359" t="str">
        <f t="shared" si="9"/>
        <v/>
      </c>
      <c r="H107" s="375">
        <f>INDEX(EInducido21,21)*INDEX(Coef_trabajo,21)</f>
        <v>0</v>
      </c>
    </row>
    <row r="108" spans="1:8" ht="16" customHeight="1">
      <c r="A108" s="365"/>
      <c r="B108" s="366" t="s">
        <v>152</v>
      </c>
      <c r="C108" s="367">
        <f>SUM(C87:C107)</f>
        <v>0</v>
      </c>
      <c r="D108" s="368">
        <f>SUM(D87:D107)</f>
        <v>0</v>
      </c>
      <c r="E108" s="368">
        <f>SUM(E87:E107)</f>
        <v>0</v>
      </c>
      <c r="F108" s="368">
        <f>SUM(F87:F107)</f>
        <v>0</v>
      </c>
      <c r="G108" s="369" t="str">
        <f>IFERROR(F108/F108,"")</f>
        <v/>
      </c>
      <c r="H108" s="368">
        <f>SUM(H87:H107)</f>
        <v>0</v>
      </c>
    </row>
    <row r="110" spans="1:8" ht="15" customHeight="1">
      <c r="A110" s="372" t="s">
        <v>569</v>
      </c>
    </row>
    <row r="111" spans="1:8" ht="30" customHeight="1">
      <c r="A111" s="353" t="s">
        <v>546</v>
      </c>
      <c r="B111" s="353" t="s">
        <v>547</v>
      </c>
      <c r="C111" s="353" t="s">
        <v>570</v>
      </c>
      <c r="D111" s="353" t="s">
        <v>567</v>
      </c>
      <c r="E111" s="353" t="s">
        <v>571</v>
      </c>
      <c r="F111" s="353" t="s">
        <v>572</v>
      </c>
      <c r="G111" s="353" t="s">
        <v>573</v>
      </c>
    </row>
    <row r="112" spans="1:8" ht="14" customHeight="1">
      <c r="A112" s="527" t="s">
        <v>167</v>
      </c>
      <c r="B112" s="346" t="s">
        <v>175</v>
      </c>
      <c r="C112" s="357">
        <f>SUMPRODUCT((EIDirecto_21+EIIndirecto_21)*Coef_trabajo_H)</f>
        <v>0</v>
      </c>
      <c r="D112" s="359" t="str">
        <f>IFERROR(C112/$C$82,"")</f>
        <v/>
      </c>
      <c r="E112" s="377">
        <f>$D$41</f>
        <v>0.63633296788507676</v>
      </c>
      <c r="F112" s="377">
        <f>$E$41</f>
        <v>0.57918051298284545</v>
      </c>
      <c r="G112" s="370" t="str">
        <f t="shared" ref="G112:G120" si="10">IFERROR((D112-E112)*100,"")</f>
        <v/>
      </c>
    </row>
    <row r="113" spans="1:7" ht="14" customHeight="1">
      <c r="A113" s="528"/>
      <c r="B113" s="346" t="s">
        <v>171</v>
      </c>
      <c r="C113" s="357">
        <f>SUMPRODUCT((EIDirecto_21+EIIndirecto_21)*Coef_trabajo_M)</f>
        <v>0</v>
      </c>
      <c r="D113" s="359" t="str">
        <f t="shared" ref="D113:D120" si="11">IFERROR(C113/$C$82,"")</f>
        <v/>
      </c>
      <c r="E113" s="377">
        <f>$D$42</f>
        <v>0.36366703211492329</v>
      </c>
      <c r="F113" s="377">
        <f>$E$42</f>
        <v>0.42081948701715455</v>
      </c>
      <c r="G113" s="370" t="str">
        <f t="shared" si="10"/>
        <v/>
      </c>
    </row>
    <row r="114" spans="1:7" ht="14" customHeight="1">
      <c r="A114" s="529" t="s">
        <v>163</v>
      </c>
      <c r="B114" s="348" t="s">
        <v>551</v>
      </c>
      <c r="C114" s="362">
        <f>SUMPRODUCT((EIDirecto_21+EIIndirecto_21)*Coef_trabajo_Baja)</f>
        <v>0</v>
      </c>
      <c r="D114" s="359" t="str">
        <f t="shared" si="11"/>
        <v/>
      </c>
      <c r="E114" s="378">
        <f>$D$43</f>
        <v>0.42836146385683826</v>
      </c>
      <c r="F114" s="378">
        <f>$E$43</f>
        <v>0.34015664321778449</v>
      </c>
      <c r="G114" s="371" t="str">
        <f t="shared" si="10"/>
        <v/>
      </c>
    </row>
    <row r="115" spans="1:7" ht="14" customHeight="1">
      <c r="A115" s="530"/>
      <c r="B115" s="348" t="s">
        <v>552</v>
      </c>
      <c r="C115" s="362">
        <f>SUMPRODUCT((EIDirecto_21+EIIndirecto_21)*Coef_trabajo_Media)</f>
        <v>0</v>
      </c>
      <c r="D115" s="359" t="str">
        <f t="shared" si="11"/>
        <v/>
      </c>
      <c r="E115" s="378">
        <f>$D$44</f>
        <v>0.34854980416899217</v>
      </c>
      <c r="F115" s="378">
        <f>$E$44</f>
        <v>0.36053921576528208</v>
      </c>
      <c r="G115" s="371" t="str">
        <f t="shared" si="10"/>
        <v/>
      </c>
    </row>
    <row r="116" spans="1:7" ht="14" customHeight="1">
      <c r="A116" s="528"/>
      <c r="B116" s="348" t="s">
        <v>553</v>
      </c>
      <c r="C116" s="362">
        <f>SUMPRODUCT((EIDirecto_21+EIIndirecto_21)*Coef_trabajo_Alta)</f>
        <v>0</v>
      </c>
      <c r="D116" s="359" t="str">
        <f t="shared" si="11"/>
        <v/>
      </c>
      <c r="E116" s="378">
        <f>$D$45</f>
        <v>0.22308873197416945</v>
      </c>
      <c r="F116" s="378">
        <f>$E$45</f>
        <v>0.29930414101693342</v>
      </c>
      <c r="G116" s="371" t="str">
        <f t="shared" si="10"/>
        <v/>
      </c>
    </row>
    <row r="117" spans="1:7" ht="14" customHeight="1">
      <c r="A117" s="527" t="s">
        <v>554</v>
      </c>
      <c r="B117" s="346" t="s">
        <v>172</v>
      </c>
      <c r="C117" s="357">
        <f>SUMPRODUCT((EIDirecto_21+EIIndirecto_21)*Coef_trabajo_Formal)</f>
        <v>0</v>
      </c>
      <c r="D117" s="359" t="str">
        <f t="shared" si="11"/>
        <v/>
      </c>
      <c r="E117" s="377">
        <f>$D$46</f>
        <v>0.28181820126632101</v>
      </c>
      <c r="F117" s="377">
        <f>$E$46</f>
        <v>0.32504902151982668</v>
      </c>
      <c r="G117" s="370" t="str">
        <f t="shared" si="10"/>
        <v/>
      </c>
    </row>
    <row r="118" spans="1:7" ht="14" customHeight="1">
      <c r="A118" s="528"/>
      <c r="B118" s="346" t="s">
        <v>176</v>
      </c>
      <c r="C118" s="357">
        <f>SUMPRODUCT((EIDirecto_21+EIIndirecto_21)*Coef_trabajo_Informal)</f>
        <v>0</v>
      </c>
      <c r="D118" s="359" t="str">
        <f t="shared" si="11"/>
        <v/>
      </c>
      <c r="E118" s="377">
        <f>$D$47</f>
        <v>0.71818179873367893</v>
      </c>
      <c r="F118" s="377">
        <f>$E$47</f>
        <v>0.67495097848017327</v>
      </c>
      <c r="G118" s="370" t="str">
        <f t="shared" si="10"/>
        <v/>
      </c>
    </row>
    <row r="119" spans="1:7" ht="14" customHeight="1">
      <c r="A119" s="529" t="s">
        <v>555</v>
      </c>
      <c r="B119" s="348" t="s">
        <v>173</v>
      </c>
      <c r="C119" s="362">
        <f>SUMPRODUCT((EIDirecto_21+EIIndirecto_21)*Coef_trabajo_Urbano)</f>
        <v>0</v>
      </c>
      <c r="D119" s="359" t="str">
        <f t="shared" si="11"/>
        <v/>
      </c>
      <c r="E119" s="378">
        <f>$D$48</f>
        <v>0.50190230327346008</v>
      </c>
      <c r="F119" s="378">
        <f>$E$48</f>
        <v>0.6316627925455699</v>
      </c>
      <c r="G119" s="371" t="str">
        <f t="shared" si="10"/>
        <v/>
      </c>
    </row>
    <row r="120" spans="1:7" ht="14" customHeight="1">
      <c r="A120" s="528"/>
      <c r="B120" s="348" t="s">
        <v>177</v>
      </c>
      <c r="C120" s="362">
        <f>SUMPRODUCT((EIDirecto_21+EIIndirecto_21)*Coef_trabajo_Rural)</f>
        <v>0</v>
      </c>
      <c r="D120" s="359" t="str">
        <f t="shared" si="11"/>
        <v/>
      </c>
      <c r="E120" s="378">
        <f>$D$49</f>
        <v>0.49809769672653997</v>
      </c>
      <c r="F120" s="378">
        <f>$E$49</f>
        <v>0.36833720745443005</v>
      </c>
      <c r="G120" s="371" t="str">
        <f t="shared" si="10"/>
        <v/>
      </c>
    </row>
    <row r="123" spans="1:7" ht="30" customHeight="1"/>
    <row r="124" spans="1:7" ht="14" customHeight="1"/>
  </sheetData>
  <mergeCells count="30">
    <mergeCell ref="A119:A120"/>
    <mergeCell ref="A81:B81"/>
    <mergeCell ref="A82:B82"/>
    <mergeCell ref="A83:B83"/>
    <mergeCell ref="A112:A113"/>
    <mergeCell ref="A114:A116"/>
    <mergeCell ref="A117:A118"/>
    <mergeCell ref="A71:I72"/>
    <mergeCell ref="A74:I74"/>
    <mergeCell ref="A75:I76"/>
    <mergeCell ref="A79:B79"/>
    <mergeCell ref="A80:B80"/>
    <mergeCell ref="A53:I54"/>
    <mergeCell ref="A8:B8"/>
    <mergeCell ref="A9:B9"/>
    <mergeCell ref="A10:B10"/>
    <mergeCell ref="A11:B11"/>
    <mergeCell ref="A13:I13"/>
    <mergeCell ref="A39:I39"/>
    <mergeCell ref="A41:A42"/>
    <mergeCell ref="A43:A45"/>
    <mergeCell ref="A46:A47"/>
    <mergeCell ref="A48:A49"/>
    <mergeCell ref="A52:I52"/>
    <mergeCell ref="A7:B7"/>
    <mergeCell ref="A1:I1"/>
    <mergeCell ref="A2:I2"/>
    <mergeCell ref="A3:I3"/>
    <mergeCell ref="A5:I5"/>
    <mergeCell ref="A6:B6"/>
  </mergeCells>
  <conditionalFormatting sqref="F41:F4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{4A8DE9A6-3048-184D-AAD2-EED60044477E}</x14:id>
        </ext>
      </extLst>
    </cfRule>
  </conditionalFormatting>
  <conditionalFormatting sqref="D112:D1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{E7914FA9-1A6F-744D-9767-BD58D8D88F91}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8DE9A6-3048-184D-AAD2-EED6004447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F41:F49</xm:sqref>
        </x14:conditionalFormatting>
        <x14:conditionalFormatting xmlns:xm="http://schemas.microsoft.com/office/excel/2006/main">
          <x14:cfRule type="dataBar" id="{E7914FA9-1A6F-744D-9767-BD58D8D88F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D112:D120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5">
    <tabColor theme="5" tint="0.39997558519241921"/>
  </sheetPr>
  <dimension ref="A1:L75"/>
  <sheetViews>
    <sheetView showGridLines="0" topLeftCell="A2" workbookViewId="0">
      <selection activeCell="C8" sqref="C8"/>
    </sheetView>
  </sheetViews>
  <sheetFormatPr baseColWidth="10" defaultColWidth="8.83203125" defaultRowHeight="16"/>
  <cols>
    <col min="1" max="1" width="7" customWidth="1"/>
    <col min="2" max="2" width="30" customWidth="1"/>
    <col min="3" max="5" width="11" customWidth="1"/>
    <col min="6" max="6" width="19" customWidth="1"/>
    <col min="7" max="7" width="18" customWidth="1"/>
  </cols>
  <sheetData>
    <row r="1" spans="1:12" ht="6" customHeight="1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</row>
    <row r="2" spans="1:12" ht="30" customHeight="1">
      <c r="A2" s="522" t="s">
        <v>215</v>
      </c>
      <c r="B2" s="431"/>
      <c r="C2" s="431"/>
      <c r="D2" s="431"/>
      <c r="E2" s="431"/>
      <c r="F2" s="431"/>
      <c r="G2" s="431"/>
      <c r="H2" s="194"/>
      <c r="I2" s="194"/>
      <c r="J2" s="194"/>
      <c r="K2" s="194"/>
      <c r="L2" s="194"/>
    </row>
    <row r="3" spans="1:12" ht="18" customHeight="1">
      <c r="A3" s="523" t="s">
        <v>216</v>
      </c>
      <c r="B3" s="431"/>
      <c r="C3" s="431"/>
      <c r="D3" s="431"/>
      <c r="E3" s="431"/>
      <c r="F3" s="431"/>
      <c r="G3" s="431"/>
      <c r="H3" s="194"/>
      <c r="I3" s="194"/>
      <c r="J3" s="194"/>
      <c r="K3" s="194"/>
      <c r="L3" s="194"/>
    </row>
    <row r="4" spans="1:12" ht="4" customHeight="1">
      <c r="A4" s="440"/>
      <c r="B4" s="431"/>
      <c r="C4" s="431"/>
      <c r="D4" s="431"/>
      <c r="E4" s="431"/>
      <c r="F4" s="431"/>
      <c r="G4" s="431"/>
      <c r="H4" s="194"/>
      <c r="I4" s="194"/>
      <c r="J4" s="194"/>
      <c r="K4" s="194"/>
      <c r="L4" s="194"/>
    </row>
    <row r="5" spans="1:12" ht="6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</row>
    <row r="6" spans="1:12">
      <c r="A6" s="534" t="s">
        <v>217</v>
      </c>
      <c r="B6" s="431"/>
      <c r="C6" s="214">
        <v>0.55000000000000004</v>
      </c>
      <c r="D6" s="224" t="s">
        <v>218</v>
      </c>
      <c r="E6" s="194"/>
      <c r="F6" s="194"/>
      <c r="G6" s="194"/>
      <c r="H6" s="194"/>
      <c r="I6" s="194"/>
      <c r="J6" s="194"/>
      <c r="K6" s="194"/>
      <c r="L6" s="194"/>
    </row>
    <row r="7" spans="1:12">
      <c r="A7" s="534" t="s">
        <v>219</v>
      </c>
      <c r="B7" s="431"/>
      <c r="C7" s="215">
        <f>SUM(ValorAgregado21)/SUM(VBP_21)</f>
        <v>0.53298898530519778</v>
      </c>
      <c r="D7" s="194"/>
      <c r="E7" s="194"/>
      <c r="F7" s="194"/>
      <c r="G7" s="194"/>
      <c r="H7" s="194"/>
      <c r="I7" s="194"/>
      <c r="J7" s="194"/>
      <c r="K7" s="194"/>
      <c r="L7" s="194"/>
    </row>
    <row r="8" spans="1:12">
      <c r="A8" s="534" t="s">
        <v>220</v>
      </c>
      <c r="B8" s="431"/>
      <c r="C8" s="214">
        <v>0.1</v>
      </c>
      <c r="D8" s="194"/>
      <c r="E8" s="194"/>
      <c r="F8" s="194"/>
      <c r="G8" s="194"/>
      <c r="H8" s="194"/>
      <c r="I8" s="194"/>
      <c r="J8" s="194"/>
      <c r="K8" s="194"/>
      <c r="L8" s="194"/>
    </row>
    <row r="9" spans="1:12" ht="6" customHeight="1">
      <c r="A9" s="194"/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</row>
    <row r="10" spans="1:12" ht="34" customHeight="1" thickBot="1">
      <c r="A10" s="225" t="s">
        <v>88</v>
      </c>
      <c r="B10" s="225" t="s">
        <v>5</v>
      </c>
      <c r="C10" s="225" t="s">
        <v>221</v>
      </c>
      <c r="D10" s="225" t="s">
        <v>222</v>
      </c>
      <c r="E10" s="225" t="s">
        <v>223</v>
      </c>
      <c r="F10" s="225" t="s">
        <v>224</v>
      </c>
      <c r="G10" s="225" t="s">
        <v>225</v>
      </c>
      <c r="H10" s="194"/>
      <c r="I10" s="194"/>
      <c r="J10" s="194"/>
      <c r="K10" s="194"/>
      <c r="L10" s="194"/>
    </row>
    <row r="11" spans="1:12">
      <c r="A11" s="216" t="str">
        <f>MRIO!A4</f>
        <v>AGR</v>
      </c>
      <c r="B11" s="219" t="str">
        <f>MRIO!B4</f>
        <v>Agricultura, ganadería, caza y pesca</v>
      </c>
      <c r="C11" s="217" cm="1">
        <f t="array" ref="C11:C31">TRANSPOSE(ValorAgregado21/VBP_21)</f>
        <v>0.55075696865998136</v>
      </c>
      <c r="D11" s="218" cm="1">
        <f t="array" ref="D11:D31">TRANSPOSE((Importaciones/VBP_21))</f>
        <v>7.033635832015768E-2</v>
      </c>
      <c r="E11" s="226" cm="1">
        <f t="array" ref="E11:E31">Coef_trabajo</f>
        <v>57.401399146650505</v>
      </c>
      <c r="F11" s="227" t="str">
        <f>'Encadenamientos Internos'!F4</f>
        <v>Dependiente en Demanda</v>
      </c>
      <c r="G11" s="219" t="str">
        <f t="shared" ref="G11:G31" si="0">IF(C11="","s/d",IF(C11&gt;=$C$6+$C$8,"● Alta retención",IF(C11&gt;=$C$6-$C$8,"● Media","● Baja / ensamblaje")))</f>
        <v>● Media</v>
      </c>
      <c r="H11" s="194"/>
      <c r="I11" s="194"/>
      <c r="J11" s="194"/>
      <c r="K11" s="194"/>
      <c r="L11" s="194"/>
    </row>
    <row r="12" spans="1:12">
      <c r="A12" s="220" t="str">
        <f>MRIO!A5</f>
        <v>MNE</v>
      </c>
      <c r="B12" s="223" t="str">
        <f>MRIO!B5</f>
        <v>Minería</v>
      </c>
      <c r="C12" s="217">
        <v>0.3214285714285714</v>
      </c>
      <c r="D12" s="222">
        <v>0.22425788497217067</v>
      </c>
      <c r="E12" s="228">
        <v>10.173933209647494</v>
      </c>
      <c r="F12" s="229" t="str">
        <f>'Encadenamientos Internos'!F5</f>
        <v>Dependiente sobre oferta</v>
      </c>
      <c r="G12" s="223" t="str">
        <f t="shared" si="0"/>
        <v>● Baja / ensamblaje</v>
      </c>
      <c r="H12" s="194"/>
      <c r="I12" s="194"/>
      <c r="J12" s="194"/>
      <c r="K12" s="194"/>
      <c r="L12" s="194"/>
    </row>
    <row r="13" spans="1:12">
      <c r="A13" s="216" t="str">
        <f>MRIO!A6</f>
        <v>ALI</v>
      </c>
      <c r="B13" s="219" t="str">
        <f>MRIO!B6</f>
        <v>Alimentos, bebidas y tabacos</v>
      </c>
      <c r="C13" s="217">
        <v>0.35635533652403284</v>
      </c>
      <c r="D13" s="218">
        <v>6.4690644300178471E-2</v>
      </c>
      <c r="E13" s="226">
        <v>7.7405266233868781</v>
      </c>
      <c r="F13" s="227" t="str">
        <f>'Encadenamientos Internos'!F6</f>
        <v>Dependiente sobre oferta</v>
      </c>
      <c r="G13" s="219" t="str">
        <f t="shared" si="0"/>
        <v>● Baja / ensamblaje</v>
      </c>
      <c r="H13" s="194"/>
      <c r="I13" s="194"/>
      <c r="J13" s="194"/>
      <c r="K13" s="194"/>
      <c r="L13" s="194"/>
    </row>
    <row r="14" spans="1:12">
      <c r="A14" s="220" t="str">
        <f>MRIO!A7</f>
        <v>TEX</v>
      </c>
      <c r="B14" s="223" t="str">
        <f>MRIO!B7</f>
        <v>Textiles, confecciones y calzado</v>
      </c>
      <c r="C14" s="217">
        <v>0.51515151515151514</v>
      </c>
      <c r="D14" s="222">
        <v>0.11678388469219417</v>
      </c>
      <c r="E14" s="228">
        <v>60.576539029261099</v>
      </c>
      <c r="F14" s="229" t="str">
        <f>'Encadenamientos Internos'!F7</f>
        <v>Independientes</v>
      </c>
      <c r="G14" s="223" t="str">
        <f t="shared" si="0"/>
        <v>● Media</v>
      </c>
      <c r="H14" s="194"/>
      <c r="I14" s="194"/>
      <c r="J14" s="194"/>
      <c r="K14" s="194"/>
      <c r="L14" s="194"/>
    </row>
    <row r="15" spans="1:12">
      <c r="A15" s="216" t="str">
        <f>MRIO!A8</f>
        <v>MAD</v>
      </c>
      <c r="B15" s="219" t="str">
        <f>MRIO!B8</f>
        <v>Madera, papel y cartón</v>
      </c>
      <c r="C15" s="217">
        <v>0.39780207200503687</v>
      </c>
      <c r="D15" s="218">
        <v>8.0132791483029014E-2</v>
      </c>
      <c r="E15" s="226">
        <v>17.741400034342625</v>
      </c>
      <c r="F15" s="227" t="str">
        <f>'Encadenamientos Internos'!F8</f>
        <v>Clave</v>
      </c>
      <c r="G15" s="219" t="str">
        <f t="shared" si="0"/>
        <v>● Baja / ensamblaje</v>
      </c>
      <c r="H15" s="194"/>
      <c r="I15" s="194"/>
      <c r="J15" s="194"/>
      <c r="K15" s="194"/>
      <c r="L15" s="194"/>
    </row>
    <row r="16" spans="1:12">
      <c r="A16" s="220" t="str">
        <f>MRIO!A9</f>
        <v>QUI</v>
      </c>
      <c r="B16" s="223" t="str">
        <f>MRIO!B9</f>
        <v>Química, farmacia y caucho</v>
      </c>
      <c r="C16" s="217">
        <v>0.33825593952483796</v>
      </c>
      <c r="D16" s="222">
        <v>0.24306155507559393</v>
      </c>
      <c r="E16" s="228">
        <v>6.7856371490280774</v>
      </c>
      <c r="F16" s="229" t="str">
        <f>'Encadenamientos Internos'!F9</f>
        <v>Clave</v>
      </c>
      <c r="G16" s="223" t="str">
        <f t="shared" si="0"/>
        <v>● Baja / ensamblaje</v>
      </c>
      <c r="H16" s="194"/>
      <c r="I16" s="194"/>
      <c r="J16" s="194"/>
      <c r="K16" s="194"/>
      <c r="L16" s="194"/>
    </row>
    <row r="17" spans="1:12">
      <c r="A17" s="216" t="str">
        <f>MRIO!A10</f>
        <v>MNM</v>
      </c>
      <c r="B17" s="219" t="str">
        <f>MRIO!B10</f>
        <v>Minerales no metálicos</v>
      </c>
      <c r="C17" s="217">
        <v>0.38107354901248025</v>
      </c>
      <c r="D17" s="218">
        <v>0.15000605840300493</v>
      </c>
      <c r="E17" s="226">
        <v>34.966678783472666</v>
      </c>
      <c r="F17" s="227" t="str">
        <f>'Encadenamientos Internos'!F10</f>
        <v>Dependiente sobre oferta</v>
      </c>
      <c r="G17" s="219" t="str">
        <f t="shared" si="0"/>
        <v>● Baja / ensamblaje</v>
      </c>
      <c r="H17" s="194"/>
      <c r="I17" s="194"/>
      <c r="J17" s="194"/>
      <c r="K17" s="194"/>
      <c r="L17" s="194"/>
    </row>
    <row r="18" spans="1:12">
      <c r="A18" s="220" t="str">
        <f>MRIO!A11</f>
        <v>HIE</v>
      </c>
      <c r="B18" s="223" t="str">
        <f>MRIO!B11</f>
        <v>Hierro y acero</v>
      </c>
      <c r="C18" s="217">
        <v>0.55649999999999988</v>
      </c>
      <c r="D18" s="222">
        <v>0.193</v>
      </c>
      <c r="E18" s="228">
        <v>19.53</v>
      </c>
      <c r="F18" s="229" t="str">
        <f>'Encadenamientos Internos'!F11</f>
        <v>Independientes</v>
      </c>
      <c r="G18" s="223" t="str">
        <f t="shared" si="0"/>
        <v>● Media</v>
      </c>
      <c r="H18" s="194"/>
      <c r="I18" s="194"/>
      <c r="J18" s="194"/>
      <c r="K18" s="194"/>
      <c r="L18" s="194"/>
    </row>
    <row r="19" spans="1:12">
      <c r="A19" s="216" t="str">
        <f>MRIO!A12</f>
        <v>MET</v>
      </c>
      <c r="B19" s="219" t="str">
        <f>MRIO!B12</f>
        <v>Productos de metal</v>
      </c>
      <c r="C19" s="217">
        <v>0.4263301500682129</v>
      </c>
      <c r="D19" s="218">
        <v>0.22968232313389206</v>
      </c>
      <c r="E19" s="226">
        <v>20.000000000000004</v>
      </c>
      <c r="F19" s="227" t="str">
        <f>'Encadenamientos Internos'!F12</f>
        <v>Independientes</v>
      </c>
      <c r="G19" s="219" t="str">
        <f t="shared" si="0"/>
        <v>● Baja / ensamblaje</v>
      </c>
      <c r="H19" s="194"/>
      <c r="I19" s="194"/>
      <c r="J19" s="194"/>
      <c r="K19" s="194"/>
      <c r="L19" s="194"/>
    </row>
    <row r="20" spans="1:12">
      <c r="A20" s="220" t="str">
        <f>MRIO!A13</f>
        <v>MAQ</v>
      </c>
      <c r="B20" s="223" t="str">
        <f>MRIO!B13</f>
        <v>Maquinaria, equipo y vehículos</v>
      </c>
      <c r="C20" s="217">
        <v>0.32219218481199313</v>
      </c>
      <c r="D20" s="222">
        <v>0.20054067338412387</v>
      </c>
      <c r="E20" s="228">
        <v>23.219464241828462</v>
      </c>
      <c r="F20" s="229" t="str">
        <f>'Encadenamientos Internos'!F13</f>
        <v>Dependiente sobre oferta</v>
      </c>
      <c r="G20" s="223" t="str">
        <f t="shared" si="0"/>
        <v>● Baja / ensamblaje</v>
      </c>
      <c r="H20" s="194"/>
      <c r="I20" s="194"/>
      <c r="J20" s="194"/>
      <c r="K20" s="194"/>
      <c r="L20" s="194"/>
    </row>
    <row r="21" spans="1:12">
      <c r="A21" s="216" t="str">
        <f>MRIO!A14</f>
        <v>OMF</v>
      </c>
      <c r="B21" s="219" t="str">
        <f>MRIO!B14</f>
        <v>Otras manufacturas y reparación</v>
      </c>
      <c r="C21" s="217">
        <v>0.42638965327462852</v>
      </c>
      <c r="D21" s="218">
        <v>0.19028618602091363</v>
      </c>
      <c r="E21" s="226">
        <v>25.475371491469456</v>
      </c>
      <c r="F21" s="227" t="str">
        <f>'Encadenamientos Internos'!F14</f>
        <v>Independientes</v>
      </c>
      <c r="G21" s="219" t="str">
        <f t="shared" si="0"/>
        <v>● Baja / ensamblaje</v>
      </c>
      <c r="H21" s="194"/>
      <c r="I21" s="194"/>
      <c r="J21" s="194"/>
      <c r="K21" s="194"/>
      <c r="L21" s="194"/>
    </row>
    <row r="22" spans="1:12">
      <c r="A22" s="220" t="str">
        <f>MRIO!A15</f>
        <v>EGA</v>
      </c>
      <c r="B22" s="223" t="str">
        <f>MRIO!B15</f>
        <v>Electricidad, gas, y agua</v>
      </c>
      <c r="C22" s="217">
        <v>0.83216121978606461</v>
      </c>
      <c r="D22" s="222">
        <v>5.9393652857396145E-3</v>
      </c>
      <c r="E22" s="228">
        <v>7.5725429939128901</v>
      </c>
      <c r="F22" s="229" t="str">
        <f>'Encadenamientos Internos'!F15</f>
        <v>Dependiente en Demanda</v>
      </c>
      <c r="G22" s="223" t="str">
        <f t="shared" si="0"/>
        <v>● Alta retención</v>
      </c>
      <c r="H22" s="194"/>
      <c r="I22" s="194"/>
      <c r="J22" s="194"/>
      <c r="K22" s="194"/>
      <c r="L22" s="194"/>
    </row>
    <row r="23" spans="1:12">
      <c r="A23" s="216" t="str">
        <f>MRIO!A16</f>
        <v>CON</v>
      </c>
      <c r="B23" s="219" t="str">
        <f>MRIO!B16</f>
        <v>Construcción</v>
      </c>
      <c r="C23" s="217">
        <v>0.52357202855942875</v>
      </c>
      <c r="D23" s="218">
        <v>9.813803723925521E-2</v>
      </c>
      <c r="E23" s="226">
        <v>37.169431611367777</v>
      </c>
      <c r="F23" s="227" t="str">
        <f>'Encadenamientos Internos'!F16</f>
        <v>Dependiente sobre oferta</v>
      </c>
      <c r="G23" s="219" t="str">
        <f t="shared" si="0"/>
        <v>● Media</v>
      </c>
      <c r="H23" s="194"/>
      <c r="I23" s="194"/>
      <c r="J23" s="194"/>
      <c r="K23" s="194"/>
      <c r="L23" s="194"/>
    </row>
    <row r="24" spans="1:12">
      <c r="A24" s="220" t="str">
        <f>MRIO!A17</f>
        <v>COM</v>
      </c>
      <c r="B24" s="223" t="str">
        <f>MRIO!B17</f>
        <v>Comercio al por mayor y menor</v>
      </c>
      <c r="C24" s="217">
        <v>0.53631181825637664</v>
      </c>
      <c r="D24" s="222">
        <v>5.5585171819896667E-2</v>
      </c>
      <c r="E24" s="228">
        <v>82.255597473960478</v>
      </c>
      <c r="F24" s="229" t="str">
        <f>'Encadenamientos Internos'!F17</f>
        <v>Clave</v>
      </c>
      <c r="G24" s="223" t="str">
        <f t="shared" si="0"/>
        <v>● Media</v>
      </c>
      <c r="H24" s="194"/>
      <c r="I24" s="194"/>
      <c r="J24" s="194"/>
      <c r="K24" s="194"/>
      <c r="L24" s="194"/>
    </row>
    <row r="25" spans="1:12">
      <c r="A25" s="216" t="str">
        <f>MRIO!A18</f>
        <v>TRA</v>
      </c>
      <c r="B25" s="219" t="str">
        <f>MRIO!B18</f>
        <v>Transporte</v>
      </c>
      <c r="C25" s="217">
        <v>0.45772164561710643</v>
      </c>
      <c r="D25" s="218">
        <v>0.1612854820557709</v>
      </c>
      <c r="E25" s="226">
        <v>22.018256846317367</v>
      </c>
      <c r="F25" s="227" t="str">
        <f>'Encadenamientos Internos'!F18</f>
        <v>Dependiente en Demanda</v>
      </c>
      <c r="G25" s="219" t="str">
        <f t="shared" si="0"/>
        <v>● Media</v>
      </c>
      <c r="H25" s="194"/>
      <c r="I25" s="194"/>
      <c r="J25" s="194"/>
      <c r="K25" s="194"/>
      <c r="L25" s="194"/>
    </row>
    <row r="26" spans="1:12">
      <c r="A26" s="220" t="str">
        <f>MRIO!A19</f>
        <v>TUR</v>
      </c>
      <c r="B26" s="223" t="str">
        <f>MRIO!B19</f>
        <v>Turismo (aloj., alimentación y recreación)</v>
      </c>
      <c r="C26" s="217">
        <v>0.50564984075738406</v>
      </c>
      <c r="D26" s="222">
        <v>5.3226299027093062E-2</v>
      </c>
      <c r="E26" s="228">
        <v>48.1479865625409</v>
      </c>
      <c r="F26" s="229" t="str">
        <f>'Encadenamientos Internos'!F19</f>
        <v>Dependiente sobre oferta</v>
      </c>
      <c r="G26" s="223" t="str">
        <f t="shared" si="0"/>
        <v>● Media</v>
      </c>
      <c r="H26" s="194"/>
      <c r="I26" s="194"/>
      <c r="J26" s="194"/>
      <c r="K26" s="194"/>
      <c r="L26" s="194"/>
    </row>
    <row r="27" spans="1:12">
      <c r="A27" s="216" t="str">
        <f>MRIO!A20</f>
        <v>TIC</v>
      </c>
      <c r="B27" s="219" t="str">
        <f>MRIO!B20</f>
        <v>Telecomunicaciones, edición y servicios de info.</v>
      </c>
      <c r="C27" s="217">
        <v>0.40656751582977474</v>
      </c>
      <c r="D27" s="218">
        <v>0.11397437785304079</v>
      </c>
      <c r="E27" s="226">
        <v>18.093432484170226</v>
      </c>
      <c r="F27" s="227" t="str">
        <f>'Encadenamientos Internos'!F20</f>
        <v>Clave</v>
      </c>
      <c r="G27" s="219" t="str">
        <f t="shared" si="0"/>
        <v>● Baja / ensamblaje</v>
      </c>
      <c r="H27" s="194"/>
      <c r="I27" s="194"/>
      <c r="J27" s="194"/>
      <c r="K27" s="194"/>
      <c r="L27" s="194"/>
    </row>
    <row r="28" spans="1:12">
      <c r="A28" s="220" t="str">
        <f>MRIO!A21</f>
        <v>FIN</v>
      </c>
      <c r="B28" s="223" t="str">
        <f>MRIO!B21</f>
        <v>Finanzas y seguros</v>
      </c>
      <c r="C28" s="217">
        <v>0.76208659049909799</v>
      </c>
      <c r="D28" s="222">
        <v>1.2687913409500902E-2</v>
      </c>
      <c r="E28" s="228">
        <v>12.217678893565845</v>
      </c>
      <c r="F28" s="229" t="str">
        <f>'Encadenamientos Internos'!F21</f>
        <v>Dependiente en Demanda</v>
      </c>
      <c r="G28" s="223" t="str">
        <f t="shared" si="0"/>
        <v>● Alta retención</v>
      </c>
      <c r="H28" s="194"/>
      <c r="I28" s="194"/>
      <c r="J28" s="194"/>
      <c r="K28" s="194"/>
      <c r="L28" s="194"/>
    </row>
    <row r="29" spans="1:12">
      <c r="A29" s="216" t="str">
        <f>MRIO!A22</f>
        <v>INM</v>
      </c>
      <c r="B29" s="219" t="str">
        <f>MRIO!B22</f>
        <v>Servicios inmobiliarios</v>
      </c>
      <c r="C29" s="217">
        <v>0.88164834790893942</v>
      </c>
      <c r="D29" s="218">
        <v>9.5280225950250125E-3</v>
      </c>
      <c r="E29" s="226">
        <v>6.455915881171947</v>
      </c>
      <c r="F29" s="227" t="str">
        <f>'Encadenamientos Internos'!F22</f>
        <v>Independientes</v>
      </c>
      <c r="G29" s="219" t="str">
        <f t="shared" si="0"/>
        <v>● Alta retención</v>
      </c>
      <c r="H29" s="194"/>
      <c r="I29" s="194"/>
      <c r="J29" s="194"/>
      <c r="K29" s="194"/>
      <c r="L29" s="194"/>
    </row>
    <row r="30" spans="1:12">
      <c r="A30" s="220" t="str">
        <f>MRIO!A23</f>
        <v>SEM</v>
      </c>
      <c r="B30" s="223" t="str">
        <f>MRIO!B23</f>
        <v>Servicios a las empresas</v>
      </c>
      <c r="C30" s="217">
        <v>0.517527027659475</v>
      </c>
      <c r="D30" s="222">
        <v>4.7269153367342165E-2</v>
      </c>
      <c r="E30" s="228">
        <v>69.094397903308845</v>
      </c>
      <c r="F30" s="229" t="str">
        <f>'Encadenamientos Internos'!F23</f>
        <v>Clave</v>
      </c>
      <c r="G30" s="223" t="str">
        <f t="shared" si="0"/>
        <v>● Media</v>
      </c>
      <c r="H30" s="194"/>
      <c r="I30" s="194"/>
      <c r="J30" s="194"/>
      <c r="K30" s="194"/>
      <c r="L30" s="194"/>
    </row>
    <row r="31" spans="1:12">
      <c r="A31" s="216" t="str">
        <f>MRIO!A24</f>
        <v>OTS</v>
      </c>
      <c r="B31" s="219" t="str">
        <f>MRIO!B24</f>
        <v>Otros servicios</v>
      </c>
      <c r="C31" s="217">
        <v>0.7092013694645215</v>
      </c>
      <c r="D31" s="218">
        <v>4.7875316073306619E-2</v>
      </c>
      <c r="E31" s="226">
        <v>83.792544026494198</v>
      </c>
      <c r="F31" s="227" t="str">
        <f>'Encadenamientos Internos'!F24</f>
        <v>Independientes</v>
      </c>
      <c r="G31" s="219" t="str">
        <f t="shared" si="0"/>
        <v>● Alta retención</v>
      </c>
      <c r="H31" s="194"/>
      <c r="I31" s="194"/>
      <c r="J31" s="194"/>
      <c r="K31" s="194"/>
      <c r="L31" s="194"/>
    </row>
    <row r="32" spans="1:12">
      <c r="A32" s="220"/>
      <c r="B32" s="223"/>
      <c r="C32" s="221"/>
      <c r="D32" s="222"/>
      <c r="E32" s="228"/>
      <c r="F32" s="229"/>
      <c r="G32" s="223"/>
      <c r="H32" s="194"/>
      <c r="I32" s="194"/>
      <c r="J32" s="194"/>
      <c r="K32" s="194"/>
      <c r="L32" s="194"/>
    </row>
    <row r="33" spans="1:12" ht="17" thickBot="1">
      <c r="A33" s="535" t="s">
        <v>226</v>
      </c>
      <c r="B33" s="536"/>
      <c r="C33" s="536"/>
      <c r="D33" s="536"/>
      <c r="E33" s="536"/>
      <c r="F33" s="536"/>
      <c r="G33" s="536"/>
      <c r="H33" s="194"/>
      <c r="I33" s="194"/>
      <c r="J33" s="194"/>
      <c r="K33" s="194"/>
      <c r="L33" s="194"/>
    </row>
    <row r="34" spans="1:12" ht="24" customHeight="1">
      <c r="A34" s="533"/>
      <c r="B34" s="431"/>
      <c r="C34" s="431"/>
      <c r="D34" s="431"/>
      <c r="E34" s="431"/>
      <c r="F34" s="431"/>
      <c r="G34" s="431"/>
      <c r="H34" s="194"/>
      <c r="I34" s="194"/>
      <c r="J34" s="194"/>
      <c r="K34" s="194"/>
      <c r="L34" s="194"/>
    </row>
    <row r="35" spans="1:12" ht="24" customHeight="1">
      <c r="A35" s="533"/>
      <c r="B35" s="431"/>
      <c r="C35" s="431"/>
      <c r="D35" s="431"/>
      <c r="E35" s="431"/>
      <c r="F35" s="431"/>
      <c r="G35" s="431"/>
      <c r="H35" s="194"/>
      <c r="I35" s="194"/>
      <c r="J35" s="194"/>
      <c r="K35" s="194"/>
      <c r="L35" s="194"/>
    </row>
    <row r="36" spans="1:12" ht="24" customHeight="1">
      <c r="A36" s="533"/>
      <c r="B36" s="431"/>
      <c r="C36" s="431"/>
      <c r="D36" s="431"/>
      <c r="E36" s="431"/>
      <c r="F36" s="431"/>
      <c r="G36" s="431"/>
      <c r="H36" s="194"/>
      <c r="I36" s="194"/>
      <c r="J36" s="194"/>
      <c r="K36" s="194"/>
      <c r="L36" s="194"/>
    </row>
    <row r="37" spans="1:12" ht="34" customHeight="1">
      <c r="A37" s="533"/>
      <c r="B37" s="431"/>
      <c r="C37" s="431"/>
      <c r="D37" s="431"/>
      <c r="E37" s="431"/>
      <c r="F37" s="431"/>
      <c r="G37" s="431"/>
      <c r="H37" s="194"/>
      <c r="I37" s="194"/>
      <c r="J37" s="194"/>
      <c r="K37" s="194"/>
      <c r="L37" s="194"/>
    </row>
    <row r="38" spans="1:12" ht="24" customHeight="1">
      <c r="A38" s="533"/>
      <c r="B38" s="431"/>
      <c r="C38" s="431"/>
      <c r="D38" s="431"/>
      <c r="E38" s="431"/>
      <c r="F38" s="431"/>
      <c r="G38" s="431"/>
      <c r="H38" s="194"/>
      <c r="I38" s="194"/>
      <c r="J38" s="194"/>
      <c r="K38" s="194"/>
      <c r="L38" s="194"/>
    </row>
    <row r="39" spans="1:12">
      <c r="A39" s="194"/>
      <c r="B39" s="194"/>
      <c r="C39" s="194"/>
      <c r="D39" s="194"/>
      <c r="E39" s="194"/>
      <c r="F39" s="194"/>
      <c r="G39" s="194"/>
      <c r="H39" s="194"/>
      <c r="I39" s="194"/>
      <c r="J39" s="194"/>
      <c r="K39" s="194"/>
      <c r="L39" s="194"/>
    </row>
    <row r="40" spans="1:12">
      <c r="A40" s="194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</row>
    <row r="41" spans="1:12">
      <c r="A41" s="194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</row>
    <row r="42" spans="1:12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  <c r="L42" s="194"/>
    </row>
    <row r="43" spans="1:12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  <c r="L43" s="194"/>
    </row>
    <row r="44" spans="1:12">
      <c r="A44" s="194"/>
      <c r="B44" s="194"/>
      <c r="C44" s="194"/>
      <c r="D44" s="194"/>
      <c r="E44" s="194"/>
      <c r="F44" s="194"/>
      <c r="G44" s="194"/>
      <c r="H44" s="194"/>
      <c r="I44" s="194"/>
      <c r="J44" s="194"/>
      <c r="K44" s="194"/>
      <c r="L44" s="194"/>
    </row>
    <row r="45" spans="1:12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  <c r="L45" s="194"/>
    </row>
    <row r="46" spans="1:12">
      <c r="A46" s="194"/>
      <c r="B46" s="194"/>
      <c r="C46" s="194"/>
      <c r="D46" s="194"/>
      <c r="E46" s="194"/>
      <c r="F46" s="194"/>
      <c r="G46" s="194"/>
      <c r="H46" s="194"/>
      <c r="I46" s="194"/>
      <c r="J46" s="194"/>
      <c r="K46" s="194"/>
      <c r="L46" s="194"/>
    </row>
    <row r="47" spans="1:12">
      <c r="A47" s="194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</row>
    <row r="48" spans="1:12">
      <c r="A48" s="194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</row>
    <row r="49" spans="1:12">
      <c r="A49" s="194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</row>
    <row r="50" spans="1:12">
      <c r="A50" s="194"/>
      <c r="B50" s="194"/>
      <c r="C50" s="194"/>
      <c r="D50" s="194"/>
      <c r="E50" s="194"/>
      <c r="F50" s="194"/>
      <c r="G50" s="194"/>
      <c r="H50" s="194"/>
      <c r="I50" s="194"/>
      <c r="J50" s="194"/>
      <c r="K50" s="194"/>
      <c r="L50" s="194"/>
    </row>
    <row r="51" spans="1:12">
      <c r="A51" s="194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</row>
    <row r="52" spans="1:12">
      <c r="A52" s="194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</row>
    <row r="53" spans="1:12">
      <c r="A53" s="194"/>
      <c r="B53" s="194"/>
      <c r="C53" s="194"/>
      <c r="D53" s="194"/>
      <c r="E53" s="194"/>
      <c r="F53" s="194"/>
      <c r="G53" s="194"/>
      <c r="H53" s="194"/>
      <c r="I53" s="194"/>
      <c r="J53" s="194"/>
      <c r="K53" s="194"/>
      <c r="L53" s="194"/>
    </row>
    <row r="54" spans="1:12">
      <c r="A54" s="194"/>
      <c r="B54" s="194"/>
      <c r="C54" s="194"/>
      <c r="D54" s="194"/>
      <c r="E54" s="194"/>
      <c r="F54" s="194"/>
      <c r="G54" s="194"/>
      <c r="H54" s="194"/>
      <c r="I54" s="194"/>
      <c r="J54" s="194"/>
      <c r="K54" s="194"/>
      <c r="L54" s="194"/>
    </row>
    <row r="55" spans="1:12">
      <c r="A55" s="194"/>
      <c r="B55" s="194"/>
      <c r="C55" s="194"/>
      <c r="D55" s="194"/>
      <c r="E55" s="194"/>
      <c r="F55" s="194"/>
      <c r="G55" s="194"/>
      <c r="H55" s="194"/>
      <c r="I55" s="194"/>
      <c r="J55" s="194"/>
      <c r="K55" s="194"/>
      <c r="L55" s="194"/>
    </row>
    <row r="56" spans="1:12">
      <c r="A56" s="194"/>
      <c r="B56" s="194"/>
      <c r="C56" s="194"/>
      <c r="D56" s="194"/>
      <c r="E56" s="194"/>
      <c r="F56" s="194"/>
      <c r="G56" s="194"/>
      <c r="H56" s="194"/>
      <c r="I56" s="194"/>
      <c r="J56" s="194"/>
      <c r="K56" s="194"/>
      <c r="L56" s="194"/>
    </row>
    <row r="57" spans="1:12">
      <c r="A57" s="194"/>
      <c r="B57" s="194"/>
      <c r="C57" s="194"/>
      <c r="D57" s="194"/>
      <c r="E57" s="194"/>
      <c r="F57" s="194"/>
      <c r="G57" s="194"/>
      <c r="H57" s="194"/>
      <c r="I57" s="194"/>
      <c r="J57" s="194"/>
      <c r="K57" s="194"/>
      <c r="L57" s="194"/>
    </row>
    <row r="58" spans="1:12">
      <c r="A58" s="194"/>
      <c r="B58" s="194"/>
      <c r="C58" s="194"/>
      <c r="D58" s="194"/>
      <c r="E58" s="194"/>
      <c r="F58" s="194"/>
      <c r="G58" s="194"/>
      <c r="H58" s="194"/>
      <c r="I58" s="194"/>
      <c r="J58" s="194"/>
      <c r="K58" s="194"/>
      <c r="L58" s="194"/>
    </row>
    <row r="59" spans="1:12">
      <c r="A59" s="194"/>
      <c r="B59" s="194"/>
      <c r="C59" s="194"/>
      <c r="D59" s="194"/>
      <c r="E59" s="194"/>
      <c r="F59" s="194"/>
      <c r="G59" s="194"/>
      <c r="H59" s="194"/>
      <c r="I59" s="194"/>
      <c r="J59" s="194"/>
      <c r="K59" s="194"/>
      <c r="L59" s="194"/>
    </row>
    <row r="60" spans="1:12">
      <c r="A60" s="194"/>
      <c r="B60" s="194"/>
      <c r="C60" s="194"/>
      <c r="D60" s="194"/>
      <c r="E60" s="194"/>
      <c r="F60" s="194"/>
      <c r="G60" s="194"/>
      <c r="H60" s="194"/>
      <c r="I60" s="194"/>
      <c r="J60" s="194"/>
      <c r="K60" s="194"/>
      <c r="L60" s="194"/>
    </row>
    <row r="61" spans="1:12">
      <c r="A61" s="194"/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</row>
    <row r="62" spans="1:12">
      <c r="A62" s="194"/>
      <c r="B62" s="194"/>
      <c r="C62" s="194"/>
      <c r="D62" s="194"/>
      <c r="E62" s="194"/>
      <c r="F62" s="194"/>
      <c r="G62" s="194"/>
      <c r="H62" s="194"/>
      <c r="I62" s="194"/>
      <c r="J62" s="194"/>
      <c r="K62" s="194"/>
      <c r="L62" s="194"/>
    </row>
    <row r="63" spans="1:12">
      <c r="A63" s="194"/>
      <c r="B63" s="194"/>
      <c r="C63" s="194"/>
      <c r="D63" s="194"/>
      <c r="E63" s="194"/>
      <c r="F63" s="194"/>
      <c r="G63" s="194"/>
      <c r="H63" s="194"/>
      <c r="I63" s="194"/>
      <c r="J63" s="194"/>
      <c r="K63" s="194"/>
      <c r="L63" s="194"/>
    </row>
    <row r="64" spans="1:12">
      <c r="A64" s="194"/>
      <c r="B64" s="194"/>
      <c r="C64" s="194"/>
      <c r="D64" s="194"/>
      <c r="E64" s="194"/>
      <c r="F64" s="194"/>
      <c r="G64" s="194"/>
      <c r="H64" s="194"/>
      <c r="I64" s="194"/>
      <c r="J64" s="194"/>
      <c r="K64" s="194"/>
      <c r="L64" s="194"/>
    </row>
    <row r="65" spans="1:12">
      <c r="A65" s="194"/>
      <c r="B65" s="194"/>
      <c r="C65" s="194"/>
      <c r="D65" s="194"/>
      <c r="E65" s="194"/>
      <c r="F65" s="194"/>
      <c r="G65" s="194"/>
      <c r="H65" s="194"/>
      <c r="I65" s="194"/>
      <c r="J65" s="194"/>
      <c r="K65" s="194"/>
      <c r="L65" s="194"/>
    </row>
    <row r="66" spans="1:12">
      <c r="A66" s="194"/>
      <c r="B66" s="194"/>
      <c r="C66" s="194"/>
      <c r="D66" s="194"/>
      <c r="E66" s="194"/>
      <c r="F66" s="194"/>
      <c r="G66" s="194"/>
      <c r="H66" s="194"/>
      <c r="I66" s="194"/>
      <c r="J66" s="194"/>
      <c r="K66" s="194"/>
      <c r="L66" s="194"/>
    </row>
    <row r="67" spans="1:12">
      <c r="A67" s="194"/>
      <c r="B67" s="194"/>
      <c r="C67" s="194"/>
      <c r="D67" s="194"/>
      <c r="E67" s="194"/>
      <c r="F67" s="194"/>
      <c r="G67" s="194"/>
      <c r="H67" s="194"/>
      <c r="I67" s="194"/>
      <c r="J67" s="194"/>
      <c r="K67" s="194"/>
      <c r="L67" s="194"/>
    </row>
    <row r="68" spans="1:12">
      <c r="A68" s="194"/>
      <c r="B68" s="194"/>
      <c r="C68" s="194"/>
      <c r="D68" s="194"/>
      <c r="E68" s="194"/>
      <c r="F68" s="194"/>
      <c r="G68" s="194"/>
      <c r="H68" s="194"/>
      <c r="I68" s="194"/>
      <c r="J68" s="194"/>
      <c r="K68" s="194"/>
      <c r="L68" s="194"/>
    </row>
    <row r="69" spans="1:12">
      <c r="A69" s="194"/>
      <c r="B69" s="194"/>
      <c r="C69" s="194"/>
      <c r="D69" s="194"/>
      <c r="E69" s="194"/>
      <c r="F69" s="194"/>
      <c r="G69" s="194"/>
      <c r="H69" s="194"/>
      <c r="I69" s="194"/>
      <c r="J69" s="194"/>
      <c r="K69" s="194"/>
      <c r="L69" s="194"/>
    </row>
    <row r="70" spans="1:12">
      <c r="A70" s="194"/>
      <c r="B70" s="194"/>
      <c r="C70" s="194"/>
      <c r="D70" s="194"/>
      <c r="E70" s="194"/>
      <c r="F70" s="194"/>
      <c r="G70" s="194"/>
      <c r="H70" s="194"/>
      <c r="I70" s="194"/>
      <c r="J70" s="194"/>
      <c r="K70" s="194"/>
      <c r="L70" s="194"/>
    </row>
    <row r="71" spans="1:12">
      <c r="A71" s="194"/>
      <c r="B71" s="194"/>
      <c r="C71" s="194"/>
      <c r="D71" s="194"/>
      <c r="E71" s="194"/>
      <c r="F71" s="194"/>
      <c r="G71" s="194"/>
      <c r="H71" s="194"/>
      <c r="I71" s="194"/>
      <c r="J71" s="194"/>
      <c r="K71" s="194"/>
      <c r="L71" s="194"/>
    </row>
    <row r="72" spans="1:12">
      <c r="A72" s="194"/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94"/>
    </row>
    <row r="73" spans="1:12">
      <c r="A73" s="194"/>
      <c r="B73" s="194"/>
      <c r="C73" s="194"/>
      <c r="D73" s="194"/>
      <c r="E73" s="194"/>
      <c r="F73" s="194"/>
      <c r="G73" s="194"/>
      <c r="H73" s="194"/>
      <c r="I73" s="194"/>
      <c r="J73" s="194"/>
      <c r="K73" s="194"/>
      <c r="L73" s="194"/>
    </row>
    <row r="74" spans="1:12">
      <c r="A74" s="194"/>
      <c r="B74" s="194"/>
      <c r="C74" s="194"/>
      <c r="D74" s="194"/>
      <c r="E74" s="194"/>
      <c r="F74" s="194"/>
      <c r="G74" s="194"/>
      <c r="H74" s="194"/>
      <c r="I74" s="194"/>
      <c r="J74" s="194"/>
      <c r="K74" s="194"/>
      <c r="L74" s="194"/>
    </row>
    <row r="75" spans="1:12">
      <c r="A75" s="194"/>
      <c r="B75" s="194"/>
      <c r="C75" s="194"/>
      <c r="D75" s="194"/>
      <c r="E75" s="194"/>
      <c r="F75" s="194"/>
      <c r="G75" s="194"/>
      <c r="H75" s="194"/>
      <c r="I75" s="194"/>
      <c r="J75" s="194"/>
      <c r="K75" s="194"/>
      <c r="L75" s="194"/>
    </row>
  </sheetData>
  <mergeCells count="12">
    <mergeCell ref="A38:G38"/>
    <mergeCell ref="A37:G37"/>
    <mergeCell ref="A2:G2"/>
    <mergeCell ref="A7:B7"/>
    <mergeCell ref="A33:G33"/>
    <mergeCell ref="A36:G36"/>
    <mergeCell ref="A3:G3"/>
    <mergeCell ref="A35:G35"/>
    <mergeCell ref="A4:G4"/>
    <mergeCell ref="A8:B8"/>
    <mergeCell ref="A34:G34"/>
    <mergeCell ref="A6:B6"/>
  </mergeCells>
  <conditionalFormatting sqref="C32">
    <cfRule type="expression" dxfId="5" priority="10" stopIfTrue="1">
      <formula>AND($C32&lt;&gt;"",$C32&gt;=$C$6+$C$8)</formula>
    </cfRule>
    <cfRule type="expression" dxfId="4" priority="11" stopIfTrue="1">
      <formula>AND($C32&lt;&gt;"",$C32&lt;$C$6-$C$8)</formula>
    </cfRule>
    <cfRule type="expression" dxfId="3" priority="12" stopIfTrue="1">
      <formula>$C32&lt;&gt;""</formula>
    </cfRule>
  </conditionalFormatting>
  <conditionalFormatting sqref="C11:C31">
    <cfRule type="expression" dxfId="2" priority="1" stopIfTrue="1">
      <formula>AND($C11&lt;&gt;"",$C11&gt;=$C$6+$C$8)</formula>
    </cfRule>
    <cfRule type="expression" dxfId="1" priority="2" stopIfTrue="1">
      <formula>AND($C11&lt;&gt;"",$C11&lt;$C$6-$C$8)</formula>
    </cfRule>
    <cfRule type="expression" dxfId="0" priority="3" stopIfTrue="1">
      <formula>$C11&lt;&gt;""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717D7E"/>
  </sheetPr>
  <dimension ref="A1:N131"/>
  <sheetViews>
    <sheetView showGridLines="0" topLeftCell="A78" zoomScale="126" zoomScaleNormal="126" workbookViewId="0">
      <selection activeCell="I6" sqref="I6"/>
    </sheetView>
  </sheetViews>
  <sheetFormatPr baseColWidth="10" defaultRowHeight="16"/>
  <cols>
    <col min="2" max="2" width="32" customWidth="1"/>
    <col min="3" max="3" width="14.1640625" customWidth="1"/>
    <col min="4" max="4" width="12.1640625" customWidth="1"/>
    <col min="5" max="5" width="15.1640625" customWidth="1"/>
    <col min="6" max="6" width="13.83203125" customWidth="1"/>
    <col min="8" max="8" width="14.6640625" bestFit="1" customWidth="1"/>
    <col min="9" max="9" width="14.6640625" customWidth="1"/>
    <col min="10" max="10" width="12.1640625" customWidth="1"/>
  </cols>
  <sheetData>
    <row r="1" spans="1:14" ht="22" customHeight="1">
      <c r="A1" s="18"/>
      <c r="B1" s="505" t="s">
        <v>227</v>
      </c>
      <c r="C1" s="431"/>
      <c r="D1" s="431"/>
      <c r="E1" s="431"/>
      <c r="F1" s="431"/>
      <c r="G1" s="431"/>
      <c r="H1" s="431"/>
      <c r="I1" s="431"/>
      <c r="J1" s="431"/>
      <c r="K1" s="431"/>
      <c r="L1" s="431"/>
      <c r="M1" s="431"/>
      <c r="N1" s="431"/>
    </row>
    <row r="2" spans="1:14" ht="20" customHeight="1">
      <c r="A2" s="18"/>
      <c r="B2" s="23" t="s">
        <v>228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ht="20" customHeight="1">
      <c r="A3" s="18"/>
      <c r="B3" s="18" t="s">
        <v>229</v>
      </c>
      <c r="C3" s="18"/>
      <c r="D3" s="18"/>
      <c r="E3" s="18"/>
      <c r="F3" s="18"/>
      <c r="G3" s="18" t="s">
        <v>585</v>
      </c>
      <c r="H3" s="18"/>
      <c r="I3" s="18"/>
      <c r="J3" s="18"/>
      <c r="K3" s="18"/>
      <c r="L3" s="18"/>
      <c r="M3" s="18"/>
      <c r="N3" s="18"/>
    </row>
    <row r="4" spans="1:14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</row>
    <row r="5" spans="1:14" ht="37" customHeight="1">
      <c r="A5" s="18"/>
      <c r="B5" s="78" t="s">
        <v>5</v>
      </c>
      <c r="C5" s="75" t="s">
        <v>230</v>
      </c>
      <c r="D5" s="75" t="s">
        <v>231</v>
      </c>
      <c r="E5" s="75" t="s">
        <v>232</v>
      </c>
      <c r="G5" s="539" t="s">
        <v>5</v>
      </c>
      <c r="H5" s="540"/>
      <c r="I5" s="75" t="s">
        <v>586</v>
      </c>
      <c r="J5" s="75" t="s">
        <v>587</v>
      </c>
      <c r="K5" s="75" t="s">
        <v>588</v>
      </c>
      <c r="L5" s="75" t="s">
        <v>584</v>
      </c>
      <c r="M5" s="18"/>
      <c r="N5" s="18"/>
    </row>
    <row r="6" spans="1:14" ht="14" customHeight="1">
      <c r="A6" s="18"/>
      <c r="B6" s="20" t="s">
        <v>10</v>
      </c>
      <c r="C6" s="125">
        <v>530056</v>
      </c>
      <c r="D6" s="131">
        <f t="shared" ref="D6:D26" si="0">C6/$C$27</f>
        <v>0.17086405203517879</v>
      </c>
      <c r="E6" s="137" cm="1">
        <f t="array" ref="E6:E26">C6:C26/TRANSPOSE(VBP_21)</f>
        <v>57.401399146650505</v>
      </c>
      <c r="G6" s="20" t="s">
        <v>10</v>
      </c>
      <c r="I6" s="392" cm="1">
        <f t="array" ref="I6:I26">TRANSPOSE(SalariosNetos21/VBP_21)</f>
        <v>5.8835632756492173E-2</v>
      </c>
      <c r="J6" s="393" cm="1">
        <f t="array" ref="J6:J26">TRANSPOSE(Contribuciones21/VBP_21)</f>
        <v>2.2741547724762301E-3</v>
      </c>
      <c r="K6" s="393" cm="1">
        <f t="array" ref="K6:K26">TRANSPOSE(IngresoMixto/VBP_21)</f>
        <v>0.1436182885360941</v>
      </c>
      <c r="L6" s="393">
        <f>K6+I6</f>
        <v>0.20245392129258627</v>
      </c>
      <c r="M6" s="18"/>
      <c r="N6" s="18"/>
    </row>
    <row r="7" spans="1:14" ht="14" customHeight="1">
      <c r="A7" s="18"/>
      <c r="B7" s="22" t="s">
        <v>11</v>
      </c>
      <c r="C7" s="126">
        <v>4387</v>
      </c>
      <c r="D7" s="132">
        <f t="shared" si="0"/>
        <v>1.4141535918437474E-3</v>
      </c>
      <c r="E7" s="138">
        <v>10.173933209647494</v>
      </c>
      <c r="G7" s="22" t="s">
        <v>11</v>
      </c>
      <c r="I7" s="393">
        <v>6.5166975881261593E-2</v>
      </c>
      <c r="J7" s="393">
        <v>8.5807050092764365E-3</v>
      </c>
      <c r="K7" s="393">
        <v>5.3339517625231904E-2</v>
      </c>
      <c r="L7" s="393">
        <f t="shared" ref="L7:L26" si="1">K7+I7</f>
        <v>0.1185064935064935</v>
      </c>
      <c r="M7" s="18"/>
      <c r="N7" s="18"/>
    </row>
    <row r="8" spans="1:14" ht="14" customHeight="1">
      <c r="A8" s="18"/>
      <c r="B8" s="20" t="s">
        <v>12</v>
      </c>
      <c r="C8" s="125">
        <v>98009</v>
      </c>
      <c r="D8" s="131">
        <f t="shared" si="0"/>
        <v>3.15932936820182E-2</v>
      </c>
      <c r="E8" s="137">
        <v>7.7405266233868781</v>
      </c>
      <c r="G8" s="20" t="s">
        <v>12</v>
      </c>
      <c r="I8" s="392">
        <v>6.0899714100680777E-2</v>
      </c>
      <c r="J8" s="392">
        <v>9.9038051461877441E-3</v>
      </c>
      <c r="K8" s="392">
        <v>1.1325403970999381E-2</v>
      </c>
      <c r="L8" s="392">
        <f t="shared" si="1"/>
        <v>7.2225118071680153E-2</v>
      </c>
      <c r="M8" s="18"/>
      <c r="N8" s="18"/>
    </row>
    <row r="9" spans="1:14" ht="14" customHeight="1">
      <c r="A9" s="18"/>
      <c r="B9" s="22" t="s">
        <v>13</v>
      </c>
      <c r="C9" s="126">
        <v>69766</v>
      </c>
      <c r="D9" s="132">
        <f t="shared" si="0"/>
        <v>2.2489135967305878E-2</v>
      </c>
      <c r="E9" s="138">
        <v>60.576539029261099</v>
      </c>
      <c r="G9" s="22" t="s">
        <v>13</v>
      </c>
      <c r="I9" s="393">
        <v>9.6987062603108465E-2</v>
      </c>
      <c r="J9" s="393">
        <v>1.0332551879829819E-2</v>
      </c>
      <c r="K9" s="393">
        <v>0.11400538334635758</v>
      </c>
      <c r="L9" s="393">
        <f t="shared" si="1"/>
        <v>0.21099244594946603</v>
      </c>
      <c r="M9" s="18"/>
      <c r="N9" s="18"/>
    </row>
    <row r="10" spans="1:14" ht="14" customHeight="1">
      <c r="A10" s="18"/>
      <c r="B10" s="20" t="s">
        <v>14</v>
      </c>
      <c r="C10" s="125">
        <v>30996</v>
      </c>
      <c r="D10" s="131">
        <f t="shared" si="0"/>
        <v>9.9915898638679723E-3</v>
      </c>
      <c r="E10" s="137">
        <v>17.741400034342625</v>
      </c>
      <c r="G10" s="20" t="s">
        <v>14</v>
      </c>
      <c r="I10" s="392">
        <v>4.933890447026501E-2</v>
      </c>
      <c r="J10" s="392">
        <v>4.3500658233644324E-3</v>
      </c>
      <c r="K10" s="392">
        <v>4.767901093240226E-2</v>
      </c>
      <c r="L10" s="392">
        <f t="shared" si="1"/>
        <v>9.7017915402667271E-2</v>
      </c>
      <c r="M10" s="18"/>
      <c r="N10" s="18"/>
    </row>
    <row r="11" spans="1:14" ht="14" customHeight="1">
      <c r="A11" s="18"/>
      <c r="B11" s="22" t="s">
        <v>15</v>
      </c>
      <c r="C11" s="126">
        <v>25134</v>
      </c>
      <c r="D11" s="132">
        <f t="shared" si="0"/>
        <v>8.1019686294508206E-3</v>
      </c>
      <c r="E11" s="138">
        <v>6.7856371490280774</v>
      </c>
      <c r="G11" s="22" t="s">
        <v>15</v>
      </c>
      <c r="I11" s="393">
        <v>5.0728941684665227E-2</v>
      </c>
      <c r="J11" s="393">
        <v>5.6425485961123104E-3</v>
      </c>
      <c r="K11" s="393">
        <v>1.1528077753779698E-2</v>
      </c>
      <c r="L11" s="393">
        <f t="shared" si="1"/>
        <v>6.2257019438444923E-2</v>
      </c>
      <c r="M11" s="18"/>
      <c r="N11" s="18"/>
    </row>
    <row r="12" spans="1:14" ht="14" customHeight="1">
      <c r="A12" s="18"/>
      <c r="B12" s="20" t="s">
        <v>16</v>
      </c>
      <c r="C12" s="125">
        <v>28858</v>
      </c>
      <c r="D12" s="131">
        <f t="shared" si="0"/>
        <v>9.3024035453446244E-3</v>
      </c>
      <c r="E12" s="137">
        <v>34.966678783472666</v>
      </c>
      <c r="G12" s="20" t="s">
        <v>16</v>
      </c>
      <c r="I12" s="392">
        <v>8.9422028353326036E-2</v>
      </c>
      <c r="J12" s="392">
        <v>8.8452683872531183E-3</v>
      </c>
      <c r="K12" s="392">
        <v>4.7619047619047603E-2</v>
      </c>
      <c r="L12" s="392">
        <f t="shared" si="1"/>
        <v>0.13704107597237364</v>
      </c>
      <c r="M12" s="18"/>
      <c r="N12" s="18"/>
    </row>
    <row r="13" spans="1:14" ht="14" customHeight="1">
      <c r="A13" s="18"/>
      <c r="B13" s="22" t="s">
        <v>17</v>
      </c>
      <c r="C13" s="126">
        <v>3906</v>
      </c>
      <c r="D13" s="132">
        <f t="shared" si="0"/>
        <v>1.2591027877231998E-3</v>
      </c>
      <c r="E13" s="138">
        <v>19.53</v>
      </c>
      <c r="G13" s="22" t="s">
        <v>17</v>
      </c>
      <c r="I13" s="393">
        <v>0.23800000000000002</v>
      </c>
      <c r="J13" s="393">
        <v>3.15E-2</v>
      </c>
      <c r="K13" s="393">
        <v>1.3999999999999999E-2</v>
      </c>
      <c r="L13" s="393">
        <f t="shared" si="1"/>
        <v>0.252</v>
      </c>
      <c r="M13" s="18"/>
      <c r="N13" s="18"/>
    </row>
    <row r="14" spans="1:14" ht="14" customHeight="1">
      <c r="A14" s="18"/>
      <c r="B14" s="20" t="s">
        <v>18</v>
      </c>
      <c r="C14" s="125">
        <v>20524</v>
      </c>
      <c r="D14" s="131">
        <f t="shared" si="0"/>
        <v>6.6159307770688562E-3</v>
      </c>
      <c r="E14" s="137">
        <v>20.000000000000004</v>
      </c>
      <c r="G14" s="20" t="s">
        <v>18</v>
      </c>
      <c r="I14" s="392">
        <v>6.8310270902358222E-2</v>
      </c>
      <c r="J14" s="392">
        <v>3.3131943091015401E-3</v>
      </c>
      <c r="K14" s="392">
        <v>0.1075813681543559</v>
      </c>
      <c r="L14" s="392">
        <f t="shared" si="1"/>
        <v>0.17589163905671412</v>
      </c>
      <c r="M14" s="18"/>
      <c r="N14" s="18"/>
    </row>
    <row r="15" spans="1:14" ht="14" customHeight="1">
      <c r="A15" s="18"/>
      <c r="B15" s="22" t="s">
        <v>19</v>
      </c>
      <c r="C15" s="126">
        <v>9448</v>
      </c>
      <c r="D15" s="132">
        <f t="shared" si="0"/>
        <v>3.0455717200227324E-3</v>
      </c>
      <c r="E15" s="138">
        <v>23.219464241828462</v>
      </c>
      <c r="G15" s="22" t="s">
        <v>19</v>
      </c>
      <c r="I15" s="393">
        <v>0.12066846891128043</v>
      </c>
      <c r="J15" s="393">
        <v>1.0567707053330056E-2</v>
      </c>
      <c r="K15" s="393">
        <v>5.0872450233472602E-2</v>
      </c>
      <c r="L15" s="393">
        <f t="shared" si="1"/>
        <v>0.17154091914475303</v>
      </c>
      <c r="M15" s="18"/>
      <c r="N15" s="18"/>
    </row>
    <row r="16" spans="1:14" ht="14" customHeight="1">
      <c r="A16" s="18"/>
      <c r="B16" s="20" t="s">
        <v>20</v>
      </c>
      <c r="C16" s="125">
        <v>37031</v>
      </c>
      <c r="D16" s="131">
        <f t="shared" si="0"/>
        <v>1.1936977811617464E-2</v>
      </c>
      <c r="E16" s="137">
        <v>25.475371491469456</v>
      </c>
      <c r="G16" s="20" t="s">
        <v>20</v>
      </c>
      <c r="I16" s="392">
        <v>7.842597688497524E-2</v>
      </c>
      <c r="J16" s="392">
        <v>5.2971931755641175E-3</v>
      </c>
      <c r="K16" s="392">
        <v>0.12665107319757843</v>
      </c>
      <c r="L16" s="392">
        <f t="shared" si="1"/>
        <v>0.20507705008255367</v>
      </c>
      <c r="M16" s="18"/>
      <c r="N16" s="18"/>
    </row>
    <row r="17" spans="1:14" ht="14" customHeight="1">
      <c r="A17" s="18"/>
      <c r="B17" s="22" t="s">
        <v>21</v>
      </c>
      <c r="C17" s="126">
        <v>25627</v>
      </c>
      <c r="D17" s="132">
        <f t="shared" si="0"/>
        <v>8.2608876449007784E-3</v>
      </c>
      <c r="E17" s="138">
        <v>7.5725429939128901</v>
      </c>
      <c r="G17" s="22" t="s">
        <v>21</v>
      </c>
      <c r="I17" s="393">
        <v>0.1556941079132439</v>
      </c>
      <c r="J17" s="393">
        <v>3.7852372791206193E-2</v>
      </c>
      <c r="K17" s="393">
        <v>0</v>
      </c>
      <c r="L17" s="393">
        <f t="shared" si="1"/>
        <v>0.1556941079132439</v>
      </c>
      <c r="M17" s="18"/>
      <c r="N17" s="18"/>
    </row>
    <row r="18" spans="1:14" ht="14" customHeight="1">
      <c r="A18" s="18"/>
      <c r="B18" s="20" t="s">
        <v>22</v>
      </c>
      <c r="C18" s="125">
        <v>212401</v>
      </c>
      <c r="D18" s="131">
        <f t="shared" si="0"/>
        <v>6.8467662881514429E-2</v>
      </c>
      <c r="E18" s="137">
        <v>37.169431611367777</v>
      </c>
      <c r="G18" s="20" t="s">
        <v>22</v>
      </c>
      <c r="I18" s="392">
        <v>0.21956810863782728</v>
      </c>
      <c r="J18" s="392">
        <v>2.4552008959820806E-2</v>
      </c>
      <c r="K18" s="392">
        <v>0.10449041019179617</v>
      </c>
      <c r="L18" s="392">
        <f t="shared" si="1"/>
        <v>0.32405851882962344</v>
      </c>
      <c r="M18" s="18"/>
      <c r="N18" s="18"/>
    </row>
    <row r="19" spans="1:14" ht="14" customHeight="1">
      <c r="A19" s="18"/>
      <c r="B19" s="22" t="s">
        <v>23</v>
      </c>
      <c r="C19" s="126">
        <v>802354</v>
      </c>
      <c r="D19" s="132">
        <f t="shared" si="0"/>
        <v>0.2586395694165029</v>
      </c>
      <c r="E19" s="138">
        <v>82.255597473960478</v>
      </c>
      <c r="G19" s="22" t="s">
        <v>23</v>
      </c>
      <c r="I19" s="393">
        <v>0.16475641761666529</v>
      </c>
      <c r="J19" s="393">
        <v>2.8920282129090466E-2</v>
      </c>
      <c r="K19" s="393">
        <v>0.19435331747724105</v>
      </c>
      <c r="L19" s="393">
        <f t="shared" si="1"/>
        <v>0.35910973509390631</v>
      </c>
      <c r="M19" s="18"/>
      <c r="N19" s="18"/>
    </row>
    <row r="20" spans="1:14" ht="14" customHeight="1">
      <c r="A20" s="18"/>
      <c r="B20" s="20" t="s">
        <v>24</v>
      </c>
      <c r="C20" s="125">
        <v>88040</v>
      </c>
      <c r="D20" s="131">
        <f t="shared" si="0"/>
        <v>2.8379777120110219E-2</v>
      </c>
      <c r="E20" s="137">
        <v>22.018256846317367</v>
      </c>
      <c r="G20" s="20" t="s">
        <v>24</v>
      </c>
      <c r="I20" s="392">
        <v>0.1277479054645492</v>
      </c>
      <c r="J20" s="392">
        <v>1.7831686882580966E-2</v>
      </c>
      <c r="K20" s="392">
        <v>5.9797424034012753E-2</v>
      </c>
      <c r="L20" s="392">
        <f t="shared" si="1"/>
        <v>0.18754532949856195</v>
      </c>
      <c r="M20" s="18"/>
      <c r="N20" s="18"/>
    </row>
    <row r="21" spans="1:14" ht="14" customHeight="1">
      <c r="A21" s="18"/>
      <c r="B21" s="22" t="s">
        <v>25</v>
      </c>
      <c r="C21" s="126">
        <v>110360</v>
      </c>
      <c r="D21" s="132">
        <f t="shared" si="0"/>
        <v>3.5574650192814215E-2</v>
      </c>
      <c r="E21" s="138">
        <v>48.1479865625409</v>
      </c>
      <c r="G21" s="22" t="s">
        <v>25</v>
      </c>
      <c r="I21" s="393">
        <v>0.15003708389686313</v>
      </c>
      <c r="J21" s="393">
        <v>2.3341040966799006E-2</v>
      </c>
      <c r="K21" s="393">
        <v>0.19637014091880811</v>
      </c>
      <c r="L21" s="393">
        <f t="shared" si="1"/>
        <v>0.34640722481567121</v>
      </c>
      <c r="M21" s="33"/>
      <c r="N21" s="33"/>
    </row>
    <row r="22" spans="1:14" ht="14" customHeight="1">
      <c r="A22" s="18"/>
      <c r="B22" s="20" t="s">
        <v>26</v>
      </c>
      <c r="C22" s="125">
        <v>49149</v>
      </c>
      <c r="D22" s="131">
        <f t="shared" si="0"/>
        <v>1.5843226552434087E-2</v>
      </c>
      <c r="E22" s="137">
        <v>18.093432484170226</v>
      </c>
      <c r="G22" s="20" t="s">
        <v>26</v>
      </c>
      <c r="I22" s="392">
        <v>7.635105286408482E-2</v>
      </c>
      <c r="J22" s="392">
        <v>9.4610513915476362E-3</v>
      </c>
      <c r="K22" s="392">
        <v>6.3724046532174936E-2</v>
      </c>
      <c r="L22" s="392">
        <f t="shared" si="1"/>
        <v>0.14007509939625976</v>
      </c>
      <c r="M22" s="30"/>
      <c r="N22" s="30"/>
    </row>
    <row r="23" spans="1:14" ht="14" customHeight="1">
      <c r="A23" s="18"/>
      <c r="B23" s="22" t="s">
        <v>27</v>
      </c>
      <c r="C23" s="126">
        <v>40636</v>
      </c>
      <c r="D23" s="132">
        <f t="shared" si="0"/>
        <v>1.3099052965161277E-2</v>
      </c>
      <c r="E23" s="138">
        <v>12.217678893565845</v>
      </c>
      <c r="G23" s="22" t="s">
        <v>27</v>
      </c>
      <c r="I23" s="393">
        <v>0.16719783523752255</v>
      </c>
      <c r="J23" s="393">
        <v>3.2080577269993985E-2</v>
      </c>
      <c r="K23" s="393">
        <v>4.7805171377029469E-3</v>
      </c>
      <c r="L23" s="393">
        <f t="shared" si="1"/>
        <v>0.17197835237522549</v>
      </c>
      <c r="M23" s="30"/>
      <c r="N23" s="30"/>
    </row>
    <row r="24" spans="1:14" ht="14" customHeight="1">
      <c r="A24" s="18"/>
      <c r="B24" s="20" t="s">
        <v>28</v>
      </c>
      <c r="C24" s="125">
        <v>18972</v>
      </c>
      <c r="D24" s="131">
        <f t="shared" si="0"/>
        <v>6.1156421117983988E-3</v>
      </c>
      <c r="E24" s="137">
        <v>6.455915881171947</v>
      </c>
      <c r="G24" s="20" t="s">
        <v>28</v>
      </c>
      <c r="I24" s="392">
        <v>4.4339333718991396E-2</v>
      </c>
      <c r="J24" s="392">
        <v>5.8869568176404541E-3</v>
      </c>
      <c r="K24" s="392">
        <v>2.2526967706809134E-2</v>
      </c>
      <c r="L24" s="392">
        <f t="shared" si="1"/>
        <v>6.6866301425800523E-2</v>
      </c>
      <c r="M24" s="30"/>
      <c r="N24" s="30"/>
    </row>
    <row r="25" spans="1:14" ht="14" customHeight="1">
      <c r="A25" s="18"/>
      <c r="B25" s="22" t="s">
        <v>29</v>
      </c>
      <c r="C25" s="126">
        <v>147634</v>
      </c>
      <c r="D25" s="132">
        <f t="shared" si="0"/>
        <v>4.7589959283852248E-2</v>
      </c>
      <c r="E25" s="138">
        <v>69.094397903308845</v>
      </c>
      <c r="G25" s="22" t="s">
        <v>29</v>
      </c>
      <c r="I25" s="393">
        <v>0.14498993775448124</v>
      </c>
      <c r="J25" s="393">
        <v>2.0873309308747135E-2</v>
      </c>
      <c r="K25" s="393">
        <v>0.18781298263677637</v>
      </c>
      <c r="L25" s="393">
        <f t="shared" si="1"/>
        <v>0.33280292039125758</v>
      </c>
      <c r="M25" s="30"/>
      <c r="N25" s="30"/>
    </row>
    <row r="26" spans="1:14" ht="14" customHeight="1">
      <c r="A26" s="18"/>
      <c r="B26" s="20" t="s">
        <v>30</v>
      </c>
      <c r="C26" s="125">
        <v>748921</v>
      </c>
      <c r="D26" s="131">
        <f t="shared" si="0"/>
        <v>0.24141539141946916</v>
      </c>
      <c r="E26" s="137">
        <v>83.792544026494198</v>
      </c>
      <c r="G26" s="20" t="s">
        <v>30</v>
      </c>
      <c r="I26" s="392">
        <v>0.56226364429725428</v>
      </c>
      <c r="J26" s="392">
        <v>2.1079012732439749E-2</v>
      </c>
      <c r="K26" s="392">
        <v>7.3295441831323138E-2</v>
      </c>
      <c r="L26" s="392">
        <f t="shared" si="1"/>
        <v>0.63555908612857737</v>
      </c>
      <c r="M26" s="30"/>
      <c r="N26" s="30"/>
    </row>
    <row r="27" spans="1:14">
      <c r="A27" s="18"/>
      <c r="B27" s="127"/>
      <c r="C27" s="128">
        <f>SUM(C6:C26)</f>
        <v>3102209</v>
      </c>
      <c r="D27" s="128"/>
      <c r="E27" s="128"/>
      <c r="G27" s="127"/>
      <c r="H27" s="127"/>
      <c r="I27" s="128"/>
      <c r="J27" s="128"/>
      <c r="K27" s="128"/>
      <c r="L27" s="128"/>
      <c r="M27" s="30"/>
      <c r="N27" s="30"/>
    </row>
    <row r="30" spans="1:14">
      <c r="B30" s="74"/>
      <c r="C30" s="123" t="s">
        <v>31</v>
      </c>
      <c r="D30" s="537" t="s">
        <v>233</v>
      </c>
      <c r="E30" s="538"/>
      <c r="F30" s="537" t="s">
        <v>234</v>
      </c>
      <c r="G30" s="538"/>
      <c r="H30" s="537" t="s">
        <v>235</v>
      </c>
      <c r="I30" s="538"/>
    </row>
    <row r="31" spans="1:14" ht="36" customHeight="1">
      <c r="B31" s="78" t="s">
        <v>5</v>
      </c>
      <c r="C31" s="75" t="s">
        <v>230</v>
      </c>
      <c r="D31" s="77" t="s">
        <v>175</v>
      </c>
      <c r="E31" s="124" t="s">
        <v>171</v>
      </c>
      <c r="F31" s="77" t="s">
        <v>236</v>
      </c>
      <c r="G31" s="124" t="s">
        <v>237</v>
      </c>
      <c r="H31" s="77" t="s">
        <v>238</v>
      </c>
      <c r="I31" s="124" t="s">
        <v>239</v>
      </c>
    </row>
    <row r="32" spans="1:14">
      <c r="B32" s="20" t="s">
        <v>10</v>
      </c>
      <c r="C32" s="125">
        <v>530056</v>
      </c>
      <c r="D32" s="344">
        <v>380831</v>
      </c>
      <c r="E32" s="344">
        <v>149225</v>
      </c>
      <c r="F32" s="130">
        <f t="shared" ref="F32:F52" si="2">D32/C32</f>
        <v>0.71847314246041927</v>
      </c>
      <c r="G32" s="130">
        <f t="shared" ref="G32:G52" si="3">E32/C32</f>
        <v>0.28152685753958073</v>
      </c>
      <c r="H32" s="135" cm="1">
        <f t="array" ref="H32:H52">D32:D52/TRANSPOSE(VBP_21)</f>
        <v>41.241363626518819</v>
      </c>
      <c r="I32" s="135" cm="1">
        <f t="array" ref="I32:I52">E32:E52/TRANSPOSE(VBP_21)</f>
        <v>16.160035520131686</v>
      </c>
    </row>
    <row r="33" spans="2:9">
      <c r="B33" s="22" t="s">
        <v>11</v>
      </c>
      <c r="C33" s="126">
        <v>4387</v>
      </c>
      <c r="D33" s="345">
        <v>3018</v>
      </c>
      <c r="E33" s="345">
        <v>1369</v>
      </c>
      <c r="F33" s="133">
        <f t="shared" si="2"/>
        <v>0.68794164577159789</v>
      </c>
      <c r="G33" s="133">
        <f t="shared" si="3"/>
        <v>0.31205835422840211</v>
      </c>
      <c r="H33" s="136">
        <v>6.9990723562152128</v>
      </c>
      <c r="I33" s="136">
        <v>3.1748608534322815</v>
      </c>
    </row>
    <row r="34" spans="2:9">
      <c r="B34" s="20" t="s">
        <v>12</v>
      </c>
      <c r="C34" s="125">
        <v>98009</v>
      </c>
      <c r="D34" s="344">
        <v>67422</v>
      </c>
      <c r="E34" s="344">
        <v>30587</v>
      </c>
      <c r="F34" s="134">
        <f t="shared" si="2"/>
        <v>0.68791641583936169</v>
      </c>
      <c r="G34" s="134">
        <f t="shared" si="3"/>
        <v>0.31208358416063831</v>
      </c>
      <c r="H34" s="135">
        <v>5.3248353314694583</v>
      </c>
      <c r="I34" s="135">
        <v>2.4156912919174203</v>
      </c>
    </row>
    <row r="35" spans="2:9">
      <c r="B35" s="22" t="s">
        <v>13</v>
      </c>
      <c r="C35" s="126">
        <v>69766</v>
      </c>
      <c r="D35" s="345">
        <v>47993</v>
      </c>
      <c r="E35" s="345">
        <v>21773</v>
      </c>
      <c r="F35" s="133">
        <f t="shared" si="2"/>
        <v>0.6879138835535934</v>
      </c>
      <c r="G35" s="133">
        <f t="shared" si="3"/>
        <v>0.31208611644640655</v>
      </c>
      <c r="H35" s="136">
        <v>41.671442215854832</v>
      </c>
      <c r="I35" s="136">
        <v>18.905096813406271</v>
      </c>
    </row>
    <row r="36" spans="2:9">
      <c r="B36" s="20" t="s">
        <v>14</v>
      </c>
      <c r="C36" s="125">
        <v>30996</v>
      </c>
      <c r="D36" s="344">
        <v>21323</v>
      </c>
      <c r="E36" s="344">
        <v>9673</v>
      </c>
      <c r="F36" s="134">
        <f t="shared" si="2"/>
        <v>0.68792747451284042</v>
      </c>
      <c r="G36" s="134">
        <f t="shared" si="3"/>
        <v>0.31207252548715964</v>
      </c>
      <c r="H36" s="135">
        <v>12.20479651994734</v>
      </c>
      <c r="I36" s="135">
        <v>5.5366035143952832</v>
      </c>
    </row>
    <row r="37" spans="2:9">
      <c r="B37" s="22" t="s">
        <v>15</v>
      </c>
      <c r="C37" s="126">
        <v>25134</v>
      </c>
      <c r="D37" s="345">
        <v>17290</v>
      </c>
      <c r="E37" s="345">
        <v>7844</v>
      </c>
      <c r="F37" s="133">
        <f t="shared" si="2"/>
        <v>0.68791278745921858</v>
      </c>
      <c r="G37" s="133">
        <f t="shared" si="3"/>
        <v>0.31208721254078142</v>
      </c>
      <c r="H37" s="136">
        <v>4.6679265658747298</v>
      </c>
      <c r="I37" s="136">
        <v>2.1177105831533476</v>
      </c>
    </row>
    <row r="38" spans="2:9">
      <c r="B38" s="20" t="s">
        <v>16</v>
      </c>
      <c r="C38" s="125">
        <v>28858</v>
      </c>
      <c r="D38" s="344">
        <v>19852</v>
      </c>
      <c r="E38" s="344">
        <v>9006</v>
      </c>
      <c r="F38" s="134">
        <f t="shared" si="2"/>
        <v>0.68792016078730334</v>
      </c>
      <c r="G38" s="134">
        <f t="shared" si="3"/>
        <v>0.31207983921269666</v>
      </c>
      <c r="H38" s="135">
        <v>24.054283290924506</v>
      </c>
      <c r="I38" s="135">
        <v>10.912395492548162</v>
      </c>
    </row>
    <row r="39" spans="2:9">
      <c r="B39" s="22" t="s">
        <v>17</v>
      </c>
      <c r="C39" s="126">
        <v>3906</v>
      </c>
      <c r="D39" s="345">
        <v>2687</v>
      </c>
      <c r="E39" s="345">
        <v>1219</v>
      </c>
      <c r="F39" s="133">
        <f t="shared" si="2"/>
        <v>0.68791602662570406</v>
      </c>
      <c r="G39" s="133">
        <f t="shared" si="3"/>
        <v>0.31208397337429594</v>
      </c>
      <c r="H39" s="136">
        <v>13.435</v>
      </c>
      <c r="I39" s="136">
        <v>6.0949999999999998</v>
      </c>
    </row>
    <row r="40" spans="2:9">
      <c r="B40" s="20" t="s">
        <v>18</v>
      </c>
      <c r="C40" s="125">
        <v>20524</v>
      </c>
      <c r="D40" s="344">
        <v>14119</v>
      </c>
      <c r="E40" s="344">
        <v>6405</v>
      </c>
      <c r="F40" s="134">
        <f t="shared" si="2"/>
        <v>0.68792633015006821</v>
      </c>
      <c r="G40" s="134">
        <f t="shared" si="3"/>
        <v>0.31207366984993179</v>
      </c>
      <c r="H40" s="135">
        <v>13.758526603001366</v>
      </c>
      <c r="I40" s="135">
        <v>6.2414733969986367</v>
      </c>
    </row>
    <row r="41" spans="2:9">
      <c r="B41" s="22" t="s">
        <v>19</v>
      </c>
      <c r="C41" s="126">
        <v>9448</v>
      </c>
      <c r="D41" s="345">
        <v>6499</v>
      </c>
      <c r="E41" s="345">
        <v>2949</v>
      </c>
      <c r="F41" s="133">
        <f t="shared" si="2"/>
        <v>0.68787044877222692</v>
      </c>
      <c r="G41" s="133">
        <f t="shared" si="3"/>
        <v>0.31212955122777308</v>
      </c>
      <c r="H41" s="136">
        <v>15.971983288277219</v>
      </c>
      <c r="I41" s="136">
        <v>7.2474809535512419</v>
      </c>
    </row>
    <row r="42" spans="2:9">
      <c r="B42" s="20" t="s">
        <v>20</v>
      </c>
      <c r="C42" s="125">
        <v>37031</v>
      </c>
      <c r="D42" s="344">
        <v>25474</v>
      </c>
      <c r="E42" s="344">
        <v>11557</v>
      </c>
      <c r="F42" s="134">
        <f t="shared" si="2"/>
        <v>0.6879101293510842</v>
      </c>
      <c r="G42" s="134">
        <f t="shared" si="3"/>
        <v>0.31208987064891575</v>
      </c>
      <c r="H42" s="135">
        <v>17.524766097963678</v>
      </c>
      <c r="I42" s="135">
        <v>7.9506053935057794</v>
      </c>
    </row>
    <row r="43" spans="2:9">
      <c r="B43" s="22" t="s">
        <v>21</v>
      </c>
      <c r="C43" s="126">
        <v>25627</v>
      </c>
      <c r="D43" s="345">
        <v>19732</v>
      </c>
      <c r="E43" s="345">
        <v>5895</v>
      </c>
      <c r="F43" s="133">
        <f t="shared" si="2"/>
        <v>0.7699691731377063</v>
      </c>
      <c r="G43" s="133">
        <f t="shared" si="3"/>
        <v>0.23003082686229367</v>
      </c>
      <c r="H43" s="136">
        <v>5.830624667572839</v>
      </c>
      <c r="I43" s="136">
        <v>1.7419183263400508</v>
      </c>
    </row>
    <row r="44" spans="2:9">
      <c r="B44" s="20" t="s">
        <v>22</v>
      </c>
      <c r="C44" s="125">
        <v>212401</v>
      </c>
      <c r="D44" s="344">
        <v>207206</v>
      </c>
      <c r="E44" s="344">
        <v>5195</v>
      </c>
      <c r="F44" s="134">
        <f t="shared" si="2"/>
        <v>0.97554154641456492</v>
      </c>
      <c r="G44" s="134">
        <f t="shared" si="3"/>
        <v>2.4458453585435098E-2</v>
      </c>
      <c r="H44" s="135">
        <v>36.260324793504132</v>
      </c>
      <c r="I44" s="135">
        <v>0.90910681786364278</v>
      </c>
    </row>
    <row r="45" spans="2:9">
      <c r="B45" s="22" t="s">
        <v>23</v>
      </c>
      <c r="C45" s="126">
        <v>802354</v>
      </c>
      <c r="D45" s="345">
        <v>415686</v>
      </c>
      <c r="E45" s="345">
        <v>386668</v>
      </c>
      <c r="F45" s="133">
        <f t="shared" si="2"/>
        <v>0.51808304065287891</v>
      </c>
      <c r="G45" s="133">
        <f t="shared" si="3"/>
        <v>0.48191695934712109</v>
      </c>
      <c r="H45" s="136">
        <v>42.615230050028707</v>
      </c>
      <c r="I45" s="136">
        <v>39.640367423931764</v>
      </c>
    </row>
    <row r="46" spans="2:9">
      <c r="B46" s="20" t="s">
        <v>24</v>
      </c>
      <c r="C46" s="125">
        <v>88040</v>
      </c>
      <c r="D46" s="344">
        <v>74304</v>
      </c>
      <c r="E46" s="344">
        <v>13736</v>
      </c>
      <c r="F46" s="134">
        <f t="shared" si="2"/>
        <v>0.84398000908677873</v>
      </c>
      <c r="G46" s="134">
        <f t="shared" si="3"/>
        <v>0.15601999091322127</v>
      </c>
      <c r="H46" s="135">
        <v>18.582968613229962</v>
      </c>
      <c r="I46" s="135">
        <v>3.4352882330874079</v>
      </c>
    </row>
    <row r="47" spans="2:9">
      <c r="B47" s="22" t="s">
        <v>25</v>
      </c>
      <c r="C47" s="126">
        <v>110360</v>
      </c>
      <c r="D47" s="345">
        <v>57176</v>
      </c>
      <c r="E47" s="345">
        <v>53184</v>
      </c>
      <c r="F47" s="133">
        <f t="shared" si="2"/>
        <v>0.51808626313881845</v>
      </c>
      <c r="G47" s="133">
        <f t="shared" si="3"/>
        <v>0.48191373686118161</v>
      </c>
      <c r="H47" s="136">
        <v>24.944810435844861</v>
      </c>
      <c r="I47" s="136">
        <v>23.203176126696043</v>
      </c>
    </row>
    <row r="48" spans="2:9">
      <c r="B48" s="20" t="s">
        <v>26</v>
      </c>
      <c r="C48" s="125">
        <v>49149</v>
      </c>
      <c r="D48" s="344">
        <v>41481</v>
      </c>
      <c r="E48" s="344">
        <v>7668</v>
      </c>
      <c r="F48" s="134">
        <f t="shared" si="2"/>
        <v>0.84398461820179449</v>
      </c>
      <c r="G48" s="134">
        <f t="shared" si="3"/>
        <v>0.15601538179820545</v>
      </c>
      <c r="H48" s="135">
        <v>15.270578707112355</v>
      </c>
      <c r="I48" s="135">
        <v>2.8228537770578708</v>
      </c>
    </row>
    <row r="49" spans="2:12">
      <c r="B49" s="22" t="s">
        <v>27</v>
      </c>
      <c r="C49" s="126">
        <v>40636</v>
      </c>
      <c r="D49" s="345">
        <v>21626</v>
      </c>
      <c r="E49" s="345">
        <v>19010</v>
      </c>
      <c r="F49" s="133">
        <f t="shared" si="2"/>
        <v>0.53218820750073825</v>
      </c>
      <c r="G49" s="133">
        <f t="shared" si="3"/>
        <v>0.46781179249926175</v>
      </c>
      <c r="H49" s="136">
        <v>6.5021046301864098</v>
      </c>
      <c r="I49" s="136">
        <v>5.7155742633794349</v>
      </c>
    </row>
    <row r="50" spans="2:12">
      <c r="B50" s="20" t="s">
        <v>28</v>
      </c>
      <c r="C50" s="125">
        <v>18972</v>
      </c>
      <c r="D50" s="344">
        <v>10097</v>
      </c>
      <c r="E50" s="344">
        <v>8875</v>
      </c>
      <c r="F50" s="134">
        <f t="shared" si="2"/>
        <v>0.53220535526038371</v>
      </c>
      <c r="G50" s="134">
        <f t="shared" si="3"/>
        <v>0.46779464473961629</v>
      </c>
      <c r="H50" s="135">
        <v>3.4358730050702695</v>
      </c>
      <c r="I50" s="135">
        <v>3.020042876101678</v>
      </c>
    </row>
    <row r="51" spans="2:12">
      <c r="B51" s="22" t="s">
        <v>29</v>
      </c>
      <c r="C51" s="126">
        <v>147634</v>
      </c>
      <c r="D51" s="345">
        <v>78569</v>
      </c>
      <c r="E51" s="345">
        <v>69065</v>
      </c>
      <c r="F51" s="133">
        <f t="shared" si="2"/>
        <v>0.53218770743866584</v>
      </c>
      <c r="G51" s="133">
        <f t="shared" si="3"/>
        <v>0.46781229256133411</v>
      </c>
      <c r="H51" s="136">
        <v>36.771189217016897</v>
      </c>
      <c r="I51" s="136">
        <v>32.323208686291949</v>
      </c>
    </row>
    <row r="52" spans="2:12">
      <c r="B52" s="20" t="s">
        <v>30</v>
      </c>
      <c r="C52" s="125">
        <v>748921</v>
      </c>
      <c r="D52" s="344">
        <v>264354</v>
      </c>
      <c r="E52" s="344">
        <v>484567</v>
      </c>
      <c r="F52" s="134">
        <f t="shared" si="2"/>
        <v>0.35297982030147373</v>
      </c>
      <c r="G52" s="134">
        <f t="shared" si="3"/>
        <v>0.64702017969852632</v>
      </c>
      <c r="H52" s="135">
        <v>29.57707713307525</v>
      </c>
      <c r="I52" s="135">
        <v>54.215466893418956</v>
      </c>
    </row>
    <row r="53" spans="2:12">
      <c r="B53" s="127"/>
      <c r="C53" s="128">
        <f>SUM(EmpleoTotal21)</f>
        <v>3102209</v>
      </c>
      <c r="D53" s="128">
        <f>SUM(D32:D52)</f>
        <v>1796739</v>
      </c>
      <c r="E53" s="128">
        <f>SUM(E32:E52)</f>
        <v>1305470</v>
      </c>
      <c r="F53" s="139"/>
      <c r="G53" s="139"/>
      <c r="H53" s="129"/>
      <c r="I53" s="129"/>
    </row>
    <row r="56" spans="2:12">
      <c r="B56" s="74"/>
      <c r="C56" s="123" t="s">
        <v>31</v>
      </c>
      <c r="D56" s="537" t="s">
        <v>240</v>
      </c>
      <c r="E56" s="538"/>
      <c r="F56" s="538"/>
      <c r="G56" s="537" t="s">
        <v>234</v>
      </c>
      <c r="H56" s="538"/>
      <c r="I56" s="538"/>
      <c r="J56" s="537" t="s">
        <v>235</v>
      </c>
      <c r="K56" s="538"/>
      <c r="L56" s="538"/>
    </row>
    <row r="57" spans="2:12" ht="26" customHeight="1">
      <c r="B57" s="78" t="s">
        <v>5</v>
      </c>
      <c r="C57" s="75" t="s">
        <v>230</v>
      </c>
      <c r="D57" s="77" t="s">
        <v>241</v>
      </c>
      <c r="E57" s="76" t="s">
        <v>242</v>
      </c>
      <c r="F57" s="124" t="s">
        <v>243</v>
      </c>
      <c r="G57" s="77" t="s">
        <v>244</v>
      </c>
      <c r="H57" s="76" t="s">
        <v>245</v>
      </c>
      <c r="I57" s="124" t="s">
        <v>246</v>
      </c>
      <c r="J57" s="77" t="s">
        <v>247</v>
      </c>
      <c r="K57" s="76" t="s">
        <v>248</v>
      </c>
      <c r="L57" s="124" t="s">
        <v>249</v>
      </c>
    </row>
    <row r="58" spans="2:12">
      <c r="B58" s="20" t="s">
        <v>10</v>
      </c>
      <c r="C58" s="125">
        <v>530056</v>
      </c>
      <c r="D58" s="344">
        <v>374288</v>
      </c>
      <c r="E58" s="344">
        <v>121652</v>
      </c>
      <c r="F58" s="344">
        <v>34116</v>
      </c>
      <c r="G58" s="130">
        <f>D58/$C58</f>
        <v>0.70612916371100409</v>
      </c>
      <c r="H58" s="130">
        <f t="shared" ref="H58:H78" si="4">E58/$C58</f>
        <v>0.22950782558823973</v>
      </c>
      <c r="I58" s="130">
        <f t="shared" ref="I58:I78" si="5">F58/$C58</f>
        <v>6.4363010700756146E-2</v>
      </c>
      <c r="J58" s="142" cm="1">
        <f t="array" ref="J58:J78">D58:D78/TRANSPOSE(VBP_21)</f>
        <v>40.532801975265862</v>
      </c>
      <c r="K58" s="142" cm="1">
        <f t="array" ref="K58:K78">E58:E78/TRANSPOSE(VBP_21)</f>
        <v>13.174070303870396</v>
      </c>
      <c r="L58" s="142" cm="1">
        <f t="array" ref="L58:L78">F58:F78/TRANSPOSE(VBP_21)</f>
        <v>3.6945268675142411</v>
      </c>
    </row>
    <row r="59" spans="2:12">
      <c r="B59" s="22" t="s">
        <v>11</v>
      </c>
      <c r="C59" s="126">
        <v>4387</v>
      </c>
      <c r="D59" s="345">
        <v>1306</v>
      </c>
      <c r="E59" s="345">
        <v>2060</v>
      </c>
      <c r="F59" s="345">
        <v>1021</v>
      </c>
      <c r="G59" s="133">
        <f t="shared" ref="G59:G78" si="6">D59/$C59</f>
        <v>0.29769774333257354</v>
      </c>
      <c r="H59" s="133">
        <f t="shared" si="4"/>
        <v>0.46956918167312517</v>
      </c>
      <c r="I59" s="133">
        <f t="shared" si="5"/>
        <v>0.23273307499430135</v>
      </c>
      <c r="J59" s="143">
        <v>3.0287569573283855</v>
      </c>
      <c r="K59" s="143">
        <v>4.7773654916512056</v>
      </c>
      <c r="L59" s="143">
        <v>2.3678107606679033</v>
      </c>
    </row>
    <row r="60" spans="2:12">
      <c r="B60" s="20" t="s">
        <v>12</v>
      </c>
      <c r="C60" s="125">
        <v>98009</v>
      </c>
      <c r="D60" s="344">
        <v>29170</v>
      </c>
      <c r="E60" s="344">
        <v>46022</v>
      </c>
      <c r="F60" s="344">
        <v>22817</v>
      </c>
      <c r="G60" s="134">
        <f t="shared" si="6"/>
        <v>0.2976257282494465</v>
      </c>
      <c r="H60" s="134">
        <f t="shared" si="4"/>
        <v>0.4695691212031548</v>
      </c>
      <c r="I60" s="134">
        <f t="shared" si="5"/>
        <v>0.2328051505473987</v>
      </c>
      <c r="J60" s="142">
        <v>2.3037798733197485</v>
      </c>
      <c r="K60" s="142">
        <v>3.6347122841933999</v>
      </c>
      <c r="L60" s="142">
        <v>1.80203446587373</v>
      </c>
    </row>
    <row r="61" spans="2:12">
      <c r="B61" s="22" t="s">
        <v>13</v>
      </c>
      <c r="C61" s="126">
        <v>69766</v>
      </c>
      <c r="D61" s="345">
        <v>20764</v>
      </c>
      <c r="E61" s="345">
        <v>32760</v>
      </c>
      <c r="F61" s="345">
        <v>16242</v>
      </c>
      <c r="G61" s="133">
        <f t="shared" si="6"/>
        <v>0.29762348421867385</v>
      </c>
      <c r="H61" s="133">
        <f t="shared" si="4"/>
        <v>0.46956970444055846</v>
      </c>
      <c r="I61" s="133">
        <f t="shared" si="5"/>
        <v>0.23280681134076772</v>
      </c>
      <c r="J61" s="143">
        <v>18.029000607797173</v>
      </c>
      <c r="K61" s="143">
        <v>28.444907528002087</v>
      </c>
      <c r="L61" s="143">
        <v>14.102630893461841</v>
      </c>
    </row>
    <row r="62" spans="2:12">
      <c r="B62" s="20" t="s">
        <v>14</v>
      </c>
      <c r="C62" s="125">
        <v>30996</v>
      </c>
      <c r="D62" s="344">
        <v>9225</v>
      </c>
      <c r="E62" s="344">
        <v>14555</v>
      </c>
      <c r="F62" s="344">
        <v>7216</v>
      </c>
      <c r="G62" s="134">
        <f t="shared" si="6"/>
        <v>0.29761904761904762</v>
      </c>
      <c r="H62" s="134">
        <f t="shared" si="4"/>
        <v>0.46957671957671959</v>
      </c>
      <c r="I62" s="134">
        <f t="shared" si="5"/>
        <v>0.23280423280423279</v>
      </c>
      <c r="J62" s="142">
        <v>5.2801785816495901</v>
      </c>
      <c r="K62" s="142">
        <v>8.3309484288249092</v>
      </c>
      <c r="L62" s="142">
        <v>4.1302730238681242</v>
      </c>
    </row>
    <row r="63" spans="2:12">
      <c r="B63" s="22" t="s">
        <v>15</v>
      </c>
      <c r="C63" s="126">
        <v>25134</v>
      </c>
      <c r="D63" s="345">
        <v>7480</v>
      </c>
      <c r="E63" s="345">
        <v>11802</v>
      </c>
      <c r="F63" s="345">
        <v>5852</v>
      </c>
      <c r="G63" s="133">
        <f t="shared" si="6"/>
        <v>0.29760483806795573</v>
      </c>
      <c r="H63" s="133">
        <f t="shared" si="4"/>
        <v>0.4695631415612318</v>
      </c>
      <c r="I63" s="133">
        <f t="shared" si="5"/>
        <v>0.23283202037081244</v>
      </c>
      <c r="J63" s="143">
        <v>2.0194384449244058</v>
      </c>
      <c r="K63" s="143">
        <v>3.1862850971922247</v>
      </c>
      <c r="L63" s="143">
        <v>1.579913606911447</v>
      </c>
    </row>
    <row r="64" spans="2:12">
      <c r="B64" s="20" t="s">
        <v>16</v>
      </c>
      <c r="C64" s="125">
        <v>28858</v>
      </c>
      <c r="D64" s="344">
        <v>8589</v>
      </c>
      <c r="E64" s="344">
        <v>13551</v>
      </c>
      <c r="F64" s="344">
        <v>6718</v>
      </c>
      <c r="G64" s="134">
        <f t="shared" si="6"/>
        <v>0.29762977337306812</v>
      </c>
      <c r="H64" s="134">
        <f t="shared" si="4"/>
        <v>0.46957516113382769</v>
      </c>
      <c r="I64" s="134">
        <f t="shared" si="5"/>
        <v>0.23279506549310416</v>
      </c>
      <c r="J64" s="142">
        <v>10.407124681933841</v>
      </c>
      <c r="K64" s="142">
        <v>16.419483824063974</v>
      </c>
      <c r="L64" s="142">
        <v>8.1400702774748552</v>
      </c>
    </row>
    <row r="65" spans="2:12">
      <c r="B65" s="22" t="s">
        <v>17</v>
      </c>
      <c r="C65" s="126">
        <v>3906</v>
      </c>
      <c r="D65" s="345">
        <v>1163</v>
      </c>
      <c r="E65" s="345">
        <v>1834</v>
      </c>
      <c r="F65" s="345">
        <v>909</v>
      </c>
      <c r="G65" s="133">
        <f t="shared" si="6"/>
        <v>0.29774705581157196</v>
      </c>
      <c r="H65" s="133">
        <f t="shared" si="4"/>
        <v>0.46953405017921146</v>
      </c>
      <c r="I65" s="133">
        <f t="shared" si="5"/>
        <v>0.23271889400921658</v>
      </c>
      <c r="J65" s="143">
        <v>5.8150000000000004</v>
      </c>
      <c r="K65" s="143">
        <v>9.17</v>
      </c>
      <c r="L65" s="143">
        <v>4.5449999999999999</v>
      </c>
    </row>
    <row r="66" spans="2:12">
      <c r="B66" s="20" t="s">
        <v>18</v>
      </c>
      <c r="C66" s="125">
        <v>20524</v>
      </c>
      <c r="D66" s="344">
        <v>6108</v>
      </c>
      <c r="E66" s="344">
        <v>9638</v>
      </c>
      <c r="F66" s="344">
        <v>4778</v>
      </c>
      <c r="G66" s="134">
        <f t="shared" si="6"/>
        <v>0.2976028064704736</v>
      </c>
      <c r="H66" s="134">
        <f t="shared" si="4"/>
        <v>0.46959656986942117</v>
      </c>
      <c r="I66" s="134">
        <f t="shared" si="5"/>
        <v>0.23280062366010523</v>
      </c>
      <c r="J66" s="142">
        <v>5.9520561294094732</v>
      </c>
      <c r="K66" s="142">
        <v>9.3919313973884258</v>
      </c>
      <c r="L66" s="142">
        <v>4.6560124732021055</v>
      </c>
    </row>
    <row r="67" spans="2:12">
      <c r="B67" s="22" t="s">
        <v>19</v>
      </c>
      <c r="C67" s="126">
        <v>9448</v>
      </c>
      <c r="D67" s="345">
        <v>2812</v>
      </c>
      <c r="E67" s="345">
        <v>4437</v>
      </c>
      <c r="F67" s="345">
        <v>2199</v>
      </c>
      <c r="G67" s="133">
        <f t="shared" si="6"/>
        <v>0.29762912785774764</v>
      </c>
      <c r="H67" s="133">
        <f t="shared" si="4"/>
        <v>0.46962320067739205</v>
      </c>
      <c r="I67" s="133">
        <f t="shared" si="5"/>
        <v>0.23274767146486028</v>
      </c>
      <c r="J67" s="143">
        <v>6.9107888916195632</v>
      </c>
      <c r="K67" s="143">
        <v>10.904399115261736</v>
      </c>
      <c r="L67" s="143">
        <v>5.4042762349471616</v>
      </c>
    </row>
    <row r="68" spans="2:12">
      <c r="B68" s="20" t="s">
        <v>20</v>
      </c>
      <c r="C68" s="125">
        <v>37031</v>
      </c>
      <c r="D68" s="344">
        <v>11021</v>
      </c>
      <c r="E68" s="344">
        <v>17389</v>
      </c>
      <c r="F68" s="344">
        <v>8621</v>
      </c>
      <c r="G68" s="134">
        <f t="shared" si="6"/>
        <v>0.29761551132834652</v>
      </c>
      <c r="H68" s="134">
        <f t="shared" si="4"/>
        <v>0.46957954146525882</v>
      </c>
      <c r="I68" s="134">
        <f t="shared" si="5"/>
        <v>0.23280494720639464</v>
      </c>
      <c r="J68" s="142">
        <v>7.581865712713264</v>
      </c>
      <c r="K68" s="142">
        <v>11.962713263621355</v>
      </c>
      <c r="L68" s="142">
        <v>5.9307925151348382</v>
      </c>
    </row>
    <row r="69" spans="2:12">
      <c r="B69" s="22" t="s">
        <v>21</v>
      </c>
      <c r="C69" s="126">
        <v>25627</v>
      </c>
      <c r="D69" s="345">
        <v>3091</v>
      </c>
      <c r="E69" s="345">
        <v>8194</v>
      </c>
      <c r="F69" s="345">
        <v>14342</v>
      </c>
      <c r="G69" s="133">
        <f t="shared" si="6"/>
        <v>0.12061497639208647</v>
      </c>
      <c r="H69" s="133">
        <f t="shared" si="4"/>
        <v>0.31974089827135443</v>
      </c>
      <c r="I69" s="133">
        <f t="shared" si="5"/>
        <v>0.55964412533655905</v>
      </c>
      <c r="J69" s="143">
        <v>0.91336209443886296</v>
      </c>
      <c r="K69" s="143">
        <v>2.4212516990721591</v>
      </c>
      <c r="L69" s="143">
        <v>4.2379292004018678</v>
      </c>
    </row>
    <row r="70" spans="2:12">
      <c r="B70" s="20" t="s">
        <v>22</v>
      </c>
      <c r="C70" s="125">
        <v>212401</v>
      </c>
      <c r="D70" s="344">
        <v>99094</v>
      </c>
      <c r="E70" s="344">
        <v>87760</v>
      </c>
      <c r="F70" s="344">
        <v>25547</v>
      </c>
      <c r="G70" s="134">
        <f t="shared" si="6"/>
        <v>0.46654205959482298</v>
      </c>
      <c r="H70" s="134">
        <f t="shared" si="4"/>
        <v>0.41318072890428953</v>
      </c>
      <c r="I70" s="134">
        <f t="shared" si="5"/>
        <v>0.12027721150088747</v>
      </c>
      <c r="J70" s="142">
        <v>17.341103177936443</v>
      </c>
      <c r="K70" s="142">
        <v>15.357692846143078</v>
      </c>
      <c r="L70" s="142">
        <v>4.4706355872882542</v>
      </c>
    </row>
    <row r="71" spans="2:12">
      <c r="B71" s="22" t="s">
        <v>23</v>
      </c>
      <c r="C71" s="126">
        <v>802354</v>
      </c>
      <c r="D71" s="345">
        <v>227680</v>
      </c>
      <c r="E71" s="345">
        <v>360046</v>
      </c>
      <c r="F71" s="345">
        <v>214628</v>
      </c>
      <c r="G71" s="133">
        <f t="shared" si="6"/>
        <v>0.28376502142445853</v>
      </c>
      <c r="H71" s="133">
        <f t="shared" si="4"/>
        <v>0.44873709110941057</v>
      </c>
      <c r="I71" s="133">
        <f t="shared" si="5"/>
        <v>0.2674978874661309</v>
      </c>
      <c r="J71" s="143">
        <v>23.341261379480031</v>
      </c>
      <c r="K71" s="143">
        <v>36.911137537931602</v>
      </c>
      <c r="L71" s="143">
        <v>22.003198556548842</v>
      </c>
    </row>
    <row r="72" spans="2:12">
      <c r="B72" s="20" t="s">
        <v>24</v>
      </c>
      <c r="C72" s="125">
        <v>88040</v>
      </c>
      <c r="D72" s="344">
        <v>17821</v>
      </c>
      <c r="E72" s="344">
        <v>40677</v>
      </c>
      <c r="F72" s="344">
        <v>29542</v>
      </c>
      <c r="G72" s="134">
        <f t="shared" si="6"/>
        <v>0.20241935483870968</v>
      </c>
      <c r="H72" s="134">
        <f t="shared" si="4"/>
        <v>0.46202862335302136</v>
      </c>
      <c r="I72" s="134">
        <f t="shared" si="5"/>
        <v>0.33555202180826899</v>
      </c>
      <c r="J72" s="142">
        <v>4.456921345504564</v>
      </c>
      <c r="K72" s="142">
        <v>10.173064899337252</v>
      </c>
      <c r="L72" s="142">
        <v>7.3882706014755533</v>
      </c>
    </row>
    <row r="73" spans="2:12">
      <c r="B73" s="22" t="s">
        <v>25</v>
      </c>
      <c r="C73" s="126">
        <v>110360</v>
      </c>
      <c r="D73" s="345">
        <v>31316</v>
      </c>
      <c r="E73" s="345">
        <v>49523</v>
      </c>
      <c r="F73" s="345">
        <v>29521</v>
      </c>
      <c r="G73" s="133">
        <f t="shared" si="6"/>
        <v>0.28376223269300471</v>
      </c>
      <c r="H73" s="133">
        <f t="shared" si="4"/>
        <v>0.44874048568321856</v>
      </c>
      <c r="I73" s="133">
        <f t="shared" si="5"/>
        <v>0.26749728162377673</v>
      </c>
      <c r="J73" s="143">
        <v>13.662580166659396</v>
      </c>
      <c r="K73" s="143">
        <v>21.605950874743687</v>
      </c>
      <c r="L73" s="143">
        <v>12.879455521137821</v>
      </c>
    </row>
    <row r="74" spans="2:12">
      <c r="B74" s="20" t="s">
        <v>26</v>
      </c>
      <c r="C74" s="125">
        <v>49149</v>
      </c>
      <c r="D74" s="344">
        <v>9949</v>
      </c>
      <c r="E74" s="344">
        <v>22708</v>
      </c>
      <c r="F74" s="344">
        <v>16492</v>
      </c>
      <c r="G74" s="134">
        <f t="shared" si="6"/>
        <v>0.20242527823556938</v>
      </c>
      <c r="H74" s="134">
        <f t="shared" si="4"/>
        <v>0.46202364239353799</v>
      </c>
      <c r="I74" s="134">
        <f t="shared" si="5"/>
        <v>0.33555107937089257</v>
      </c>
      <c r="J74" s="142">
        <v>3.662568104844647</v>
      </c>
      <c r="K74" s="142">
        <v>8.3595935797378882</v>
      </c>
      <c r="L74" s="142">
        <v>6.0712707995876896</v>
      </c>
    </row>
    <row r="75" spans="2:12">
      <c r="B75" s="22" t="s">
        <v>27</v>
      </c>
      <c r="C75" s="126">
        <v>40636</v>
      </c>
      <c r="D75" s="345">
        <v>3732</v>
      </c>
      <c r="E75" s="345">
        <v>10381</v>
      </c>
      <c r="F75" s="345">
        <v>26523</v>
      </c>
      <c r="G75" s="133">
        <f t="shared" si="6"/>
        <v>9.1839748006693575E-2</v>
      </c>
      <c r="H75" s="133">
        <f t="shared" si="4"/>
        <v>0.25546313613544641</v>
      </c>
      <c r="I75" s="133">
        <f t="shared" si="5"/>
        <v>0.65269711585786006</v>
      </c>
      <c r="J75" s="143">
        <v>1.122068550811786</v>
      </c>
      <c r="K75" s="143">
        <v>3.1211665664461816</v>
      </c>
      <c r="L75" s="143">
        <v>7.9744437763078775</v>
      </c>
    </row>
    <row r="76" spans="2:12">
      <c r="B76" s="20" t="s">
        <v>28</v>
      </c>
      <c r="C76" s="125">
        <v>18972</v>
      </c>
      <c r="D76" s="344">
        <v>1742</v>
      </c>
      <c r="E76" s="344">
        <v>4847</v>
      </c>
      <c r="F76" s="344">
        <v>12383</v>
      </c>
      <c r="G76" s="134">
        <f t="shared" si="6"/>
        <v>9.181952350832806E-2</v>
      </c>
      <c r="H76" s="134">
        <f t="shared" si="4"/>
        <v>0.2554817625975121</v>
      </c>
      <c r="I76" s="134">
        <f t="shared" si="5"/>
        <v>0.65269871389415979</v>
      </c>
      <c r="J76" s="142">
        <v>0.59277912001905608</v>
      </c>
      <c r="K76" s="142">
        <v>1.6493687685030798</v>
      </c>
      <c r="L76" s="142">
        <v>4.2137679926498111</v>
      </c>
    </row>
    <row r="77" spans="2:12">
      <c r="B77" s="22" t="s">
        <v>29</v>
      </c>
      <c r="C77" s="126">
        <v>147634</v>
      </c>
      <c r="D77" s="345">
        <v>13558</v>
      </c>
      <c r="E77" s="345">
        <v>37716</v>
      </c>
      <c r="F77" s="345">
        <v>96360</v>
      </c>
      <c r="G77" s="133">
        <f t="shared" si="6"/>
        <v>9.1835214110570731E-2</v>
      </c>
      <c r="H77" s="133">
        <f t="shared" si="4"/>
        <v>0.2554696072720376</v>
      </c>
      <c r="I77" s="133">
        <f t="shared" si="5"/>
        <v>0.65269517861739168</v>
      </c>
      <c r="J77" s="143">
        <v>6.345298825291338</v>
      </c>
      <c r="K77" s="143">
        <v>17.651518697056211</v>
      </c>
      <c r="L77" s="143">
        <v>45.097580380961297</v>
      </c>
    </row>
    <row r="78" spans="2:12">
      <c r="B78" s="20" t="s">
        <v>30</v>
      </c>
      <c r="C78" s="125">
        <v>748921</v>
      </c>
      <c r="D78" s="344">
        <v>175328</v>
      </c>
      <c r="E78" s="344">
        <v>220916</v>
      </c>
      <c r="F78" s="344">
        <v>352677</v>
      </c>
      <c r="G78" s="134">
        <f t="shared" si="6"/>
        <v>0.23410746927913625</v>
      </c>
      <c r="H78" s="134">
        <f t="shared" si="4"/>
        <v>0.29497904318345991</v>
      </c>
      <c r="I78" s="134">
        <f t="shared" si="5"/>
        <v>0.47091348753740381</v>
      </c>
      <c r="J78" s="142">
        <v>19.616460426503163</v>
      </c>
      <c r="K78" s="142">
        <v>24.717044462843202</v>
      </c>
      <c r="L78" s="142">
        <v>39.45903913714784</v>
      </c>
    </row>
    <row r="79" spans="2:12">
      <c r="B79" s="127"/>
      <c r="C79" s="128">
        <f>SUM(C58:C78)</f>
        <v>3102209</v>
      </c>
      <c r="D79" s="128">
        <f t="shared" ref="D79:F79" si="7">SUM(D58:D78)</f>
        <v>1055237</v>
      </c>
      <c r="E79" s="128">
        <f t="shared" si="7"/>
        <v>1118468</v>
      </c>
      <c r="F79" s="128">
        <f t="shared" si="7"/>
        <v>928504</v>
      </c>
      <c r="G79" s="139"/>
      <c r="H79" s="139"/>
      <c r="I79" s="139"/>
      <c r="J79" s="129"/>
      <c r="K79" s="129"/>
      <c r="L79" s="129"/>
    </row>
    <row r="82" spans="2:9">
      <c r="B82" s="74"/>
      <c r="C82" s="123" t="s">
        <v>31</v>
      </c>
      <c r="D82" s="537" t="s">
        <v>250</v>
      </c>
      <c r="E82" s="538"/>
      <c r="F82" s="537" t="s">
        <v>234</v>
      </c>
      <c r="G82" s="538"/>
      <c r="H82" s="537" t="s">
        <v>235</v>
      </c>
      <c r="I82" s="538"/>
    </row>
    <row r="83" spans="2:9" ht="26" customHeight="1">
      <c r="B83" s="78" t="s">
        <v>5</v>
      </c>
      <c r="C83" s="75" t="s">
        <v>230</v>
      </c>
      <c r="D83" s="77" t="s">
        <v>172</v>
      </c>
      <c r="E83" s="124" t="s">
        <v>176</v>
      </c>
      <c r="F83" s="77" t="s">
        <v>172</v>
      </c>
      <c r="G83" s="124" t="s">
        <v>176</v>
      </c>
      <c r="H83" s="77" t="s">
        <v>251</v>
      </c>
      <c r="I83" s="124" t="s">
        <v>252</v>
      </c>
    </row>
    <row r="84" spans="2:9">
      <c r="B84" s="20" t="s">
        <v>10</v>
      </c>
      <c r="C84" s="125">
        <v>530056</v>
      </c>
      <c r="D84" s="344">
        <v>49014</v>
      </c>
      <c r="E84" s="344">
        <v>481042</v>
      </c>
      <c r="F84" s="130">
        <f t="shared" ref="F84:F104" si="8">D84/C84</f>
        <v>9.2469474923404321E-2</v>
      </c>
      <c r="G84" s="130">
        <f t="shared" ref="G84:G104" si="9">E84/C84</f>
        <v>0.90753052507659571</v>
      </c>
      <c r="H84" s="135" cm="1">
        <f t="array" ref="H84:H104">D84:D104/TRANSPOSE(VBP_21)</f>
        <v>5.307877238959521</v>
      </c>
      <c r="I84" s="135" cm="1">
        <f t="array" ref="I84:I104">E84:E104/TRANSPOSE(VBP_21)</f>
        <v>52.093521907690985</v>
      </c>
    </row>
    <row r="85" spans="2:9">
      <c r="B85" s="22" t="s">
        <v>11</v>
      </c>
      <c r="C85" s="126">
        <v>4387</v>
      </c>
      <c r="D85" s="345">
        <v>1869</v>
      </c>
      <c r="E85" s="345">
        <v>2518</v>
      </c>
      <c r="F85" s="133">
        <f t="shared" si="8"/>
        <v>0.42603145657624802</v>
      </c>
      <c r="G85" s="133">
        <f t="shared" si="9"/>
        <v>0.57396854342375203</v>
      </c>
      <c r="H85" s="136">
        <v>4.3344155844155843</v>
      </c>
      <c r="I85" s="136">
        <v>5.8395176252319105</v>
      </c>
    </row>
    <row r="86" spans="2:9">
      <c r="B86" s="20" t="s">
        <v>12</v>
      </c>
      <c r="C86" s="125">
        <v>98009</v>
      </c>
      <c r="D86" s="344">
        <v>41757</v>
      </c>
      <c r="E86" s="344">
        <v>56252</v>
      </c>
      <c r="F86" s="134">
        <f t="shared" si="8"/>
        <v>0.42605270944505097</v>
      </c>
      <c r="G86" s="134">
        <f t="shared" si="9"/>
        <v>0.57394729055494909</v>
      </c>
      <c r="H86" s="135">
        <v>3.2978723404255312</v>
      </c>
      <c r="I86" s="135">
        <v>4.4426542829613469</v>
      </c>
    </row>
    <row r="87" spans="2:9">
      <c r="B87" s="22" t="s">
        <v>13</v>
      </c>
      <c r="C87" s="126">
        <v>69766</v>
      </c>
      <c r="D87" s="345">
        <v>29724</v>
      </c>
      <c r="E87" s="345">
        <v>40042</v>
      </c>
      <c r="F87" s="133">
        <f t="shared" si="8"/>
        <v>0.42605280509130522</v>
      </c>
      <c r="G87" s="133">
        <f t="shared" si="9"/>
        <v>0.57394719490869472</v>
      </c>
      <c r="H87" s="136">
        <v>25.808804376139623</v>
      </c>
      <c r="I87" s="136">
        <v>34.767734653121479</v>
      </c>
    </row>
    <row r="88" spans="2:9">
      <c r="B88" s="20" t="s">
        <v>14</v>
      </c>
      <c r="C88" s="125">
        <v>30996</v>
      </c>
      <c r="D88" s="344">
        <v>13206</v>
      </c>
      <c r="E88" s="344">
        <v>17790</v>
      </c>
      <c r="F88" s="134">
        <f t="shared" si="8"/>
        <v>0.42605497483546262</v>
      </c>
      <c r="G88" s="134">
        <f t="shared" si="9"/>
        <v>0.57394502516453738</v>
      </c>
      <c r="H88" s="135">
        <v>7.5588117451777226</v>
      </c>
      <c r="I88" s="135">
        <v>10.182588289164901</v>
      </c>
    </row>
    <row r="89" spans="2:9">
      <c r="B89" s="22" t="s">
        <v>15</v>
      </c>
      <c r="C89" s="126">
        <v>25134</v>
      </c>
      <c r="D89" s="345">
        <v>10709</v>
      </c>
      <c r="E89" s="345">
        <v>14425</v>
      </c>
      <c r="F89" s="133">
        <f t="shared" si="8"/>
        <v>0.42607623139969764</v>
      </c>
      <c r="G89" s="133">
        <f t="shared" si="9"/>
        <v>0.57392376860030236</v>
      </c>
      <c r="H89" s="136">
        <v>2.8911987041036715</v>
      </c>
      <c r="I89" s="136">
        <v>3.8944384449244058</v>
      </c>
    </row>
    <row r="90" spans="2:9">
      <c r="B90" s="20" t="s">
        <v>16</v>
      </c>
      <c r="C90" s="125">
        <v>28858</v>
      </c>
      <c r="D90" s="344">
        <v>12295</v>
      </c>
      <c r="E90" s="344">
        <v>16563</v>
      </c>
      <c r="F90" s="134">
        <f t="shared" si="8"/>
        <v>0.42605170143461085</v>
      </c>
      <c r="G90" s="134">
        <f t="shared" si="9"/>
        <v>0.57394829856538909</v>
      </c>
      <c r="H90" s="135">
        <v>14.897612989216039</v>
      </c>
      <c r="I90" s="135">
        <v>20.06906579425663</v>
      </c>
    </row>
    <row r="91" spans="2:9">
      <c r="B91" s="22" t="s">
        <v>17</v>
      </c>
      <c r="C91" s="126">
        <v>3906</v>
      </c>
      <c r="D91" s="345">
        <v>1664</v>
      </c>
      <c r="E91" s="345">
        <v>2242</v>
      </c>
      <c r="F91" s="133">
        <f t="shared" si="8"/>
        <v>0.42601126472094214</v>
      </c>
      <c r="G91" s="133">
        <f t="shared" si="9"/>
        <v>0.5739887352790578</v>
      </c>
      <c r="H91" s="136">
        <v>8.32</v>
      </c>
      <c r="I91" s="136">
        <v>11.21</v>
      </c>
    </row>
    <row r="92" spans="2:9">
      <c r="B92" s="20" t="s">
        <v>18</v>
      </c>
      <c r="C92" s="125">
        <v>20524</v>
      </c>
      <c r="D92" s="344">
        <v>8744</v>
      </c>
      <c r="E92" s="344">
        <v>11780</v>
      </c>
      <c r="F92" s="134">
        <f t="shared" si="8"/>
        <v>0.42603780939388036</v>
      </c>
      <c r="G92" s="134">
        <f t="shared" si="9"/>
        <v>0.57396219060611964</v>
      </c>
      <c r="H92" s="135">
        <v>8.520756187877609</v>
      </c>
      <c r="I92" s="135">
        <v>11.479243812122395</v>
      </c>
    </row>
    <row r="93" spans="2:9">
      <c r="B93" s="22" t="s">
        <v>19</v>
      </c>
      <c r="C93" s="126">
        <v>9448</v>
      </c>
      <c r="D93" s="345">
        <v>4025</v>
      </c>
      <c r="E93" s="345">
        <v>5423</v>
      </c>
      <c r="F93" s="133">
        <f t="shared" si="8"/>
        <v>0.4260160880609653</v>
      </c>
      <c r="G93" s="133">
        <f t="shared" si="9"/>
        <v>0.57398391193903475</v>
      </c>
      <c r="H93" s="136">
        <v>9.891865323175228</v>
      </c>
      <c r="I93" s="136">
        <v>13.327598918653232</v>
      </c>
    </row>
    <row r="94" spans="2:9">
      <c r="B94" s="20" t="s">
        <v>20</v>
      </c>
      <c r="C94" s="125">
        <v>37031</v>
      </c>
      <c r="D94" s="344">
        <v>15777</v>
      </c>
      <c r="E94" s="344">
        <v>21254</v>
      </c>
      <c r="F94" s="134">
        <f t="shared" si="8"/>
        <v>0.42604844589668117</v>
      </c>
      <c r="G94" s="134">
        <f t="shared" si="9"/>
        <v>0.57395155410331888</v>
      </c>
      <c r="H94" s="135">
        <v>10.853742432581178</v>
      </c>
      <c r="I94" s="135">
        <v>14.621629058888278</v>
      </c>
    </row>
    <row r="95" spans="2:9">
      <c r="B95" s="22" t="s">
        <v>21</v>
      </c>
      <c r="C95" s="126">
        <v>25627</v>
      </c>
      <c r="D95" s="345">
        <v>19200</v>
      </c>
      <c r="E95" s="345">
        <v>6427</v>
      </c>
      <c r="F95" s="133">
        <f t="shared" si="8"/>
        <v>0.74920981777032036</v>
      </c>
      <c r="G95" s="133">
        <f t="shared" si="9"/>
        <v>0.25079018222967964</v>
      </c>
      <c r="H95" s="136">
        <v>5.6734235565273927</v>
      </c>
      <c r="I95" s="136">
        <v>1.8991194373854974</v>
      </c>
    </row>
    <row r="96" spans="2:9">
      <c r="B96" s="20" t="s">
        <v>22</v>
      </c>
      <c r="C96" s="125">
        <v>212401</v>
      </c>
      <c r="D96" s="344">
        <v>30625</v>
      </c>
      <c r="E96" s="344">
        <v>181776</v>
      </c>
      <c r="F96" s="134">
        <f t="shared" si="8"/>
        <v>0.144184820222127</v>
      </c>
      <c r="G96" s="134">
        <f t="shared" si="9"/>
        <v>0.85581517977787303</v>
      </c>
      <c r="H96" s="135">
        <v>5.3592678146437072</v>
      </c>
      <c r="I96" s="135">
        <v>31.810163796724069</v>
      </c>
    </row>
    <row r="97" spans="2:9">
      <c r="B97" s="22" t="s">
        <v>23</v>
      </c>
      <c r="C97" s="126">
        <v>802354</v>
      </c>
      <c r="D97" s="345">
        <v>262639</v>
      </c>
      <c r="E97" s="345">
        <v>539715</v>
      </c>
      <c r="F97" s="133">
        <f t="shared" si="8"/>
        <v>0.32733556509969414</v>
      </c>
      <c r="G97" s="133">
        <f t="shared" si="9"/>
        <v>0.67266443490030581</v>
      </c>
      <c r="H97" s="136">
        <v>26.925182481751825</v>
      </c>
      <c r="I97" s="136">
        <v>55.330414992208645</v>
      </c>
    </row>
    <row r="98" spans="2:9">
      <c r="B98" s="20" t="s">
        <v>24</v>
      </c>
      <c r="C98" s="125">
        <v>88040</v>
      </c>
      <c r="D98" s="344">
        <v>38708</v>
      </c>
      <c r="E98" s="344">
        <v>49332</v>
      </c>
      <c r="F98" s="134">
        <f t="shared" si="8"/>
        <v>0.43966378918673332</v>
      </c>
      <c r="G98" s="134">
        <f t="shared" si="9"/>
        <v>0.56033621081326668</v>
      </c>
      <c r="H98" s="135">
        <v>9.6806302363386276</v>
      </c>
      <c r="I98" s="135">
        <v>12.337626609978741</v>
      </c>
    </row>
    <row r="99" spans="2:9">
      <c r="B99" s="22" t="s">
        <v>25</v>
      </c>
      <c r="C99" s="126">
        <v>110360</v>
      </c>
      <c r="D99" s="345">
        <v>36125</v>
      </c>
      <c r="E99" s="345">
        <v>74235</v>
      </c>
      <c r="F99" s="133">
        <f t="shared" si="8"/>
        <v>0.32733780355201159</v>
      </c>
      <c r="G99" s="133">
        <f t="shared" si="9"/>
        <v>0.67266219644798841</v>
      </c>
      <c r="H99" s="136">
        <v>15.760656166833908</v>
      </c>
      <c r="I99" s="136">
        <v>32.387330395706996</v>
      </c>
    </row>
    <row r="100" spans="2:9">
      <c r="B100" s="20" t="s">
        <v>26</v>
      </c>
      <c r="C100" s="125">
        <v>49149</v>
      </c>
      <c r="D100" s="344">
        <v>21609</v>
      </c>
      <c r="E100" s="344">
        <v>27540</v>
      </c>
      <c r="F100" s="134">
        <f t="shared" si="8"/>
        <v>0.43966306537264238</v>
      </c>
      <c r="G100" s="134">
        <f t="shared" si="9"/>
        <v>0.56033693462735767</v>
      </c>
      <c r="H100" s="135">
        <v>7.9550139891032243</v>
      </c>
      <c r="I100" s="135">
        <v>10.138418495067</v>
      </c>
    </row>
    <row r="101" spans="2:9">
      <c r="B101" s="22" t="s">
        <v>27</v>
      </c>
      <c r="C101" s="126">
        <v>40636</v>
      </c>
      <c r="D101" s="345">
        <v>24804</v>
      </c>
      <c r="E101" s="345">
        <v>15832</v>
      </c>
      <c r="F101" s="133">
        <f t="shared" si="8"/>
        <v>0.61039472389014671</v>
      </c>
      <c r="G101" s="133">
        <f t="shared" si="9"/>
        <v>0.38960527610985335</v>
      </c>
      <c r="H101" s="136">
        <v>7.4576067348165962</v>
      </c>
      <c r="I101" s="136">
        <v>4.7600721587492485</v>
      </c>
    </row>
    <row r="102" spans="2:9">
      <c r="B102" s="20" t="s">
        <v>28</v>
      </c>
      <c r="C102" s="125">
        <v>18972</v>
      </c>
      <c r="D102" s="344">
        <v>11580</v>
      </c>
      <c r="E102" s="344">
        <v>7392</v>
      </c>
      <c r="F102" s="134">
        <f t="shared" si="8"/>
        <v>0.61037318153067677</v>
      </c>
      <c r="G102" s="134">
        <f t="shared" si="9"/>
        <v>0.38962681846932323</v>
      </c>
      <c r="H102" s="135">
        <v>3.9405179160853443</v>
      </c>
      <c r="I102" s="135">
        <v>2.5153979650866032</v>
      </c>
    </row>
    <row r="103" spans="2:9">
      <c r="B103" s="22" t="s">
        <v>29</v>
      </c>
      <c r="C103" s="126">
        <v>147634</v>
      </c>
      <c r="D103" s="345">
        <v>90114</v>
      </c>
      <c r="E103" s="345">
        <v>57520</v>
      </c>
      <c r="F103" s="133">
        <f t="shared" si="8"/>
        <v>0.61038785103702398</v>
      </c>
      <c r="G103" s="133">
        <f t="shared" si="9"/>
        <v>0.38961214896297602</v>
      </c>
      <c r="H103" s="136">
        <v>42.174381054897744</v>
      </c>
      <c r="I103" s="136">
        <v>26.920016848411102</v>
      </c>
    </row>
    <row r="104" spans="2:9">
      <c r="B104" s="20" t="s">
        <v>30</v>
      </c>
      <c r="C104" s="125">
        <v>748921</v>
      </c>
      <c r="D104" s="344">
        <v>284182</v>
      </c>
      <c r="E104" s="344">
        <v>464739</v>
      </c>
      <c r="F104" s="134">
        <f t="shared" si="8"/>
        <v>0.3794552429428471</v>
      </c>
      <c r="G104" s="134">
        <f t="shared" si="9"/>
        <v>0.62054475705715284</v>
      </c>
      <c r="H104" s="135">
        <v>31.795520150372571</v>
      </c>
      <c r="I104" s="135">
        <v>51.997023876121631</v>
      </c>
    </row>
    <row r="105" spans="2:9">
      <c r="B105" s="127"/>
      <c r="C105" s="128">
        <f>SUM(C84:C104)</f>
        <v>3102209</v>
      </c>
      <c r="D105" s="128">
        <f t="shared" ref="D105:E105" si="10">SUM(D84:D104)</f>
        <v>1008370</v>
      </c>
      <c r="E105" s="128">
        <f t="shared" si="10"/>
        <v>2093839</v>
      </c>
      <c r="F105" s="139"/>
      <c r="G105" s="139"/>
      <c r="H105" s="129"/>
      <c r="I105" s="129"/>
    </row>
    <row r="108" spans="2:9">
      <c r="B108" s="74"/>
      <c r="C108" s="123" t="s">
        <v>31</v>
      </c>
      <c r="D108" s="537" t="s">
        <v>253</v>
      </c>
      <c r="E108" s="538"/>
      <c r="F108" s="537" t="s">
        <v>234</v>
      </c>
      <c r="G108" s="538"/>
      <c r="H108" s="537" t="s">
        <v>235</v>
      </c>
      <c r="I108" s="538"/>
    </row>
    <row r="109" spans="2:9" ht="26" customHeight="1">
      <c r="B109" s="78" t="s">
        <v>5</v>
      </c>
      <c r="C109" s="75" t="s">
        <v>230</v>
      </c>
      <c r="D109" s="77" t="s">
        <v>173</v>
      </c>
      <c r="E109" s="124" t="s">
        <v>177</v>
      </c>
      <c r="F109" s="77" t="s">
        <v>254</v>
      </c>
      <c r="G109" s="124" t="s">
        <v>255</v>
      </c>
      <c r="H109" s="77" t="s">
        <v>256</v>
      </c>
      <c r="I109" s="124" t="s">
        <v>257</v>
      </c>
    </row>
    <row r="110" spans="2:9">
      <c r="B110" s="20" t="s">
        <v>10</v>
      </c>
      <c r="C110" s="125">
        <v>530056</v>
      </c>
      <c r="D110" s="344">
        <v>55954</v>
      </c>
      <c r="E110" s="344">
        <v>474102</v>
      </c>
      <c r="F110" s="130">
        <f t="shared" ref="F110:F130" si="11">D110/C110</f>
        <v>0.10556243113935132</v>
      </c>
      <c r="G110" s="130">
        <f t="shared" ref="G110:G130" si="12">E110/C110</f>
        <v>0.89443756886064874</v>
      </c>
      <c r="H110" s="135" cm="1">
        <f t="array" ref="H110:H130">D110:D130/TRANSPOSE(VBP_21)</f>
        <v>6.059431244720713</v>
      </c>
      <c r="I110" s="135" cm="1">
        <f t="array" ref="I110:I130">E110:E130/TRANSPOSE(VBP_21)</f>
        <v>51.341967901929792</v>
      </c>
    </row>
    <row r="111" spans="2:9">
      <c r="B111" s="22" t="s">
        <v>11</v>
      </c>
      <c r="C111" s="126">
        <v>4387</v>
      </c>
      <c r="D111" s="345">
        <v>3035</v>
      </c>
      <c r="E111" s="345">
        <v>1352</v>
      </c>
      <c r="F111" s="133">
        <f t="shared" si="11"/>
        <v>0.69181673125142462</v>
      </c>
      <c r="G111" s="133">
        <f t="shared" si="12"/>
        <v>0.30818326874857532</v>
      </c>
      <c r="H111" s="136">
        <v>7.0384972170686453</v>
      </c>
      <c r="I111" s="136">
        <v>3.1354359925788495</v>
      </c>
    </row>
    <row r="112" spans="2:9">
      <c r="B112" s="20" t="s">
        <v>12</v>
      </c>
      <c r="C112" s="125">
        <v>98009</v>
      </c>
      <c r="D112" s="344">
        <v>67811</v>
      </c>
      <c r="E112" s="344">
        <v>30198</v>
      </c>
      <c r="F112" s="134">
        <f t="shared" si="11"/>
        <v>0.69188543909232825</v>
      </c>
      <c r="G112" s="134">
        <f t="shared" si="12"/>
        <v>0.30811456090767175</v>
      </c>
      <c r="H112" s="135">
        <v>5.3555576616278877</v>
      </c>
      <c r="I112" s="135">
        <v>2.3849689617589909</v>
      </c>
    </row>
    <row r="113" spans="2:9">
      <c r="B113" s="22" t="s">
        <v>13</v>
      </c>
      <c r="C113" s="126">
        <v>69766</v>
      </c>
      <c r="D113" s="345">
        <v>48270</v>
      </c>
      <c r="E113" s="345">
        <v>21496</v>
      </c>
      <c r="F113" s="133">
        <f t="shared" si="11"/>
        <v>0.69188429894217818</v>
      </c>
      <c r="G113" s="133">
        <f t="shared" si="12"/>
        <v>0.30811570105782188</v>
      </c>
      <c r="H113" s="136">
        <v>41.911956238603807</v>
      </c>
      <c r="I113" s="136">
        <v>18.664582790657292</v>
      </c>
    </row>
    <row r="114" spans="2:9">
      <c r="B114" s="20" t="s">
        <v>14</v>
      </c>
      <c r="C114" s="125">
        <v>30996</v>
      </c>
      <c r="D114" s="344">
        <v>21446</v>
      </c>
      <c r="E114" s="344">
        <v>9550</v>
      </c>
      <c r="F114" s="134">
        <f t="shared" si="11"/>
        <v>0.69189572848109437</v>
      </c>
      <c r="G114" s="134">
        <f t="shared" si="12"/>
        <v>0.30810427151890568</v>
      </c>
      <c r="H114" s="135">
        <v>12.275198901036001</v>
      </c>
      <c r="I114" s="135">
        <v>5.4662011333066216</v>
      </c>
    </row>
    <row r="115" spans="2:9">
      <c r="B115" s="22" t="s">
        <v>15</v>
      </c>
      <c r="C115" s="126">
        <v>25134</v>
      </c>
      <c r="D115" s="345">
        <v>17390</v>
      </c>
      <c r="E115" s="345">
        <v>7744</v>
      </c>
      <c r="F115" s="133">
        <f t="shared" si="11"/>
        <v>0.69189146176493987</v>
      </c>
      <c r="G115" s="133">
        <f t="shared" si="12"/>
        <v>0.30810853823506007</v>
      </c>
      <c r="H115" s="136">
        <v>4.6949244060475159</v>
      </c>
      <c r="I115" s="136">
        <v>2.0907127429805614</v>
      </c>
    </row>
    <row r="116" spans="2:9">
      <c r="B116" s="20" t="s">
        <v>16</v>
      </c>
      <c r="C116" s="125">
        <v>28858</v>
      </c>
      <c r="D116" s="344">
        <v>19966</v>
      </c>
      <c r="E116" s="344">
        <v>8892</v>
      </c>
      <c r="F116" s="134">
        <f t="shared" si="11"/>
        <v>0.69187053849885649</v>
      </c>
      <c r="G116" s="134">
        <f t="shared" si="12"/>
        <v>0.30812946150114351</v>
      </c>
      <c r="H116" s="135">
        <v>24.192414879437774</v>
      </c>
      <c r="I116" s="135">
        <v>10.774263904034894</v>
      </c>
    </row>
    <row r="117" spans="2:9">
      <c r="B117" s="22" t="s">
        <v>17</v>
      </c>
      <c r="C117" s="126">
        <v>3906</v>
      </c>
      <c r="D117" s="345">
        <v>2702</v>
      </c>
      <c r="E117" s="345">
        <v>1204</v>
      </c>
      <c r="F117" s="133">
        <f t="shared" si="11"/>
        <v>0.69175627240143367</v>
      </c>
      <c r="G117" s="133">
        <f t="shared" si="12"/>
        <v>0.30824372759856633</v>
      </c>
      <c r="H117" s="136">
        <v>13.51</v>
      </c>
      <c r="I117" s="136">
        <v>6.02</v>
      </c>
    </row>
    <row r="118" spans="2:9">
      <c r="B118" s="20" t="s">
        <v>18</v>
      </c>
      <c r="C118" s="125">
        <v>20524</v>
      </c>
      <c r="D118" s="344">
        <v>14200</v>
      </c>
      <c r="E118" s="344">
        <v>6324</v>
      </c>
      <c r="F118" s="134">
        <f t="shared" si="11"/>
        <v>0.69187292925355681</v>
      </c>
      <c r="G118" s="134">
        <f t="shared" si="12"/>
        <v>0.30812707074644319</v>
      </c>
      <c r="H118" s="135">
        <v>13.837458585071138</v>
      </c>
      <c r="I118" s="135">
        <v>6.1625414149288646</v>
      </c>
    </row>
    <row r="119" spans="2:9">
      <c r="B119" s="22" t="s">
        <v>19</v>
      </c>
      <c r="C119" s="126">
        <v>9448</v>
      </c>
      <c r="D119" s="345">
        <v>6537</v>
      </c>
      <c r="E119" s="345">
        <v>2911</v>
      </c>
      <c r="F119" s="133">
        <f t="shared" si="11"/>
        <v>0.69189246401354787</v>
      </c>
      <c r="G119" s="133">
        <f t="shared" si="12"/>
        <v>0.30810753598645219</v>
      </c>
      <c r="H119" s="136">
        <v>16.06537232735316</v>
      </c>
      <c r="I119" s="136">
        <v>7.154091914475301</v>
      </c>
    </row>
    <row r="120" spans="2:9">
      <c r="B120" s="20" t="s">
        <v>20</v>
      </c>
      <c r="C120" s="125">
        <v>37031</v>
      </c>
      <c r="D120" s="344">
        <v>25621</v>
      </c>
      <c r="E120" s="344">
        <v>11410</v>
      </c>
      <c r="F120" s="134">
        <f t="shared" si="11"/>
        <v>0.6918797764035538</v>
      </c>
      <c r="G120" s="134">
        <f t="shared" si="12"/>
        <v>0.3081202235964462</v>
      </c>
      <c r="H120" s="135">
        <v>17.625894331315354</v>
      </c>
      <c r="I120" s="135">
        <v>7.8494771601541009</v>
      </c>
    </row>
    <row r="121" spans="2:9">
      <c r="B121" s="22" t="s">
        <v>21</v>
      </c>
      <c r="C121" s="126">
        <v>25627</v>
      </c>
      <c r="D121" s="345">
        <v>21862</v>
      </c>
      <c r="E121" s="345">
        <v>3765</v>
      </c>
      <c r="F121" s="133">
        <f t="shared" si="11"/>
        <v>0.85308463729660122</v>
      </c>
      <c r="G121" s="133">
        <f t="shared" si="12"/>
        <v>0.14691536270339875</v>
      </c>
      <c r="H121" s="136">
        <v>6.4600200933750962</v>
      </c>
      <c r="I121" s="136">
        <v>1.1125229005377932</v>
      </c>
    </row>
    <row r="122" spans="2:9">
      <c r="B122" s="20" t="s">
        <v>22</v>
      </c>
      <c r="C122" s="125">
        <v>212401</v>
      </c>
      <c r="D122" s="344">
        <v>136542</v>
      </c>
      <c r="E122" s="344">
        <v>75859</v>
      </c>
      <c r="F122" s="134">
        <f t="shared" si="11"/>
        <v>0.64285008074349936</v>
      </c>
      <c r="G122" s="134">
        <f t="shared" si="12"/>
        <v>0.35714991925650069</v>
      </c>
      <c r="H122" s="135">
        <v>23.89437211255775</v>
      </c>
      <c r="I122" s="135">
        <v>13.275059498810025</v>
      </c>
    </row>
    <row r="123" spans="2:9">
      <c r="B123" s="22" t="s">
        <v>23</v>
      </c>
      <c r="C123" s="126">
        <v>802354</v>
      </c>
      <c r="D123" s="345">
        <v>590036</v>
      </c>
      <c r="E123" s="345">
        <v>212318</v>
      </c>
      <c r="F123" s="133">
        <f t="shared" si="11"/>
        <v>0.73538114099262919</v>
      </c>
      <c r="G123" s="133">
        <f t="shared" si="12"/>
        <v>0.26461885900737081</v>
      </c>
      <c r="H123" s="136">
        <v>60.489215123431478</v>
      </c>
      <c r="I123" s="136">
        <v>21.766382350528993</v>
      </c>
    </row>
    <row r="124" spans="2:9">
      <c r="B124" s="20" t="s">
        <v>24</v>
      </c>
      <c r="C124" s="125">
        <v>88040</v>
      </c>
      <c r="D124" s="344">
        <v>70628</v>
      </c>
      <c r="E124" s="344">
        <v>17412</v>
      </c>
      <c r="F124" s="134">
        <f t="shared" si="11"/>
        <v>0.80222626079054971</v>
      </c>
      <c r="G124" s="134">
        <f t="shared" si="12"/>
        <v>0.19777373920945024</v>
      </c>
      <c r="H124" s="135">
        <v>17.663623858947105</v>
      </c>
      <c r="I124" s="135">
        <v>4.3546329873702643</v>
      </c>
    </row>
    <row r="125" spans="2:9">
      <c r="B125" s="22" t="s">
        <v>25</v>
      </c>
      <c r="C125" s="126">
        <v>110360</v>
      </c>
      <c r="D125" s="345">
        <v>81157</v>
      </c>
      <c r="E125" s="345">
        <v>29203</v>
      </c>
      <c r="F125" s="133">
        <f t="shared" si="11"/>
        <v>0.73538419717288872</v>
      </c>
      <c r="G125" s="133">
        <f t="shared" si="12"/>
        <v>0.26461580282711128</v>
      </c>
      <c r="H125" s="136">
        <v>35.407268443785178</v>
      </c>
      <c r="I125" s="136">
        <v>12.740718118755726</v>
      </c>
    </row>
    <row r="126" spans="2:9">
      <c r="B126" s="20" t="s">
        <v>26</v>
      </c>
      <c r="C126" s="125">
        <v>49149</v>
      </c>
      <c r="D126" s="344">
        <v>39429</v>
      </c>
      <c r="E126" s="344">
        <v>9720</v>
      </c>
      <c r="F126" s="134">
        <f t="shared" si="11"/>
        <v>0.80223402307269731</v>
      </c>
      <c r="G126" s="134">
        <f t="shared" si="12"/>
        <v>0.19776597692730269</v>
      </c>
      <c r="H126" s="135">
        <v>14.515167132970108</v>
      </c>
      <c r="I126" s="135">
        <v>3.5782653512001175</v>
      </c>
    </row>
    <row r="127" spans="2:9">
      <c r="B127" s="22" t="s">
        <v>27</v>
      </c>
      <c r="C127" s="126">
        <v>40636</v>
      </c>
      <c r="D127" s="345">
        <v>35912</v>
      </c>
      <c r="E127" s="345">
        <v>4724</v>
      </c>
      <c r="F127" s="133">
        <f t="shared" si="11"/>
        <v>0.88374840043311353</v>
      </c>
      <c r="G127" s="133">
        <f t="shared" si="12"/>
        <v>0.11625159956688651</v>
      </c>
      <c r="H127" s="136">
        <v>10.797354179194228</v>
      </c>
      <c r="I127" s="136">
        <v>1.4203247143716176</v>
      </c>
    </row>
    <row r="128" spans="2:9">
      <c r="B128" s="20" t="s">
        <v>28</v>
      </c>
      <c r="C128" s="125">
        <v>18972</v>
      </c>
      <c r="D128" s="344">
        <v>16766</v>
      </c>
      <c r="E128" s="344">
        <v>2206</v>
      </c>
      <c r="F128" s="134">
        <f t="shared" si="11"/>
        <v>0.88372338182584864</v>
      </c>
      <c r="G128" s="134">
        <f t="shared" si="12"/>
        <v>0.11627661817415139</v>
      </c>
      <c r="H128" s="135">
        <v>5.7052438152924765</v>
      </c>
      <c r="I128" s="135">
        <v>0.75067206587947055</v>
      </c>
    </row>
    <row r="129" spans="2:9">
      <c r="B129" s="22" t="s">
        <v>29</v>
      </c>
      <c r="C129" s="126">
        <v>147634</v>
      </c>
      <c r="D129" s="345">
        <v>130471</v>
      </c>
      <c r="E129" s="345">
        <v>17163</v>
      </c>
      <c r="F129" s="133">
        <f t="shared" si="11"/>
        <v>0.88374629150466699</v>
      </c>
      <c r="G129" s="133">
        <f t="shared" si="12"/>
        <v>0.11625370849533305</v>
      </c>
      <c r="H129" s="136">
        <v>61.061917910797028</v>
      </c>
      <c r="I129" s="136">
        <v>8.0324799925118171</v>
      </c>
    </row>
    <row r="130" spans="2:9">
      <c r="B130" s="20" t="s">
        <v>30</v>
      </c>
      <c r="C130" s="125">
        <v>748921</v>
      </c>
      <c r="D130" s="344">
        <v>553815</v>
      </c>
      <c r="E130" s="344">
        <v>195106</v>
      </c>
      <c r="F130" s="134">
        <f t="shared" si="11"/>
        <v>0.73948387079545108</v>
      </c>
      <c r="G130" s="134">
        <f t="shared" si="12"/>
        <v>0.26051612920454892</v>
      </c>
      <c r="H130" s="135">
        <v>61.963234800510186</v>
      </c>
      <c r="I130" s="135">
        <v>21.829309225984019</v>
      </c>
    </row>
    <row r="131" spans="2:9">
      <c r="B131" s="127"/>
      <c r="C131" s="128">
        <f>SUM(C110:C130)</f>
        <v>3102209</v>
      </c>
      <c r="D131" s="128">
        <f t="shared" ref="D131:E131" si="13">SUM(D110:D130)</f>
        <v>1959550</v>
      </c>
      <c r="E131" s="128">
        <f t="shared" si="13"/>
        <v>1142659</v>
      </c>
      <c r="F131" s="139"/>
      <c r="G131" s="139"/>
      <c r="H131" s="129"/>
      <c r="I131" s="129"/>
    </row>
  </sheetData>
  <mergeCells count="14">
    <mergeCell ref="D56:F56"/>
    <mergeCell ref="H30:I30"/>
    <mergeCell ref="D108:E108"/>
    <mergeCell ref="B1:N1"/>
    <mergeCell ref="H108:I108"/>
    <mergeCell ref="D30:E30"/>
    <mergeCell ref="F30:G30"/>
    <mergeCell ref="H82:I82"/>
    <mergeCell ref="G56:I56"/>
    <mergeCell ref="F82:G82"/>
    <mergeCell ref="D82:E82"/>
    <mergeCell ref="F108:G108"/>
    <mergeCell ref="J56:L56"/>
    <mergeCell ref="G5:H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717D7E"/>
  </sheetPr>
  <dimension ref="A1:FX225"/>
  <sheetViews>
    <sheetView showGridLines="0" topLeftCell="C67" zoomScale="91" zoomScaleNormal="120" workbookViewId="0">
      <selection activeCell="L5" sqref="L5"/>
    </sheetView>
  </sheetViews>
  <sheetFormatPr baseColWidth="10" defaultRowHeight="14"/>
  <cols>
    <col min="1" max="1" width="9.33203125" style="5" customWidth="1"/>
    <col min="2" max="2" width="25.5" style="5" customWidth="1"/>
    <col min="3" max="3" width="21" style="5" bestFit="1" customWidth="1"/>
    <col min="4" max="4" width="11" style="5" bestFit="1" customWidth="1"/>
    <col min="5" max="5" width="12" style="5" bestFit="1" customWidth="1"/>
    <col min="6" max="7" width="11" style="5" bestFit="1" customWidth="1"/>
    <col min="8" max="8" width="12" style="5" bestFit="1" customWidth="1"/>
    <col min="9" max="11" width="11" style="5" bestFit="1" customWidth="1"/>
    <col min="12" max="13" width="12" style="5" bestFit="1" customWidth="1"/>
    <col min="14" max="14" width="11" style="5" bestFit="1" customWidth="1"/>
    <col min="15" max="15" width="12" style="5" bestFit="1" customWidth="1"/>
    <col min="16" max="16" width="11.6640625" style="5" customWidth="1"/>
    <col min="17" max="23" width="10.83203125" style="5" customWidth="1"/>
    <col min="24" max="24" width="11.5" style="5" customWidth="1"/>
    <col min="25" max="28" width="10.83203125" style="5" customWidth="1"/>
    <col min="29" max="29" width="9.33203125" style="5" customWidth="1"/>
    <col min="30" max="34" width="10.83203125" style="5" customWidth="1"/>
    <col min="35" max="16384" width="10.83203125" style="5"/>
  </cols>
  <sheetData>
    <row r="1" spans="1:180" s="4" customFormat="1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</row>
    <row r="2" spans="1:180" s="4" customFormat="1" ht="15" customHeight="1">
      <c r="A2" s="34"/>
      <c r="B2" s="35" t="s">
        <v>258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</row>
    <row r="3" spans="1:180" s="4" customFormat="1" ht="18" customHeight="1">
      <c r="A3" s="34"/>
      <c r="B3" s="36" t="s">
        <v>259</v>
      </c>
      <c r="C3" s="34"/>
      <c r="D3" s="34"/>
      <c r="E3" s="34"/>
      <c r="F3" s="34"/>
      <c r="G3" s="34"/>
      <c r="H3" s="336" t="str">
        <f>IF(ABS(SUM(VBP_21)/SUM(AE12:AE32)-1)&gt;0.01,"Atención Existe un problema de consistencia en la matriz cargada","")</f>
        <v/>
      </c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</row>
    <row r="4" spans="1:180" s="4" customFormat="1">
      <c r="A4" s="34"/>
      <c r="B4" s="38" t="s">
        <v>260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</row>
    <row r="5" spans="1:180" s="4" customFormat="1">
      <c r="A5" s="34"/>
      <c r="B5" s="39" t="s">
        <v>261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</row>
    <row r="6" spans="1:180" ht="20" customHeight="1">
      <c r="A6" s="34"/>
      <c r="B6" s="40" t="s">
        <v>262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</row>
    <row r="7" spans="1:180" ht="12.75" customHeight="1">
      <c r="A7" s="37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</row>
    <row r="8" spans="1:180" ht="28" customHeight="1">
      <c r="A8" s="37"/>
      <c r="B8" s="43" t="s">
        <v>263</v>
      </c>
      <c r="C8" s="44"/>
      <c r="D8" s="45"/>
      <c r="E8" s="45"/>
      <c r="F8" s="45"/>
      <c r="G8" s="45"/>
      <c r="H8" s="45"/>
      <c r="I8" s="45"/>
      <c r="J8" s="45"/>
      <c r="K8" s="45"/>
      <c r="L8" s="45"/>
      <c r="M8" s="45"/>
      <c r="N8" s="34"/>
      <c r="O8" s="46"/>
      <c r="P8" s="37"/>
      <c r="Q8" s="47"/>
      <c r="R8" s="47"/>
      <c r="S8" s="47"/>
      <c r="T8" s="47"/>
      <c r="U8" s="47"/>
      <c r="V8" s="47"/>
      <c r="W8" s="47"/>
      <c r="X8" s="49" t="s">
        <v>264</v>
      </c>
      <c r="Y8" s="49" t="s">
        <v>265</v>
      </c>
      <c r="Z8" s="49" t="s">
        <v>266</v>
      </c>
      <c r="AA8" s="49" t="s">
        <v>267</v>
      </c>
      <c r="AB8" s="49" t="s">
        <v>268</v>
      </c>
      <c r="AC8" s="49" t="s">
        <v>269</v>
      </c>
      <c r="AD8" s="49" t="s">
        <v>270</v>
      </c>
      <c r="AE8" s="49" t="s">
        <v>271</v>
      </c>
      <c r="AF8" s="48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</row>
    <row r="9" spans="1:180" ht="12.75" customHeight="1">
      <c r="A9" s="37"/>
      <c r="B9" s="37"/>
      <c r="C9" s="308">
        <v>1</v>
      </c>
      <c r="D9" s="309">
        <v>2</v>
      </c>
      <c r="E9" s="309">
        <v>3</v>
      </c>
      <c r="F9" s="309">
        <v>4</v>
      </c>
      <c r="G9" s="309">
        <v>5</v>
      </c>
      <c r="H9" s="309">
        <v>6</v>
      </c>
      <c r="I9" s="309">
        <v>7</v>
      </c>
      <c r="J9" s="309">
        <v>8</v>
      </c>
      <c r="K9" s="309">
        <v>9</v>
      </c>
      <c r="L9" s="309">
        <v>10</v>
      </c>
      <c r="M9" s="309">
        <v>11</v>
      </c>
      <c r="N9" s="310">
        <v>12</v>
      </c>
      <c r="O9" s="307">
        <v>13</v>
      </c>
      <c r="P9" s="310">
        <v>14</v>
      </c>
      <c r="Q9" s="307">
        <v>15</v>
      </c>
      <c r="R9" s="307">
        <v>16</v>
      </c>
      <c r="S9" s="307">
        <v>17</v>
      </c>
      <c r="T9" s="307">
        <v>18</v>
      </c>
      <c r="U9" s="307">
        <v>19</v>
      </c>
      <c r="V9" s="307">
        <v>20</v>
      </c>
      <c r="W9" s="307">
        <v>21</v>
      </c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</row>
    <row r="10" spans="1:180" ht="16" customHeight="1" thickBot="1">
      <c r="A10" s="37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</row>
    <row r="11" spans="1:180" ht="16" customHeight="1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52"/>
      <c r="P11" s="52"/>
      <c r="Q11" s="52"/>
      <c r="R11" s="52"/>
      <c r="S11" s="52"/>
      <c r="T11" s="52"/>
      <c r="U11" s="52"/>
      <c r="V11" s="52"/>
      <c r="W11" s="52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</row>
    <row r="12" spans="1:180" ht="17" customHeight="1">
      <c r="A12" s="53">
        <v>1</v>
      </c>
      <c r="B12" s="387" t="s">
        <v>10</v>
      </c>
      <c r="C12" s="54">
        <v>352</v>
      </c>
      <c r="D12" s="54">
        <v>0.1</v>
      </c>
      <c r="E12" s="54">
        <v>3718.9</v>
      </c>
      <c r="F12" s="54">
        <v>7.8</v>
      </c>
      <c r="G12" s="54">
        <v>169.3</v>
      </c>
      <c r="H12" s="54">
        <v>30.9</v>
      </c>
      <c r="I12" s="54">
        <v>0.1</v>
      </c>
      <c r="J12" s="54">
        <v>0.1</v>
      </c>
      <c r="K12" s="54">
        <v>1.5</v>
      </c>
      <c r="L12" s="54">
        <v>0.9</v>
      </c>
      <c r="M12" s="54">
        <v>0.2</v>
      </c>
      <c r="N12" s="54">
        <v>0.7</v>
      </c>
      <c r="O12" s="55">
        <v>15</v>
      </c>
      <c r="P12" s="55">
        <v>5.9</v>
      </c>
      <c r="Q12" s="55">
        <v>1.1000000000000001</v>
      </c>
      <c r="R12" s="55">
        <v>88.8</v>
      </c>
      <c r="S12" s="55">
        <v>19.5</v>
      </c>
      <c r="T12" s="55">
        <v>1.7</v>
      </c>
      <c r="U12" s="55">
        <v>1.7</v>
      </c>
      <c r="V12" s="55">
        <v>1</v>
      </c>
      <c r="W12" s="55">
        <v>4.8</v>
      </c>
      <c r="X12" s="55">
        <f t="shared" ref="X12:X32" si="0">SUM(C12:W12)</f>
        <v>4422</v>
      </c>
      <c r="Y12" s="53">
        <v>1004.5</v>
      </c>
      <c r="Z12" s="340">
        <v>0</v>
      </c>
      <c r="AA12" s="340">
        <v>470.5</v>
      </c>
      <c r="AB12" s="340">
        <v>161.1</v>
      </c>
      <c r="AC12" s="340">
        <v>3176.1</v>
      </c>
      <c r="AD12" s="53">
        <f>SUM(Y12:AC12)</f>
        <v>4812.2</v>
      </c>
      <c r="AE12" s="56">
        <f t="shared" ref="AE12:AE32" si="1">AD12+X12</f>
        <v>9234.2000000000007</v>
      </c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3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3"/>
      <c r="CJ12" s="53"/>
      <c r="CK12" s="53"/>
      <c r="CL12" s="53"/>
      <c r="CM12" s="53"/>
      <c r="CN12" s="53"/>
      <c r="CO12" s="53"/>
      <c r="CP12" s="53"/>
      <c r="CQ12" s="53"/>
      <c r="CR12" s="53"/>
      <c r="CS12" s="53"/>
      <c r="CT12" s="53"/>
      <c r="CU12" s="53"/>
      <c r="CV12" s="53"/>
      <c r="CW12" s="53"/>
      <c r="CX12" s="53"/>
      <c r="CY12" s="53"/>
      <c r="CZ12" s="53"/>
      <c r="DA12" s="53"/>
      <c r="DB12" s="53"/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  <c r="DR12" s="53"/>
      <c r="DS12" s="53"/>
      <c r="DT12" s="53"/>
      <c r="DU12" s="53"/>
      <c r="DV12" s="53"/>
      <c r="DW12" s="53"/>
      <c r="DX12" s="53"/>
      <c r="DY12" s="53"/>
      <c r="DZ12" s="53"/>
      <c r="EA12" s="53"/>
      <c r="EB12" s="53"/>
      <c r="EC12" s="53"/>
      <c r="ED12" s="53"/>
      <c r="EE12" s="53"/>
      <c r="EF12" s="53"/>
      <c r="EG12" s="53"/>
      <c r="EH12" s="53"/>
      <c r="EI12" s="53"/>
      <c r="EJ12" s="53"/>
      <c r="EK12" s="53"/>
      <c r="EL12" s="53"/>
      <c r="EM12" s="53"/>
      <c r="EN12" s="53"/>
      <c r="EO12" s="53"/>
      <c r="EP12" s="53"/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53"/>
      <c r="FP12" s="53"/>
      <c r="FQ12" s="53"/>
      <c r="FR12" s="53"/>
      <c r="FS12" s="53"/>
    </row>
    <row r="13" spans="1:180" ht="17" customHeight="1">
      <c r="A13" s="58">
        <v>2</v>
      </c>
      <c r="B13" s="387" t="s">
        <v>11</v>
      </c>
      <c r="C13" s="59">
        <v>1.3</v>
      </c>
      <c r="D13" s="59">
        <v>1.7</v>
      </c>
      <c r="E13" s="59">
        <v>0.1</v>
      </c>
      <c r="F13" s="59">
        <v>0</v>
      </c>
      <c r="G13" s="59">
        <v>0</v>
      </c>
      <c r="H13" s="59">
        <v>2.2000000000000002</v>
      </c>
      <c r="I13" s="59">
        <v>133.4</v>
      </c>
      <c r="J13" s="59">
        <v>1.1000000000000001</v>
      </c>
      <c r="K13" s="59">
        <v>0.1</v>
      </c>
      <c r="L13" s="59">
        <v>0.1</v>
      </c>
      <c r="M13" s="59">
        <v>0</v>
      </c>
      <c r="N13" s="59">
        <v>0</v>
      </c>
      <c r="O13" s="59">
        <v>175.1</v>
      </c>
      <c r="P13" s="59">
        <v>1.2</v>
      </c>
      <c r="Q13" s="59">
        <v>0.1</v>
      </c>
      <c r="R13" s="59">
        <v>0.1</v>
      </c>
      <c r="S13" s="59">
        <v>0.7</v>
      </c>
      <c r="T13" s="59">
        <v>0.1</v>
      </c>
      <c r="U13" s="59">
        <v>0.1</v>
      </c>
      <c r="V13" s="59">
        <v>0.2</v>
      </c>
      <c r="W13" s="59">
        <v>0.3</v>
      </c>
      <c r="X13" s="60">
        <f t="shared" si="0"/>
        <v>317.90000000000009</v>
      </c>
      <c r="Y13" s="58">
        <v>59.2</v>
      </c>
      <c r="Z13" s="341">
        <v>0</v>
      </c>
      <c r="AA13" s="341">
        <v>48.6</v>
      </c>
      <c r="AB13" s="341">
        <v>-6.2</v>
      </c>
      <c r="AC13" s="341">
        <v>11.5</v>
      </c>
      <c r="AD13" s="58">
        <f t="shared" ref="AD13:AD32" si="2">SUM(Y13:AC13)</f>
        <v>113.10000000000001</v>
      </c>
      <c r="AE13" s="61">
        <f t="shared" si="1"/>
        <v>431.00000000000011</v>
      </c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</row>
    <row r="14" spans="1:180" ht="17" customHeight="1">
      <c r="A14" s="53">
        <v>3</v>
      </c>
      <c r="B14" s="387" t="s">
        <v>12</v>
      </c>
      <c r="C14" s="54">
        <v>81.400000000000006</v>
      </c>
      <c r="D14" s="54">
        <v>0.9</v>
      </c>
      <c r="E14" s="54">
        <v>926.6</v>
      </c>
      <c r="F14" s="54">
        <v>26.2</v>
      </c>
      <c r="G14" s="54">
        <v>3.4</v>
      </c>
      <c r="H14" s="54">
        <v>29.3</v>
      </c>
      <c r="I14" s="54">
        <v>0.9</v>
      </c>
      <c r="J14" s="54">
        <v>0</v>
      </c>
      <c r="K14" s="54">
        <v>1.3</v>
      </c>
      <c r="L14" s="54">
        <v>1</v>
      </c>
      <c r="M14" s="54">
        <v>1.4</v>
      </c>
      <c r="N14" s="54">
        <v>0.1</v>
      </c>
      <c r="O14" s="54">
        <v>5.3</v>
      </c>
      <c r="P14" s="54">
        <v>19.399999999999999</v>
      </c>
      <c r="Q14" s="54">
        <v>6.7</v>
      </c>
      <c r="R14" s="54">
        <v>512.6</v>
      </c>
      <c r="S14" s="54">
        <v>1.6</v>
      </c>
      <c r="T14" s="54">
        <v>0.9</v>
      </c>
      <c r="U14" s="54">
        <v>1</v>
      </c>
      <c r="V14" s="54">
        <v>21.8</v>
      </c>
      <c r="W14" s="54">
        <v>21.1</v>
      </c>
      <c r="X14" s="55">
        <f t="shared" si="0"/>
        <v>1662.9000000000003</v>
      </c>
      <c r="Y14" s="53">
        <v>6812</v>
      </c>
      <c r="Z14" s="340">
        <v>0</v>
      </c>
      <c r="AA14" s="340">
        <v>11.2</v>
      </c>
      <c r="AB14" s="340">
        <v>62.7</v>
      </c>
      <c r="AC14" s="340">
        <v>4112.3</v>
      </c>
      <c r="AD14" s="53">
        <f t="shared" si="2"/>
        <v>10998.2</v>
      </c>
      <c r="AE14" s="56">
        <f t="shared" si="1"/>
        <v>12661.1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53"/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53"/>
      <c r="FP14" s="53"/>
      <c r="FQ14" s="53"/>
      <c r="FR14" s="53"/>
      <c r="FS14" s="53"/>
    </row>
    <row r="15" spans="1:180" ht="17" customHeight="1">
      <c r="A15" s="53">
        <v>4</v>
      </c>
      <c r="B15" s="387" t="s">
        <v>13</v>
      </c>
      <c r="C15" s="59">
        <v>35.799999999999997</v>
      </c>
      <c r="D15" s="59">
        <v>0.2</v>
      </c>
      <c r="E15" s="59">
        <v>171.6</v>
      </c>
      <c r="F15" s="59">
        <v>186.8</v>
      </c>
      <c r="G15" s="59">
        <v>3.6</v>
      </c>
      <c r="H15" s="59">
        <v>4.7</v>
      </c>
      <c r="I15" s="59">
        <v>0.7</v>
      </c>
      <c r="J15" s="59">
        <v>0</v>
      </c>
      <c r="K15" s="59">
        <v>0.5</v>
      </c>
      <c r="L15" s="59">
        <v>0.7</v>
      </c>
      <c r="M15" s="59">
        <v>49</v>
      </c>
      <c r="N15" s="59">
        <v>0.4</v>
      </c>
      <c r="O15" s="59">
        <v>1.4</v>
      </c>
      <c r="P15" s="59">
        <v>3.6</v>
      </c>
      <c r="Q15" s="59">
        <v>1.5</v>
      </c>
      <c r="R15" s="59">
        <v>7.3</v>
      </c>
      <c r="S15" s="59">
        <v>0.6</v>
      </c>
      <c r="T15" s="59">
        <v>0.9</v>
      </c>
      <c r="U15" s="59">
        <v>0.3</v>
      </c>
      <c r="V15" s="59">
        <v>17.600000000000001</v>
      </c>
      <c r="W15" s="59">
        <v>36.1</v>
      </c>
      <c r="X15" s="60">
        <f t="shared" si="0"/>
        <v>523.29999999999995</v>
      </c>
      <c r="Y15" s="58">
        <v>481.5</v>
      </c>
      <c r="Z15" s="341">
        <v>0</v>
      </c>
      <c r="AA15" s="341">
        <v>20.3</v>
      </c>
      <c r="AB15" s="341">
        <v>-14.4</v>
      </c>
      <c r="AC15" s="341">
        <v>140.80000000000001</v>
      </c>
      <c r="AD15" s="58">
        <f t="shared" si="2"/>
        <v>628.20000000000005</v>
      </c>
      <c r="AE15" s="61">
        <f t="shared" si="1"/>
        <v>1151.5</v>
      </c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  <c r="DW15" s="58"/>
      <c r="DX15" s="58"/>
      <c r="DY15" s="58"/>
      <c r="DZ15" s="58"/>
      <c r="EA15" s="58"/>
      <c r="EB15" s="58"/>
      <c r="EC15" s="58"/>
      <c r="ED15" s="58"/>
      <c r="EE15" s="58"/>
      <c r="EF15" s="58"/>
      <c r="EG15" s="58"/>
      <c r="EH15" s="58"/>
      <c r="EI15" s="58"/>
      <c r="EJ15" s="58"/>
      <c r="EK15" s="58"/>
      <c r="EL15" s="58"/>
      <c r="EM15" s="58"/>
      <c r="EN15" s="58"/>
      <c r="EO15" s="58"/>
      <c r="EP15" s="58"/>
      <c r="EQ15" s="58"/>
      <c r="ER15" s="58"/>
      <c r="ES15" s="58"/>
      <c r="ET15" s="58"/>
      <c r="EU15" s="58"/>
      <c r="EV15" s="58"/>
      <c r="EW15" s="58"/>
      <c r="EX15" s="58"/>
      <c r="EY15" s="58"/>
      <c r="EZ15" s="58"/>
      <c r="FA15" s="58"/>
      <c r="FB15" s="58"/>
      <c r="FC15" s="58"/>
      <c r="FD15" s="58"/>
      <c r="FE15" s="58"/>
      <c r="FF15" s="58"/>
      <c r="FG15" s="58"/>
      <c r="FH15" s="58"/>
      <c r="FI15" s="58"/>
      <c r="FJ15" s="58"/>
      <c r="FK15" s="58"/>
      <c r="FL15" s="58"/>
      <c r="FM15" s="58"/>
      <c r="FN15" s="58"/>
      <c r="FO15" s="58"/>
      <c r="FP15" s="58"/>
      <c r="FQ15" s="58"/>
      <c r="FR15" s="58"/>
      <c r="FS15" s="58"/>
    </row>
    <row r="16" spans="1:180" ht="17" customHeight="1">
      <c r="A16" s="58">
        <v>5</v>
      </c>
      <c r="B16" s="387" t="s">
        <v>14</v>
      </c>
      <c r="C16" s="54">
        <v>165.8</v>
      </c>
      <c r="D16" s="54">
        <v>0.5</v>
      </c>
      <c r="E16" s="54">
        <v>146.19999999999999</v>
      </c>
      <c r="F16" s="54">
        <v>3.8</v>
      </c>
      <c r="G16" s="54">
        <v>282.10000000000002</v>
      </c>
      <c r="H16" s="54">
        <v>9.4</v>
      </c>
      <c r="I16" s="54">
        <v>32.200000000000003</v>
      </c>
      <c r="J16" s="54">
        <v>0.3</v>
      </c>
      <c r="K16" s="54">
        <v>2.6</v>
      </c>
      <c r="L16" s="54">
        <v>1.2</v>
      </c>
      <c r="M16" s="54">
        <v>73.5</v>
      </c>
      <c r="N16" s="54">
        <v>4.5999999999999996</v>
      </c>
      <c r="O16" s="54">
        <v>345.4</v>
      </c>
      <c r="P16" s="54">
        <v>100</v>
      </c>
      <c r="Q16" s="54">
        <v>75</v>
      </c>
      <c r="R16" s="54">
        <v>11.9</v>
      </c>
      <c r="S16" s="54">
        <v>4.5999999999999996</v>
      </c>
      <c r="T16" s="54">
        <v>13.1</v>
      </c>
      <c r="U16" s="54">
        <v>7.6</v>
      </c>
      <c r="V16" s="54">
        <v>73.599999999999994</v>
      </c>
      <c r="W16" s="54">
        <v>40.200000000000003</v>
      </c>
      <c r="X16" s="55">
        <f t="shared" si="0"/>
        <v>1393.6</v>
      </c>
      <c r="Y16" s="53">
        <v>332.8</v>
      </c>
      <c r="Z16" s="340">
        <v>0</v>
      </c>
      <c r="AA16" s="340">
        <v>0.3</v>
      </c>
      <c r="AB16" s="340">
        <v>1.5</v>
      </c>
      <c r="AC16" s="340">
        <v>18.7</v>
      </c>
      <c r="AD16" s="53">
        <f t="shared" si="2"/>
        <v>353.3</v>
      </c>
      <c r="AE16" s="56">
        <f t="shared" si="1"/>
        <v>1746.8999999999999</v>
      </c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3"/>
      <c r="CJ16" s="53"/>
      <c r="CK16" s="53"/>
      <c r="CL16" s="53"/>
      <c r="CM16" s="53"/>
      <c r="CN16" s="53"/>
      <c r="CO16" s="53"/>
      <c r="CP16" s="53"/>
      <c r="CQ16" s="53"/>
      <c r="CR16" s="53"/>
      <c r="CS16" s="53"/>
      <c r="CT16" s="53"/>
      <c r="CU16" s="53"/>
      <c r="CV16" s="53"/>
      <c r="CW16" s="53"/>
      <c r="CX16" s="53"/>
      <c r="CY16" s="53"/>
      <c r="CZ16" s="53"/>
      <c r="DA16" s="53"/>
      <c r="DB16" s="53"/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  <c r="DR16" s="53"/>
      <c r="DS16" s="53"/>
      <c r="DT16" s="53"/>
      <c r="DU16" s="53"/>
      <c r="DV16" s="53"/>
      <c r="DW16" s="53"/>
      <c r="DX16" s="53"/>
      <c r="DY16" s="53"/>
      <c r="DZ16" s="53"/>
      <c r="EA16" s="53"/>
      <c r="EB16" s="53"/>
      <c r="EC16" s="53"/>
      <c r="ED16" s="53"/>
      <c r="EE16" s="53"/>
      <c r="EF16" s="53"/>
      <c r="EG16" s="53"/>
      <c r="EH16" s="53"/>
      <c r="EI16" s="53"/>
      <c r="EJ16" s="53"/>
      <c r="EK16" s="53"/>
      <c r="EL16" s="53"/>
      <c r="EM16" s="53"/>
      <c r="EN16" s="53"/>
      <c r="EO16" s="53"/>
      <c r="EP16" s="53"/>
      <c r="EQ16" s="53"/>
      <c r="ER16" s="53"/>
      <c r="ES16" s="53"/>
      <c r="ET16" s="53"/>
      <c r="EU16" s="53"/>
      <c r="EV16" s="53"/>
      <c r="EW16" s="53"/>
      <c r="EX16" s="53"/>
      <c r="EY16" s="53"/>
      <c r="EZ16" s="53"/>
      <c r="FA16" s="53"/>
      <c r="FB16" s="53"/>
      <c r="FC16" s="53"/>
      <c r="FD16" s="53"/>
      <c r="FE16" s="53"/>
      <c r="FF16" s="53"/>
      <c r="FG16" s="53"/>
      <c r="FH16" s="53"/>
      <c r="FI16" s="53"/>
      <c r="FJ16" s="53"/>
      <c r="FK16" s="53"/>
      <c r="FL16" s="53"/>
      <c r="FM16" s="53"/>
      <c r="FN16" s="53"/>
      <c r="FO16" s="53"/>
      <c r="FP16" s="53"/>
      <c r="FQ16" s="53"/>
      <c r="FR16" s="53"/>
      <c r="FS16" s="53"/>
    </row>
    <row r="17" spans="1:175" ht="17" customHeight="1">
      <c r="A17" s="53">
        <v>6</v>
      </c>
      <c r="B17" s="387" t="s">
        <v>15</v>
      </c>
      <c r="C17" s="59">
        <v>234.1</v>
      </c>
      <c r="D17" s="59">
        <v>20.3</v>
      </c>
      <c r="E17" s="59">
        <v>201.4</v>
      </c>
      <c r="F17" s="59">
        <v>21.5</v>
      </c>
      <c r="G17" s="59">
        <v>36.299999999999997</v>
      </c>
      <c r="H17" s="59">
        <v>473.5</v>
      </c>
      <c r="I17" s="59">
        <v>11.3</v>
      </c>
      <c r="J17" s="59">
        <v>1.6</v>
      </c>
      <c r="K17" s="59">
        <v>1.9</v>
      </c>
      <c r="L17" s="59">
        <v>1.8</v>
      </c>
      <c r="M17" s="59">
        <v>62.3</v>
      </c>
      <c r="N17" s="59">
        <v>3.2</v>
      </c>
      <c r="O17" s="59">
        <v>95.4</v>
      </c>
      <c r="P17" s="59">
        <v>86.9</v>
      </c>
      <c r="Q17" s="59">
        <v>2.2999999999999998</v>
      </c>
      <c r="R17" s="59">
        <v>20.399999999999999</v>
      </c>
      <c r="S17" s="59">
        <v>2.6</v>
      </c>
      <c r="T17" s="59">
        <v>1.9</v>
      </c>
      <c r="U17" s="59">
        <v>1.7</v>
      </c>
      <c r="V17" s="59">
        <v>14.7</v>
      </c>
      <c r="W17" s="59">
        <v>277.8</v>
      </c>
      <c r="X17" s="60">
        <f t="shared" si="0"/>
        <v>1572.9000000000003</v>
      </c>
      <c r="Y17" s="58">
        <v>1530.3</v>
      </c>
      <c r="Z17" s="341">
        <v>0</v>
      </c>
      <c r="AA17" s="341">
        <v>2.8</v>
      </c>
      <c r="AB17" s="341">
        <v>200.5</v>
      </c>
      <c r="AC17" s="341">
        <v>397.1</v>
      </c>
      <c r="AD17" s="58">
        <f t="shared" si="2"/>
        <v>2130.6999999999998</v>
      </c>
      <c r="AE17" s="61">
        <f t="shared" si="1"/>
        <v>3703.6000000000004</v>
      </c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</row>
    <row r="18" spans="1:175" ht="17" customHeight="1">
      <c r="A18" s="53">
        <v>7</v>
      </c>
      <c r="B18" s="387" t="s">
        <v>16</v>
      </c>
      <c r="C18" s="54">
        <v>5.6</v>
      </c>
      <c r="D18" s="54">
        <v>1.8</v>
      </c>
      <c r="E18" s="54">
        <v>6.8</v>
      </c>
      <c r="F18" s="54">
        <v>0.1</v>
      </c>
      <c r="G18" s="54">
        <v>0.7</v>
      </c>
      <c r="H18" s="54">
        <v>13.6</v>
      </c>
      <c r="I18" s="54">
        <v>62.1</v>
      </c>
      <c r="J18" s="54">
        <v>0.4</v>
      </c>
      <c r="K18" s="54">
        <v>5.9</v>
      </c>
      <c r="L18" s="54">
        <v>0.6</v>
      </c>
      <c r="M18" s="54">
        <v>0.3</v>
      </c>
      <c r="N18" s="54">
        <v>1</v>
      </c>
      <c r="O18" s="54">
        <v>559.79999999999995</v>
      </c>
      <c r="P18" s="54">
        <v>2.1</v>
      </c>
      <c r="Q18" s="54">
        <v>1.3</v>
      </c>
      <c r="R18" s="54">
        <v>0.6</v>
      </c>
      <c r="S18" s="54">
        <v>1.2</v>
      </c>
      <c r="T18" s="54">
        <v>1</v>
      </c>
      <c r="U18" s="54">
        <v>0.2</v>
      </c>
      <c r="V18" s="54">
        <v>0.4</v>
      </c>
      <c r="W18" s="54">
        <v>12.8</v>
      </c>
      <c r="X18" s="55">
        <f t="shared" si="0"/>
        <v>678.3</v>
      </c>
      <c r="Y18" s="53">
        <v>135.6</v>
      </c>
      <c r="Z18" s="340">
        <v>0</v>
      </c>
      <c r="AA18" s="340">
        <v>0.8</v>
      </c>
      <c r="AB18" s="340">
        <v>-1</v>
      </c>
      <c r="AC18" s="340">
        <v>11.8</v>
      </c>
      <c r="AD18" s="53">
        <f t="shared" si="2"/>
        <v>147.20000000000002</v>
      </c>
      <c r="AE18" s="56">
        <f t="shared" si="1"/>
        <v>825.5</v>
      </c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3"/>
      <c r="CJ18" s="53"/>
      <c r="CK18" s="53"/>
      <c r="CL18" s="53"/>
      <c r="CM18" s="53"/>
      <c r="CN18" s="53"/>
      <c r="CO18" s="53"/>
      <c r="CP18" s="53"/>
      <c r="CQ18" s="53"/>
      <c r="CR18" s="53"/>
      <c r="CS18" s="53"/>
      <c r="CT18" s="53"/>
      <c r="CU18" s="53"/>
      <c r="CV18" s="53"/>
      <c r="CW18" s="53"/>
      <c r="CX18" s="53"/>
      <c r="CY18" s="53"/>
      <c r="CZ18" s="53"/>
      <c r="DA18" s="53"/>
      <c r="DB18" s="53"/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  <c r="DR18" s="53"/>
      <c r="DS18" s="53"/>
      <c r="DT18" s="53"/>
      <c r="DU18" s="53"/>
      <c r="DV18" s="53"/>
      <c r="DW18" s="53"/>
      <c r="DX18" s="53"/>
      <c r="DY18" s="53"/>
      <c r="DZ18" s="53"/>
      <c r="EA18" s="53"/>
      <c r="EB18" s="53"/>
      <c r="EC18" s="53"/>
      <c r="ED18" s="53"/>
      <c r="EE18" s="53"/>
      <c r="EF18" s="53"/>
      <c r="EG18" s="53"/>
      <c r="EH18" s="53"/>
      <c r="EI18" s="53"/>
      <c r="EJ18" s="53"/>
      <c r="EK18" s="53"/>
      <c r="EL18" s="53"/>
      <c r="EM18" s="53"/>
      <c r="EN18" s="53"/>
      <c r="EO18" s="53"/>
      <c r="EP18" s="53"/>
      <c r="EQ18" s="53"/>
      <c r="ER18" s="53"/>
      <c r="ES18" s="53"/>
      <c r="ET18" s="53"/>
      <c r="EU18" s="53"/>
      <c r="EV18" s="53"/>
      <c r="EW18" s="53"/>
      <c r="EX18" s="53"/>
      <c r="EY18" s="53"/>
      <c r="EZ18" s="53"/>
      <c r="FA18" s="53"/>
      <c r="FB18" s="53"/>
      <c r="FC18" s="53"/>
      <c r="FD18" s="53"/>
      <c r="FE18" s="53"/>
      <c r="FF18" s="53"/>
      <c r="FG18" s="53"/>
      <c r="FH18" s="53"/>
      <c r="FI18" s="53"/>
      <c r="FJ18" s="53"/>
      <c r="FK18" s="53"/>
      <c r="FL18" s="53"/>
      <c r="FM18" s="53"/>
      <c r="FN18" s="53"/>
      <c r="FO18" s="53"/>
      <c r="FP18" s="53"/>
      <c r="FQ18" s="53"/>
      <c r="FR18" s="53"/>
      <c r="FS18" s="53"/>
    </row>
    <row r="19" spans="1:175" ht="17" customHeight="1">
      <c r="A19" s="58">
        <v>8</v>
      </c>
      <c r="B19" s="387" t="s">
        <v>17</v>
      </c>
      <c r="C19" s="59">
        <v>5.9</v>
      </c>
      <c r="D19" s="59">
        <v>0</v>
      </c>
      <c r="E19" s="59">
        <v>4.2</v>
      </c>
      <c r="F19" s="59">
        <v>0</v>
      </c>
      <c r="G19" s="59">
        <v>1.2</v>
      </c>
      <c r="H19" s="59">
        <v>59.9</v>
      </c>
      <c r="I19" s="59">
        <v>3.8</v>
      </c>
      <c r="J19" s="59">
        <v>9.8000000000000007</v>
      </c>
      <c r="K19" s="59">
        <v>0</v>
      </c>
      <c r="L19" s="59">
        <v>0</v>
      </c>
      <c r="M19" s="59">
        <v>8.5</v>
      </c>
      <c r="N19" s="59">
        <v>0</v>
      </c>
      <c r="O19" s="59">
        <v>27.2</v>
      </c>
      <c r="P19" s="59">
        <v>0.5</v>
      </c>
      <c r="Q19" s="59">
        <v>0.2</v>
      </c>
      <c r="R19" s="59">
        <v>0.1</v>
      </c>
      <c r="S19" s="59">
        <v>0.1</v>
      </c>
      <c r="T19" s="59">
        <v>0.9</v>
      </c>
      <c r="U19" s="59">
        <v>0</v>
      </c>
      <c r="V19" s="59">
        <v>0.1</v>
      </c>
      <c r="W19" s="59">
        <v>0.8</v>
      </c>
      <c r="X19" s="60">
        <f t="shared" si="0"/>
        <v>123.19999999999999</v>
      </c>
      <c r="Y19" s="58">
        <v>7.1</v>
      </c>
      <c r="Z19" s="341">
        <v>0</v>
      </c>
      <c r="AA19" s="341">
        <v>0.7</v>
      </c>
      <c r="AB19" s="341">
        <v>6.8</v>
      </c>
      <c r="AC19" s="341">
        <v>61.9</v>
      </c>
      <c r="AD19" s="58">
        <f t="shared" si="2"/>
        <v>76.5</v>
      </c>
      <c r="AE19" s="61">
        <f t="shared" si="1"/>
        <v>199.7</v>
      </c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</row>
    <row r="20" spans="1:175" ht="17" customHeight="1">
      <c r="A20" s="53">
        <v>9</v>
      </c>
      <c r="B20" s="387" t="s">
        <v>18</v>
      </c>
      <c r="C20" s="54">
        <v>9.3000000000000007</v>
      </c>
      <c r="D20" s="54">
        <v>24.8</v>
      </c>
      <c r="E20" s="54">
        <v>6</v>
      </c>
      <c r="F20" s="54">
        <v>0.3</v>
      </c>
      <c r="G20" s="54">
        <v>3.8</v>
      </c>
      <c r="H20" s="54">
        <v>66.7</v>
      </c>
      <c r="I20" s="54">
        <v>0.8</v>
      </c>
      <c r="J20" s="54">
        <v>0.1</v>
      </c>
      <c r="K20" s="54">
        <v>96.3</v>
      </c>
      <c r="L20" s="54">
        <v>49.2</v>
      </c>
      <c r="M20" s="54">
        <v>38.9</v>
      </c>
      <c r="N20" s="54">
        <v>4.7</v>
      </c>
      <c r="O20" s="54">
        <v>79.900000000000006</v>
      </c>
      <c r="P20" s="54">
        <v>51.6</v>
      </c>
      <c r="Q20" s="54">
        <v>3</v>
      </c>
      <c r="R20" s="54">
        <v>1.7</v>
      </c>
      <c r="S20" s="54">
        <v>4.2</v>
      </c>
      <c r="T20" s="54">
        <v>2.4</v>
      </c>
      <c r="U20" s="54">
        <v>0.7</v>
      </c>
      <c r="V20" s="54">
        <v>1.6</v>
      </c>
      <c r="W20" s="54">
        <v>22.7</v>
      </c>
      <c r="X20" s="55">
        <f t="shared" si="0"/>
        <v>468.69999999999993</v>
      </c>
      <c r="Y20" s="53">
        <v>55.2</v>
      </c>
      <c r="Z20" s="340">
        <v>0</v>
      </c>
      <c r="AA20" s="340">
        <v>433.8</v>
      </c>
      <c r="AB20" s="340">
        <v>6.3</v>
      </c>
      <c r="AC20" s="340">
        <v>62.1</v>
      </c>
      <c r="AD20" s="53">
        <f t="shared" si="2"/>
        <v>557.4</v>
      </c>
      <c r="AE20" s="56">
        <f t="shared" si="1"/>
        <v>1026.0999999999999</v>
      </c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3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3"/>
      <c r="CJ20" s="53"/>
      <c r="CK20" s="53"/>
      <c r="CL20" s="53"/>
      <c r="CM20" s="53"/>
      <c r="CN20" s="53"/>
      <c r="CO20" s="53"/>
      <c r="CP20" s="53"/>
      <c r="CQ20" s="53"/>
      <c r="CR20" s="53"/>
      <c r="CS20" s="53"/>
      <c r="CT20" s="53"/>
      <c r="CU20" s="53"/>
      <c r="CV20" s="53"/>
      <c r="CW20" s="53"/>
      <c r="CX20" s="53"/>
      <c r="CY20" s="53"/>
      <c r="CZ20" s="53"/>
      <c r="DA20" s="53"/>
      <c r="DB20" s="53"/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  <c r="DR20" s="53"/>
      <c r="DS20" s="53"/>
      <c r="DT20" s="53"/>
      <c r="DU20" s="53"/>
      <c r="DV20" s="53"/>
      <c r="DW20" s="53"/>
      <c r="DX20" s="53"/>
      <c r="DY20" s="53"/>
      <c r="DZ20" s="53"/>
      <c r="EA20" s="53"/>
      <c r="EB20" s="53"/>
      <c r="EC20" s="53"/>
      <c r="ED20" s="53"/>
      <c r="EE20" s="53"/>
      <c r="EF20" s="53"/>
      <c r="EG20" s="53"/>
      <c r="EH20" s="53"/>
      <c r="EI20" s="53"/>
      <c r="EJ20" s="53"/>
      <c r="EK20" s="53"/>
      <c r="EL20" s="53"/>
      <c r="EM20" s="53"/>
      <c r="EN20" s="53"/>
      <c r="EO20" s="53"/>
      <c r="EP20" s="53"/>
      <c r="EQ20" s="53"/>
      <c r="ER20" s="53"/>
      <c r="ES20" s="53"/>
      <c r="ET20" s="53"/>
      <c r="EU20" s="53"/>
      <c r="EV20" s="53"/>
      <c r="EW20" s="53"/>
      <c r="EX20" s="53"/>
      <c r="EY20" s="53"/>
      <c r="EZ20" s="53"/>
      <c r="FA20" s="53"/>
      <c r="FB20" s="53"/>
      <c r="FC20" s="53"/>
      <c r="FD20" s="53"/>
      <c r="FE20" s="53"/>
      <c r="FF20" s="53"/>
      <c r="FG20" s="53"/>
      <c r="FH20" s="53"/>
      <c r="FI20" s="53"/>
      <c r="FJ20" s="53"/>
      <c r="FK20" s="53"/>
      <c r="FL20" s="53"/>
      <c r="FM20" s="53"/>
      <c r="FN20" s="53"/>
      <c r="FO20" s="53"/>
      <c r="FP20" s="53"/>
      <c r="FQ20" s="53"/>
      <c r="FR20" s="53"/>
      <c r="FS20" s="53"/>
    </row>
    <row r="21" spans="1:175" ht="17" customHeight="1">
      <c r="A21" s="53">
        <v>10</v>
      </c>
      <c r="B21" s="387" t="s">
        <v>19</v>
      </c>
      <c r="C21" s="59">
        <v>2.5</v>
      </c>
      <c r="D21" s="59">
        <v>0.1</v>
      </c>
      <c r="E21" s="59">
        <v>2</v>
      </c>
      <c r="F21" s="59">
        <v>0.1</v>
      </c>
      <c r="G21" s="59">
        <v>0.4</v>
      </c>
      <c r="H21" s="59">
        <v>0.9</v>
      </c>
      <c r="I21" s="59">
        <v>0.1</v>
      </c>
      <c r="J21" s="59">
        <v>0</v>
      </c>
      <c r="K21" s="59">
        <v>12.8</v>
      </c>
      <c r="L21" s="59">
        <v>8</v>
      </c>
      <c r="M21" s="59">
        <v>2.6</v>
      </c>
      <c r="N21" s="59">
        <v>0.3</v>
      </c>
      <c r="O21" s="59">
        <v>0.7</v>
      </c>
      <c r="P21" s="59">
        <v>2.5</v>
      </c>
      <c r="Q21" s="59">
        <v>1.4</v>
      </c>
      <c r="R21" s="59">
        <v>0.5</v>
      </c>
      <c r="S21" s="59">
        <v>11.2</v>
      </c>
      <c r="T21" s="59">
        <v>1</v>
      </c>
      <c r="U21" s="59">
        <v>0.2</v>
      </c>
      <c r="V21" s="59">
        <v>0.5</v>
      </c>
      <c r="W21" s="59">
        <v>3.4</v>
      </c>
      <c r="X21" s="60">
        <f t="shared" si="0"/>
        <v>51.199999999999996</v>
      </c>
      <c r="Y21" s="58">
        <v>103.5</v>
      </c>
      <c r="Z21" s="341">
        <v>0</v>
      </c>
      <c r="AA21" s="341">
        <v>130.5</v>
      </c>
      <c r="AB21" s="341">
        <v>18.100000000000001</v>
      </c>
      <c r="AC21" s="341">
        <v>103.4</v>
      </c>
      <c r="AD21" s="58">
        <f t="shared" si="2"/>
        <v>355.5</v>
      </c>
      <c r="AE21" s="61">
        <f t="shared" si="1"/>
        <v>406.7</v>
      </c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58"/>
      <c r="ED21" s="58"/>
      <c r="EE21" s="58"/>
      <c r="EF21" s="58"/>
      <c r="EG21" s="58"/>
      <c r="EH21" s="58"/>
      <c r="EI21" s="58"/>
      <c r="EJ21" s="58"/>
      <c r="EK21" s="58"/>
      <c r="EL21" s="58"/>
      <c r="EM21" s="58"/>
      <c r="EN21" s="58"/>
      <c r="EO21" s="58"/>
      <c r="EP21" s="58"/>
      <c r="EQ21" s="58"/>
      <c r="ER21" s="58"/>
      <c r="ES21" s="58"/>
      <c r="ET21" s="58"/>
      <c r="EU21" s="58"/>
      <c r="EV21" s="58"/>
      <c r="EW21" s="58"/>
      <c r="EX21" s="58"/>
      <c r="EY21" s="58"/>
      <c r="EZ21" s="58"/>
      <c r="FA21" s="58"/>
      <c r="FB21" s="58"/>
      <c r="FC21" s="58"/>
      <c r="FD21" s="58"/>
      <c r="FE21" s="58"/>
      <c r="FF21" s="58"/>
      <c r="FG21" s="58"/>
      <c r="FH21" s="58"/>
      <c r="FI21" s="58"/>
      <c r="FJ21" s="58"/>
      <c r="FK21" s="58"/>
      <c r="FL21" s="58"/>
      <c r="FM21" s="58"/>
      <c r="FN21" s="58"/>
      <c r="FO21" s="58"/>
      <c r="FP21" s="58"/>
      <c r="FQ21" s="58"/>
      <c r="FR21" s="58"/>
      <c r="FS21" s="58"/>
    </row>
    <row r="22" spans="1:175" ht="17" customHeight="1">
      <c r="A22" s="58">
        <v>11</v>
      </c>
      <c r="B22" s="387" t="s">
        <v>20</v>
      </c>
      <c r="C22" s="54">
        <v>246.1</v>
      </c>
      <c r="D22" s="54">
        <v>35</v>
      </c>
      <c r="E22" s="54">
        <v>70</v>
      </c>
      <c r="F22" s="54">
        <v>28.8</v>
      </c>
      <c r="G22" s="54">
        <v>40.9</v>
      </c>
      <c r="H22" s="54">
        <v>39.1</v>
      </c>
      <c r="I22" s="54">
        <v>5</v>
      </c>
      <c r="J22" s="54">
        <v>0.6</v>
      </c>
      <c r="K22" s="54">
        <v>0.3</v>
      </c>
      <c r="L22" s="54">
        <v>8.6999999999999993</v>
      </c>
      <c r="M22" s="54">
        <v>13.9</v>
      </c>
      <c r="N22" s="54">
        <v>3.9</v>
      </c>
      <c r="O22" s="54">
        <v>11.4</v>
      </c>
      <c r="P22" s="54">
        <v>41.4</v>
      </c>
      <c r="Q22" s="54">
        <v>344</v>
      </c>
      <c r="R22" s="54">
        <v>2.2000000000000002</v>
      </c>
      <c r="S22" s="54">
        <v>0.4</v>
      </c>
      <c r="T22" s="54">
        <v>18</v>
      </c>
      <c r="U22" s="54">
        <v>11.7</v>
      </c>
      <c r="V22" s="54">
        <v>51.7</v>
      </c>
      <c r="W22" s="54">
        <v>77</v>
      </c>
      <c r="X22" s="55">
        <f t="shared" si="0"/>
        <v>1050.1000000000001</v>
      </c>
      <c r="Y22" s="53">
        <v>275.3</v>
      </c>
      <c r="Z22" s="340">
        <v>0</v>
      </c>
      <c r="AA22" s="340">
        <v>51.6</v>
      </c>
      <c r="AB22" s="340">
        <v>44.8</v>
      </c>
      <c r="AC22" s="340">
        <v>31.6</v>
      </c>
      <c r="AD22" s="53">
        <f t="shared" si="2"/>
        <v>403.30000000000007</v>
      </c>
      <c r="AE22" s="56">
        <f t="shared" si="1"/>
        <v>1453.4</v>
      </c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3"/>
      <c r="CJ22" s="53"/>
      <c r="CK22" s="53"/>
      <c r="CL22" s="53"/>
      <c r="CM22" s="53"/>
      <c r="CN22" s="53"/>
      <c r="CO22" s="53"/>
      <c r="CP22" s="53"/>
      <c r="CQ22" s="53"/>
      <c r="CR22" s="53"/>
      <c r="CS22" s="53"/>
      <c r="CT22" s="53"/>
      <c r="CU22" s="53"/>
      <c r="CV22" s="53"/>
      <c r="CW22" s="53"/>
      <c r="CX22" s="53"/>
      <c r="CY22" s="53"/>
      <c r="CZ22" s="53"/>
      <c r="DA22" s="53"/>
      <c r="DB22" s="53"/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  <c r="DR22" s="53"/>
      <c r="DS22" s="53"/>
      <c r="DT22" s="53"/>
      <c r="DU22" s="53"/>
      <c r="DV22" s="53"/>
      <c r="DW22" s="53"/>
      <c r="DX22" s="53"/>
      <c r="DY22" s="53"/>
      <c r="DZ22" s="53"/>
      <c r="EA22" s="53"/>
      <c r="EB22" s="53"/>
      <c r="EC22" s="53"/>
      <c r="ED22" s="53"/>
      <c r="EE22" s="53"/>
      <c r="EF22" s="53"/>
      <c r="EG22" s="53"/>
      <c r="EH22" s="53"/>
      <c r="EI22" s="53"/>
      <c r="EJ22" s="53"/>
      <c r="EK22" s="53"/>
      <c r="EL22" s="53"/>
      <c r="EM22" s="53"/>
      <c r="EN22" s="53"/>
      <c r="EO22" s="53"/>
      <c r="EP22" s="53"/>
      <c r="EQ22" s="53"/>
      <c r="ER22" s="53"/>
      <c r="ES22" s="53"/>
      <c r="ET22" s="53"/>
      <c r="EU22" s="53"/>
      <c r="EV22" s="53"/>
      <c r="EW22" s="53"/>
      <c r="EX22" s="53"/>
      <c r="EY22" s="53"/>
      <c r="EZ22" s="53"/>
      <c r="FA22" s="53"/>
      <c r="FB22" s="53"/>
      <c r="FC22" s="53"/>
      <c r="FD22" s="53"/>
      <c r="FE22" s="53"/>
      <c r="FF22" s="53"/>
      <c r="FG22" s="53"/>
      <c r="FH22" s="53"/>
      <c r="FI22" s="53"/>
      <c r="FJ22" s="53"/>
      <c r="FK22" s="53"/>
      <c r="FL22" s="53"/>
      <c r="FM22" s="53"/>
      <c r="FN22" s="53"/>
      <c r="FO22" s="53"/>
      <c r="FP22" s="53"/>
      <c r="FQ22" s="53"/>
      <c r="FR22" s="53"/>
      <c r="FS22" s="53"/>
    </row>
    <row r="23" spans="1:175" ht="17" customHeight="1">
      <c r="A23" s="53">
        <v>12</v>
      </c>
      <c r="B23" s="387" t="s">
        <v>21</v>
      </c>
      <c r="C23" s="59">
        <v>24.6</v>
      </c>
      <c r="D23" s="59">
        <v>2.4</v>
      </c>
      <c r="E23" s="59">
        <v>261.10000000000002</v>
      </c>
      <c r="F23" s="59">
        <v>26.1</v>
      </c>
      <c r="G23" s="59">
        <v>22.4</v>
      </c>
      <c r="H23" s="59">
        <v>50.9</v>
      </c>
      <c r="I23" s="59">
        <v>21.4</v>
      </c>
      <c r="J23" s="59">
        <v>1.4</v>
      </c>
      <c r="K23" s="59">
        <v>15.2</v>
      </c>
      <c r="L23" s="59">
        <v>6.6</v>
      </c>
      <c r="M23" s="59">
        <v>13.2</v>
      </c>
      <c r="N23" s="59">
        <v>357.8</v>
      </c>
      <c r="O23" s="59">
        <v>4.3</v>
      </c>
      <c r="P23" s="59">
        <v>281</v>
      </c>
      <c r="Q23" s="59">
        <v>38.299999999999997</v>
      </c>
      <c r="R23" s="59">
        <v>49.4</v>
      </c>
      <c r="S23" s="59">
        <v>14.5</v>
      </c>
      <c r="T23" s="59">
        <v>24.7</v>
      </c>
      <c r="U23" s="59">
        <v>103.9</v>
      </c>
      <c r="V23" s="59">
        <v>80.5</v>
      </c>
      <c r="W23" s="59">
        <v>279.10000000000002</v>
      </c>
      <c r="X23" s="60">
        <f t="shared" si="0"/>
        <v>1678.8000000000002</v>
      </c>
      <c r="Y23" s="58">
        <v>310.5</v>
      </c>
      <c r="Z23" s="341">
        <v>0</v>
      </c>
      <c r="AA23" s="341">
        <v>0</v>
      </c>
      <c r="AB23" s="341">
        <v>0</v>
      </c>
      <c r="AC23" s="341">
        <v>1394.8</v>
      </c>
      <c r="AD23" s="58">
        <f t="shared" si="2"/>
        <v>1705.3</v>
      </c>
      <c r="AE23" s="61">
        <f t="shared" si="1"/>
        <v>3384.1000000000004</v>
      </c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58"/>
      <c r="FG23" s="58"/>
      <c r="FH23" s="58"/>
      <c r="FI23" s="58"/>
      <c r="FJ23" s="58"/>
      <c r="FK23" s="58"/>
      <c r="FL23" s="58"/>
      <c r="FM23" s="58"/>
      <c r="FN23" s="58"/>
      <c r="FO23" s="58"/>
      <c r="FP23" s="58"/>
      <c r="FQ23" s="58"/>
      <c r="FR23" s="58"/>
      <c r="FS23" s="58"/>
    </row>
    <row r="24" spans="1:175" ht="17" customHeight="1">
      <c r="A24" s="53">
        <v>13</v>
      </c>
      <c r="B24" s="387" t="s">
        <v>22</v>
      </c>
      <c r="C24" s="54">
        <v>0</v>
      </c>
      <c r="D24" s="54">
        <v>0</v>
      </c>
      <c r="E24" s="54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17.2</v>
      </c>
      <c r="L24" s="54">
        <v>11.1</v>
      </c>
      <c r="M24" s="54">
        <v>0</v>
      </c>
      <c r="N24" s="54">
        <v>0</v>
      </c>
      <c r="O24" s="54">
        <v>183</v>
      </c>
      <c r="P24" s="54">
        <v>0</v>
      </c>
      <c r="Q24" s="54">
        <v>0</v>
      </c>
      <c r="R24" s="54">
        <v>0</v>
      </c>
      <c r="S24" s="54">
        <v>236</v>
      </c>
      <c r="T24" s="54">
        <v>5</v>
      </c>
      <c r="U24" s="54">
        <v>17.8</v>
      </c>
      <c r="V24" s="54">
        <v>7.2</v>
      </c>
      <c r="W24" s="54">
        <v>6.9</v>
      </c>
      <c r="X24" s="55">
        <f t="shared" si="0"/>
        <v>484.2</v>
      </c>
      <c r="Y24" s="53">
        <v>127.9</v>
      </c>
      <c r="Z24" s="340">
        <v>0</v>
      </c>
      <c r="AA24" s="340">
        <v>5102.3</v>
      </c>
      <c r="AB24" s="340">
        <v>0</v>
      </c>
      <c r="AC24" s="340">
        <v>0</v>
      </c>
      <c r="AD24" s="53">
        <f t="shared" si="2"/>
        <v>5230.2</v>
      </c>
      <c r="AE24" s="56">
        <f t="shared" si="1"/>
        <v>5714.4</v>
      </c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3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3"/>
      <c r="CJ24" s="53"/>
      <c r="CK24" s="53"/>
      <c r="CL24" s="53"/>
      <c r="CM24" s="53"/>
      <c r="CN24" s="53"/>
      <c r="CO24" s="53"/>
      <c r="CP24" s="53"/>
      <c r="CQ24" s="53"/>
      <c r="CR24" s="53"/>
      <c r="CS24" s="53"/>
      <c r="CT24" s="53"/>
      <c r="CU24" s="53"/>
      <c r="CV24" s="53"/>
      <c r="CW24" s="53"/>
      <c r="CX24" s="53"/>
      <c r="CY24" s="53"/>
      <c r="CZ24" s="53"/>
      <c r="DA24" s="53"/>
      <c r="DB24" s="53"/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  <c r="DR24" s="53"/>
      <c r="DS24" s="53"/>
      <c r="DT24" s="53"/>
      <c r="DU24" s="53"/>
      <c r="DV24" s="53"/>
      <c r="DW24" s="53"/>
      <c r="DX24" s="53"/>
      <c r="DY24" s="53"/>
      <c r="DZ24" s="53"/>
      <c r="EA24" s="53"/>
      <c r="EB24" s="53"/>
      <c r="EC24" s="53"/>
      <c r="ED24" s="53"/>
      <c r="EE24" s="53"/>
      <c r="EF24" s="53"/>
      <c r="EG24" s="53"/>
      <c r="EH24" s="53"/>
      <c r="EI24" s="53"/>
      <c r="EJ24" s="53"/>
      <c r="EK24" s="53"/>
      <c r="EL24" s="53"/>
      <c r="EM24" s="53"/>
      <c r="EN24" s="53"/>
      <c r="EO24" s="53"/>
      <c r="EP24" s="53"/>
      <c r="EQ24" s="53"/>
      <c r="ER24" s="53"/>
      <c r="ES24" s="53"/>
      <c r="ET24" s="53"/>
      <c r="EU24" s="53"/>
      <c r="EV24" s="53"/>
      <c r="EW24" s="53"/>
      <c r="EX24" s="53"/>
      <c r="EY24" s="53"/>
      <c r="EZ24" s="53"/>
      <c r="FA24" s="53"/>
      <c r="FB24" s="53"/>
      <c r="FC24" s="53"/>
      <c r="FD24" s="53"/>
      <c r="FE24" s="53"/>
      <c r="FF24" s="53"/>
      <c r="FG24" s="53"/>
      <c r="FH24" s="53"/>
      <c r="FI24" s="53"/>
      <c r="FJ24" s="53"/>
      <c r="FK24" s="53"/>
      <c r="FL24" s="53"/>
      <c r="FM24" s="53"/>
      <c r="FN24" s="53"/>
      <c r="FO24" s="53"/>
      <c r="FP24" s="53"/>
      <c r="FQ24" s="53"/>
      <c r="FR24" s="53"/>
      <c r="FS24" s="53"/>
    </row>
    <row r="25" spans="1:175" ht="17" customHeight="1">
      <c r="A25" s="58">
        <v>14</v>
      </c>
      <c r="B25" s="387" t="s">
        <v>23</v>
      </c>
      <c r="C25" s="59">
        <v>426.8</v>
      </c>
      <c r="D25" s="59">
        <v>62.2</v>
      </c>
      <c r="E25" s="59">
        <v>913.6</v>
      </c>
      <c r="F25" s="59">
        <v>52.5</v>
      </c>
      <c r="G25" s="59">
        <v>203</v>
      </c>
      <c r="H25" s="59">
        <v>356.4</v>
      </c>
      <c r="I25" s="59">
        <v>59.4</v>
      </c>
      <c r="J25" s="59">
        <v>5.0999999999999996</v>
      </c>
      <c r="K25" s="59">
        <v>122.9</v>
      </c>
      <c r="L25" s="59">
        <v>45.7</v>
      </c>
      <c r="M25" s="59">
        <v>113.2</v>
      </c>
      <c r="N25" s="59">
        <v>10.4</v>
      </c>
      <c r="O25" s="59">
        <v>414.1</v>
      </c>
      <c r="P25" s="59">
        <v>415.9</v>
      </c>
      <c r="Q25" s="59">
        <v>538.79999999999995</v>
      </c>
      <c r="R25" s="59">
        <v>75.599999999999994</v>
      </c>
      <c r="S25" s="59">
        <v>127.7</v>
      </c>
      <c r="T25" s="59">
        <v>24.8</v>
      </c>
      <c r="U25" s="59">
        <v>20.6</v>
      </c>
      <c r="V25" s="59">
        <v>105.8</v>
      </c>
      <c r="W25" s="59">
        <v>297.39999999999998</v>
      </c>
      <c r="X25" s="60">
        <f t="shared" si="0"/>
        <v>4391.8999999999996</v>
      </c>
      <c r="Y25" s="58">
        <v>2679.4</v>
      </c>
      <c r="Z25" s="341">
        <v>0</v>
      </c>
      <c r="AA25" s="341">
        <v>991.6</v>
      </c>
      <c r="AB25" s="341">
        <v>256</v>
      </c>
      <c r="AC25" s="341">
        <v>1435.6</v>
      </c>
      <c r="AD25" s="58">
        <f t="shared" si="2"/>
        <v>5362.6</v>
      </c>
      <c r="AE25" s="61">
        <f t="shared" si="1"/>
        <v>9754.5</v>
      </c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  <c r="DW25" s="58"/>
      <c r="DX25" s="58"/>
      <c r="DY25" s="58"/>
      <c r="DZ25" s="58"/>
      <c r="EA25" s="58"/>
      <c r="EB25" s="58"/>
      <c r="EC25" s="58"/>
      <c r="ED25" s="58"/>
      <c r="EE25" s="58"/>
      <c r="EF25" s="58"/>
      <c r="EG25" s="58"/>
      <c r="EH25" s="58"/>
      <c r="EI25" s="58"/>
      <c r="EJ25" s="58"/>
      <c r="EK25" s="58"/>
      <c r="EL25" s="58"/>
      <c r="EM25" s="58"/>
      <c r="EN25" s="58"/>
      <c r="EO25" s="58"/>
      <c r="EP25" s="58"/>
      <c r="EQ25" s="58"/>
      <c r="ER25" s="58"/>
      <c r="ES25" s="58"/>
      <c r="ET25" s="58"/>
      <c r="EU25" s="58"/>
      <c r="EV25" s="58"/>
      <c r="EW25" s="58"/>
      <c r="EX25" s="58"/>
      <c r="EY25" s="58"/>
      <c r="EZ25" s="58"/>
      <c r="FA25" s="58"/>
      <c r="FB25" s="58"/>
      <c r="FC25" s="58"/>
      <c r="FD25" s="58"/>
      <c r="FE25" s="58"/>
      <c r="FF25" s="58"/>
      <c r="FG25" s="58"/>
      <c r="FH25" s="58"/>
      <c r="FI25" s="58"/>
      <c r="FJ25" s="58"/>
      <c r="FK25" s="58"/>
      <c r="FL25" s="58"/>
      <c r="FM25" s="58"/>
      <c r="FN25" s="58"/>
      <c r="FO25" s="58"/>
      <c r="FP25" s="58"/>
      <c r="FQ25" s="58"/>
      <c r="FR25" s="58"/>
      <c r="FS25" s="58"/>
    </row>
    <row r="26" spans="1:175" s="4" customFormat="1" ht="17" customHeight="1">
      <c r="A26" s="53">
        <v>15</v>
      </c>
      <c r="B26" s="387" t="s">
        <v>24</v>
      </c>
      <c r="C26" s="54">
        <v>472</v>
      </c>
      <c r="D26" s="54">
        <v>10.9</v>
      </c>
      <c r="E26" s="54">
        <v>175.3</v>
      </c>
      <c r="F26" s="54">
        <v>4.7</v>
      </c>
      <c r="G26" s="54">
        <v>12.7</v>
      </c>
      <c r="H26" s="54">
        <v>50.9</v>
      </c>
      <c r="I26" s="54">
        <v>10.6</v>
      </c>
      <c r="J26" s="54">
        <v>0.9</v>
      </c>
      <c r="K26" s="54">
        <v>6</v>
      </c>
      <c r="L26" s="54">
        <v>24.5</v>
      </c>
      <c r="M26" s="54">
        <v>9.1</v>
      </c>
      <c r="N26" s="54">
        <v>31.7</v>
      </c>
      <c r="O26" s="54">
        <v>35.299999999999997</v>
      </c>
      <c r="P26" s="54">
        <v>584.6</v>
      </c>
      <c r="Q26" s="54">
        <v>12</v>
      </c>
      <c r="R26" s="54">
        <v>10.3</v>
      </c>
      <c r="S26" s="54">
        <v>5.4</v>
      </c>
      <c r="T26" s="54">
        <v>23</v>
      </c>
      <c r="U26" s="54">
        <v>32.4</v>
      </c>
      <c r="V26" s="54">
        <v>101.2</v>
      </c>
      <c r="W26" s="54">
        <v>51</v>
      </c>
      <c r="X26" s="55">
        <f t="shared" si="0"/>
        <v>1664.5000000000005</v>
      </c>
      <c r="Y26" s="57">
        <v>1691.2</v>
      </c>
      <c r="Z26" s="342">
        <v>0</v>
      </c>
      <c r="AA26" s="342">
        <v>39.700000000000003</v>
      </c>
      <c r="AB26" s="342">
        <v>10.3</v>
      </c>
      <c r="AC26" s="342">
        <v>593</v>
      </c>
      <c r="AD26" s="57">
        <f t="shared" si="2"/>
        <v>2334.1999999999998</v>
      </c>
      <c r="AE26" s="56">
        <f t="shared" si="1"/>
        <v>3998.7000000000003</v>
      </c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</row>
    <row r="27" spans="1:175" s="4" customFormat="1" ht="17" customHeight="1">
      <c r="A27" s="53">
        <v>16</v>
      </c>
      <c r="B27" s="387" t="s">
        <v>25</v>
      </c>
      <c r="C27" s="59">
        <v>21.5</v>
      </c>
      <c r="D27" s="59">
        <v>2</v>
      </c>
      <c r="E27" s="59">
        <v>16.899999999999999</v>
      </c>
      <c r="F27" s="59">
        <v>0.9</v>
      </c>
      <c r="G27" s="59">
        <v>3.6</v>
      </c>
      <c r="H27" s="59">
        <v>11.3</v>
      </c>
      <c r="I27" s="59">
        <v>1.1000000000000001</v>
      </c>
      <c r="J27" s="59">
        <v>0.5</v>
      </c>
      <c r="K27" s="59">
        <v>8.6999999999999993</v>
      </c>
      <c r="L27" s="59">
        <v>2.4</v>
      </c>
      <c r="M27" s="59">
        <v>2.2000000000000002</v>
      </c>
      <c r="N27" s="59">
        <v>19.7</v>
      </c>
      <c r="O27" s="59">
        <v>8.6999999999999993</v>
      </c>
      <c r="P27" s="59">
        <v>20.399999999999999</v>
      </c>
      <c r="Q27" s="59">
        <v>22.9</v>
      </c>
      <c r="R27" s="59">
        <v>18.100000000000001</v>
      </c>
      <c r="S27" s="59">
        <v>23.8</v>
      </c>
      <c r="T27" s="59">
        <v>15.6</v>
      </c>
      <c r="U27" s="59">
        <v>6.9</v>
      </c>
      <c r="V27" s="59">
        <v>22.2</v>
      </c>
      <c r="W27" s="59">
        <v>113.2</v>
      </c>
      <c r="X27" s="60">
        <f t="shared" si="0"/>
        <v>342.6</v>
      </c>
      <c r="Y27" s="62">
        <v>1236.5</v>
      </c>
      <c r="Z27" s="343">
        <v>0</v>
      </c>
      <c r="AA27" s="343">
        <v>3.4</v>
      </c>
      <c r="AB27" s="343">
        <v>0.9</v>
      </c>
      <c r="AC27" s="343">
        <v>708.7</v>
      </c>
      <c r="AD27" s="62">
        <f t="shared" si="2"/>
        <v>1949.5000000000002</v>
      </c>
      <c r="AE27" s="61">
        <f t="shared" si="1"/>
        <v>2292.1000000000004</v>
      </c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2"/>
      <c r="CB27" s="62"/>
      <c r="CC27" s="62"/>
      <c r="CD27" s="62"/>
      <c r="CE27" s="62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  <c r="EA27" s="62"/>
      <c r="EB27" s="62"/>
      <c r="EC27" s="62"/>
      <c r="ED27" s="62"/>
      <c r="EE27" s="62"/>
      <c r="EF27" s="62"/>
      <c r="EG27" s="62"/>
      <c r="EH27" s="62"/>
      <c r="EI27" s="62"/>
      <c r="EJ27" s="62"/>
      <c r="EK27" s="62"/>
      <c r="EL27" s="62"/>
      <c r="EM27" s="62"/>
      <c r="EN27" s="62"/>
      <c r="EO27" s="62"/>
      <c r="EP27" s="62"/>
      <c r="EQ27" s="62"/>
      <c r="ER27" s="62"/>
      <c r="ES27" s="62"/>
      <c r="ET27" s="62"/>
      <c r="EU27" s="62"/>
      <c r="EV27" s="62"/>
      <c r="EW27" s="62"/>
      <c r="EX27" s="62"/>
      <c r="EY27" s="62"/>
      <c r="EZ27" s="62"/>
      <c r="FA27" s="62"/>
      <c r="FB27" s="62"/>
      <c r="FC27" s="62"/>
      <c r="FD27" s="62"/>
      <c r="FE27" s="62"/>
      <c r="FF27" s="62"/>
      <c r="FG27" s="62"/>
      <c r="FH27" s="62"/>
      <c r="FI27" s="62"/>
      <c r="FJ27" s="62"/>
      <c r="FK27" s="62"/>
      <c r="FL27" s="62"/>
      <c r="FM27" s="62"/>
      <c r="FN27" s="62"/>
      <c r="FO27" s="62"/>
      <c r="FP27" s="62"/>
      <c r="FQ27" s="62"/>
      <c r="FR27" s="62"/>
      <c r="FS27" s="62"/>
    </row>
    <row r="28" spans="1:175" s="4" customFormat="1" ht="17" customHeight="1">
      <c r="A28" s="58">
        <v>17</v>
      </c>
      <c r="B28" s="387" t="s">
        <v>26</v>
      </c>
      <c r="C28" s="54">
        <v>4.0999999999999996</v>
      </c>
      <c r="D28" s="54">
        <v>1.2</v>
      </c>
      <c r="E28" s="54">
        <v>37.6</v>
      </c>
      <c r="F28" s="54">
        <v>8</v>
      </c>
      <c r="G28" s="54">
        <v>7.7</v>
      </c>
      <c r="H28" s="54">
        <v>9.1</v>
      </c>
      <c r="I28" s="54">
        <v>2.1</v>
      </c>
      <c r="J28" s="54">
        <v>2.7</v>
      </c>
      <c r="K28" s="54">
        <v>8</v>
      </c>
      <c r="L28" s="54">
        <v>8.3000000000000007</v>
      </c>
      <c r="M28" s="54">
        <v>8.9</v>
      </c>
      <c r="N28" s="54">
        <v>1.3</v>
      </c>
      <c r="O28" s="54">
        <v>6.8</v>
      </c>
      <c r="P28" s="54">
        <v>773.2</v>
      </c>
      <c r="Q28" s="54">
        <v>32.6</v>
      </c>
      <c r="R28" s="54">
        <v>20.100000000000001</v>
      </c>
      <c r="S28" s="54">
        <v>556.79999999999995</v>
      </c>
      <c r="T28" s="54">
        <v>84.2</v>
      </c>
      <c r="U28" s="54">
        <v>33.700000000000003</v>
      </c>
      <c r="V28" s="54">
        <v>156.1</v>
      </c>
      <c r="W28" s="54">
        <v>131.5</v>
      </c>
      <c r="X28" s="55">
        <f t="shared" si="0"/>
        <v>1894</v>
      </c>
      <c r="Y28" s="57">
        <v>797.4</v>
      </c>
      <c r="Z28" s="342">
        <v>0</v>
      </c>
      <c r="AA28" s="342">
        <v>5.0999999999999996</v>
      </c>
      <c r="AB28" s="342">
        <v>1.3</v>
      </c>
      <c r="AC28" s="342">
        <v>18.3</v>
      </c>
      <c r="AD28" s="57">
        <f t="shared" si="2"/>
        <v>822.09999999999991</v>
      </c>
      <c r="AE28" s="56">
        <f t="shared" si="1"/>
        <v>2716.1</v>
      </c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</row>
    <row r="29" spans="1:175" s="4" customFormat="1" ht="17" customHeight="1">
      <c r="A29" s="53">
        <v>18</v>
      </c>
      <c r="B29" s="387" t="s">
        <v>27</v>
      </c>
      <c r="C29" s="59">
        <v>481.6</v>
      </c>
      <c r="D29" s="59">
        <v>1.4</v>
      </c>
      <c r="E29" s="59">
        <v>240.6</v>
      </c>
      <c r="F29" s="59">
        <v>17.3</v>
      </c>
      <c r="G29" s="59">
        <v>26.4</v>
      </c>
      <c r="H29" s="59">
        <v>120.6</v>
      </c>
      <c r="I29" s="59">
        <v>3.3</v>
      </c>
      <c r="J29" s="59">
        <v>14.5</v>
      </c>
      <c r="K29" s="59">
        <v>12.4</v>
      </c>
      <c r="L29" s="59">
        <v>7.6</v>
      </c>
      <c r="M29" s="59">
        <v>83.4</v>
      </c>
      <c r="N29" s="59">
        <v>8.1</v>
      </c>
      <c r="O29" s="59">
        <v>55.9</v>
      </c>
      <c r="P29" s="59">
        <v>724.9</v>
      </c>
      <c r="Q29" s="59">
        <v>84.5</v>
      </c>
      <c r="R29" s="59">
        <v>18.3</v>
      </c>
      <c r="S29" s="59">
        <v>14.2</v>
      </c>
      <c r="T29" s="59">
        <v>267.2</v>
      </c>
      <c r="U29" s="59">
        <v>10.7</v>
      </c>
      <c r="V29" s="59">
        <v>79</v>
      </c>
      <c r="W29" s="59">
        <v>165.8</v>
      </c>
      <c r="X29" s="60">
        <f t="shared" si="0"/>
        <v>2437.6999999999998</v>
      </c>
      <c r="Y29" s="62">
        <v>867.2</v>
      </c>
      <c r="Z29" s="343">
        <v>0</v>
      </c>
      <c r="AA29" s="343">
        <v>1.8</v>
      </c>
      <c r="AB29" s="343">
        <v>0.5</v>
      </c>
      <c r="AC29" s="343">
        <v>18.8</v>
      </c>
      <c r="AD29" s="62">
        <f t="shared" si="2"/>
        <v>888.3</v>
      </c>
      <c r="AE29" s="61">
        <f t="shared" si="1"/>
        <v>3326</v>
      </c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2"/>
      <c r="FJ29" s="62"/>
      <c r="FK29" s="62"/>
      <c r="FL29" s="62"/>
      <c r="FM29" s="62"/>
      <c r="FN29" s="62"/>
      <c r="FO29" s="62"/>
      <c r="FP29" s="62"/>
      <c r="FQ29" s="62"/>
      <c r="FR29" s="62"/>
      <c r="FS29" s="62"/>
    </row>
    <row r="30" spans="1:175" s="4" customFormat="1" ht="17" customHeight="1">
      <c r="A30" s="53">
        <v>19</v>
      </c>
      <c r="B30" s="387" t="s">
        <v>28</v>
      </c>
      <c r="C30" s="54">
        <v>426.9</v>
      </c>
      <c r="D30" s="54">
        <v>1.9</v>
      </c>
      <c r="E30" s="54">
        <v>27.1</v>
      </c>
      <c r="F30" s="54">
        <v>6.9</v>
      </c>
      <c r="G30" s="54">
        <v>6.7</v>
      </c>
      <c r="H30" s="54">
        <v>11.8</v>
      </c>
      <c r="I30" s="54">
        <v>2.1</v>
      </c>
      <c r="J30" s="54">
        <v>0.7</v>
      </c>
      <c r="K30" s="54">
        <v>0.2</v>
      </c>
      <c r="L30" s="54">
        <v>0.2</v>
      </c>
      <c r="M30" s="54">
        <v>11.8</v>
      </c>
      <c r="N30" s="54">
        <v>2.9</v>
      </c>
      <c r="O30" s="54">
        <v>1.5</v>
      </c>
      <c r="P30" s="54">
        <v>302</v>
      </c>
      <c r="Q30" s="54">
        <v>51.9</v>
      </c>
      <c r="R30" s="54">
        <v>27.5</v>
      </c>
      <c r="S30" s="54">
        <v>19.2</v>
      </c>
      <c r="T30" s="54">
        <v>36.299999999999997</v>
      </c>
      <c r="U30" s="54">
        <v>12.9</v>
      </c>
      <c r="V30" s="54">
        <v>58.9</v>
      </c>
      <c r="W30" s="54">
        <v>139.5</v>
      </c>
      <c r="X30" s="55">
        <f t="shared" si="0"/>
        <v>1148.8999999999999</v>
      </c>
      <c r="Y30" s="57">
        <v>1782.6</v>
      </c>
      <c r="Z30" s="342">
        <v>0</v>
      </c>
      <c r="AA30" s="342">
        <v>2.6</v>
      </c>
      <c r="AB30" s="342">
        <v>0.1</v>
      </c>
      <c r="AC30" s="342">
        <v>4.5</v>
      </c>
      <c r="AD30" s="57">
        <f t="shared" si="2"/>
        <v>1789.7999999999997</v>
      </c>
      <c r="AE30" s="56">
        <f t="shared" si="1"/>
        <v>2938.7</v>
      </c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</row>
    <row r="31" spans="1:175" s="4" customFormat="1" ht="17" customHeight="1">
      <c r="A31" s="58">
        <v>20</v>
      </c>
      <c r="B31" s="387" t="s">
        <v>29</v>
      </c>
      <c r="C31" s="59">
        <v>264.60000000000002</v>
      </c>
      <c r="D31" s="59">
        <v>7.6</v>
      </c>
      <c r="E31" s="59">
        <v>187.1</v>
      </c>
      <c r="F31" s="59">
        <v>10.5</v>
      </c>
      <c r="G31" s="59">
        <v>43.6</v>
      </c>
      <c r="H31" s="59">
        <v>98.7</v>
      </c>
      <c r="I31" s="59">
        <v>10.1</v>
      </c>
      <c r="J31" s="59">
        <v>5.9</v>
      </c>
      <c r="K31" s="59">
        <v>6.5</v>
      </c>
      <c r="L31" s="59">
        <v>2.2999999999999998</v>
      </c>
      <c r="M31" s="59">
        <v>21.3</v>
      </c>
      <c r="N31" s="59">
        <v>52.8</v>
      </c>
      <c r="O31" s="59">
        <v>36.9</v>
      </c>
      <c r="P31" s="59">
        <v>254.8</v>
      </c>
      <c r="Q31" s="59">
        <v>112.2</v>
      </c>
      <c r="R31" s="59">
        <v>76</v>
      </c>
      <c r="S31" s="59">
        <v>155.5</v>
      </c>
      <c r="T31" s="59">
        <v>137.80000000000001</v>
      </c>
      <c r="U31" s="59">
        <v>33.200000000000003</v>
      </c>
      <c r="V31" s="59">
        <v>53.3</v>
      </c>
      <c r="W31" s="59">
        <v>278.39999999999998</v>
      </c>
      <c r="X31" s="60">
        <f t="shared" si="0"/>
        <v>1849.1</v>
      </c>
      <c r="Y31" s="62">
        <v>141.6</v>
      </c>
      <c r="Z31" s="343">
        <v>0</v>
      </c>
      <c r="AA31" s="343">
        <v>34.799999999999997</v>
      </c>
      <c r="AB31" s="343">
        <v>1.2</v>
      </c>
      <c r="AC31" s="343">
        <v>110.1</v>
      </c>
      <c r="AD31" s="62">
        <f t="shared" si="2"/>
        <v>287.69999999999993</v>
      </c>
      <c r="AE31" s="61">
        <f t="shared" si="1"/>
        <v>2136.7999999999997</v>
      </c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2"/>
      <c r="CD31" s="62"/>
      <c r="CE31" s="62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  <c r="EA31" s="62"/>
      <c r="EB31" s="62"/>
      <c r="EC31" s="62"/>
      <c r="ED31" s="62"/>
      <c r="EE31" s="62"/>
      <c r="EF31" s="62"/>
      <c r="EG31" s="62"/>
      <c r="EH31" s="62"/>
      <c r="EI31" s="62"/>
      <c r="EJ31" s="62"/>
      <c r="EK31" s="62"/>
      <c r="EL31" s="62"/>
      <c r="EM31" s="62"/>
      <c r="EN31" s="62"/>
      <c r="EO31" s="62"/>
      <c r="EP31" s="62"/>
      <c r="EQ31" s="62"/>
      <c r="ER31" s="62"/>
      <c r="ES31" s="62"/>
      <c r="ET31" s="62"/>
      <c r="EU31" s="62"/>
      <c r="EV31" s="62"/>
      <c r="EW31" s="62"/>
      <c r="EX31" s="62"/>
      <c r="EY31" s="62"/>
      <c r="EZ31" s="62"/>
      <c r="FA31" s="62"/>
      <c r="FB31" s="62"/>
      <c r="FC31" s="62"/>
      <c r="FD31" s="62"/>
      <c r="FE31" s="62"/>
      <c r="FF31" s="62"/>
      <c r="FG31" s="62"/>
      <c r="FH31" s="62"/>
      <c r="FI31" s="62"/>
      <c r="FJ31" s="62"/>
      <c r="FK31" s="62"/>
      <c r="FL31" s="62"/>
      <c r="FM31" s="62"/>
      <c r="FN31" s="62"/>
      <c r="FO31" s="62"/>
      <c r="FP31" s="62"/>
      <c r="FQ31" s="62"/>
      <c r="FR31" s="62"/>
      <c r="FS31" s="62"/>
    </row>
    <row r="32" spans="1:175" s="4" customFormat="1" ht="17" customHeight="1">
      <c r="A32" s="53">
        <v>21</v>
      </c>
      <c r="B32" s="387" t="s">
        <v>30</v>
      </c>
      <c r="C32" s="54">
        <v>20.399999999999999</v>
      </c>
      <c r="D32" s="54">
        <v>0.4</v>
      </c>
      <c r="E32" s="54">
        <v>15.2</v>
      </c>
      <c r="F32" s="54">
        <v>2.7</v>
      </c>
      <c r="G32" s="54">
        <v>2.1</v>
      </c>
      <c r="H32" s="54">
        <v>2.2999999999999998</v>
      </c>
      <c r="I32" s="54">
        <v>0.4</v>
      </c>
      <c r="J32" s="54">
        <v>0</v>
      </c>
      <c r="K32" s="54">
        <v>13.8</v>
      </c>
      <c r="L32" s="54">
        <v>3.9</v>
      </c>
      <c r="M32" s="54">
        <v>1</v>
      </c>
      <c r="N32" s="54">
        <v>19.600000000000001</v>
      </c>
      <c r="O32" s="54">
        <v>8.6</v>
      </c>
      <c r="P32" s="54">
        <v>15.1</v>
      </c>
      <c r="Q32" s="54">
        <v>4.8</v>
      </c>
      <c r="R32" s="54">
        <v>18.5</v>
      </c>
      <c r="S32" s="54">
        <v>23.1</v>
      </c>
      <c r="T32" s="54">
        <v>35.9</v>
      </c>
      <c r="U32" s="54">
        <v>3.1</v>
      </c>
      <c r="V32" s="54">
        <v>28.8</v>
      </c>
      <c r="W32" s="54">
        <v>75.7</v>
      </c>
      <c r="X32" s="55">
        <f t="shared" si="0"/>
        <v>295.39999999999998</v>
      </c>
      <c r="Y32" s="57">
        <v>8628.2000000000007</v>
      </c>
      <c r="Z32" s="342">
        <v>0</v>
      </c>
      <c r="AA32" s="342">
        <v>4.5999999999999996</v>
      </c>
      <c r="AB32" s="342">
        <v>1.2</v>
      </c>
      <c r="AC32" s="342">
        <v>8.1</v>
      </c>
      <c r="AD32" s="57">
        <f t="shared" si="2"/>
        <v>8642.1000000000022</v>
      </c>
      <c r="AE32" s="56">
        <f t="shared" si="1"/>
        <v>8937.5000000000018</v>
      </c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</row>
    <row r="33" spans="2:31">
      <c r="B33" s="10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"/>
    </row>
    <row r="34" spans="2:31">
      <c r="B34" s="6" t="s">
        <v>31</v>
      </c>
      <c r="C34" s="9">
        <f>SUM(C12:C32)</f>
        <v>3282.2999999999997</v>
      </c>
      <c r="D34" s="9">
        <f t="shared" ref="D34:AE34" si="3">SUM(D12:D32)</f>
        <v>175.4</v>
      </c>
      <c r="E34" s="9">
        <f t="shared" si="3"/>
        <v>7128.300000000002</v>
      </c>
      <c r="F34" s="9">
        <f t="shared" si="3"/>
        <v>405</v>
      </c>
      <c r="G34" s="9">
        <f t="shared" si="3"/>
        <v>869.9000000000002</v>
      </c>
      <c r="H34" s="9">
        <f t="shared" si="3"/>
        <v>1442.1999999999998</v>
      </c>
      <c r="I34" s="9">
        <f t="shared" si="3"/>
        <v>360.90000000000009</v>
      </c>
      <c r="J34" s="9">
        <f t="shared" si="3"/>
        <v>45.699999999999996</v>
      </c>
      <c r="K34" s="9">
        <f t="shared" si="3"/>
        <v>334.09999999999997</v>
      </c>
      <c r="L34" s="9">
        <f t="shared" si="3"/>
        <v>184.8</v>
      </c>
      <c r="M34" s="9">
        <f t="shared" si="3"/>
        <v>514.70000000000005</v>
      </c>
      <c r="N34" s="9">
        <f t="shared" si="3"/>
        <v>523.19999999999993</v>
      </c>
      <c r="O34" s="9">
        <f t="shared" si="3"/>
        <v>2071.7000000000003</v>
      </c>
      <c r="P34" s="9">
        <f t="shared" si="3"/>
        <v>3687</v>
      </c>
      <c r="Q34" s="9">
        <f t="shared" si="3"/>
        <v>1334.6000000000001</v>
      </c>
      <c r="R34" s="9">
        <f t="shared" si="3"/>
        <v>960</v>
      </c>
      <c r="S34" s="9">
        <f t="shared" si="3"/>
        <v>1222.8999999999999</v>
      </c>
      <c r="T34" s="9">
        <f t="shared" si="3"/>
        <v>696.4</v>
      </c>
      <c r="U34" s="9">
        <f t="shared" si="3"/>
        <v>300.39999999999998</v>
      </c>
      <c r="V34" s="9">
        <f t="shared" si="3"/>
        <v>876.19999999999982</v>
      </c>
      <c r="W34" s="9">
        <f t="shared" si="3"/>
        <v>2035.5000000000002</v>
      </c>
      <c r="X34" s="9">
        <f t="shared" si="3"/>
        <v>28451.200000000001</v>
      </c>
      <c r="Y34" s="9">
        <f t="shared" si="3"/>
        <v>29059.5</v>
      </c>
      <c r="Z34" s="9">
        <f t="shared" si="3"/>
        <v>0</v>
      </c>
      <c r="AA34" s="9">
        <f t="shared" si="3"/>
        <v>7357.0000000000009</v>
      </c>
      <c r="AB34" s="9">
        <f t="shared" si="3"/>
        <v>751.7</v>
      </c>
      <c r="AC34" s="9">
        <f t="shared" si="3"/>
        <v>12419.2</v>
      </c>
      <c r="AD34" s="9">
        <f t="shared" si="3"/>
        <v>49587.400000000009</v>
      </c>
      <c r="AE34" s="9">
        <f t="shared" si="3"/>
        <v>78038.600000000006</v>
      </c>
    </row>
    <row r="35" spans="2:31" ht="21" customHeight="1">
      <c r="B35" s="6" t="s">
        <v>272</v>
      </c>
      <c r="C35" s="9">
        <v>649.5</v>
      </c>
      <c r="D35" s="9">
        <v>96.7</v>
      </c>
      <c r="E35" s="9">
        <v>819.1</v>
      </c>
      <c r="F35" s="9">
        <v>134.5</v>
      </c>
      <c r="G35" s="9">
        <v>140</v>
      </c>
      <c r="H35" s="9">
        <v>900.3</v>
      </c>
      <c r="I35" s="9">
        <v>123.8</v>
      </c>
      <c r="J35" s="9">
        <v>38.6</v>
      </c>
      <c r="K35" s="9">
        <v>235.7</v>
      </c>
      <c r="L35" s="9">
        <v>81.599999999999994</v>
      </c>
      <c r="M35" s="9">
        <v>276.60000000000002</v>
      </c>
      <c r="N35" s="9">
        <v>20.100000000000001</v>
      </c>
      <c r="O35" s="9">
        <v>560.79999999999995</v>
      </c>
      <c r="P35" s="9">
        <v>542.20000000000005</v>
      </c>
      <c r="Q35" s="9">
        <v>644.9</v>
      </c>
      <c r="R35" s="9">
        <v>122</v>
      </c>
      <c r="S35" s="9">
        <v>309.60000000000002</v>
      </c>
      <c r="T35" s="9">
        <v>42.2</v>
      </c>
      <c r="U35" s="9">
        <v>28</v>
      </c>
      <c r="V35" s="9">
        <v>101</v>
      </c>
      <c r="W35" s="9">
        <v>427.9</v>
      </c>
      <c r="X35" s="9">
        <f>SUM(C35:W35)</f>
        <v>6295.0999999999995</v>
      </c>
    </row>
    <row r="36" spans="2:31" ht="16" customHeight="1">
      <c r="B36" s="10" t="s">
        <v>273</v>
      </c>
      <c r="C36" s="9">
        <v>216.6</v>
      </c>
      <c r="D36" s="9">
        <v>20.5</v>
      </c>
      <c r="E36" s="9">
        <v>202.3</v>
      </c>
      <c r="F36" s="9">
        <v>18.899999999999999</v>
      </c>
      <c r="G36" s="9">
        <v>42.2</v>
      </c>
      <c r="H36" s="9">
        <v>108.6</v>
      </c>
      <c r="I36" s="9">
        <v>26.1</v>
      </c>
      <c r="J36" s="9">
        <v>4.4000000000000004</v>
      </c>
      <c r="K36" s="9">
        <v>18.899999999999999</v>
      </c>
      <c r="L36" s="9">
        <v>9.4</v>
      </c>
      <c r="M36" s="9">
        <v>42.5</v>
      </c>
      <c r="N36" s="9">
        <v>24.7</v>
      </c>
      <c r="O36" s="9">
        <v>90</v>
      </c>
      <c r="P36" s="9">
        <v>293.8</v>
      </c>
      <c r="Q36" s="9">
        <v>188.8</v>
      </c>
      <c r="R36" s="9">
        <v>51.1</v>
      </c>
      <c r="S36" s="9">
        <v>79.5</v>
      </c>
      <c r="T36" s="9">
        <v>52.7</v>
      </c>
      <c r="U36" s="9">
        <v>19.399999999999999</v>
      </c>
      <c r="V36" s="9">
        <v>53.7</v>
      </c>
      <c r="W36" s="9">
        <v>135.69999999999999</v>
      </c>
      <c r="X36" s="9">
        <f>SUM(C36:W36)</f>
        <v>1699.8</v>
      </c>
    </row>
    <row r="37" spans="2:31" ht="16" customHeight="1">
      <c r="B37" s="10" t="s">
        <v>274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>
        <v>0</v>
      </c>
      <c r="V37">
        <v>0</v>
      </c>
      <c r="W37">
        <v>0</v>
      </c>
      <c r="X37">
        <f>SUM(C37:W37)</f>
        <v>0</v>
      </c>
    </row>
    <row r="38" spans="2:31">
      <c r="B38" s="6" t="s">
        <v>275</v>
      </c>
      <c r="C38" s="9">
        <f t="shared" ref="C38:H38" si="4">C40+C43+C44+C45</f>
        <v>5085.7999999999993</v>
      </c>
      <c r="D38" s="9">
        <f t="shared" si="4"/>
        <v>138.6</v>
      </c>
      <c r="E38" s="9">
        <f t="shared" si="4"/>
        <v>4512.1000000000004</v>
      </c>
      <c r="F38" s="9">
        <f t="shared" si="4"/>
        <v>593.29999999999995</v>
      </c>
      <c r="G38" s="9">
        <f t="shared" si="4"/>
        <v>695</v>
      </c>
      <c r="H38" s="9">
        <f t="shared" si="4"/>
        <v>1252.8999999999999</v>
      </c>
      <c r="I38" s="9">
        <f t="shared" ref="I38:W38" si="5">I40+I43+I44+I45</f>
        <v>314.5</v>
      </c>
      <c r="J38" s="9">
        <f t="shared" si="5"/>
        <v>111.29999999999998</v>
      </c>
      <c r="K38" s="9">
        <f t="shared" si="5"/>
        <v>437.5</v>
      </c>
      <c r="L38" s="9">
        <f t="shared" si="5"/>
        <v>131.1</v>
      </c>
      <c r="M38" s="9">
        <f t="shared" si="5"/>
        <v>619.79999999999995</v>
      </c>
      <c r="N38" s="9">
        <f t="shared" si="5"/>
        <v>2816.2</v>
      </c>
      <c r="O38" s="9">
        <f t="shared" si="5"/>
        <v>2991.8999999999996</v>
      </c>
      <c r="P38" s="9">
        <f t="shared" si="5"/>
        <v>5231.3999999999996</v>
      </c>
      <c r="Q38" s="9">
        <f t="shared" si="5"/>
        <v>1830.2</v>
      </c>
      <c r="R38" s="9">
        <f t="shared" si="5"/>
        <v>1159</v>
      </c>
      <c r="S38" s="9">
        <f t="shared" si="5"/>
        <v>1104.4000000000001</v>
      </c>
      <c r="T38" s="9">
        <f t="shared" si="5"/>
        <v>2534.6999999999998</v>
      </c>
      <c r="U38" s="9">
        <f t="shared" si="5"/>
        <v>2590.9</v>
      </c>
      <c r="V38" s="9">
        <f t="shared" si="5"/>
        <v>1105.8000000000002</v>
      </c>
      <c r="W38" s="9">
        <f t="shared" si="5"/>
        <v>6338.7000000000007</v>
      </c>
      <c r="X38" s="9">
        <f>SUM(C38:W38)</f>
        <v>41595.100000000006</v>
      </c>
    </row>
    <row r="39" spans="2:31">
      <c r="B39" s="10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8"/>
    </row>
    <row r="40" spans="2:31">
      <c r="B40" s="10" t="s">
        <v>276</v>
      </c>
      <c r="C40" s="7">
        <v>564.4</v>
      </c>
      <c r="D40" s="7">
        <v>31.8</v>
      </c>
      <c r="E40" s="7">
        <v>896.6</v>
      </c>
      <c r="F40" s="7">
        <v>123.4</v>
      </c>
      <c r="G40" s="7">
        <v>93.9</v>
      </c>
      <c r="H40" s="7">
        <v>208.8</v>
      </c>
      <c r="I40" s="7">
        <v>81.2</v>
      </c>
      <c r="J40" s="7">
        <v>53.9</v>
      </c>
      <c r="K40" s="7">
        <v>73.5</v>
      </c>
      <c r="L40" s="7">
        <v>53.3</v>
      </c>
      <c r="M40" s="7">
        <v>121.6</v>
      </c>
      <c r="N40" s="7">
        <v>654.9</v>
      </c>
      <c r="O40" s="7">
        <v>1395</v>
      </c>
      <c r="P40" s="7">
        <v>1889.2</v>
      </c>
      <c r="Q40" s="7">
        <v>582.1</v>
      </c>
      <c r="R40" s="7">
        <v>397.5</v>
      </c>
      <c r="S40" s="7">
        <v>233.1</v>
      </c>
      <c r="T40" s="7">
        <v>662.8</v>
      </c>
      <c r="U40" s="7">
        <v>147.6</v>
      </c>
      <c r="V40" s="7">
        <v>354.4</v>
      </c>
      <c r="W40" s="7">
        <v>5213.8</v>
      </c>
      <c r="X40" s="7">
        <f>SUM(C40:W40)</f>
        <v>13832.8</v>
      </c>
    </row>
    <row r="41" spans="2:31" ht="15">
      <c r="B41" s="385" t="s">
        <v>581</v>
      </c>
      <c r="C41" s="386">
        <v>543.29999999999995</v>
      </c>
      <c r="D41" s="386">
        <v>28.1</v>
      </c>
      <c r="E41" s="386">
        <v>771.1</v>
      </c>
      <c r="F41" s="386">
        <v>111.7</v>
      </c>
      <c r="G41" s="386">
        <v>86.2</v>
      </c>
      <c r="H41" s="386">
        <v>187.9</v>
      </c>
      <c r="I41" s="386">
        <v>73.8</v>
      </c>
      <c r="J41" s="386">
        <v>47.6</v>
      </c>
      <c r="K41" s="386">
        <v>70.099999999999994</v>
      </c>
      <c r="L41" s="386">
        <v>49.1</v>
      </c>
      <c r="M41" s="386">
        <v>114</v>
      </c>
      <c r="N41" s="386">
        <v>526.9</v>
      </c>
      <c r="O41" s="386">
        <v>1254.7</v>
      </c>
      <c r="P41" s="386">
        <v>1607.1</v>
      </c>
      <c r="Q41" s="386">
        <v>510.8</v>
      </c>
      <c r="R41" s="386">
        <v>343.9</v>
      </c>
      <c r="S41" s="386">
        <v>207.4</v>
      </c>
      <c r="T41" s="386">
        <v>556.1</v>
      </c>
      <c r="U41" s="386">
        <v>130.30000000000001</v>
      </c>
      <c r="V41" s="386">
        <v>309.8</v>
      </c>
      <c r="W41" s="386">
        <v>5025.3999999999996</v>
      </c>
      <c r="X41" s="386">
        <f t="shared" ref="X41:X43" si="6">SUM(C41:W41)</f>
        <v>12555.3</v>
      </c>
    </row>
    <row r="42" spans="2:31" ht="15">
      <c r="B42" s="385" t="s">
        <v>582</v>
      </c>
      <c r="C42" s="386">
        <v>21</v>
      </c>
      <c r="D42" s="386">
        <v>3.7</v>
      </c>
      <c r="E42" s="386">
        <v>125.4</v>
      </c>
      <c r="F42" s="386">
        <v>11.9</v>
      </c>
      <c r="G42" s="386">
        <v>7.6</v>
      </c>
      <c r="H42" s="386">
        <v>20.9</v>
      </c>
      <c r="I42" s="386">
        <v>7.3</v>
      </c>
      <c r="J42" s="386">
        <v>6.3</v>
      </c>
      <c r="K42" s="386">
        <v>3.4</v>
      </c>
      <c r="L42" s="386">
        <v>4.3</v>
      </c>
      <c r="M42" s="386">
        <v>7.7</v>
      </c>
      <c r="N42" s="386">
        <v>128.1</v>
      </c>
      <c r="O42" s="386">
        <v>140.30000000000001</v>
      </c>
      <c r="P42" s="386">
        <v>282.10000000000002</v>
      </c>
      <c r="Q42" s="386">
        <v>71.3</v>
      </c>
      <c r="R42" s="386">
        <v>53.5</v>
      </c>
      <c r="S42" s="386">
        <v>25.7</v>
      </c>
      <c r="T42" s="386">
        <v>106.7</v>
      </c>
      <c r="U42" s="386">
        <v>17.3</v>
      </c>
      <c r="V42" s="386">
        <v>44.6</v>
      </c>
      <c r="W42" s="386">
        <v>188.4</v>
      </c>
      <c r="X42" s="386">
        <f t="shared" si="6"/>
        <v>1277.5</v>
      </c>
    </row>
    <row r="43" spans="2:31" ht="15">
      <c r="B43" s="387" t="s">
        <v>583</v>
      </c>
      <c r="C43" s="388">
        <v>1326.2</v>
      </c>
      <c r="D43" s="388">
        <v>23</v>
      </c>
      <c r="E43" s="388">
        <v>143.4</v>
      </c>
      <c r="F43" s="388">
        <v>131.30000000000001</v>
      </c>
      <c r="G43" s="388">
        <v>83.3</v>
      </c>
      <c r="H43" s="388">
        <v>42.7</v>
      </c>
      <c r="I43" s="388">
        <v>39.299999999999997</v>
      </c>
      <c r="J43" s="388">
        <v>2.8</v>
      </c>
      <c r="K43" s="388">
        <v>110.4</v>
      </c>
      <c r="L43" s="388">
        <v>20.7</v>
      </c>
      <c r="M43" s="388">
        <v>184.1</v>
      </c>
      <c r="N43" s="388">
        <v>0</v>
      </c>
      <c r="O43" s="386">
        <v>597.1</v>
      </c>
      <c r="P43" s="389">
        <v>1895.8</v>
      </c>
      <c r="Q43" s="389">
        <v>239.1</v>
      </c>
      <c r="R43" s="389">
        <v>450.1</v>
      </c>
      <c r="S43" s="389">
        <v>173.1</v>
      </c>
      <c r="T43" s="389">
        <v>15.9</v>
      </c>
      <c r="U43" s="389">
        <v>66.2</v>
      </c>
      <c r="V43" s="389">
        <v>401.3</v>
      </c>
      <c r="W43" s="389">
        <v>655.1</v>
      </c>
      <c r="X43" s="389">
        <f t="shared" si="6"/>
        <v>6600.9000000000015</v>
      </c>
    </row>
    <row r="44" spans="2:31">
      <c r="B44" s="10" t="s">
        <v>277</v>
      </c>
      <c r="C44" s="7">
        <v>3179.7</v>
      </c>
      <c r="D44" s="7">
        <v>83.7</v>
      </c>
      <c r="E44" s="7">
        <v>3468.6</v>
      </c>
      <c r="F44" s="7">
        <v>338.2</v>
      </c>
      <c r="G44" s="7">
        <v>516.5</v>
      </c>
      <c r="H44" s="7">
        <v>1000.8</v>
      </c>
      <c r="I44" s="7">
        <v>193.6</v>
      </c>
      <c r="J44" s="7">
        <v>54.5</v>
      </c>
      <c r="K44" s="7">
        <v>252.5</v>
      </c>
      <c r="L44" s="7">
        <v>56.7</v>
      </c>
      <c r="M44" s="7">
        <v>313.8</v>
      </c>
      <c r="N44" s="7">
        <v>2161.1</v>
      </c>
      <c r="O44" s="7">
        <v>995.3</v>
      </c>
      <c r="P44" s="7">
        <v>1385</v>
      </c>
      <c r="Q44" s="7">
        <v>951.8</v>
      </c>
      <c r="R44" s="7">
        <v>309.89999999999998</v>
      </c>
      <c r="S44" s="7">
        <v>697.7</v>
      </c>
      <c r="T44" s="7">
        <v>1742.6</v>
      </c>
      <c r="U44" s="7">
        <v>2377.1</v>
      </c>
      <c r="V44" s="7">
        <v>343.1</v>
      </c>
      <c r="W44" s="7">
        <v>430.6</v>
      </c>
      <c r="X44" s="7">
        <f>SUM(C44:W44)</f>
        <v>20852.799999999996</v>
      </c>
    </row>
    <row r="45" spans="2:31" ht="16" customHeight="1">
      <c r="B45" s="10" t="s">
        <v>278</v>
      </c>
      <c r="C45" s="390">
        <v>15.5</v>
      </c>
      <c r="D45" s="390">
        <v>0.1</v>
      </c>
      <c r="E45" s="390">
        <v>3.5</v>
      </c>
      <c r="F45" s="390">
        <v>0.4</v>
      </c>
      <c r="G45" s="390">
        <v>1.3</v>
      </c>
      <c r="H45" s="390">
        <v>0.6</v>
      </c>
      <c r="I45" s="390">
        <v>0.4</v>
      </c>
      <c r="J45" s="390">
        <v>0.1</v>
      </c>
      <c r="K45" s="390">
        <v>1.1000000000000001</v>
      </c>
      <c r="L45" s="390">
        <v>0.4</v>
      </c>
      <c r="M45" s="390">
        <v>0.3</v>
      </c>
      <c r="N45" s="390">
        <v>0.2</v>
      </c>
      <c r="O45" s="390">
        <v>4.5</v>
      </c>
      <c r="P45" s="390">
        <v>61.4</v>
      </c>
      <c r="Q45" s="390">
        <v>57.2</v>
      </c>
      <c r="R45" s="390">
        <v>1.5</v>
      </c>
      <c r="S45" s="390">
        <v>0.5</v>
      </c>
      <c r="T45" s="390">
        <v>113.4</v>
      </c>
      <c r="U45" s="390">
        <v>0</v>
      </c>
      <c r="V45" s="390">
        <v>7</v>
      </c>
      <c r="W45" s="390">
        <v>39.200000000000003</v>
      </c>
      <c r="X45" s="386">
        <f t="shared" ref="X45" si="7">SUM(C45:W45)</f>
        <v>308.59999999999997</v>
      </c>
    </row>
    <row r="46" spans="2:31" ht="16" customHeight="1">
      <c r="B46" s="6" t="s">
        <v>279</v>
      </c>
      <c r="C46" s="9">
        <f>SUM(C34:C38)</f>
        <v>9234.1999999999989</v>
      </c>
      <c r="D46" s="9">
        <f>SUM(D34:D38)</f>
        <v>431.20000000000005</v>
      </c>
      <c r="E46" s="9">
        <f>SUM(E34:E38)</f>
        <v>12661.800000000003</v>
      </c>
      <c r="F46" s="9">
        <f>SUM(F34:F38)</f>
        <v>1151.6999999999998</v>
      </c>
      <c r="G46" s="9">
        <f t="shared" ref="G46:W46" si="8">SUM(G34:G38)</f>
        <v>1747.1000000000001</v>
      </c>
      <c r="H46" s="9">
        <f t="shared" si="8"/>
        <v>3704</v>
      </c>
      <c r="I46" s="9">
        <f t="shared" si="8"/>
        <v>825.30000000000018</v>
      </c>
      <c r="J46" s="9">
        <f t="shared" si="8"/>
        <v>200</v>
      </c>
      <c r="K46" s="9">
        <f t="shared" si="8"/>
        <v>1026.1999999999998</v>
      </c>
      <c r="L46" s="9">
        <f t="shared" si="8"/>
        <v>406.9</v>
      </c>
      <c r="M46" s="9">
        <f t="shared" si="8"/>
        <v>1453.6</v>
      </c>
      <c r="N46" s="9">
        <f t="shared" si="8"/>
        <v>3384.2</v>
      </c>
      <c r="O46" s="9">
        <f t="shared" si="8"/>
        <v>5714.4</v>
      </c>
      <c r="P46" s="9">
        <f t="shared" si="8"/>
        <v>9754.4</v>
      </c>
      <c r="Q46" s="9">
        <f t="shared" si="8"/>
        <v>3998.5</v>
      </c>
      <c r="R46" s="9">
        <f t="shared" si="8"/>
        <v>2292.1</v>
      </c>
      <c r="S46" s="9">
        <f t="shared" si="8"/>
        <v>2716.4</v>
      </c>
      <c r="T46" s="9">
        <f t="shared" si="8"/>
        <v>3326</v>
      </c>
      <c r="U46" s="9">
        <f t="shared" si="8"/>
        <v>2938.7</v>
      </c>
      <c r="V46" s="9">
        <f t="shared" si="8"/>
        <v>2136.6999999999998</v>
      </c>
      <c r="W46" s="9">
        <f t="shared" si="8"/>
        <v>8937.8000000000011</v>
      </c>
      <c r="X46" s="9">
        <f>SUM(C46:W46)</f>
        <v>78041.200000000012</v>
      </c>
    </row>
    <row r="47" spans="2:31" ht="16" customHeight="1"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8"/>
    </row>
    <row r="48" spans="2:31" ht="16" customHeight="1">
      <c r="B48" t="s">
        <v>280</v>
      </c>
      <c r="C48" s="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  <c r="J48">
        <v>8</v>
      </c>
      <c r="K48">
        <v>9</v>
      </c>
      <c r="L48">
        <v>10</v>
      </c>
      <c r="M48">
        <v>11</v>
      </c>
      <c r="N48">
        <v>12</v>
      </c>
      <c r="O48">
        <v>13</v>
      </c>
      <c r="P48">
        <v>14</v>
      </c>
      <c r="Q48">
        <v>15</v>
      </c>
      <c r="R48">
        <v>16</v>
      </c>
      <c r="S48">
        <v>17</v>
      </c>
      <c r="T48">
        <v>18</v>
      </c>
      <c r="U48">
        <v>19</v>
      </c>
      <c r="V48">
        <v>20</v>
      </c>
      <c r="W48">
        <v>21</v>
      </c>
    </row>
    <row r="49" spans="2:23" ht="16" customHeight="1">
      <c r="B49" s="13">
        <v>1</v>
      </c>
      <c r="C49">
        <v>3.8119165710077757E-2</v>
      </c>
      <c r="D49">
        <v>2.3191094619666046E-4</v>
      </c>
      <c r="E49">
        <v>0.29371021497733335</v>
      </c>
      <c r="F49">
        <v>6.7725970304766871E-3</v>
      </c>
      <c r="G49">
        <v>9.6903439986262954E-2</v>
      </c>
      <c r="H49">
        <v>8.3423326133909275E-3</v>
      </c>
      <c r="I49">
        <v>1.2116806009935778E-4</v>
      </c>
      <c r="J49">
        <v>5.0000000000000001E-4</v>
      </c>
      <c r="K49">
        <v>1.4617033716624443E-3</v>
      </c>
      <c r="L49">
        <v>2.2118456623248959E-3</v>
      </c>
      <c r="M49">
        <v>1.3758943313153552E-4</v>
      </c>
      <c r="N49">
        <v>2.0684356716506116E-4</v>
      </c>
      <c r="O49">
        <v>2.6249475010499792E-3</v>
      </c>
      <c r="P49">
        <v>6.0485524481259745E-4</v>
      </c>
      <c r="Q49">
        <v>2.7510316368638244E-4</v>
      </c>
      <c r="R49">
        <v>3.8741765193490686E-2</v>
      </c>
      <c r="S49">
        <v>7.1786187601236926E-3</v>
      </c>
      <c r="T49">
        <v>5.111244738424534E-4</v>
      </c>
      <c r="U49">
        <v>5.784870861265186E-4</v>
      </c>
      <c r="V49">
        <v>4.6801141947863531E-4</v>
      </c>
      <c r="W49">
        <v>5.3704491038063045E-4</v>
      </c>
    </row>
    <row r="50" spans="2:23" ht="16" customHeight="1">
      <c r="B50" s="10">
        <v>2</v>
      </c>
      <c r="C50">
        <v>1.40781009724719E-4</v>
      </c>
      <c r="D50">
        <v>3.9424860853432275E-3</v>
      </c>
      <c r="E50">
        <v>7.8977712489535438E-6</v>
      </c>
      <c r="F50">
        <v>0</v>
      </c>
      <c r="G50">
        <v>0</v>
      </c>
      <c r="H50">
        <v>5.9395248380129592E-4</v>
      </c>
      <c r="I50">
        <v>0.1616381921725433</v>
      </c>
      <c r="J50">
        <v>5.5000000000000005E-3</v>
      </c>
      <c r="K50">
        <v>9.7446891444162955E-5</v>
      </c>
      <c r="L50">
        <v>2.4576062914721065E-4</v>
      </c>
      <c r="M50">
        <v>0</v>
      </c>
      <c r="N50">
        <v>0</v>
      </c>
      <c r="O50">
        <v>3.0641887162256756E-2</v>
      </c>
      <c r="P50">
        <v>1.2302140572459608E-4</v>
      </c>
      <c r="Q50">
        <v>2.5009378516943857E-5</v>
      </c>
      <c r="R50">
        <v>4.3628113956633656E-5</v>
      </c>
      <c r="S50">
        <v>2.5769400677367102E-4</v>
      </c>
      <c r="T50">
        <v>3.0066145520144318E-5</v>
      </c>
      <c r="U50">
        <v>3.4028652125089328E-5</v>
      </c>
      <c r="V50">
        <v>9.3602283895727066E-5</v>
      </c>
      <c r="W50">
        <v>3.3565306898789403E-5</v>
      </c>
    </row>
    <row r="51" spans="2:23" ht="16" customHeight="1">
      <c r="B51" s="10">
        <v>3</v>
      </c>
      <c r="C51">
        <v>8.8150570704554829E-3</v>
      </c>
      <c r="D51">
        <v>2.0871985157699443E-3</v>
      </c>
      <c r="E51">
        <v>7.318074839280353E-2</v>
      </c>
      <c r="F51">
        <v>2.274897976903708E-2</v>
      </c>
      <c r="G51">
        <v>1.9460820788735618E-3</v>
      </c>
      <c r="H51">
        <v>7.9103671706263496E-3</v>
      </c>
      <c r="I51">
        <v>1.0905125408942201E-3</v>
      </c>
      <c r="J51">
        <v>0</v>
      </c>
      <c r="K51">
        <v>1.2668095887741185E-3</v>
      </c>
      <c r="L51">
        <v>2.4576062914721062E-3</v>
      </c>
      <c r="M51">
        <v>9.6312603192074851E-4</v>
      </c>
      <c r="N51">
        <v>2.954908102358017E-5</v>
      </c>
      <c r="O51">
        <v>9.2748145037099263E-4</v>
      </c>
      <c r="P51">
        <v>1.988846059214303E-3</v>
      </c>
      <c r="Q51">
        <v>1.6756283606352382E-3</v>
      </c>
      <c r="R51">
        <v>0.22363771214170414</v>
      </c>
      <c r="S51">
        <v>5.890148726255338E-4</v>
      </c>
      <c r="T51">
        <v>2.7059530968129888E-4</v>
      </c>
      <c r="U51">
        <v>3.4028652125089328E-4</v>
      </c>
      <c r="V51">
        <v>1.0202648944634251E-2</v>
      </c>
      <c r="W51">
        <v>2.3607599185481885E-3</v>
      </c>
    </row>
    <row r="52" spans="2:23" ht="16" customHeight="1">
      <c r="B52" s="10">
        <v>4</v>
      </c>
      <c r="C52">
        <v>3.8768924216499535E-3</v>
      </c>
      <c r="D52">
        <v>4.6382189239332092E-4</v>
      </c>
      <c r="E52">
        <v>1.3552575463204279E-2</v>
      </c>
      <c r="F52">
        <v>0.16219501606321093</v>
      </c>
      <c r="G52">
        <v>2.0605574952778888E-3</v>
      </c>
      <c r="H52">
        <v>1.2688984881209504E-3</v>
      </c>
      <c r="I52">
        <v>8.4817642069550444E-4</v>
      </c>
      <c r="J52">
        <v>0</v>
      </c>
      <c r="K52">
        <v>4.8723445722081472E-4</v>
      </c>
      <c r="L52">
        <v>1.7203244040304743E-3</v>
      </c>
      <c r="M52">
        <v>3.3709411117226203E-2</v>
      </c>
      <c r="N52">
        <v>1.1819632409432068E-4</v>
      </c>
      <c r="O52">
        <v>2.4499510009799805E-4</v>
      </c>
      <c r="P52">
        <v>3.6906421717378829E-4</v>
      </c>
      <c r="Q52">
        <v>3.751406777541578E-4</v>
      </c>
      <c r="R52">
        <v>3.1848523188342569E-3</v>
      </c>
      <c r="S52">
        <v>2.2088057723457515E-4</v>
      </c>
      <c r="T52">
        <v>2.7059530968129888E-4</v>
      </c>
      <c r="U52">
        <v>1.0208595637526798E-4</v>
      </c>
      <c r="V52">
        <v>8.2370009828239815E-3</v>
      </c>
      <c r="W52">
        <v>4.0390252634876587E-3</v>
      </c>
    </row>
    <row r="53" spans="2:23" ht="16" customHeight="1">
      <c r="B53" s="10">
        <v>5</v>
      </c>
      <c r="C53">
        <v>1.7954993394121856E-2</v>
      </c>
      <c r="D53">
        <v>1.1595547309833022E-3</v>
      </c>
      <c r="E53">
        <v>1.154654156597008E-2</v>
      </c>
      <c r="F53">
        <v>3.2994703481809503E-3</v>
      </c>
      <c r="G53">
        <v>0.16146757483830348</v>
      </c>
      <c r="H53">
        <v>2.5377969762419008E-3</v>
      </c>
      <c r="I53">
        <v>3.9016115351993209E-2</v>
      </c>
      <c r="J53">
        <v>1.5E-3</v>
      </c>
      <c r="K53">
        <v>2.5336191775482369E-3</v>
      </c>
      <c r="L53">
        <v>2.9491275497665276E-3</v>
      </c>
      <c r="M53">
        <v>5.05641166758393E-2</v>
      </c>
      <c r="N53">
        <v>1.3592577270846876E-3</v>
      </c>
      <c r="O53">
        <v>6.0443791124177519E-2</v>
      </c>
      <c r="P53">
        <v>1.0251783810383008E-2</v>
      </c>
      <c r="Q53">
        <v>1.8757033887707889E-2</v>
      </c>
      <c r="R53">
        <v>5.1917455608394055E-3</v>
      </c>
      <c r="S53">
        <v>1.6934177587984095E-3</v>
      </c>
      <c r="T53">
        <v>3.9386650631389056E-3</v>
      </c>
      <c r="U53">
        <v>2.5861775615067888E-3</v>
      </c>
      <c r="V53">
        <v>3.4445640473627553E-2</v>
      </c>
      <c r="W53">
        <v>4.4977511244377807E-3</v>
      </c>
    </row>
    <row r="54" spans="2:23" ht="16" customHeight="1">
      <c r="B54" s="10">
        <v>6</v>
      </c>
      <c r="C54">
        <v>2.5351411058889783E-2</v>
      </c>
      <c r="D54">
        <v>4.7077922077922073E-2</v>
      </c>
      <c r="E54">
        <v>1.5906111295392437E-2</v>
      </c>
      <c r="F54">
        <v>1.8668055917339589E-2</v>
      </c>
      <c r="G54">
        <v>2.0777288077385377E-2</v>
      </c>
      <c r="H54">
        <v>0.12783477321814254</v>
      </c>
      <c r="I54">
        <v>1.369199079122743E-2</v>
      </c>
      <c r="J54">
        <v>8.0000000000000002E-3</v>
      </c>
      <c r="K54">
        <v>1.8514909374390959E-3</v>
      </c>
      <c r="L54">
        <v>4.4236913246497919E-3</v>
      </c>
      <c r="M54">
        <v>4.2859108420473309E-2</v>
      </c>
      <c r="N54">
        <v>9.4557059275456544E-4</v>
      </c>
      <c r="O54">
        <v>1.6694666106677868E-2</v>
      </c>
      <c r="P54">
        <v>8.9088001312228344E-3</v>
      </c>
      <c r="Q54">
        <v>5.7521570588970857E-4</v>
      </c>
      <c r="R54">
        <v>8.9001352471532649E-3</v>
      </c>
      <c r="S54">
        <v>9.5714916801649245E-4</v>
      </c>
      <c r="T54">
        <v>5.7125676488274202E-4</v>
      </c>
      <c r="U54">
        <v>5.784870861265186E-4</v>
      </c>
      <c r="V54">
        <v>6.8797678663359389E-3</v>
      </c>
      <c r="W54">
        <v>3.1081474188278991E-2</v>
      </c>
    </row>
    <row r="55" spans="2:23" ht="16" customHeight="1">
      <c r="B55" s="10">
        <v>7</v>
      </c>
      <c r="C55">
        <v>6.064412726603279E-4</v>
      </c>
      <c r="D55">
        <v>4.1743970315398886E-3</v>
      </c>
      <c r="E55">
        <v>5.3704844492884099E-4</v>
      </c>
      <c r="F55">
        <v>8.6828167057393434E-5</v>
      </c>
      <c r="G55">
        <v>4.0066395741514504E-4</v>
      </c>
      <c r="H55">
        <v>3.67170626349892E-3</v>
      </c>
      <c r="I55">
        <v>7.5245365321701188E-2</v>
      </c>
      <c r="J55">
        <v>2E-3</v>
      </c>
      <c r="K55">
        <v>5.7493665952056145E-3</v>
      </c>
      <c r="L55">
        <v>1.4745637748832638E-3</v>
      </c>
      <c r="M55">
        <v>2.0638414969730324E-4</v>
      </c>
      <c r="N55">
        <v>2.9549081023580166E-4</v>
      </c>
      <c r="O55">
        <v>9.7963040739185214E-2</v>
      </c>
      <c r="P55">
        <v>2.1528746001804315E-4</v>
      </c>
      <c r="Q55">
        <v>3.2512192072027009E-4</v>
      </c>
      <c r="R55">
        <v>2.6176868373980192E-4</v>
      </c>
      <c r="S55">
        <v>4.4176115446915029E-4</v>
      </c>
      <c r="T55">
        <v>3.0066145520144319E-4</v>
      </c>
      <c r="U55">
        <v>6.8057304250178656E-5</v>
      </c>
      <c r="V55">
        <v>1.8720456779145413E-4</v>
      </c>
      <c r="W55">
        <v>1.4321197610150148E-3</v>
      </c>
    </row>
    <row r="56" spans="2:23" ht="16" customHeight="1">
      <c r="B56" s="10">
        <v>8</v>
      </c>
      <c r="C56">
        <v>6.3892919798141706E-4</v>
      </c>
      <c r="D56">
        <v>0</v>
      </c>
      <c r="E56">
        <v>3.3170639245604886E-4</v>
      </c>
      <c r="F56">
        <v>0</v>
      </c>
      <c r="G56">
        <v>6.8685249842596299E-4</v>
      </c>
      <c r="H56">
        <v>1.6171706263498918E-2</v>
      </c>
      <c r="I56">
        <v>4.6043862837755953E-3</v>
      </c>
      <c r="J56">
        <v>4.9000000000000002E-2</v>
      </c>
      <c r="K56">
        <v>0</v>
      </c>
      <c r="L56">
        <v>0</v>
      </c>
      <c r="M56">
        <v>5.8475509080902592E-3</v>
      </c>
      <c r="N56">
        <v>0</v>
      </c>
      <c r="O56">
        <v>4.7599048019039622E-3</v>
      </c>
      <c r="P56">
        <v>5.1258919051915032E-5</v>
      </c>
      <c r="Q56">
        <v>5.0018757033887713E-5</v>
      </c>
      <c r="R56">
        <v>4.3628113956633656E-5</v>
      </c>
      <c r="S56">
        <v>3.6813429539095862E-5</v>
      </c>
      <c r="T56">
        <v>2.7059530968129888E-4</v>
      </c>
      <c r="U56">
        <v>0</v>
      </c>
      <c r="V56">
        <v>4.6801141947863533E-5</v>
      </c>
      <c r="W56">
        <v>8.9507485063438426E-5</v>
      </c>
    </row>
    <row r="57" spans="2:23" ht="16" customHeight="1">
      <c r="B57" s="10">
        <v>9</v>
      </c>
      <c r="C57">
        <v>1.0071256849537591E-3</v>
      </c>
      <c r="D57">
        <v>5.7513914656771796E-2</v>
      </c>
      <c r="E57">
        <v>4.7386627493721262E-4</v>
      </c>
      <c r="F57">
        <v>2.6048450117218026E-4</v>
      </c>
      <c r="G57">
        <v>2.1750329116822162E-3</v>
      </c>
      <c r="H57">
        <v>1.8007559395248382E-2</v>
      </c>
      <c r="I57">
        <v>9.6934448079486228E-4</v>
      </c>
      <c r="J57">
        <v>5.0000000000000001E-4</v>
      </c>
      <c r="K57">
        <v>9.3841356460728914E-2</v>
      </c>
      <c r="L57">
        <v>0.12091422954042763</v>
      </c>
      <c r="M57">
        <v>2.6761144744083656E-2</v>
      </c>
      <c r="N57">
        <v>1.388806808108268E-3</v>
      </c>
      <c r="O57">
        <v>1.398222035559289E-2</v>
      </c>
      <c r="P57">
        <v>5.2899204461576317E-3</v>
      </c>
      <c r="Q57">
        <v>7.502813555083156E-4</v>
      </c>
      <c r="R57">
        <v>7.4167793726277211E-4</v>
      </c>
      <c r="S57">
        <v>1.5461640406420262E-3</v>
      </c>
      <c r="T57">
        <v>7.2158749248346361E-4</v>
      </c>
      <c r="U57">
        <v>2.3820056487562527E-4</v>
      </c>
      <c r="V57">
        <v>7.4881827116581653E-4</v>
      </c>
      <c r="W57">
        <v>2.5397748886750652E-3</v>
      </c>
    </row>
    <row r="58" spans="2:23" ht="16" customHeight="1">
      <c r="B58" s="10">
        <v>10</v>
      </c>
      <c r="C58">
        <v>2.70732711009075E-4</v>
      </c>
      <c r="D58">
        <v>2.3191094619666046E-4</v>
      </c>
      <c r="E58">
        <v>1.5795542497907086E-4</v>
      </c>
      <c r="F58">
        <v>8.6828167057393434E-5</v>
      </c>
      <c r="G58">
        <v>2.2895083280865435E-4</v>
      </c>
      <c r="H58">
        <v>2.4298056155507559E-4</v>
      </c>
      <c r="I58">
        <v>1.2116806009935778E-4</v>
      </c>
      <c r="J58">
        <v>0</v>
      </c>
      <c r="K58">
        <v>1.2473202104852858E-2</v>
      </c>
      <c r="L58">
        <v>1.966085033177685E-2</v>
      </c>
      <c r="M58">
        <v>1.7886626307099616E-3</v>
      </c>
      <c r="N58">
        <v>8.8647243070740504E-5</v>
      </c>
      <c r="O58">
        <v>1.2249755004899903E-4</v>
      </c>
      <c r="P58">
        <v>2.562945952595752E-4</v>
      </c>
      <c r="Q58">
        <v>3.5013129923721395E-4</v>
      </c>
      <c r="R58">
        <v>2.1814056978316829E-4</v>
      </c>
      <c r="S58">
        <v>4.1231041083787364E-3</v>
      </c>
      <c r="T58">
        <v>3.0066145520144319E-4</v>
      </c>
      <c r="U58">
        <v>6.8057304250178656E-5</v>
      </c>
      <c r="V58">
        <v>2.3400570973931766E-4</v>
      </c>
      <c r="W58">
        <v>3.804068115196133E-4</v>
      </c>
    </row>
    <row r="59" spans="2:23" ht="16" customHeight="1">
      <c r="B59" s="10">
        <v>11</v>
      </c>
      <c r="C59">
        <v>2.6650928071733342E-2</v>
      </c>
      <c r="D59">
        <v>8.1168831168831154E-2</v>
      </c>
      <c r="E59">
        <v>5.52843987426748E-3</v>
      </c>
      <c r="F59">
        <v>2.500651211252931E-2</v>
      </c>
      <c r="G59">
        <v>2.3410222654684905E-2</v>
      </c>
      <c r="H59">
        <v>1.0556155507559395E-2</v>
      </c>
      <c r="I59">
        <v>6.0584030049678893E-3</v>
      </c>
      <c r="J59">
        <v>3.0000000000000001E-3</v>
      </c>
      <c r="K59">
        <v>2.9234067433248881E-4</v>
      </c>
      <c r="L59">
        <v>2.1381174735807324E-2</v>
      </c>
      <c r="M59">
        <v>9.5624656026417187E-3</v>
      </c>
      <c r="N59">
        <v>1.1524141599196266E-3</v>
      </c>
      <c r="O59">
        <v>1.9949601007979842E-3</v>
      </c>
      <c r="P59">
        <v>4.2442384974985649E-3</v>
      </c>
      <c r="Q59">
        <v>8.6032262098286863E-2</v>
      </c>
      <c r="R59">
        <v>9.5981850704594048E-4</v>
      </c>
      <c r="S59">
        <v>1.4725371815638345E-4</v>
      </c>
      <c r="T59">
        <v>5.4119061936259774E-3</v>
      </c>
      <c r="U59">
        <v>3.9813522986354511E-3</v>
      </c>
      <c r="V59">
        <v>2.4196190387045447E-2</v>
      </c>
      <c r="W59">
        <v>8.615095437355948E-3</v>
      </c>
    </row>
    <row r="60" spans="2:23" ht="16" customHeight="1">
      <c r="B60" s="10">
        <v>12</v>
      </c>
      <c r="C60">
        <v>2.6640098763292979E-3</v>
      </c>
      <c r="D60">
        <v>5.5658627087198506E-3</v>
      </c>
      <c r="E60">
        <v>2.0621080731017705E-2</v>
      </c>
      <c r="F60">
        <v>2.2662151601979687E-2</v>
      </c>
      <c r="G60">
        <v>1.2821246637284641E-2</v>
      </c>
      <c r="H60">
        <v>1.3741900647948163E-2</v>
      </c>
      <c r="I60">
        <v>2.5929964861262565E-2</v>
      </c>
      <c r="J60">
        <v>6.9999999999999993E-3</v>
      </c>
      <c r="K60">
        <v>1.4811927499512767E-2</v>
      </c>
      <c r="L60">
        <v>1.6220201523715901E-2</v>
      </c>
      <c r="M60">
        <v>9.0809025866813425E-3</v>
      </c>
      <c r="N60">
        <v>0.10572661190236984</v>
      </c>
      <c r="O60">
        <v>7.5248495030099402E-4</v>
      </c>
      <c r="P60">
        <v>2.8807512507176249E-2</v>
      </c>
      <c r="Q60">
        <v>9.578591971989495E-3</v>
      </c>
      <c r="R60">
        <v>2.1552288294577025E-2</v>
      </c>
      <c r="S60">
        <v>5.3379472831688998E-3</v>
      </c>
      <c r="T60">
        <v>7.4263379434756464E-3</v>
      </c>
      <c r="U60">
        <v>3.5355769557967813E-2</v>
      </c>
      <c r="V60">
        <v>3.7674919268030141E-2</v>
      </c>
      <c r="W60">
        <v>3.122692385150708E-2</v>
      </c>
    </row>
    <row r="61" spans="2:23" ht="16" customHeight="1">
      <c r="B61" s="10">
        <v>13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1.6760865328396025E-2</v>
      </c>
      <c r="L61">
        <v>2.7279429835340378E-2</v>
      </c>
      <c r="M61">
        <v>0</v>
      </c>
      <c r="N61">
        <v>0</v>
      </c>
      <c r="O61">
        <v>3.2024359512809748E-2</v>
      </c>
      <c r="P61">
        <v>0</v>
      </c>
      <c r="Q61">
        <v>0</v>
      </c>
      <c r="R61">
        <v>0</v>
      </c>
      <c r="S61">
        <v>8.6879693712266226E-2</v>
      </c>
      <c r="T61">
        <v>1.5033072760072159E-3</v>
      </c>
      <c r="U61">
        <v>6.0571000782659009E-3</v>
      </c>
      <c r="V61">
        <v>3.3696822202461743E-3</v>
      </c>
      <c r="W61">
        <v>7.7200205867215637E-4</v>
      </c>
    </row>
    <row r="62" spans="2:23" ht="16" customHeight="1">
      <c r="B62" s="15">
        <v>14</v>
      </c>
      <c r="C62">
        <v>4.6219488423469283E-2</v>
      </c>
      <c r="D62">
        <v>0.14424860853432281</v>
      </c>
      <c r="E62">
        <v>7.2154038130439579E-2</v>
      </c>
      <c r="F62">
        <v>4.5584787705131552E-2</v>
      </c>
      <c r="G62">
        <v>0.11619254765039207</v>
      </c>
      <c r="H62">
        <v>9.6220302375809932E-2</v>
      </c>
      <c r="I62">
        <v>7.1973827699018528E-2</v>
      </c>
      <c r="J62">
        <v>2.5499999999999998E-2</v>
      </c>
      <c r="K62">
        <v>0.11976222958487627</v>
      </c>
      <c r="L62">
        <v>0.11231260752027526</v>
      </c>
      <c r="M62">
        <v>7.7875619152449102E-2</v>
      </c>
      <c r="N62">
        <v>3.0731044264523375E-3</v>
      </c>
      <c r="O62">
        <v>7.2466050678986427E-2</v>
      </c>
      <c r="P62">
        <v>4.2637168867382925E-2</v>
      </c>
      <c r="Q62">
        <v>0.13475053144929347</v>
      </c>
      <c r="R62">
        <v>3.2982854151215039E-2</v>
      </c>
      <c r="S62">
        <v>4.7010749521425414E-2</v>
      </c>
      <c r="T62">
        <v>7.4564040889957906E-3</v>
      </c>
      <c r="U62">
        <v>7.0099023377684019E-3</v>
      </c>
      <c r="V62">
        <v>4.9515608180839617E-2</v>
      </c>
      <c r="W62">
        <v>3.3274407572333228E-2</v>
      </c>
    </row>
    <row r="63" spans="2:23" ht="16" customHeight="1">
      <c r="B63" s="13">
        <v>15</v>
      </c>
      <c r="C63">
        <v>5.111433583851336E-2</v>
      </c>
      <c r="D63">
        <v>2.5278293135435989E-2</v>
      </c>
      <c r="E63">
        <v>1.3844792999415562E-2</v>
      </c>
      <c r="F63">
        <v>4.0809238516974914E-3</v>
      </c>
      <c r="G63">
        <v>7.269188941674774E-3</v>
      </c>
      <c r="H63">
        <v>1.3741900647948163E-2</v>
      </c>
      <c r="I63">
        <v>1.2843814370531925E-2</v>
      </c>
      <c r="J63">
        <v>4.5000000000000005E-3</v>
      </c>
      <c r="K63">
        <v>5.8468134866497771E-3</v>
      </c>
      <c r="L63">
        <v>6.0211354141066604E-2</v>
      </c>
      <c r="M63">
        <v>6.2603192074848655E-3</v>
      </c>
      <c r="N63">
        <v>9.3670586844749135E-3</v>
      </c>
      <c r="O63">
        <v>6.1773764524709505E-3</v>
      </c>
      <c r="P63">
        <v>5.993192815549906E-2</v>
      </c>
      <c r="Q63">
        <v>3.0011254220332624E-3</v>
      </c>
      <c r="R63">
        <v>4.4936957375332669E-3</v>
      </c>
      <c r="S63">
        <v>1.9879251951111765E-3</v>
      </c>
      <c r="T63">
        <v>6.9152134696331934E-3</v>
      </c>
      <c r="U63">
        <v>1.1025283288528942E-2</v>
      </c>
      <c r="V63">
        <v>4.7362755651237896E-2</v>
      </c>
      <c r="W63">
        <v>5.7061021727941993E-3</v>
      </c>
    </row>
    <row r="64" spans="2:23" ht="16" customHeight="1">
      <c r="B64" s="10">
        <v>16</v>
      </c>
      <c r="C64">
        <v>2.328301314678045E-3</v>
      </c>
      <c r="D64">
        <v>4.638218923933209E-3</v>
      </c>
      <c r="E64">
        <v>1.3347233410731488E-3</v>
      </c>
      <c r="F64">
        <v>7.8145350351654095E-4</v>
      </c>
      <c r="G64">
        <v>2.0605574952778888E-3</v>
      </c>
      <c r="H64">
        <v>3.0507559395248382E-3</v>
      </c>
      <c r="I64">
        <v>1.3328486610929358E-3</v>
      </c>
      <c r="J64">
        <v>2.5000000000000001E-3</v>
      </c>
      <c r="K64">
        <v>8.4778795556421753E-3</v>
      </c>
      <c r="L64">
        <v>5.8982550995330552E-3</v>
      </c>
      <c r="M64">
        <v>1.5134837644468907E-3</v>
      </c>
      <c r="N64">
        <v>5.8211689616452927E-3</v>
      </c>
      <c r="O64">
        <v>1.5224695506089877E-3</v>
      </c>
      <c r="P64">
        <v>2.0913638973181332E-3</v>
      </c>
      <c r="Q64">
        <v>5.7271476803801421E-3</v>
      </c>
      <c r="R64">
        <v>7.8966886261506927E-3</v>
      </c>
      <c r="S64">
        <v>8.7615962303048151E-3</v>
      </c>
      <c r="T64">
        <v>4.6903187011425136E-3</v>
      </c>
      <c r="U64">
        <v>2.3479769966311638E-3</v>
      </c>
      <c r="V64">
        <v>1.0389853512425704E-2</v>
      </c>
      <c r="W64">
        <v>1.2665309136476536E-2</v>
      </c>
    </row>
    <row r="65" spans="2:27" ht="16" customHeight="1">
      <c r="B65" s="10">
        <v>17</v>
      </c>
      <c r="C65">
        <v>4.4400164605488295E-4</v>
      </c>
      <c r="D65">
        <v>2.7829313543599253E-3</v>
      </c>
      <c r="E65">
        <v>2.9695619896065325E-3</v>
      </c>
      <c r="F65">
        <v>6.9462533645914745E-3</v>
      </c>
      <c r="G65">
        <v>4.4073035315665959E-3</v>
      </c>
      <c r="H65">
        <v>2.4568034557235418E-3</v>
      </c>
      <c r="I65">
        <v>2.5445292620865138E-3</v>
      </c>
      <c r="J65">
        <v>1.3500000000000002E-2</v>
      </c>
      <c r="K65">
        <v>7.7957513155330355E-3</v>
      </c>
      <c r="L65">
        <v>2.0398132219218483E-2</v>
      </c>
      <c r="M65">
        <v>6.1227297743533301E-3</v>
      </c>
      <c r="N65">
        <v>3.8413805330654219E-4</v>
      </c>
      <c r="O65">
        <v>1.1899762004759906E-3</v>
      </c>
      <c r="P65">
        <v>7.9266792421881421E-2</v>
      </c>
      <c r="Q65">
        <v>8.1530573965236976E-3</v>
      </c>
      <c r="R65">
        <v>8.7692509052833649E-3</v>
      </c>
      <c r="S65">
        <v>0.20497717567368573</v>
      </c>
      <c r="T65">
        <v>2.5315694527961514E-2</v>
      </c>
      <c r="U65">
        <v>1.1467655766155105E-2</v>
      </c>
      <c r="V65">
        <v>7.3056582580614968E-2</v>
      </c>
      <c r="W65">
        <v>1.4712792857302689E-2</v>
      </c>
    </row>
    <row r="66" spans="2:27" ht="16" customHeight="1">
      <c r="B66" s="10">
        <v>18</v>
      </c>
      <c r="C66">
        <v>5.2153949448788206E-2</v>
      </c>
      <c r="D66">
        <v>3.2467532467532461E-3</v>
      </c>
      <c r="E66">
        <v>1.9002037624982225E-2</v>
      </c>
      <c r="F66">
        <v>1.5021272900929064E-2</v>
      </c>
      <c r="G66">
        <v>1.5110754965371185E-2</v>
      </c>
      <c r="H66">
        <v>3.2559395248380127E-2</v>
      </c>
      <c r="I66">
        <v>3.9985459832788065E-3</v>
      </c>
      <c r="J66">
        <v>7.2499999999999995E-2</v>
      </c>
      <c r="K66">
        <v>1.2083414539076206E-2</v>
      </c>
      <c r="L66">
        <v>1.8677807815188009E-2</v>
      </c>
      <c r="M66">
        <v>5.7374793615850309E-2</v>
      </c>
      <c r="N66">
        <v>2.3934755629099937E-3</v>
      </c>
      <c r="O66">
        <v>9.7823043539129219E-3</v>
      </c>
      <c r="P66">
        <v>7.4315180841466419E-2</v>
      </c>
      <c r="Q66">
        <v>2.1132924846817558E-2</v>
      </c>
      <c r="R66">
        <v>7.9839448540639599E-3</v>
      </c>
      <c r="S66">
        <v>5.2275069945516119E-3</v>
      </c>
      <c r="T66">
        <v>8.0336740829825615E-2</v>
      </c>
      <c r="U66">
        <v>3.641065777384558E-3</v>
      </c>
      <c r="V66">
        <v>3.6972902138812193E-2</v>
      </c>
      <c r="W66">
        <v>1.8550426279397614E-2</v>
      </c>
    </row>
    <row r="67" spans="2:27" ht="16" customHeight="1">
      <c r="B67" s="10">
        <v>19</v>
      </c>
      <c r="C67">
        <v>4.6230317731909644E-2</v>
      </c>
      <c r="D67">
        <v>4.4063079777365488E-3</v>
      </c>
      <c r="E67">
        <v>2.1402960084664106E-3</v>
      </c>
      <c r="F67">
        <v>5.9911435269601474E-3</v>
      </c>
      <c r="G67">
        <v>3.8349264495449601E-3</v>
      </c>
      <c r="H67">
        <v>3.185745140388769E-3</v>
      </c>
      <c r="I67">
        <v>2.5445292620865138E-3</v>
      </c>
      <c r="J67">
        <v>3.4999999999999996E-3</v>
      </c>
      <c r="K67">
        <v>1.9489378288832591E-4</v>
      </c>
      <c r="L67">
        <v>4.915212582944213E-4</v>
      </c>
      <c r="M67">
        <v>8.1177765547605953E-3</v>
      </c>
      <c r="N67">
        <v>8.5692334968382486E-4</v>
      </c>
      <c r="O67">
        <v>2.6249475010499792E-4</v>
      </c>
      <c r="P67">
        <v>3.0960387107356682E-2</v>
      </c>
      <c r="Q67">
        <v>1.297986745029386E-2</v>
      </c>
      <c r="R67">
        <v>1.1997731338074255E-2</v>
      </c>
      <c r="S67">
        <v>7.0681784715064047E-3</v>
      </c>
      <c r="T67">
        <v>1.0914010823812386E-2</v>
      </c>
      <c r="U67">
        <v>4.3896961241365233E-3</v>
      </c>
      <c r="V67">
        <v>2.7565872607291618E-2</v>
      </c>
      <c r="W67">
        <v>1.5607867707937075E-2</v>
      </c>
    </row>
    <row r="68" spans="2:27" ht="16" customHeight="1">
      <c r="B68" s="10">
        <v>20</v>
      </c>
      <c r="C68">
        <v>2.8654350133200501E-2</v>
      </c>
      <c r="D68">
        <v>1.7625231910946195E-2</v>
      </c>
      <c r="E68">
        <v>1.4776730006792079E-2</v>
      </c>
      <c r="F68">
        <v>9.1169575410263107E-3</v>
      </c>
      <c r="G68">
        <v>2.4955640776143321E-2</v>
      </c>
      <c r="H68">
        <v>2.6646868250539957E-2</v>
      </c>
      <c r="I68">
        <v>1.2237974070035136E-2</v>
      </c>
      <c r="J68">
        <v>2.9500000000000002E-2</v>
      </c>
      <c r="K68">
        <v>6.3340479438705917E-3</v>
      </c>
      <c r="L68">
        <v>5.6524944703858441E-3</v>
      </c>
      <c r="M68">
        <v>1.4653274628508533E-2</v>
      </c>
      <c r="N68">
        <v>1.5601914780450327E-2</v>
      </c>
      <c r="O68">
        <v>6.4573708525829483E-3</v>
      </c>
      <c r="P68">
        <v>2.6121545148855903E-2</v>
      </c>
      <c r="Q68">
        <v>2.8060522696011003E-2</v>
      </c>
      <c r="R68">
        <v>3.3157366607041577E-2</v>
      </c>
      <c r="S68">
        <v>5.7244882933294064E-2</v>
      </c>
      <c r="T68">
        <v>4.1431148526758874E-2</v>
      </c>
      <c r="U68">
        <v>1.1297512505529657E-2</v>
      </c>
      <c r="V68">
        <v>2.4945008658211261E-2</v>
      </c>
      <c r="W68">
        <v>3.1148604802076568E-2</v>
      </c>
    </row>
    <row r="69" spans="2:27" ht="16" customHeight="1">
      <c r="B69" s="10">
        <v>21</v>
      </c>
      <c r="C69">
        <v>2.2091789218340518E-3</v>
      </c>
      <c r="D69">
        <v>9.2764378478664184E-4</v>
      </c>
      <c r="E69">
        <v>1.2004612298409385E-3</v>
      </c>
      <c r="F69">
        <v>2.3443605105496227E-3</v>
      </c>
      <c r="G69">
        <v>1.2019918722454353E-3</v>
      </c>
      <c r="H69">
        <v>6.2095032397408204E-4</v>
      </c>
      <c r="I69">
        <v>4.8467224039743114E-4</v>
      </c>
      <c r="J69">
        <v>0</v>
      </c>
      <c r="K69">
        <v>1.3447671019294487E-2</v>
      </c>
      <c r="L69">
        <v>9.5846645367412137E-3</v>
      </c>
      <c r="M69">
        <v>6.8794716565767752E-4</v>
      </c>
      <c r="N69">
        <v>5.7916198806217132E-3</v>
      </c>
      <c r="O69">
        <v>1.504969900601988E-3</v>
      </c>
      <c r="P69">
        <v>1.548019355367834E-3</v>
      </c>
      <c r="Q69">
        <v>1.200450168813305E-3</v>
      </c>
      <c r="R69">
        <v>8.0712010819772272E-3</v>
      </c>
      <c r="S69">
        <v>8.5039022235311439E-3</v>
      </c>
      <c r="T69">
        <v>1.079374624173181E-2</v>
      </c>
      <c r="U69">
        <v>1.0548882158777691E-3</v>
      </c>
      <c r="V69">
        <v>1.3478728880984697E-2</v>
      </c>
      <c r="W69">
        <v>8.4696457741278604E-3</v>
      </c>
    </row>
    <row r="70" spans="2:27" ht="16" customHeight="1">
      <c r="B70" s="10"/>
    </row>
    <row r="71" spans="2:27">
      <c r="B71" s="10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2:27" ht="16" customHeight="1">
      <c r="B72" s="10" t="s">
        <v>281</v>
      </c>
      <c r="C72">
        <v>1</v>
      </c>
      <c r="D72">
        <v>2</v>
      </c>
      <c r="E72">
        <v>3</v>
      </c>
      <c r="F72">
        <v>4</v>
      </c>
      <c r="G72">
        <v>5</v>
      </c>
      <c r="H72">
        <v>6</v>
      </c>
      <c r="I72">
        <v>7</v>
      </c>
      <c r="J72">
        <v>8</v>
      </c>
      <c r="K72">
        <v>9</v>
      </c>
      <c r="L72">
        <v>10</v>
      </c>
      <c r="M72">
        <v>11</v>
      </c>
      <c r="N72">
        <v>12</v>
      </c>
      <c r="O72">
        <v>13</v>
      </c>
      <c r="P72">
        <v>14</v>
      </c>
      <c r="Q72">
        <v>15</v>
      </c>
      <c r="R72">
        <v>16</v>
      </c>
      <c r="S72">
        <v>17</v>
      </c>
      <c r="T72">
        <v>18</v>
      </c>
      <c r="U72">
        <v>19</v>
      </c>
      <c r="V72">
        <v>20</v>
      </c>
      <c r="W72">
        <v>21</v>
      </c>
      <c r="X72"/>
      <c r="Y72"/>
      <c r="Z72"/>
      <c r="AA72"/>
    </row>
    <row r="73" spans="2:27" ht="16" customHeight="1">
      <c r="B73" s="13">
        <v>1</v>
      </c>
      <c r="C73">
        <v>1.0472839534302931</v>
      </c>
      <c r="D73">
        <v>4.6978568364440098E-3</v>
      </c>
      <c r="E73">
        <v>0.33507444064875347</v>
      </c>
      <c r="F73">
        <v>1.9488449377760994E-2</v>
      </c>
      <c r="G73">
        <v>0.12413943583112944</v>
      </c>
      <c r="H73">
        <v>1.5409337380290596E-2</v>
      </c>
      <c r="I73">
        <v>7.8553159085306707E-3</v>
      </c>
      <c r="J73">
        <v>2.2624604260206055E-3</v>
      </c>
      <c r="K73">
        <v>5.1438800305115984E-3</v>
      </c>
      <c r="L73">
        <v>7.0903333505204676E-3</v>
      </c>
      <c r="M73">
        <v>9.4250667428662938E-3</v>
      </c>
      <c r="N73">
        <v>1.5953601210479586E-3</v>
      </c>
      <c r="O73">
        <v>1.2999722322773433E-2</v>
      </c>
      <c r="P73">
        <v>5.3976078751006556E-3</v>
      </c>
      <c r="Q73">
        <v>6.0021472017694451E-3</v>
      </c>
      <c r="R73">
        <v>0.11815592861534197</v>
      </c>
      <c r="S73">
        <v>1.4080243102939805E-2</v>
      </c>
      <c r="T73">
        <v>3.0350587871444735E-3</v>
      </c>
      <c r="U73">
        <v>1.931759132754711E-3</v>
      </c>
      <c r="V73">
        <v>1.2135113371154227E-2</v>
      </c>
      <c r="W73">
        <v>5.0627153427021485E-3</v>
      </c>
    </row>
    <row r="74" spans="2:27" ht="16" customHeight="1">
      <c r="B74" s="15">
        <v>2</v>
      </c>
      <c r="C74">
        <v>4.6666949679099822E-4</v>
      </c>
      <c r="D74">
        <v>1.0051126860810846</v>
      </c>
      <c r="E74">
        <v>4.166324003263779E-4</v>
      </c>
      <c r="F74">
        <v>2.0693811270525126E-4</v>
      </c>
      <c r="G74">
        <v>3.9111332615742616E-4</v>
      </c>
      <c r="H74">
        <v>1.7652979801937052E-3</v>
      </c>
      <c r="I74">
        <v>0.17586645528743222</v>
      </c>
      <c r="J74">
        <v>6.3721288716385403E-3</v>
      </c>
      <c r="K74">
        <v>2.3707794276996621E-3</v>
      </c>
      <c r="L74">
        <v>2.4752807088397294E-3</v>
      </c>
      <c r="M74">
        <v>3.91652423467965E-4</v>
      </c>
      <c r="N74">
        <v>9.7116684253616099E-5</v>
      </c>
      <c r="O74">
        <v>4.9820456979914135E-2</v>
      </c>
      <c r="P74">
        <v>8.0139577210038308E-4</v>
      </c>
      <c r="Q74">
        <v>3.2970285750629321E-4</v>
      </c>
      <c r="R74">
        <v>3.5115535289043055E-4</v>
      </c>
      <c r="S74">
        <v>6.023451108468727E-3</v>
      </c>
      <c r="T74">
        <v>4.1169712003595507E-4</v>
      </c>
      <c r="U74">
        <v>4.4950989039109241E-4</v>
      </c>
      <c r="V74">
        <v>8.991275030963029E-4</v>
      </c>
      <c r="W74">
        <v>5.6576545764689572E-4</v>
      </c>
    </row>
    <row r="75" spans="2:27" ht="16" customHeight="1">
      <c r="B75" s="13">
        <v>3</v>
      </c>
      <c r="C75">
        <v>1.2439754893307692E-2</v>
      </c>
      <c r="D75">
        <v>5.8132936987984043E-3</v>
      </c>
      <c r="E75">
        <v>1.0848485908962648</v>
      </c>
      <c r="F75">
        <v>3.0849185495769448E-2</v>
      </c>
      <c r="G75">
        <v>6.3612980148647913E-3</v>
      </c>
      <c r="H75">
        <v>1.2326644690190697E-2</v>
      </c>
      <c r="I75">
        <v>3.9049411566183427E-3</v>
      </c>
      <c r="J75">
        <v>1.7741505535797595E-3</v>
      </c>
      <c r="K75">
        <v>5.0511649460001484E-3</v>
      </c>
      <c r="L75">
        <v>6.3728198414039596E-3</v>
      </c>
      <c r="M75">
        <v>4.3567521709764103E-3</v>
      </c>
      <c r="N75">
        <v>2.0867698810505368E-3</v>
      </c>
      <c r="O75">
        <v>3.2779362765147603E-3</v>
      </c>
      <c r="P75">
        <v>4.5892765482131457E-3</v>
      </c>
      <c r="Q75">
        <v>4.9820528249617897E-3</v>
      </c>
      <c r="R75">
        <v>0.24618359349235699</v>
      </c>
      <c r="S75">
        <v>5.623198741163583E-3</v>
      </c>
      <c r="T75">
        <v>2.729517399118953E-3</v>
      </c>
      <c r="U75">
        <v>1.4493652578576176E-3</v>
      </c>
      <c r="V75">
        <v>1.5900854996168608E-2</v>
      </c>
      <c r="W75">
        <v>7.2422592757679658E-3</v>
      </c>
    </row>
    <row r="76" spans="2:27" ht="16" customHeight="1">
      <c r="B76" s="15">
        <v>4</v>
      </c>
      <c r="C76">
        <v>7.2265860405586651E-3</v>
      </c>
      <c r="D76">
        <v>4.9233640763661117E-3</v>
      </c>
      <c r="E76">
        <v>2.0638928746878782E-2</v>
      </c>
      <c r="F76">
        <v>1.1958990872275577</v>
      </c>
      <c r="G76">
        <v>5.8101948850833602E-3</v>
      </c>
      <c r="H76">
        <v>3.3368011960428256E-3</v>
      </c>
      <c r="I76">
        <v>2.9727744535083334E-3</v>
      </c>
      <c r="J76">
        <v>8.2830420862038581E-4</v>
      </c>
      <c r="K76">
        <v>1.4021564638325951E-3</v>
      </c>
      <c r="L76">
        <v>4.1002319583781652E-3</v>
      </c>
      <c r="M76">
        <v>4.1691636014963937E-2</v>
      </c>
      <c r="N76">
        <v>6.0925114789624701E-4</v>
      </c>
      <c r="O76">
        <v>1.6179574573676929E-3</v>
      </c>
      <c r="P76">
        <v>1.7723316241660531E-3</v>
      </c>
      <c r="Q76">
        <v>4.9069156737620509E-3</v>
      </c>
      <c r="R76">
        <v>9.4689646449382329E-3</v>
      </c>
      <c r="S76">
        <v>1.8352600362853372E-3</v>
      </c>
      <c r="T76">
        <v>1.4306113674596329E-3</v>
      </c>
      <c r="U76">
        <v>6.1211603034381373E-4</v>
      </c>
      <c r="V76">
        <v>1.2340467204923386E-2</v>
      </c>
      <c r="W76">
        <v>6.1079000782944901E-3</v>
      </c>
    </row>
    <row r="77" spans="2:27" ht="16" customHeight="1">
      <c r="B77" s="13">
        <v>5</v>
      </c>
      <c r="C77">
        <v>2.9903874167952E-2</v>
      </c>
      <c r="D77">
        <v>1.2815958061833404E-2</v>
      </c>
      <c r="E77">
        <v>2.8382671472936542E-2</v>
      </c>
      <c r="F77">
        <v>1.0187210175337675E-2</v>
      </c>
      <c r="G77">
        <v>1.2030878868585881</v>
      </c>
      <c r="H77">
        <v>1.0107574517488114E-2</v>
      </c>
      <c r="I77">
        <v>5.6516184010432742E-2</v>
      </c>
      <c r="J77">
        <v>5.6573244135040487E-3</v>
      </c>
      <c r="K77">
        <v>9.3577571464928538E-3</v>
      </c>
      <c r="L77">
        <v>1.4157160570432085E-2</v>
      </c>
      <c r="M77">
        <v>6.5771512033158272E-2</v>
      </c>
      <c r="N77">
        <v>3.4594735124844588E-3</v>
      </c>
      <c r="O77">
        <v>8.3985452565316657E-2</v>
      </c>
      <c r="P77">
        <v>1.9327955877190529E-2</v>
      </c>
      <c r="Q77">
        <v>3.2968959301726698E-2</v>
      </c>
      <c r="R77">
        <v>1.6977976000952417E-2</v>
      </c>
      <c r="S77">
        <v>1.7418584863164572E-2</v>
      </c>
      <c r="T77">
        <v>9.1640419775540962E-3</v>
      </c>
      <c r="U77">
        <v>5.413868394740038E-3</v>
      </c>
      <c r="V77">
        <v>4.9755277185560394E-2</v>
      </c>
      <c r="W77">
        <v>9.8907110741931915E-3</v>
      </c>
    </row>
    <row r="78" spans="2:27" ht="16" customHeight="1">
      <c r="B78" s="10">
        <v>6</v>
      </c>
      <c r="C78">
        <v>3.4944410529372534E-2</v>
      </c>
      <c r="D78">
        <v>6.2103141336500745E-2</v>
      </c>
      <c r="E78">
        <v>3.3703552542521269E-2</v>
      </c>
      <c r="F78">
        <v>2.9872805935000541E-2</v>
      </c>
      <c r="G78">
        <v>3.6891415117132183E-2</v>
      </c>
      <c r="H78">
        <v>1.1508854617334585</v>
      </c>
      <c r="I78">
        <v>3.145976390925552E-2</v>
      </c>
      <c r="J78">
        <v>1.1613820598478805E-2</v>
      </c>
      <c r="K78">
        <v>6.3433283375496814E-3</v>
      </c>
      <c r="L78">
        <v>1.128772526679561E-2</v>
      </c>
      <c r="M78">
        <v>5.4646797458998919E-2</v>
      </c>
      <c r="N78">
        <v>2.163387421037488E-3</v>
      </c>
      <c r="O78">
        <v>2.8997876736053085E-2</v>
      </c>
      <c r="P78">
        <v>1.3531239565948294E-2</v>
      </c>
      <c r="Q78">
        <v>8.7375474023875799E-3</v>
      </c>
      <c r="R78">
        <v>2.1084895539377507E-2</v>
      </c>
      <c r="S78">
        <v>7.6403856336201394E-3</v>
      </c>
      <c r="T78">
        <v>2.928895503840818E-3</v>
      </c>
      <c r="U78">
        <v>1.8202702773673699E-3</v>
      </c>
      <c r="V78">
        <v>1.4209115475898679E-2</v>
      </c>
      <c r="W78">
        <v>3.8516565411906789E-2</v>
      </c>
    </row>
    <row r="79" spans="2:27" ht="16" customHeight="1">
      <c r="B79" s="10">
        <v>7</v>
      </c>
      <c r="C79">
        <v>1.2143754393681961E-3</v>
      </c>
      <c r="D79">
        <v>5.7861469724179377E-3</v>
      </c>
      <c r="E79">
        <v>1.3975558757461585E-3</v>
      </c>
      <c r="F79">
        <v>5.908867833435312E-4</v>
      </c>
      <c r="G79">
        <v>1.2583097021709245E-3</v>
      </c>
      <c r="H79">
        <v>5.2071260555438424E-3</v>
      </c>
      <c r="I79">
        <v>1.0827733508500084</v>
      </c>
      <c r="J79">
        <v>2.7529095391010784E-3</v>
      </c>
      <c r="K79">
        <v>9.4390778931215773E-3</v>
      </c>
      <c r="L79">
        <v>6.5124695011160713E-3</v>
      </c>
      <c r="M79">
        <v>1.146247882643472E-3</v>
      </c>
      <c r="N79">
        <v>4.6267333050608396E-4</v>
      </c>
      <c r="O79">
        <v>0.11026888793911595</v>
      </c>
      <c r="P79">
        <v>1.6943873985564594E-3</v>
      </c>
      <c r="Q79">
        <v>9.3051255425291666E-4</v>
      </c>
      <c r="R79">
        <v>1.0034100161443421E-3</v>
      </c>
      <c r="S79">
        <v>1.3025072559024896E-2</v>
      </c>
      <c r="T79">
        <v>1.0759270739216511E-3</v>
      </c>
      <c r="U79">
        <v>9.7954069380846672E-4</v>
      </c>
      <c r="V79">
        <v>1.9635088128580206E-3</v>
      </c>
      <c r="W79">
        <v>2.2422780917243988E-3</v>
      </c>
    </row>
    <row r="80" spans="2:27" ht="16" customHeight="1">
      <c r="B80" s="10">
        <v>8</v>
      </c>
      <c r="C80">
        <v>1.6004684244030846E-3</v>
      </c>
      <c r="D80">
        <v>1.6916953866854432E-3</v>
      </c>
      <c r="E80">
        <v>1.3825073081725095E-3</v>
      </c>
      <c r="F80">
        <v>7.7642532917945688E-4</v>
      </c>
      <c r="G80">
        <v>1.8615947173687127E-3</v>
      </c>
      <c r="H80">
        <v>1.9771225957366474E-2</v>
      </c>
      <c r="I80">
        <v>6.0216722946102308E-3</v>
      </c>
      <c r="J80">
        <v>1.0518291784883727</v>
      </c>
      <c r="K80">
        <v>3.2757615106257781E-4</v>
      </c>
      <c r="L80">
        <v>6.4285642564591427E-4</v>
      </c>
      <c r="M80">
        <v>7.2894862147146328E-3</v>
      </c>
      <c r="N80">
        <v>7.0159662616699076E-5</v>
      </c>
      <c r="O80">
        <v>6.373034415550663E-3</v>
      </c>
      <c r="P80">
        <v>4.9073887712068208E-4</v>
      </c>
      <c r="Q80">
        <v>8.4315497804662962E-4</v>
      </c>
      <c r="R80">
        <v>6.831763420767239E-4</v>
      </c>
      <c r="S80">
        <v>8.980329738630128E-4</v>
      </c>
      <c r="T80">
        <v>4.6769733782754924E-4</v>
      </c>
      <c r="U80">
        <v>1.2368264882239494E-4</v>
      </c>
      <c r="V80">
        <v>6.5881030128983674E-4</v>
      </c>
      <c r="W80">
        <v>8.855987802701416E-4</v>
      </c>
    </row>
    <row r="81" spans="2:23" ht="16" customHeight="1">
      <c r="B81" s="10">
        <v>9</v>
      </c>
      <c r="C81">
        <v>3.8462183305525079E-3</v>
      </c>
      <c r="D81">
        <v>6.9247902576628717E-2</v>
      </c>
      <c r="E81">
        <v>3.4058196522674489E-3</v>
      </c>
      <c r="F81">
        <v>2.6764710216348716E-3</v>
      </c>
      <c r="G81">
        <v>6.2407781021850284E-3</v>
      </c>
      <c r="H81">
        <v>2.4710817766297289E-2</v>
      </c>
      <c r="I81">
        <v>1.4956293000583171E-2</v>
      </c>
      <c r="J81">
        <v>1.9251163167522958E-3</v>
      </c>
      <c r="K81">
        <v>1.1073583636674538</v>
      </c>
      <c r="L81">
        <v>0.13955951991991306</v>
      </c>
      <c r="M81">
        <v>3.2538472064944708E-2</v>
      </c>
      <c r="N81">
        <v>2.0162238093895876E-3</v>
      </c>
      <c r="O81">
        <v>2.1303600132737081E-2</v>
      </c>
      <c r="P81">
        <v>7.7862191462224088E-3</v>
      </c>
      <c r="Q81">
        <v>5.1285424149512E-3</v>
      </c>
      <c r="R81">
        <v>2.6411666984414166E-3</v>
      </c>
      <c r="S81">
        <v>6.1674288404449341E-3</v>
      </c>
      <c r="T81">
        <v>1.7231539050401958E-3</v>
      </c>
      <c r="U81">
        <v>8.8438762023143244E-4</v>
      </c>
      <c r="V81">
        <v>3.5971638624170115E-3</v>
      </c>
      <c r="W81">
        <v>4.6761673648290734E-3</v>
      </c>
    </row>
    <row r="82" spans="2:23" ht="16" customHeight="1">
      <c r="B82" s="10">
        <v>10</v>
      </c>
      <c r="C82">
        <v>5.7795641376151704E-4</v>
      </c>
      <c r="D82">
        <v>1.5108700554326063E-3</v>
      </c>
      <c r="E82">
        <v>5.4634380540133495E-4</v>
      </c>
      <c r="F82">
        <v>3.5705270238436097E-4</v>
      </c>
      <c r="G82">
        <v>6.9037649474432302E-4</v>
      </c>
      <c r="H82">
        <v>8.2261858165490925E-4</v>
      </c>
      <c r="I82">
        <v>5.9638540429219386E-4</v>
      </c>
      <c r="J82">
        <v>2.1897834072335688E-4</v>
      </c>
      <c r="K82">
        <v>1.430587408040423E-2</v>
      </c>
      <c r="L82">
        <v>1.0222079107770539</v>
      </c>
      <c r="M82">
        <v>2.4857543884853357E-3</v>
      </c>
      <c r="N82">
        <v>1.6881488063046841E-4</v>
      </c>
      <c r="O82">
        <v>6.0906057164444903E-4</v>
      </c>
      <c r="P82">
        <v>9.7577133014542072E-4</v>
      </c>
      <c r="Q82">
        <v>8.2253233308252191E-4</v>
      </c>
      <c r="R82">
        <v>5.277748332103583E-4</v>
      </c>
      <c r="S82">
        <v>5.5502760761411106E-3</v>
      </c>
      <c r="T82">
        <v>5.874854085827861E-4</v>
      </c>
      <c r="U82">
        <v>1.9023011581078064E-4</v>
      </c>
      <c r="V82">
        <v>9.1383809783188207E-4</v>
      </c>
      <c r="W82">
        <v>6.5839994413524941E-4</v>
      </c>
    </row>
    <row r="83" spans="2:23" ht="16" customHeight="1">
      <c r="B83" s="10">
        <v>11</v>
      </c>
      <c r="C83">
        <v>3.7087940005427755E-2</v>
      </c>
      <c r="D83">
        <v>8.919432289951118E-2</v>
      </c>
      <c r="E83">
        <v>2.2379346431660379E-2</v>
      </c>
      <c r="F83">
        <v>3.3729988505252349E-2</v>
      </c>
      <c r="G83">
        <v>3.7253151270460298E-2</v>
      </c>
      <c r="H83">
        <v>1.7847099860115623E-2</v>
      </c>
      <c r="I83">
        <v>2.7137590663627753E-2</v>
      </c>
      <c r="J83">
        <v>6.6983255690538108E-3</v>
      </c>
      <c r="K83">
        <v>4.5302824209097594E-3</v>
      </c>
      <c r="L83">
        <v>3.1432017288827829E-2</v>
      </c>
      <c r="M83">
        <v>1.0165248860050673</v>
      </c>
      <c r="N83">
        <v>3.1947854728349937E-3</v>
      </c>
      <c r="O83">
        <v>1.2484352680051311E-2</v>
      </c>
      <c r="P83">
        <v>1.34047068405724E-2</v>
      </c>
      <c r="Q83">
        <v>9.1701642950797302E-2</v>
      </c>
      <c r="R83">
        <v>1.0321524879623005E-2</v>
      </c>
      <c r="S83">
        <v>6.066222670680999E-3</v>
      </c>
      <c r="T83">
        <v>9.0211349151552885E-3</v>
      </c>
      <c r="U83">
        <v>6.0359368027018594E-3</v>
      </c>
      <c r="V83">
        <v>3.3780561676139881E-2</v>
      </c>
      <c r="W83">
        <v>1.2472716559718924E-2</v>
      </c>
    </row>
    <row r="84" spans="2:23" ht="16" customHeight="1">
      <c r="B84" s="10">
        <v>12</v>
      </c>
      <c r="C84">
        <v>1.311160456082823E-2</v>
      </c>
      <c r="D84">
        <v>1.9022796908443031E-2</v>
      </c>
      <c r="E84">
        <v>3.5529511542131693E-2</v>
      </c>
      <c r="F84">
        <v>3.6484632910597808E-2</v>
      </c>
      <c r="G84">
        <v>2.8342083801461634E-2</v>
      </c>
      <c r="H84">
        <v>2.6876753042181907E-2</v>
      </c>
      <c r="I84">
        <v>4.1158269551674502E-2</v>
      </c>
      <c r="J84">
        <v>1.3205486898723254E-2</v>
      </c>
      <c r="K84">
        <v>2.6748429104414623E-2</v>
      </c>
      <c r="L84">
        <v>3.0724944620972892E-2</v>
      </c>
      <c r="M84">
        <v>2.0535832583169787E-2</v>
      </c>
      <c r="N84">
        <v>1.1202813246755163</v>
      </c>
      <c r="O84">
        <v>1.2333849899542294E-2</v>
      </c>
      <c r="P84">
        <v>4.1391140456600826E-2</v>
      </c>
      <c r="Q84">
        <v>2.1530694274851929E-2</v>
      </c>
      <c r="R84">
        <v>3.776718135431479E-2</v>
      </c>
      <c r="S84">
        <v>1.6992098236680471E-2</v>
      </c>
      <c r="T84">
        <v>1.3924093941361407E-2</v>
      </c>
      <c r="U84">
        <v>4.1574372052766762E-2</v>
      </c>
      <c r="V84">
        <v>5.2856324842071888E-2</v>
      </c>
      <c r="W84">
        <v>4.1645658023373278E-2</v>
      </c>
    </row>
    <row r="85" spans="2:23" ht="16" customHeight="1">
      <c r="B85" s="10">
        <v>13</v>
      </c>
      <c r="C85">
        <v>2.1954188023101686E-3</v>
      </c>
      <c r="D85">
        <v>4.0633568257663266E-3</v>
      </c>
      <c r="E85">
        <v>2.5197369809951894E-3</v>
      </c>
      <c r="F85">
        <v>2.1867573327077412E-3</v>
      </c>
      <c r="G85">
        <v>3.2444630325125338E-3</v>
      </c>
      <c r="H85">
        <v>2.9273830092235447E-3</v>
      </c>
      <c r="I85">
        <v>2.4375317242056782E-3</v>
      </c>
      <c r="J85">
        <v>2.9432842269960838E-3</v>
      </c>
      <c r="K85">
        <v>2.2427916750942339E-2</v>
      </c>
      <c r="L85">
        <v>3.5825329213455714E-2</v>
      </c>
      <c r="M85">
        <v>3.2825774696971354E-3</v>
      </c>
      <c r="N85">
        <v>4.8294706021622541E-4</v>
      </c>
      <c r="O85">
        <v>1.0352286582583583</v>
      </c>
      <c r="P85">
        <v>1.1090121410180011E-2</v>
      </c>
      <c r="Q85">
        <v>3.4639590432027556E-3</v>
      </c>
      <c r="R85">
        <v>2.7815407881239748E-3</v>
      </c>
      <c r="S85">
        <v>0.11523592043436619</v>
      </c>
      <c r="T85">
        <v>5.8278795302398314E-3</v>
      </c>
      <c r="U85">
        <v>7.9811032367144256E-3</v>
      </c>
      <c r="V85">
        <v>1.3780819284549667E-2</v>
      </c>
      <c r="W85">
        <v>3.85259541251361E-3</v>
      </c>
    </row>
    <row r="86" spans="2:23" ht="16" customHeight="1">
      <c r="B86" s="10">
        <v>14</v>
      </c>
      <c r="C86">
        <v>7.6113206884019818E-2</v>
      </c>
      <c r="D86">
        <v>0.18670501251104382</v>
      </c>
      <c r="E86">
        <v>0.11867168050950799</v>
      </c>
      <c r="F86">
        <v>7.2441089480832457E-2</v>
      </c>
      <c r="G86">
        <v>0.16977141617703512</v>
      </c>
      <c r="H86">
        <v>0.13307538648717093</v>
      </c>
      <c r="I86">
        <v>0.13056327770355156</v>
      </c>
      <c r="J86">
        <v>3.8315308043593434E-2</v>
      </c>
      <c r="K86">
        <v>0.15217938556232616</v>
      </c>
      <c r="L86">
        <v>0.16283713602415059</v>
      </c>
      <c r="M86">
        <v>0.11017667850846602</v>
      </c>
      <c r="N86">
        <v>8.6138490080336031E-3</v>
      </c>
      <c r="O86">
        <v>0.11730279130275439</v>
      </c>
      <c r="P86">
        <v>1.0714217876621466</v>
      </c>
      <c r="Q86">
        <v>0.16227720302227353</v>
      </c>
      <c r="R86">
        <v>7.3178237839674462E-2</v>
      </c>
      <c r="S86">
        <v>8.6878401405004982E-2</v>
      </c>
      <c r="T86">
        <v>1.9249560529369065E-2</v>
      </c>
      <c r="U86">
        <v>1.3722605939927879E-2</v>
      </c>
      <c r="V86">
        <v>8.3887832628849107E-2</v>
      </c>
      <c r="W86">
        <v>4.9855702355272126E-2</v>
      </c>
    </row>
    <row r="87" spans="2:23" ht="16" customHeight="1">
      <c r="B87" s="10">
        <v>15</v>
      </c>
      <c r="C87">
        <v>6.2847206528326469E-2</v>
      </c>
      <c r="D87">
        <v>4.1358071404153998E-2</v>
      </c>
      <c r="E87">
        <v>4.3272416031435203E-2</v>
      </c>
      <c r="F87">
        <v>1.3157813428229297E-2</v>
      </c>
      <c r="G87">
        <v>2.9446221731069235E-2</v>
      </c>
      <c r="H87">
        <v>2.8338994479371975E-2</v>
      </c>
      <c r="I87">
        <v>2.9959495591971648E-2</v>
      </c>
      <c r="J87">
        <v>1.0493589916833333E-2</v>
      </c>
      <c r="K87">
        <v>1.8922580114967533E-2</v>
      </c>
      <c r="L87">
        <v>7.5553121656472016E-2</v>
      </c>
      <c r="M87">
        <v>1.7738098193172489E-2</v>
      </c>
      <c r="N87">
        <v>1.2347981942116277E-2</v>
      </c>
      <c r="O87">
        <v>1.9525600571185023E-2</v>
      </c>
      <c r="P87">
        <v>6.9229727338017855E-2</v>
      </c>
      <c r="Q87">
        <v>1.0170678050876913</v>
      </c>
      <c r="R87">
        <v>2.2333018883393702E-2</v>
      </c>
      <c r="S87">
        <v>1.4785832042851015E-2</v>
      </c>
      <c r="T87">
        <v>1.2145028409673742E-2</v>
      </c>
      <c r="U87">
        <v>1.347811664531638E-2</v>
      </c>
      <c r="V87">
        <v>5.8145995230954463E-2</v>
      </c>
      <c r="W87">
        <v>1.2840874406069416E-2</v>
      </c>
    </row>
    <row r="88" spans="2:23" ht="16" customHeight="1">
      <c r="B88" s="10">
        <v>16</v>
      </c>
      <c r="C88">
        <v>4.4819937408192437E-3</v>
      </c>
      <c r="D88">
        <v>7.2553085337887799E-3</v>
      </c>
      <c r="E88">
        <v>4.1938689465049715E-3</v>
      </c>
      <c r="F88">
        <v>2.2992948487058611E-3</v>
      </c>
      <c r="G88">
        <v>4.8154375675382513E-3</v>
      </c>
      <c r="H88">
        <v>5.5326201987146084E-3</v>
      </c>
      <c r="I88">
        <v>4.0454548528384739E-3</v>
      </c>
      <c r="J88">
        <v>4.1298109206853503E-3</v>
      </c>
      <c r="K88">
        <v>1.1077918714827752E-2</v>
      </c>
      <c r="L88">
        <v>9.5006510487738796E-3</v>
      </c>
      <c r="M88">
        <v>3.6752656064309975E-3</v>
      </c>
      <c r="N88">
        <v>7.0708643392056927E-3</v>
      </c>
      <c r="O88">
        <v>3.4706733739025605E-3</v>
      </c>
      <c r="P88">
        <v>5.2006459205685583E-3</v>
      </c>
      <c r="Q88">
        <v>7.6964685540649551E-3</v>
      </c>
      <c r="R88">
        <v>1.0103188169007353</v>
      </c>
      <c r="S88">
        <v>1.3229831122797946E-2</v>
      </c>
      <c r="T88">
        <v>6.5637324755227983E-3</v>
      </c>
      <c r="U88">
        <v>3.161201773615212E-3</v>
      </c>
      <c r="V88">
        <v>1.3596067966346296E-2</v>
      </c>
      <c r="W88">
        <v>1.4432968536754683E-2</v>
      </c>
    </row>
    <row r="89" spans="2:23" ht="16" customHeight="1">
      <c r="B89" s="10">
        <v>17</v>
      </c>
      <c r="C89">
        <v>1.6759814517301724E-2</v>
      </c>
      <c r="D89">
        <v>2.8661816890621063E-2</v>
      </c>
      <c r="E89">
        <v>2.3022171210042689E-2</v>
      </c>
      <c r="F89">
        <v>2.152787795512192E-2</v>
      </c>
      <c r="G89">
        <v>3.0760995276770977E-2</v>
      </c>
      <c r="H89">
        <v>2.4101115653442286E-2</v>
      </c>
      <c r="I89">
        <v>2.1875694066091828E-2</v>
      </c>
      <c r="J89">
        <v>2.870253826183403E-2</v>
      </c>
      <c r="K89">
        <v>2.9919739227104579E-2</v>
      </c>
      <c r="L89">
        <v>4.8940977058230868E-2</v>
      </c>
      <c r="M89">
        <v>2.5940573004412455E-2</v>
      </c>
      <c r="N89">
        <v>3.851213218083043E-3</v>
      </c>
      <c r="O89">
        <v>1.7855529395330659E-2</v>
      </c>
      <c r="P89">
        <v>0.11572434855455516</v>
      </c>
      <c r="Q89">
        <v>3.3414299152901845E-2</v>
      </c>
      <c r="R89">
        <v>2.6140966949426178E-2</v>
      </c>
      <c r="S89">
        <v>1.2761890523511035</v>
      </c>
      <c r="T89">
        <v>4.2334970640407532E-2</v>
      </c>
      <c r="U89">
        <v>1.7838818317714347E-2</v>
      </c>
      <c r="V89">
        <v>0.10849800018422416</v>
      </c>
      <c r="W89">
        <v>2.9365496428511786E-2</v>
      </c>
    </row>
    <row r="90" spans="2:23" ht="16" customHeight="1">
      <c r="B90" s="13">
        <v>18</v>
      </c>
      <c r="C90">
        <v>7.3805380793216468E-2</v>
      </c>
      <c r="D90">
        <v>3.0874577818032493E-2</v>
      </c>
      <c r="E90">
        <v>5.7557311385277039E-2</v>
      </c>
      <c r="F90">
        <v>3.2055479167352498E-2</v>
      </c>
      <c r="G90">
        <v>4.7654519476723937E-2</v>
      </c>
      <c r="H90">
        <v>5.8649112140634653E-2</v>
      </c>
      <c r="I90">
        <v>2.3056256202803611E-2</v>
      </c>
      <c r="J90">
        <v>8.9364419122514804E-2</v>
      </c>
      <c r="K90">
        <v>3.0363446885408388E-2</v>
      </c>
      <c r="L90">
        <v>4.2760081379132793E-2</v>
      </c>
      <c r="M90">
        <v>7.9658216091062869E-2</v>
      </c>
      <c r="N90">
        <v>5.4439459081392144E-3</v>
      </c>
      <c r="O90">
        <v>2.7443420487001578E-2</v>
      </c>
      <c r="P90">
        <v>9.3364885733256242E-2</v>
      </c>
      <c r="Q90">
        <v>4.5899031820582671E-2</v>
      </c>
      <c r="R90">
        <v>3.1487044919025632E-2</v>
      </c>
      <c r="S90">
        <v>2.1857140642441493E-2</v>
      </c>
      <c r="T90">
        <v>1.0931293203671115</v>
      </c>
      <c r="U90">
        <v>7.0756378381327924E-3</v>
      </c>
      <c r="V90">
        <v>5.6339621555488648E-2</v>
      </c>
      <c r="W90">
        <v>2.9840136935888932E-2</v>
      </c>
    </row>
    <row r="91" spans="2:23" ht="16" customHeight="1">
      <c r="B91" s="15">
        <v>19</v>
      </c>
      <c r="C91">
        <v>5.4667916058969569E-2</v>
      </c>
      <c r="D91">
        <v>1.3665148694244801E-2</v>
      </c>
      <c r="E91">
        <v>2.4670679647919164E-2</v>
      </c>
      <c r="F91">
        <v>1.2184070559026353E-2</v>
      </c>
      <c r="G91">
        <v>1.8716553453846436E-2</v>
      </c>
      <c r="H91">
        <v>1.1366152570266195E-2</v>
      </c>
      <c r="I91">
        <v>1.0248943759267137E-2</v>
      </c>
      <c r="J91">
        <v>7.6731713108680088E-3</v>
      </c>
      <c r="K91">
        <v>7.039376966008805E-3</v>
      </c>
      <c r="L91">
        <v>9.0958050909388261E-3</v>
      </c>
      <c r="M91">
        <v>1.5077719642814649E-2</v>
      </c>
      <c r="N91">
        <v>2.353974969626972E-3</v>
      </c>
      <c r="O91">
        <v>6.9115418067720088E-3</v>
      </c>
      <c r="P91">
        <v>3.7982032403278486E-2</v>
      </c>
      <c r="Q91">
        <v>2.1584461699164975E-2</v>
      </c>
      <c r="R91">
        <v>2.314034082023805E-2</v>
      </c>
      <c r="S91">
        <v>1.5767904805647846E-2</v>
      </c>
      <c r="T91">
        <v>1.5047588935372769E-2</v>
      </c>
      <c r="U91">
        <v>1.0059147480671615</v>
      </c>
      <c r="V91">
        <v>3.531931333630841E-2</v>
      </c>
      <c r="W91">
        <v>1.9980937026073651E-2</v>
      </c>
    </row>
    <row r="92" spans="2:23" ht="16" customHeight="1">
      <c r="B92" s="13">
        <v>20</v>
      </c>
      <c r="C92">
        <v>4.2529756580429415E-2</v>
      </c>
      <c r="D92">
        <v>3.2426682368722218E-2</v>
      </c>
      <c r="E92">
        <v>3.7922421484562423E-2</v>
      </c>
      <c r="F92">
        <v>1.9756784711920036E-2</v>
      </c>
      <c r="G92">
        <v>4.6487332453247168E-2</v>
      </c>
      <c r="H92">
        <v>4.2664439968578022E-2</v>
      </c>
      <c r="I92">
        <v>2.7714701791618952E-2</v>
      </c>
      <c r="J92">
        <v>3.9985733184463156E-2</v>
      </c>
      <c r="K92">
        <v>1.7401911167787342E-2</v>
      </c>
      <c r="L92">
        <v>2.1286727439453989E-2</v>
      </c>
      <c r="M92">
        <v>2.8777711183857347E-2</v>
      </c>
      <c r="N92">
        <v>1.9768641778017636E-2</v>
      </c>
      <c r="O92">
        <v>1.9466939103992584E-2</v>
      </c>
      <c r="P92">
        <v>4.4383177668585724E-2</v>
      </c>
      <c r="Q92">
        <v>4.135236403564993E-2</v>
      </c>
      <c r="R92">
        <v>4.9576689120057381E-2</v>
      </c>
      <c r="S92">
        <v>8.2325056344419015E-2</v>
      </c>
      <c r="T92">
        <v>5.152430632782018E-2</v>
      </c>
      <c r="U92">
        <v>1.5037934361214891E-2</v>
      </c>
      <c r="V92">
        <v>1.0435796099092398</v>
      </c>
      <c r="W92">
        <v>4.0293997312885965E-2</v>
      </c>
    </row>
    <row r="93" spans="2:23" ht="16" customHeight="1">
      <c r="B93" s="10">
        <v>21</v>
      </c>
      <c r="C93">
        <v>4.4030080673355017E-3</v>
      </c>
      <c r="D93">
        <v>3.5975868886731761E-3</v>
      </c>
      <c r="E93">
        <v>4.0813267381184758E-3</v>
      </c>
      <c r="F93">
        <v>4.182328526838309E-3</v>
      </c>
      <c r="G93">
        <v>3.842547591263058E-3</v>
      </c>
      <c r="H93">
        <v>3.0355840817228048E-3</v>
      </c>
      <c r="I93">
        <v>2.3821329407862752E-3</v>
      </c>
      <c r="J93">
        <v>2.0219117014805481E-3</v>
      </c>
      <c r="K93">
        <v>1.6575212033315617E-2</v>
      </c>
      <c r="L93">
        <v>1.3699893838912743E-2</v>
      </c>
      <c r="M93">
        <v>3.255569357761493E-3</v>
      </c>
      <c r="N93">
        <v>7.0384650515065853E-3</v>
      </c>
      <c r="O93">
        <v>3.1629614243363271E-3</v>
      </c>
      <c r="P93">
        <v>4.88971935490147E-3</v>
      </c>
      <c r="Q93">
        <v>3.2680698276882358E-3</v>
      </c>
      <c r="R93">
        <v>1.0522169293729483E-2</v>
      </c>
      <c r="S93">
        <v>1.3076437583942731E-2</v>
      </c>
      <c r="T93">
        <v>1.3230235312883849E-2</v>
      </c>
      <c r="U93">
        <v>1.857194123268869E-3</v>
      </c>
      <c r="V93">
        <v>1.6636940298516523E-2</v>
      </c>
      <c r="W93">
        <v>1.0102983336986939</v>
      </c>
    </row>
    <row r="94" spans="2:23" ht="16" customHeight="1">
      <c r="B94" s="10"/>
    </row>
    <row r="95" spans="2:23" ht="16" customHeight="1">
      <c r="B95" s="10"/>
    </row>
    <row r="96" spans="2:23" ht="16" customHeight="1">
      <c r="B96" s="10"/>
    </row>
    <row r="97" spans="2:24" ht="16" customHeight="1">
      <c r="B97" s="10"/>
    </row>
    <row r="98" spans="2:24">
      <c r="B98" s="10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</row>
    <row r="99" spans="2:24" ht="16" customHeight="1">
      <c r="B99" s="10" t="s">
        <v>282</v>
      </c>
      <c r="C99">
        <v>1</v>
      </c>
      <c r="D99">
        <v>2</v>
      </c>
      <c r="E99">
        <v>3</v>
      </c>
      <c r="F99">
        <v>4</v>
      </c>
      <c r="G99">
        <v>5</v>
      </c>
      <c r="H99">
        <v>6</v>
      </c>
      <c r="I99">
        <v>7</v>
      </c>
      <c r="J99">
        <v>8</v>
      </c>
      <c r="K99">
        <v>9</v>
      </c>
      <c r="L99">
        <v>10</v>
      </c>
      <c r="M99">
        <v>11</v>
      </c>
      <c r="N99">
        <v>12</v>
      </c>
      <c r="O99">
        <v>13</v>
      </c>
      <c r="P99">
        <v>14</v>
      </c>
      <c r="Q99">
        <v>15</v>
      </c>
      <c r="R99">
        <v>16</v>
      </c>
      <c r="S99">
        <v>17</v>
      </c>
      <c r="T99">
        <v>18</v>
      </c>
      <c r="U99">
        <v>19</v>
      </c>
      <c r="V99">
        <v>20</v>
      </c>
      <c r="W99">
        <v>21</v>
      </c>
      <c r="X99">
        <v>22</v>
      </c>
    </row>
    <row r="100" spans="2:24" ht="16" customHeight="1">
      <c r="B100" s="10">
        <v>1</v>
      </c>
      <c r="C100">
        <f t="shared" ref="C100:W100" si="9">C12</f>
        <v>352</v>
      </c>
      <c r="D100">
        <f t="shared" si="9"/>
        <v>0.1</v>
      </c>
      <c r="E100">
        <f t="shared" si="9"/>
        <v>3718.9</v>
      </c>
      <c r="F100">
        <f t="shared" si="9"/>
        <v>7.8</v>
      </c>
      <c r="G100">
        <f t="shared" si="9"/>
        <v>169.3</v>
      </c>
      <c r="H100">
        <f t="shared" si="9"/>
        <v>30.9</v>
      </c>
      <c r="I100">
        <f t="shared" si="9"/>
        <v>0.1</v>
      </c>
      <c r="J100">
        <f t="shared" si="9"/>
        <v>0.1</v>
      </c>
      <c r="K100">
        <f t="shared" si="9"/>
        <v>1.5</v>
      </c>
      <c r="L100">
        <f t="shared" si="9"/>
        <v>0.9</v>
      </c>
      <c r="M100">
        <f t="shared" si="9"/>
        <v>0.2</v>
      </c>
      <c r="N100">
        <f t="shared" si="9"/>
        <v>0.7</v>
      </c>
      <c r="O100">
        <f t="shared" si="9"/>
        <v>15</v>
      </c>
      <c r="P100">
        <f t="shared" si="9"/>
        <v>5.9</v>
      </c>
      <c r="Q100">
        <f t="shared" si="9"/>
        <v>1.1000000000000001</v>
      </c>
      <c r="R100">
        <f t="shared" si="9"/>
        <v>88.8</v>
      </c>
      <c r="S100">
        <f t="shared" si="9"/>
        <v>19.5</v>
      </c>
      <c r="T100">
        <f t="shared" si="9"/>
        <v>1.7</v>
      </c>
      <c r="U100">
        <f t="shared" si="9"/>
        <v>1.7</v>
      </c>
      <c r="V100">
        <f t="shared" si="9"/>
        <v>1</v>
      </c>
      <c r="W100">
        <f t="shared" si="9"/>
        <v>4.8</v>
      </c>
      <c r="X100">
        <f t="shared" ref="X100:X121" si="10">Y12*PMConsumo</f>
        <v>1004.5</v>
      </c>
    </row>
    <row r="101" spans="2:24" ht="16" customHeight="1">
      <c r="B101" s="10">
        <v>2</v>
      </c>
      <c r="C101">
        <f t="shared" ref="C101:W101" si="11">C13</f>
        <v>1.3</v>
      </c>
      <c r="D101">
        <f t="shared" si="11"/>
        <v>1.7</v>
      </c>
      <c r="E101">
        <f t="shared" si="11"/>
        <v>0.1</v>
      </c>
      <c r="F101">
        <f t="shared" si="11"/>
        <v>0</v>
      </c>
      <c r="G101">
        <f t="shared" si="11"/>
        <v>0</v>
      </c>
      <c r="H101">
        <f t="shared" si="11"/>
        <v>2.2000000000000002</v>
      </c>
      <c r="I101">
        <f t="shared" si="11"/>
        <v>133.4</v>
      </c>
      <c r="J101">
        <f t="shared" si="11"/>
        <v>1.1000000000000001</v>
      </c>
      <c r="K101">
        <f t="shared" si="11"/>
        <v>0.1</v>
      </c>
      <c r="L101">
        <f t="shared" si="11"/>
        <v>0.1</v>
      </c>
      <c r="M101">
        <f t="shared" si="11"/>
        <v>0</v>
      </c>
      <c r="N101">
        <f t="shared" si="11"/>
        <v>0</v>
      </c>
      <c r="O101">
        <f t="shared" si="11"/>
        <v>175.1</v>
      </c>
      <c r="P101">
        <f t="shared" si="11"/>
        <v>1.2</v>
      </c>
      <c r="Q101">
        <f t="shared" si="11"/>
        <v>0.1</v>
      </c>
      <c r="R101">
        <f t="shared" si="11"/>
        <v>0.1</v>
      </c>
      <c r="S101">
        <f t="shared" si="11"/>
        <v>0.7</v>
      </c>
      <c r="T101">
        <f t="shared" si="11"/>
        <v>0.1</v>
      </c>
      <c r="U101">
        <f t="shared" si="11"/>
        <v>0.1</v>
      </c>
      <c r="V101">
        <f t="shared" si="11"/>
        <v>0.2</v>
      </c>
      <c r="W101">
        <f t="shared" si="11"/>
        <v>0.3</v>
      </c>
      <c r="X101">
        <f t="shared" si="10"/>
        <v>59.2</v>
      </c>
    </row>
    <row r="102" spans="2:24" ht="16" customHeight="1">
      <c r="B102" s="10">
        <v>3</v>
      </c>
      <c r="C102">
        <f t="shared" ref="C102:W102" si="12">C14</f>
        <v>81.400000000000006</v>
      </c>
      <c r="D102">
        <f t="shared" si="12"/>
        <v>0.9</v>
      </c>
      <c r="E102">
        <f t="shared" si="12"/>
        <v>926.6</v>
      </c>
      <c r="F102">
        <f t="shared" si="12"/>
        <v>26.2</v>
      </c>
      <c r="G102">
        <f t="shared" si="12"/>
        <v>3.4</v>
      </c>
      <c r="H102">
        <f t="shared" si="12"/>
        <v>29.3</v>
      </c>
      <c r="I102">
        <f t="shared" si="12"/>
        <v>0.9</v>
      </c>
      <c r="J102">
        <f t="shared" si="12"/>
        <v>0</v>
      </c>
      <c r="K102">
        <f t="shared" si="12"/>
        <v>1.3</v>
      </c>
      <c r="L102">
        <f t="shared" si="12"/>
        <v>1</v>
      </c>
      <c r="M102">
        <f t="shared" si="12"/>
        <v>1.4</v>
      </c>
      <c r="N102">
        <f t="shared" si="12"/>
        <v>0.1</v>
      </c>
      <c r="O102">
        <f t="shared" si="12"/>
        <v>5.3</v>
      </c>
      <c r="P102">
        <f t="shared" si="12"/>
        <v>19.399999999999999</v>
      </c>
      <c r="Q102">
        <f t="shared" si="12"/>
        <v>6.7</v>
      </c>
      <c r="R102">
        <f t="shared" si="12"/>
        <v>512.6</v>
      </c>
      <c r="S102">
        <f t="shared" si="12"/>
        <v>1.6</v>
      </c>
      <c r="T102">
        <f t="shared" si="12"/>
        <v>0.9</v>
      </c>
      <c r="U102">
        <f t="shared" si="12"/>
        <v>1</v>
      </c>
      <c r="V102">
        <f t="shared" si="12"/>
        <v>21.8</v>
      </c>
      <c r="W102">
        <f t="shared" si="12"/>
        <v>21.1</v>
      </c>
      <c r="X102">
        <f t="shared" si="10"/>
        <v>6812</v>
      </c>
    </row>
    <row r="103" spans="2:24" ht="16" customHeight="1">
      <c r="B103" s="10">
        <v>4</v>
      </c>
      <c r="C103">
        <f t="shared" ref="C103:W103" si="13">C15</f>
        <v>35.799999999999997</v>
      </c>
      <c r="D103">
        <f t="shared" si="13"/>
        <v>0.2</v>
      </c>
      <c r="E103">
        <f t="shared" si="13"/>
        <v>171.6</v>
      </c>
      <c r="F103">
        <f t="shared" si="13"/>
        <v>186.8</v>
      </c>
      <c r="G103">
        <f t="shared" si="13"/>
        <v>3.6</v>
      </c>
      <c r="H103">
        <f t="shared" si="13"/>
        <v>4.7</v>
      </c>
      <c r="I103">
        <f t="shared" si="13"/>
        <v>0.7</v>
      </c>
      <c r="J103">
        <f t="shared" si="13"/>
        <v>0</v>
      </c>
      <c r="K103">
        <f t="shared" si="13"/>
        <v>0.5</v>
      </c>
      <c r="L103">
        <f t="shared" si="13"/>
        <v>0.7</v>
      </c>
      <c r="M103">
        <f t="shared" si="13"/>
        <v>49</v>
      </c>
      <c r="N103">
        <f t="shared" si="13"/>
        <v>0.4</v>
      </c>
      <c r="O103">
        <f t="shared" si="13"/>
        <v>1.4</v>
      </c>
      <c r="P103">
        <f t="shared" si="13"/>
        <v>3.6</v>
      </c>
      <c r="Q103">
        <f t="shared" si="13"/>
        <v>1.5</v>
      </c>
      <c r="R103">
        <f t="shared" si="13"/>
        <v>7.3</v>
      </c>
      <c r="S103">
        <f t="shared" si="13"/>
        <v>0.6</v>
      </c>
      <c r="T103">
        <f t="shared" si="13"/>
        <v>0.9</v>
      </c>
      <c r="U103">
        <f t="shared" si="13"/>
        <v>0.3</v>
      </c>
      <c r="V103">
        <f t="shared" si="13"/>
        <v>17.600000000000001</v>
      </c>
      <c r="W103">
        <f t="shared" si="13"/>
        <v>36.1</v>
      </c>
      <c r="X103">
        <f t="shared" si="10"/>
        <v>481.5</v>
      </c>
    </row>
    <row r="104" spans="2:24" ht="16" customHeight="1">
      <c r="B104" s="10">
        <v>5</v>
      </c>
      <c r="C104">
        <f t="shared" ref="C104:W104" si="14">C16</f>
        <v>165.8</v>
      </c>
      <c r="D104">
        <f t="shared" si="14"/>
        <v>0.5</v>
      </c>
      <c r="E104">
        <f t="shared" si="14"/>
        <v>146.19999999999999</v>
      </c>
      <c r="F104">
        <f t="shared" si="14"/>
        <v>3.8</v>
      </c>
      <c r="G104">
        <f t="shared" si="14"/>
        <v>282.10000000000002</v>
      </c>
      <c r="H104">
        <f t="shared" si="14"/>
        <v>9.4</v>
      </c>
      <c r="I104">
        <f t="shared" si="14"/>
        <v>32.200000000000003</v>
      </c>
      <c r="J104">
        <f t="shared" si="14"/>
        <v>0.3</v>
      </c>
      <c r="K104">
        <f t="shared" si="14"/>
        <v>2.6</v>
      </c>
      <c r="L104">
        <f t="shared" si="14"/>
        <v>1.2</v>
      </c>
      <c r="M104">
        <f t="shared" si="14"/>
        <v>73.5</v>
      </c>
      <c r="N104">
        <f t="shared" si="14"/>
        <v>4.5999999999999996</v>
      </c>
      <c r="O104">
        <f t="shared" si="14"/>
        <v>345.4</v>
      </c>
      <c r="P104">
        <f t="shared" si="14"/>
        <v>100</v>
      </c>
      <c r="Q104">
        <f t="shared" si="14"/>
        <v>75</v>
      </c>
      <c r="R104">
        <f t="shared" si="14"/>
        <v>11.9</v>
      </c>
      <c r="S104">
        <f t="shared" si="14"/>
        <v>4.5999999999999996</v>
      </c>
      <c r="T104">
        <f t="shared" si="14"/>
        <v>13.1</v>
      </c>
      <c r="U104">
        <f t="shared" si="14"/>
        <v>7.6</v>
      </c>
      <c r="V104">
        <f t="shared" si="14"/>
        <v>73.599999999999994</v>
      </c>
      <c r="W104">
        <f t="shared" si="14"/>
        <v>40.200000000000003</v>
      </c>
      <c r="X104">
        <f t="shared" si="10"/>
        <v>332.8</v>
      </c>
    </row>
    <row r="105" spans="2:24" ht="16" customHeight="1">
      <c r="B105" s="13">
        <v>6</v>
      </c>
      <c r="C105">
        <f t="shared" ref="C105:W105" si="15">C17</f>
        <v>234.1</v>
      </c>
      <c r="D105">
        <f t="shared" si="15"/>
        <v>20.3</v>
      </c>
      <c r="E105">
        <f t="shared" si="15"/>
        <v>201.4</v>
      </c>
      <c r="F105">
        <f t="shared" si="15"/>
        <v>21.5</v>
      </c>
      <c r="G105">
        <f t="shared" si="15"/>
        <v>36.299999999999997</v>
      </c>
      <c r="H105">
        <f t="shared" si="15"/>
        <v>473.5</v>
      </c>
      <c r="I105">
        <f t="shared" si="15"/>
        <v>11.3</v>
      </c>
      <c r="J105">
        <f t="shared" si="15"/>
        <v>1.6</v>
      </c>
      <c r="K105">
        <f t="shared" si="15"/>
        <v>1.9</v>
      </c>
      <c r="L105">
        <f t="shared" si="15"/>
        <v>1.8</v>
      </c>
      <c r="M105">
        <f t="shared" si="15"/>
        <v>62.3</v>
      </c>
      <c r="N105">
        <f t="shared" si="15"/>
        <v>3.2</v>
      </c>
      <c r="O105">
        <f t="shared" si="15"/>
        <v>95.4</v>
      </c>
      <c r="P105">
        <f t="shared" si="15"/>
        <v>86.9</v>
      </c>
      <c r="Q105">
        <f t="shared" si="15"/>
        <v>2.2999999999999998</v>
      </c>
      <c r="R105">
        <f t="shared" si="15"/>
        <v>20.399999999999999</v>
      </c>
      <c r="S105">
        <f t="shared" si="15"/>
        <v>2.6</v>
      </c>
      <c r="T105">
        <f t="shared" si="15"/>
        <v>1.9</v>
      </c>
      <c r="U105">
        <f t="shared" si="15"/>
        <v>1.7</v>
      </c>
      <c r="V105">
        <f t="shared" si="15"/>
        <v>14.7</v>
      </c>
      <c r="W105">
        <f t="shared" si="15"/>
        <v>277.8</v>
      </c>
      <c r="X105">
        <f t="shared" si="10"/>
        <v>1530.3</v>
      </c>
    </row>
    <row r="106" spans="2:24" ht="16" customHeight="1">
      <c r="B106" s="15">
        <v>7</v>
      </c>
      <c r="C106">
        <f t="shared" ref="C106:W106" si="16">C18</f>
        <v>5.6</v>
      </c>
      <c r="D106">
        <f t="shared" si="16"/>
        <v>1.8</v>
      </c>
      <c r="E106">
        <f t="shared" si="16"/>
        <v>6.8</v>
      </c>
      <c r="F106">
        <f t="shared" si="16"/>
        <v>0.1</v>
      </c>
      <c r="G106">
        <f t="shared" si="16"/>
        <v>0.7</v>
      </c>
      <c r="H106">
        <f t="shared" si="16"/>
        <v>13.6</v>
      </c>
      <c r="I106">
        <f t="shared" si="16"/>
        <v>62.1</v>
      </c>
      <c r="J106">
        <f t="shared" si="16"/>
        <v>0.4</v>
      </c>
      <c r="K106">
        <f t="shared" si="16"/>
        <v>5.9</v>
      </c>
      <c r="L106">
        <f t="shared" si="16"/>
        <v>0.6</v>
      </c>
      <c r="M106">
        <f t="shared" si="16"/>
        <v>0.3</v>
      </c>
      <c r="N106">
        <f t="shared" si="16"/>
        <v>1</v>
      </c>
      <c r="O106">
        <f t="shared" si="16"/>
        <v>559.79999999999995</v>
      </c>
      <c r="P106">
        <f t="shared" si="16"/>
        <v>2.1</v>
      </c>
      <c r="Q106">
        <f t="shared" si="16"/>
        <v>1.3</v>
      </c>
      <c r="R106">
        <f t="shared" si="16"/>
        <v>0.6</v>
      </c>
      <c r="S106">
        <f t="shared" si="16"/>
        <v>1.2</v>
      </c>
      <c r="T106">
        <f t="shared" si="16"/>
        <v>1</v>
      </c>
      <c r="U106">
        <f t="shared" si="16"/>
        <v>0.2</v>
      </c>
      <c r="V106">
        <f t="shared" si="16"/>
        <v>0.4</v>
      </c>
      <c r="W106">
        <f t="shared" si="16"/>
        <v>12.8</v>
      </c>
      <c r="X106">
        <f t="shared" si="10"/>
        <v>135.6</v>
      </c>
    </row>
    <row r="107" spans="2:24" ht="16" customHeight="1">
      <c r="B107" s="13">
        <v>8</v>
      </c>
      <c r="C107">
        <f t="shared" ref="C107:W107" si="17">C19</f>
        <v>5.9</v>
      </c>
      <c r="D107">
        <f t="shared" si="17"/>
        <v>0</v>
      </c>
      <c r="E107">
        <f t="shared" si="17"/>
        <v>4.2</v>
      </c>
      <c r="F107">
        <f t="shared" si="17"/>
        <v>0</v>
      </c>
      <c r="G107">
        <f t="shared" si="17"/>
        <v>1.2</v>
      </c>
      <c r="H107">
        <f t="shared" si="17"/>
        <v>59.9</v>
      </c>
      <c r="I107">
        <f t="shared" si="17"/>
        <v>3.8</v>
      </c>
      <c r="J107">
        <f t="shared" si="17"/>
        <v>9.8000000000000007</v>
      </c>
      <c r="K107">
        <f t="shared" si="17"/>
        <v>0</v>
      </c>
      <c r="L107">
        <f t="shared" si="17"/>
        <v>0</v>
      </c>
      <c r="M107">
        <f t="shared" si="17"/>
        <v>8.5</v>
      </c>
      <c r="N107">
        <f t="shared" si="17"/>
        <v>0</v>
      </c>
      <c r="O107">
        <f t="shared" si="17"/>
        <v>27.2</v>
      </c>
      <c r="P107">
        <f t="shared" si="17"/>
        <v>0.5</v>
      </c>
      <c r="Q107">
        <f t="shared" si="17"/>
        <v>0.2</v>
      </c>
      <c r="R107">
        <f t="shared" si="17"/>
        <v>0.1</v>
      </c>
      <c r="S107">
        <f t="shared" si="17"/>
        <v>0.1</v>
      </c>
      <c r="T107">
        <f t="shared" si="17"/>
        <v>0.9</v>
      </c>
      <c r="U107">
        <f t="shared" si="17"/>
        <v>0</v>
      </c>
      <c r="V107">
        <f t="shared" si="17"/>
        <v>0.1</v>
      </c>
      <c r="W107">
        <f t="shared" si="17"/>
        <v>0.8</v>
      </c>
      <c r="X107">
        <f t="shared" si="10"/>
        <v>7.1</v>
      </c>
    </row>
    <row r="108" spans="2:24" ht="16" customHeight="1">
      <c r="B108" s="10">
        <v>9</v>
      </c>
      <c r="C108">
        <f t="shared" ref="C108:W108" si="18">C20</f>
        <v>9.3000000000000007</v>
      </c>
      <c r="D108">
        <f t="shared" si="18"/>
        <v>24.8</v>
      </c>
      <c r="E108">
        <f t="shared" si="18"/>
        <v>6</v>
      </c>
      <c r="F108">
        <f t="shared" si="18"/>
        <v>0.3</v>
      </c>
      <c r="G108">
        <f t="shared" si="18"/>
        <v>3.8</v>
      </c>
      <c r="H108">
        <f t="shared" si="18"/>
        <v>66.7</v>
      </c>
      <c r="I108">
        <f t="shared" si="18"/>
        <v>0.8</v>
      </c>
      <c r="J108">
        <f t="shared" si="18"/>
        <v>0.1</v>
      </c>
      <c r="K108">
        <f t="shared" si="18"/>
        <v>96.3</v>
      </c>
      <c r="L108">
        <f t="shared" si="18"/>
        <v>49.2</v>
      </c>
      <c r="M108">
        <f t="shared" si="18"/>
        <v>38.9</v>
      </c>
      <c r="N108">
        <f t="shared" si="18"/>
        <v>4.7</v>
      </c>
      <c r="O108">
        <f t="shared" si="18"/>
        <v>79.900000000000006</v>
      </c>
      <c r="P108">
        <f t="shared" si="18"/>
        <v>51.6</v>
      </c>
      <c r="Q108">
        <f t="shared" si="18"/>
        <v>3</v>
      </c>
      <c r="R108">
        <f t="shared" si="18"/>
        <v>1.7</v>
      </c>
      <c r="S108">
        <f t="shared" si="18"/>
        <v>4.2</v>
      </c>
      <c r="T108">
        <f t="shared" si="18"/>
        <v>2.4</v>
      </c>
      <c r="U108">
        <f t="shared" si="18"/>
        <v>0.7</v>
      </c>
      <c r="V108">
        <f t="shared" si="18"/>
        <v>1.6</v>
      </c>
      <c r="W108">
        <f t="shared" si="18"/>
        <v>22.7</v>
      </c>
      <c r="X108">
        <f t="shared" si="10"/>
        <v>55.2</v>
      </c>
    </row>
    <row r="109" spans="2:24" ht="16" customHeight="1">
      <c r="B109" s="10">
        <v>10</v>
      </c>
      <c r="C109">
        <f t="shared" ref="C109:W109" si="19">C21</f>
        <v>2.5</v>
      </c>
      <c r="D109">
        <f t="shared" si="19"/>
        <v>0.1</v>
      </c>
      <c r="E109">
        <f t="shared" si="19"/>
        <v>2</v>
      </c>
      <c r="F109">
        <f t="shared" si="19"/>
        <v>0.1</v>
      </c>
      <c r="G109">
        <f t="shared" si="19"/>
        <v>0.4</v>
      </c>
      <c r="H109">
        <f t="shared" si="19"/>
        <v>0.9</v>
      </c>
      <c r="I109">
        <f t="shared" si="19"/>
        <v>0.1</v>
      </c>
      <c r="J109">
        <f t="shared" si="19"/>
        <v>0</v>
      </c>
      <c r="K109">
        <f t="shared" si="19"/>
        <v>12.8</v>
      </c>
      <c r="L109">
        <f t="shared" si="19"/>
        <v>8</v>
      </c>
      <c r="M109">
        <f t="shared" si="19"/>
        <v>2.6</v>
      </c>
      <c r="N109">
        <f t="shared" si="19"/>
        <v>0.3</v>
      </c>
      <c r="O109">
        <f t="shared" si="19"/>
        <v>0.7</v>
      </c>
      <c r="P109">
        <f t="shared" si="19"/>
        <v>2.5</v>
      </c>
      <c r="Q109">
        <f t="shared" si="19"/>
        <v>1.4</v>
      </c>
      <c r="R109">
        <f t="shared" si="19"/>
        <v>0.5</v>
      </c>
      <c r="S109">
        <f t="shared" si="19"/>
        <v>11.2</v>
      </c>
      <c r="T109">
        <f t="shared" si="19"/>
        <v>1</v>
      </c>
      <c r="U109">
        <f t="shared" si="19"/>
        <v>0.2</v>
      </c>
      <c r="V109">
        <f t="shared" si="19"/>
        <v>0.5</v>
      </c>
      <c r="W109">
        <f t="shared" si="19"/>
        <v>3.4</v>
      </c>
      <c r="X109">
        <f t="shared" si="10"/>
        <v>103.5</v>
      </c>
    </row>
    <row r="110" spans="2:24" ht="16" customHeight="1">
      <c r="B110" s="10">
        <v>11</v>
      </c>
      <c r="C110">
        <f t="shared" ref="C110:W110" si="20">C22</f>
        <v>246.1</v>
      </c>
      <c r="D110">
        <f t="shared" si="20"/>
        <v>35</v>
      </c>
      <c r="E110">
        <f t="shared" si="20"/>
        <v>70</v>
      </c>
      <c r="F110">
        <f t="shared" si="20"/>
        <v>28.8</v>
      </c>
      <c r="G110">
        <f t="shared" si="20"/>
        <v>40.9</v>
      </c>
      <c r="H110">
        <f t="shared" si="20"/>
        <v>39.1</v>
      </c>
      <c r="I110">
        <f t="shared" si="20"/>
        <v>5</v>
      </c>
      <c r="J110">
        <f t="shared" si="20"/>
        <v>0.6</v>
      </c>
      <c r="K110">
        <f t="shared" si="20"/>
        <v>0.3</v>
      </c>
      <c r="L110">
        <f t="shared" si="20"/>
        <v>8.6999999999999993</v>
      </c>
      <c r="M110">
        <f t="shared" si="20"/>
        <v>13.9</v>
      </c>
      <c r="N110">
        <f t="shared" si="20"/>
        <v>3.9</v>
      </c>
      <c r="O110">
        <f t="shared" si="20"/>
        <v>11.4</v>
      </c>
      <c r="P110">
        <f t="shared" si="20"/>
        <v>41.4</v>
      </c>
      <c r="Q110">
        <f t="shared" si="20"/>
        <v>344</v>
      </c>
      <c r="R110">
        <f t="shared" si="20"/>
        <v>2.2000000000000002</v>
      </c>
      <c r="S110">
        <f t="shared" si="20"/>
        <v>0.4</v>
      </c>
      <c r="T110">
        <f t="shared" si="20"/>
        <v>18</v>
      </c>
      <c r="U110">
        <f t="shared" si="20"/>
        <v>11.7</v>
      </c>
      <c r="V110">
        <f t="shared" si="20"/>
        <v>51.7</v>
      </c>
      <c r="W110">
        <f t="shared" si="20"/>
        <v>77</v>
      </c>
      <c r="X110">
        <f t="shared" si="10"/>
        <v>275.3</v>
      </c>
    </row>
    <row r="111" spans="2:24" ht="16" customHeight="1">
      <c r="B111" s="10">
        <v>12</v>
      </c>
      <c r="C111">
        <f t="shared" ref="C111:W111" si="21">C23</f>
        <v>24.6</v>
      </c>
      <c r="D111">
        <f t="shared" si="21"/>
        <v>2.4</v>
      </c>
      <c r="E111">
        <f t="shared" si="21"/>
        <v>261.10000000000002</v>
      </c>
      <c r="F111">
        <f t="shared" si="21"/>
        <v>26.1</v>
      </c>
      <c r="G111">
        <f t="shared" si="21"/>
        <v>22.4</v>
      </c>
      <c r="H111">
        <f t="shared" si="21"/>
        <v>50.9</v>
      </c>
      <c r="I111">
        <f t="shared" si="21"/>
        <v>21.4</v>
      </c>
      <c r="J111">
        <f t="shared" si="21"/>
        <v>1.4</v>
      </c>
      <c r="K111">
        <f t="shared" si="21"/>
        <v>15.2</v>
      </c>
      <c r="L111">
        <f t="shared" si="21"/>
        <v>6.6</v>
      </c>
      <c r="M111">
        <f t="shared" si="21"/>
        <v>13.2</v>
      </c>
      <c r="N111">
        <f t="shared" si="21"/>
        <v>357.8</v>
      </c>
      <c r="O111">
        <f t="shared" si="21"/>
        <v>4.3</v>
      </c>
      <c r="P111">
        <f t="shared" si="21"/>
        <v>281</v>
      </c>
      <c r="Q111">
        <f t="shared" si="21"/>
        <v>38.299999999999997</v>
      </c>
      <c r="R111">
        <f t="shared" si="21"/>
        <v>49.4</v>
      </c>
      <c r="S111">
        <f t="shared" si="21"/>
        <v>14.5</v>
      </c>
      <c r="T111">
        <f t="shared" si="21"/>
        <v>24.7</v>
      </c>
      <c r="U111">
        <f t="shared" si="21"/>
        <v>103.9</v>
      </c>
      <c r="V111">
        <f t="shared" si="21"/>
        <v>80.5</v>
      </c>
      <c r="W111">
        <f t="shared" si="21"/>
        <v>279.10000000000002</v>
      </c>
      <c r="X111">
        <f t="shared" si="10"/>
        <v>310.5</v>
      </c>
    </row>
    <row r="112" spans="2:24" ht="16" customHeight="1">
      <c r="B112" s="10">
        <v>13</v>
      </c>
      <c r="C112">
        <f t="shared" ref="C112:W112" si="22">C24</f>
        <v>0</v>
      </c>
      <c r="D112">
        <f t="shared" si="22"/>
        <v>0</v>
      </c>
      <c r="E112">
        <f t="shared" si="22"/>
        <v>0</v>
      </c>
      <c r="F112">
        <f t="shared" si="22"/>
        <v>0</v>
      </c>
      <c r="G112">
        <f t="shared" si="22"/>
        <v>0</v>
      </c>
      <c r="H112">
        <f t="shared" si="22"/>
        <v>0</v>
      </c>
      <c r="I112">
        <f t="shared" si="22"/>
        <v>0</v>
      </c>
      <c r="J112">
        <f t="shared" si="22"/>
        <v>0</v>
      </c>
      <c r="K112">
        <f t="shared" si="22"/>
        <v>17.2</v>
      </c>
      <c r="L112">
        <f t="shared" si="22"/>
        <v>11.1</v>
      </c>
      <c r="M112">
        <f t="shared" si="22"/>
        <v>0</v>
      </c>
      <c r="N112">
        <f t="shared" si="22"/>
        <v>0</v>
      </c>
      <c r="O112">
        <f t="shared" si="22"/>
        <v>183</v>
      </c>
      <c r="P112">
        <f t="shared" si="22"/>
        <v>0</v>
      </c>
      <c r="Q112">
        <f t="shared" si="22"/>
        <v>0</v>
      </c>
      <c r="R112">
        <f t="shared" si="22"/>
        <v>0</v>
      </c>
      <c r="S112">
        <f t="shared" si="22"/>
        <v>236</v>
      </c>
      <c r="T112">
        <f t="shared" si="22"/>
        <v>5</v>
      </c>
      <c r="U112">
        <f t="shared" si="22"/>
        <v>17.8</v>
      </c>
      <c r="V112">
        <f t="shared" si="22"/>
        <v>7.2</v>
      </c>
      <c r="W112">
        <f t="shared" si="22"/>
        <v>6.9</v>
      </c>
      <c r="X112">
        <f t="shared" si="10"/>
        <v>127.9</v>
      </c>
    </row>
    <row r="113" spans="2:28" ht="16" customHeight="1">
      <c r="B113" s="10">
        <v>14</v>
      </c>
      <c r="C113">
        <f t="shared" ref="C113:W113" si="23">C25</f>
        <v>426.8</v>
      </c>
      <c r="D113">
        <f t="shared" si="23"/>
        <v>62.2</v>
      </c>
      <c r="E113">
        <f t="shared" si="23"/>
        <v>913.6</v>
      </c>
      <c r="F113">
        <f t="shared" si="23"/>
        <v>52.5</v>
      </c>
      <c r="G113">
        <f t="shared" si="23"/>
        <v>203</v>
      </c>
      <c r="H113">
        <f t="shared" si="23"/>
        <v>356.4</v>
      </c>
      <c r="I113">
        <f t="shared" si="23"/>
        <v>59.4</v>
      </c>
      <c r="J113">
        <f t="shared" si="23"/>
        <v>5.0999999999999996</v>
      </c>
      <c r="K113">
        <f t="shared" si="23"/>
        <v>122.9</v>
      </c>
      <c r="L113">
        <f t="shared" si="23"/>
        <v>45.7</v>
      </c>
      <c r="M113">
        <f t="shared" si="23"/>
        <v>113.2</v>
      </c>
      <c r="N113">
        <f t="shared" si="23"/>
        <v>10.4</v>
      </c>
      <c r="O113">
        <f t="shared" si="23"/>
        <v>414.1</v>
      </c>
      <c r="P113">
        <f t="shared" si="23"/>
        <v>415.9</v>
      </c>
      <c r="Q113">
        <f t="shared" si="23"/>
        <v>538.79999999999995</v>
      </c>
      <c r="R113">
        <f t="shared" si="23"/>
        <v>75.599999999999994</v>
      </c>
      <c r="S113">
        <f t="shared" si="23"/>
        <v>127.7</v>
      </c>
      <c r="T113">
        <f t="shared" si="23"/>
        <v>24.8</v>
      </c>
      <c r="U113">
        <f t="shared" si="23"/>
        <v>20.6</v>
      </c>
      <c r="V113">
        <f t="shared" si="23"/>
        <v>105.8</v>
      </c>
      <c r="W113">
        <f t="shared" si="23"/>
        <v>297.39999999999998</v>
      </c>
      <c r="X113">
        <f t="shared" si="10"/>
        <v>2679.4</v>
      </c>
    </row>
    <row r="114" spans="2:28" ht="16" customHeight="1">
      <c r="B114" s="10">
        <v>15</v>
      </c>
      <c r="C114">
        <f t="shared" ref="C114:W114" si="24">C26</f>
        <v>472</v>
      </c>
      <c r="D114">
        <f t="shared" si="24"/>
        <v>10.9</v>
      </c>
      <c r="E114">
        <f t="shared" si="24"/>
        <v>175.3</v>
      </c>
      <c r="F114">
        <f t="shared" si="24"/>
        <v>4.7</v>
      </c>
      <c r="G114">
        <f t="shared" si="24"/>
        <v>12.7</v>
      </c>
      <c r="H114">
        <f t="shared" si="24"/>
        <v>50.9</v>
      </c>
      <c r="I114">
        <f t="shared" si="24"/>
        <v>10.6</v>
      </c>
      <c r="J114">
        <f t="shared" si="24"/>
        <v>0.9</v>
      </c>
      <c r="K114">
        <f t="shared" si="24"/>
        <v>6</v>
      </c>
      <c r="L114">
        <f t="shared" si="24"/>
        <v>24.5</v>
      </c>
      <c r="M114">
        <f t="shared" si="24"/>
        <v>9.1</v>
      </c>
      <c r="N114">
        <f t="shared" si="24"/>
        <v>31.7</v>
      </c>
      <c r="O114">
        <f t="shared" si="24"/>
        <v>35.299999999999997</v>
      </c>
      <c r="P114">
        <f t="shared" si="24"/>
        <v>584.6</v>
      </c>
      <c r="Q114">
        <f t="shared" si="24"/>
        <v>12</v>
      </c>
      <c r="R114">
        <f t="shared" si="24"/>
        <v>10.3</v>
      </c>
      <c r="S114">
        <f t="shared" si="24"/>
        <v>5.4</v>
      </c>
      <c r="T114">
        <f t="shared" si="24"/>
        <v>23</v>
      </c>
      <c r="U114">
        <f t="shared" si="24"/>
        <v>32.4</v>
      </c>
      <c r="V114">
        <f t="shared" si="24"/>
        <v>101.2</v>
      </c>
      <c r="W114">
        <f t="shared" si="24"/>
        <v>51</v>
      </c>
      <c r="X114">
        <f t="shared" si="10"/>
        <v>1691.2</v>
      </c>
    </row>
    <row r="115" spans="2:28" ht="16" customHeight="1">
      <c r="B115" s="10">
        <v>16</v>
      </c>
      <c r="C115">
        <f t="shared" ref="C115:W115" si="25">C27</f>
        <v>21.5</v>
      </c>
      <c r="D115">
        <f t="shared" si="25"/>
        <v>2</v>
      </c>
      <c r="E115">
        <f t="shared" si="25"/>
        <v>16.899999999999999</v>
      </c>
      <c r="F115">
        <f t="shared" si="25"/>
        <v>0.9</v>
      </c>
      <c r="G115">
        <f t="shared" si="25"/>
        <v>3.6</v>
      </c>
      <c r="H115">
        <f t="shared" si="25"/>
        <v>11.3</v>
      </c>
      <c r="I115">
        <f t="shared" si="25"/>
        <v>1.1000000000000001</v>
      </c>
      <c r="J115">
        <f t="shared" si="25"/>
        <v>0.5</v>
      </c>
      <c r="K115">
        <f t="shared" si="25"/>
        <v>8.6999999999999993</v>
      </c>
      <c r="L115">
        <f t="shared" si="25"/>
        <v>2.4</v>
      </c>
      <c r="M115">
        <f t="shared" si="25"/>
        <v>2.2000000000000002</v>
      </c>
      <c r="N115">
        <f t="shared" si="25"/>
        <v>19.7</v>
      </c>
      <c r="O115">
        <f t="shared" si="25"/>
        <v>8.6999999999999993</v>
      </c>
      <c r="P115">
        <f t="shared" si="25"/>
        <v>20.399999999999999</v>
      </c>
      <c r="Q115">
        <f t="shared" si="25"/>
        <v>22.9</v>
      </c>
      <c r="R115">
        <f t="shared" si="25"/>
        <v>18.100000000000001</v>
      </c>
      <c r="S115">
        <f t="shared" si="25"/>
        <v>23.8</v>
      </c>
      <c r="T115">
        <f t="shared" si="25"/>
        <v>15.6</v>
      </c>
      <c r="U115">
        <f t="shared" si="25"/>
        <v>6.9</v>
      </c>
      <c r="V115">
        <f t="shared" si="25"/>
        <v>22.2</v>
      </c>
      <c r="W115">
        <f t="shared" si="25"/>
        <v>113.2</v>
      </c>
      <c r="X115">
        <f t="shared" si="10"/>
        <v>1236.5</v>
      </c>
    </row>
    <row r="116" spans="2:28" ht="16" customHeight="1">
      <c r="B116" s="10">
        <v>17</v>
      </c>
      <c r="C116">
        <f t="shared" ref="C116:W116" si="26">C28</f>
        <v>4.0999999999999996</v>
      </c>
      <c r="D116">
        <f t="shared" si="26"/>
        <v>1.2</v>
      </c>
      <c r="E116">
        <f t="shared" si="26"/>
        <v>37.6</v>
      </c>
      <c r="F116">
        <f t="shared" si="26"/>
        <v>8</v>
      </c>
      <c r="G116">
        <f t="shared" si="26"/>
        <v>7.7</v>
      </c>
      <c r="H116">
        <f t="shared" si="26"/>
        <v>9.1</v>
      </c>
      <c r="I116">
        <f t="shared" si="26"/>
        <v>2.1</v>
      </c>
      <c r="J116">
        <f t="shared" si="26"/>
        <v>2.7</v>
      </c>
      <c r="K116">
        <f t="shared" si="26"/>
        <v>8</v>
      </c>
      <c r="L116">
        <f t="shared" si="26"/>
        <v>8.3000000000000007</v>
      </c>
      <c r="M116">
        <f t="shared" si="26"/>
        <v>8.9</v>
      </c>
      <c r="N116">
        <f t="shared" si="26"/>
        <v>1.3</v>
      </c>
      <c r="O116">
        <f t="shared" si="26"/>
        <v>6.8</v>
      </c>
      <c r="P116">
        <f t="shared" si="26"/>
        <v>773.2</v>
      </c>
      <c r="Q116">
        <f t="shared" si="26"/>
        <v>32.6</v>
      </c>
      <c r="R116">
        <f t="shared" si="26"/>
        <v>20.100000000000001</v>
      </c>
      <c r="S116">
        <f t="shared" si="26"/>
        <v>556.79999999999995</v>
      </c>
      <c r="T116">
        <f t="shared" si="26"/>
        <v>84.2</v>
      </c>
      <c r="U116">
        <f t="shared" si="26"/>
        <v>33.700000000000003</v>
      </c>
      <c r="V116">
        <f t="shared" si="26"/>
        <v>156.1</v>
      </c>
      <c r="W116">
        <f t="shared" si="26"/>
        <v>131.5</v>
      </c>
      <c r="X116">
        <f t="shared" si="10"/>
        <v>797.4</v>
      </c>
    </row>
    <row r="117" spans="2:28" ht="16" customHeight="1">
      <c r="B117" s="10">
        <v>18</v>
      </c>
      <c r="C117">
        <f t="shared" ref="C117:W117" si="27">C29</f>
        <v>481.6</v>
      </c>
      <c r="D117">
        <f t="shared" si="27"/>
        <v>1.4</v>
      </c>
      <c r="E117">
        <f t="shared" si="27"/>
        <v>240.6</v>
      </c>
      <c r="F117">
        <f t="shared" si="27"/>
        <v>17.3</v>
      </c>
      <c r="G117">
        <f t="shared" si="27"/>
        <v>26.4</v>
      </c>
      <c r="H117">
        <f t="shared" si="27"/>
        <v>120.6</v>
      </c>
      <c r="I117">
        <f t="shared" si="27"/>
        <v>3.3</v>
      </c>
      <c r="J117">
        <f t="shared" si="27"/>
        <v>14.5</v>
      </c>
      <c r="K117">
        <f t="shared" si="27"/>
        <v>12.4</v>
      </c>
      <c r="L117">
        <f t="shared" si="27"/>
        <v>7.6</v>
      </c>
      <c r="M117">
        <f t="shared" si="27"/>
        <v>83.4</v>
      </c>
      <c r="N117">
        <f t="shared" si="27"/>
        <v>8.1</v>
      </c>
      <c r="O117">
        <f t="shared" si="27"/>
        <v>55.9</v>
      </c>
      <c r="P117">
        <f t="shared" si="27"/>
        <v>724.9</v>
      </c>
      <c r="Q117">
        <f t="shared" si="27"/>
        <v>84.5</v>
      </c>
      <c r="R117">
        <f t="shared" si="27"/>
        <v>18.3</v>
      </c>
      <c r="S117">
        <f t="shared" si="27"/>
        <v>14.2</v>
      </c>
      <c r="T117">
        <f t="shared" si="27"/>
        <v>267.2</v>
      </c>
      <c r="U117">
        <f t="shared" si="27"/>
        <v>10.7</v>
      </c>
      <c r="V117">
        <f t="shared" si="27"/>
        <v>79</v>
      </c>
      <c r="W117">
        <f t="shared" si="27"/>
        <v>165.8</v>
      </c>
      <c r="X117">
        <f t="shared" si="10"/>
        <v>867.2</v>
      </c>
    </row>
    <row r="118" spans="2:28" ht="16" customHeight="1">
      <c r="B118" s="10">
        <v>19</v>
      </c>
      <c r="C118">
        <f t="shared" ref="C118:W118" si="28">C30</f>
        <v>426.9</v>
      </c>
      <c r="D118">
        <f t="shared" si="28"/>
        <v>1.9</v>
      </c>
      <c r="E118">
        <f t="shared" si="28"/>
        <v>27.1</v>
      </c>
      <c r="F118">
        <f t="shared" si="28"/>
        <v>6.9</v>
      </c>
      <c r="G118">
        <f t="shared" si="28"/>
        <v>6.7</v>
      </c>
      <c r="H118">
        <f t="shared" si="28"/>
        <v>11.8</v>
      </c>
      <c r="I118">
        <f t="shared" si="28"/>
        <v>2.1</v>
      </c>
      <c r="J118">
        <f t="shared" si="28"/>
        <v>0.7</v>
      </c>
      <c r="K118">
        <f t="shared" si="28"/>
        <v>0.2</v>
      </c>
      <c r="L118">
        <f t="shared" si="28"/>
        <v>0.2</v>
      </c>
      <c r="M118">
        <f t="shared" si="28"/>
        <v>11.8</v>
      </c>
      <c r="N118">
        <f t="shared" si="28"/>
        <v>2.9</v>
      </c>
      <c r="O118">
        <f t="shared" si="28"/>
        <v>1.5</v>
      </c>
      <c r="P118">
        <f t="shared" si="28"/>
        <v>302</v>
      </c>
      <c r="Q118">
        <f t="shared" si="28"/>
        <v>51.9</v>
      </c>
      <c r="R118">
        <f t="shared" si="28"/>
        <v>27.5</v>
      </c>
      <c r="S118">
        <f t="shared" si="28"/>
        <v>19.2</v>
      </c>
      <c r="T118">
        <f t="shared" si="28"/>
        <v>36.299999999999997</v>
      </c>
      <c r="U118">
        <f t="shared" si="28"/>
        <v>12.9</v>
      </c>
      <c r="V118">
        <f t="shared" si="28"/>
        <v>58.9</v>
      </c>
      <c r="W118">
        <f t="shared" si="28"/>
        <v>139.5</v>
      </c>
      <c r="X118">
        <f t="shared" si="10"/>
        <v>1782.6</v>
      </c>
    </row>
    <row r="119" spans="2:28" ht="16" customHeight="1">
      <c r="B119" s="10">
        <v>20</v>
      </c>
      <c r="C119">
        <f t="shared" ref="C119:W119" si="29">C31</f>
        <v>264.60000000000002</v>
      </c>
      <c r="D119">
        <f t="shared" si="29"/>
        <v>7.6</v>
      </c>
      <c r="E119">
        <f t="shared" si="29"/>
        <v>187.1</v>
      </c>
      <c r="F119">
        <f t="shared" si="29"/>
        <v>10.5</v>
      </c>
      <c r="G119">
        <f t="shared" si="29"/>
        <v>43.6</v>
      </c>
      <c r="H119">
        <f t="shared" si="29"/>
        <v>98.7</v>
      </c>
      <c r="I119">
        <f t="shared" si="29"/>
        <v>10.1</v>
      </c>
      <c r="J119">
        <f t="shared" si="29"/>
        <v>5.9</v>
      </c>
      <c r="K119">
        <f t="shared" si="29"/>
        <v>6.5</v>
      </c>
      <c r="L119">
        <f t="shared" si="29"/>
        <v>2.2999999999999998</v>
      </c>
      <c r="M119">
        <f t="shared" si="29"/>
        <v>21.3</v>
      </c>
      <c r="N119">
        <f t="shared" si="29"/>
        <v>52.8</v>
      </c>
      <c r="O119">
        <f t="shared" si="29"/>
        <v>36.9</v>
      </c>
      <c r="P119">
        <f t="shared" si="29"/>
        <v>254.8</v>
      </c>
      <c r="Q119">
        <f t="shared" si="29"/>
        <v>112.2</v>
      </c>
      <c r="R119">
        <f t="shared" si="29"/>
        <v>76</v>
      </c>
      <c r="S119">
        <f t="shared" si="29"/>
        <v>155.5</v>
      </c>
      <c r="T119">
        <f t="shared" si="29"/>
        <v>137.80000000000001</v>
      </c>
      <c r="U119">
        <f t="shared" si="29"/>
        <v>33.200000000000003</v>
      </c>
      <c r="V119">
        <f t="shared" si="29"/>
        <v>53.3</v>
      </c>
      <c r="W119">
        <f t="shared" si="29"/>
        <v>278.39999999999998</v>
      </c>
      <c r="X119">
        <f t="shared" si="10"/>
        <v>141.6</v>
      </c>
    </row>
    <row r="120" spans="2:28" ht="16" customHeight="1">
      <c r="B120" s="15">
        <v>21</v>
      </c>
      <c r="C120">
        <f t="shared" ref="C120:W120" si="30">C32</f>
        <v>20.399999999999999</v>
      </c>
      <c r="D120">
        <f t="shared" si="30"/>
        <v>0.4</v>
      </c>
      <c r="E120">
        <f t="shared" si="30"/>
        <v>15.2</v>
      </c>
      <c r="F120">
        <f t="shared" si="30"/>
        <v>2.7</v>
      </c>
      <c r="G120">
        <f t="shared" si="30"/>
        <v>2.1</v>
      </c>
      <c r="H120">
        <f t="shared" si="30"/>
        <v>2.2999999999999998</v>
      </c>
      <c r="I120">
        <f t="shared" si="30"/>
        <v>0.4</v>
      </c>
      <c r="J120">
        <f t="shared" si="30"/>
        <v>0</v>
      </c>
      <c r="K120">
        <f t="shared" si="30"/>
        <v>13.8</v>
      </c>
      <c r="L120">
        <f t="shared" si="30"/>
        <v>3.9</v>
      </c>
      <c r="M120">
        <f t="shared" si="30"/>
        <v>1</v>
      </c>
      <c r="N120">
        <f t="shared" si="30"/>
        <v>19.600000000000001</v>
      </c>
      <c r="O120">
        <f t="shared" si="30"/>
        <v>8.6</v>
      </c>
      <c r="P120">
        <f t="shared" si="30"/>
        <v>15.1</v>
      </c>
      <c r="Q120">
        <f t="shared" si="30"/>
        <v>4.8</v>
      </c>
      <c r="R120">
        <f t="shared" si="30"/>
        <v>18.5</v>
      </c>
      <c r="S120">
        <f t="shared" si="30"/>
        <v>23.1</v>
      </c>
      <c r="T120">
        <f t="shared" si="30"/>
        <v>35.9</v>
      </c>
      <c r="U120">
        <f t="shared" si="30"/>
        <v>3.1</v>
      </c>
      <c r="V120">
        <f t="shared" si="30"/>
        <v>28.8</v>
      </c>
      <c r="W120">
        <f t="shared" si="30"/>
        <v>75.7</v>
      </c>
      <c r="X120">
        <f t="shared" si="10"/>
        <v>8628.2000000000007</v>
      </c>
    </row>
    <row r="121" spans="2:28" ht="16" customHeight="1">
      <c r="B121" s="10">
        <v>22</v>
      </c>
      <c r="C121">
        <f t="shared" ref="C121:W121" si="31">C40</f>
        <v>564.4</v>
      </c>
      <c r="D121">
        <f t="shared" si="31"/>
        <v>31.8</v>
      </c>
      <c r="E121">
        <f t="shared" si="31"/>
        <v>896.6</v>
      </c>
      <c r="F121">
        <f t="shared" si="31"/>
        <v>123.4</v>
      </c>
      <c r="G121">
        <f t="shared" si="31"/>
        <v>93.9</v>
      </c>
      <c r="H121">
        <f t="shared" si="31"/>
        <v>208.8</v>
      </c>
      <c r="I121">
        <f t="shared" si="31"/>
        <v>81.2</v>
      </c>
      <c r="J121">
        <f t="shared" si="31"/>
        <v>53.9</v>
      </c>
      <c r="K121">
        <f t="shared" si="31"/>
        <v>73.5</v>
      </c>
      <c r="L121">
        <f t="shared" si="31"/>
        <v>53.3</v>
      </c>
      <c r="M121">
        <f t="shared" si="31"/>
        <v>121.6</v>
      </c>
      <c r="N121">
        <f t="shared" si="31"/>
        <v>654.9</v>
      </c>
      <c r="O121">
        <f t="shared" si="31"/>
        <v>1395</v>
      </c>
      <c r="P121">
        <f t="shared" si="31"/>
        <v>1889.2</v>
      </c>
      <c r="Q121">
        <f t="shared" si="31"/>
        <v>582.1</v>
      </c>
      <c r="R121">
        <f t="shared" si="31"/>
        <v>397.5</v>
      </c>
      <c r="S121">
        <f t="shared" si="31"/>
        <v>233.1</v>
      </c>
      <c r="T121">
        <f t="shared" si="31"/>
        <v>662.8</v>
      </c>
      <c r="U121">
        <f t="shared" si="31"/>
        <v>147.6</v>
      </c>
      <c r="V121">
        <f t="shared" si="31"/>
        <v>354.4</v>
      </c>
      <c r="W121">
        <f t="shared" si="31"/>
        <v>5213.8</v>
      </c>
      <c r="X121">
        <f t="shared" si="10"/>
        <v>0</v>
      </c>
    </row>
    <row r="122" spans="2:28">
      <c r="B122" s="10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</row>
    <row r="123" spans="2:28" ht="16" customHeight="1">
      <c r="B123" s="10" t="s">
        <v>527</v>
      </c>
      <c r="C123" s="337">
        <f t="shared" ref="C123:W123" si="32">C46</f>
        <v>9234.1999999999989</v>
      </c>
      <c r="D123" s="337">
        <f t="shared" si="32"/>
        <v>431.20000000000005</v>
      </c>
      <c r="E123" s="337">
        <f t="shared" si="32"/>
        <v>12661.800000000003</v>
      </c>
      <c r="F123" s="337">
        <f t="shared" si="32"/>
        <v>1151.6999999999998</v>
      </c>
      <c r="G123" s="337">
        <f t="shared" si="32"/>
        <v>1747.1000000000001</v>
      </c>
      <c r="H123" s="337">
        <f t="shared" si="32"/>
        <v>3704</v>
      </c>
      <c r="I123" s="337">
        <f t="shared" si="32"/>
        <v>825.30000000000018</v>
      </c>
      <c r="J123" s="337">
        <f t="shared" si="32"/>
        <v>200</v>
      </c>
      <c r="K123" s="337">
        <f t="shared" si="32"/>
        <v>1026.1999999999998</v>
      </c>
      <c r="L123" s="337">
        <f t="shared" si="32"/>
        <v>406.9</v>
      </c>
      <c r="M123" s="337">
        <f t="shared" si="32"/>
        <v>1453.6</v>
      </c>
      <c r="N123" s="337">
        <f t="shared" si="32"/>
        <v>3384.2</v>
      </c>
      <c r="O123" s="337">
        <f t="shared" si="32"/>
        <v>5714.4</v>
      </c>
      <c r="P123" s="337">
        <f t="shared" si="32"/>
        <v>9754.4</v>
      </c>
      <c r="Q123" s="337">
        <f t="shared" si="32"/>
        <v>3998.5</v>
      </c>
      <c r="R123" s="337">
        <f t="shared" si="32"/>
        <v>2292.1</v>
      </c>
      <c r="S123" s="337">
        <f t="shared" si="32"/>
        <v>2716.4</v>
      </c>
      <c r="T123" s="337">
        <f t="shared" si="32"/>
        <v>3326</v>
      </c>
      <c r="U123" s="337">
        <f t="shared" si="32"/>
        <v>2938.7</v>
      </c>
      <c r="V123" s="337">
        <f t="shared" si="32"/>
        <v>2136.6999999999998</v>
      </c>
      <c r="W123" s="337">
        <f t="shared" si="32"/>
        <v>8937.8000000000011</v>
      </c>
      <c r="X123">
        <f>SUM(X100:X121)</f>
        <v>29059.5</v>
      </c>
      <c r="Y123"/>
      <c r="Z123"/>
      <c r="AA123"/>
      <c r="AB123"/>
    </row>
    <row r="124" spans="2:28" ht="16" customHeight="1">
      <c r="B124" s="10"/>
    </row>
    <row r="125" spans="2:28" ht="16" customHeight="1">
      <c r="B125" s="10" t="s">
        <v>283</v>
      </c>
      <c r="C125">
        <v>1</v>
      </c>
      <c r="D125">
        <v>2</v>
      </c>
      <c r="E125">
        <v>3</v>
      </c>
      <c r="F125">
        <v>4</v>
      </c>
      <c r="G125">
        <v>5</v>
      </c>
      <c r="H125">
        <v>6</v>
      </c>
      <c r="I125">
        <v>7</v>
      </c>
      <c r="J125">
        <v>8</v>
      </c>
      <c r="K125">
        <v>9</v>
      </c>
      <c r="L125">
        <v>10</v>
      </c>
      <c r="M125">
        <v>11</v>
      </c>
      <c r="N125">
        <v>12</v>
      </c>
      <c r="O125">
        <v>13</v>
      </c>
      <c r="P125">
        <v>14</v>
      </c>
      <c r="Q125">
        <v>15</v>
      </c>
      <c r="R125">
        <v>16</v>
      </c>
      <c r="S125">
        <v>17</v>
      </c>
      <c r="T125">
        <v>18</v>
      </c>
      <c r="U125">
        <v>19</v>
      </c>
      <c r="V125">
        <v>20</v>
      </c>
      <c r="W125">
        <v>21</v>
      </c>
      <c r="X125">
        <v>22</v>
      </c>
    </row>
    <row r="126" spans="2:28" ht="16" customHeight="1">
      <c r="B126" s="10">
        <v>1</v>
      </c>
      <c r="C126">
        <v>3.8119165710077757E-2</v>
      </c>
      <c r="D126">
        <v>2.3191094619666046E-4</v>
      </c>
      <c r="E126">
        <v>0.29371021497733335</v>
      </c>
      <c r="F126">
        <v>6.7725970304766871E-3</v>
      </c>
      <c r="G126">
        <v>9.6903439986262954E-2</v>
      </c>
      <c r="H126">
        <v>8.3423326133909275E-3</v>
      </c>
      <c r="I126">
        <v>1.2116806009935778E-4</v>
      </c>
      <c r="J126">
        <v>5.0000000000000001E-4</v>
      </c>
      <c r="K126">
        <v>1.4617033716624443E-3</v>
      </c>
      <c r="L126">
        <v>2.2118456623248959E-3</v>
      </c>
      <c r="M126">
        <v>1.3758943313153552E-4</v>
      </c>
      <c r="N126">
        <v>2.0684356716506116E-4</v>
      </c>
      <c r="O126">
        <v>2.6249475010499792E-3</v>
      </c>
      <c r="P126">
        <v>6.0485524481259745E-4</v>
      </c>
      <c r="Q126">
        <v>2.7510316368638244E-4</v>
      </c>
      <c r="R126">
        <v>3.8741765193490686E-2</v>
      </c>
      <c r="S126">
        <v>7.1786187601236926E-3</v>
      </c>
      <c r="T126">
        <v>5.111244738424534E-4</v>
      </c>
      <c r="U126">
        <v>5.784870861265186E-4</v>
      </c>
      <c r="V126">
        <v>4.6801141947863531E-4</v>
      </c>
      <c r="W126">
        <v>5.3704491038063045E-4</v>
      </c>
      <c r="X126">
        <v>3.4567009067602676E-2</v>
      </c>
    </row>
    <row r="127" spans="2:28" ht="16" customHeight="1">
      <c r="B127" s="10">
        <v>2</v>
      </c>
      <c r="C127">
        <v>1.40781009724719E-4</v>
      </c>
      <c r="D127">
        <v>3.9424860853432275E-3</v>
      </c>
      <c r="E127">
        <v>7.8977712489535438E-6</v>
      </c>
      <c r="F127">
        <v>0</v>
      </c>
      <c r="G127">
        <v>0</v>
      </c>
      <c r="H127">
        <v>5.9395248380129592E-4</v>
      </c>
      <c r="I127">
        <v>0.1616381921725433</v>
      </c>
      <c r="J127">
        <v>5.5000000000000005E-3</v>
      </c>
      <c r="K127">
        <v>9.7446891444162955E-5</v>
      </c>
      <c r="L127">
        <v>2.4576062914721065E-4</v>
      </c>
      <c r="M127">
        <v>0</v>
      </c>
      <c r="N127">
        <v>0</v>
      </c>
      <c r="O127">
        <v>3.0641887162256756E-2</v>
      </c>
      <c r="P127">
        <v>1.2302140572459608E-4</v>
      </c>
      <c r="Q127">
        <v>2.5009378516943857E-5</v>
      </c>
      <c r="R127">
        <v>4.3628113956633656E-5</v>
      </c>
      <c r="S127">
        <v>2.5769400677367102E-4</v>
      </c>
      <c r="T127">
        <v>3.0066145520144318E-5</v>
      </c>
      <c r="U127">
        <v>3.4028652125089328E-5</v>
      </c>
      <c r="V127">
        <v>9.3602283895727066E-5</v>
      </c>
      <c r="W127">
        <v>3.3565306898789403E-5</v>
      </c>
      <c r="X127">
        <v>2.0371995388771317E-3</v>
      </c>
    </row>
    <row r="128" spans="2:28" ht="16" customHeight="1">
      <c r="B128" s="10">
        <v>3</v>
      </c>
      <c r="C128">
        <v>8.8150570704554829E-3</v>
      </c>
      <c r="D128">
        <v>2.0871985157699443E-3</v>
      </c>
      <c r="E128">
        <v>7.318074839280353E-2</v>
      </c>
      <c r="F128">
        <v>2.274897976903708E-2</v>
      </c>
      <c r="G128">
        <v>1.9460820788735618E-3</v>
      </c>
      <c r="H128">
        <v>7.9103671706263496E-3</v>
      </c>
      <c r="I128">
        <v>1.0905125408942201E-3</v>
      </c>
      <c r="J128">
        <v>0</v>
      </c>
      <c r="K128">
        <v>1.2668095887741185E-3</v>
      </c>
      <c r="L128">
        <v>2.4576062914721062E-3</v>
      </c>
      <c r="M128">
        <v>9.6312603192074851E-4</v>
      </c>
      <c r="N128">
        <v>2.954908102358017E-5</v>
      </c>
      <c r="O128">
        <v>9.2748145037099263E-4</v>
      </c>
      <c r="P128">
        <v>1.988846059214303E-3</v>
      </c>
      <c r="Q128">
        <v>1.6756283606352382E-3</v>
      </c>
      <c r="R128">
        <v>0.22363771214170414</v>
      </c>
      <c r="S128">
        <v>5.890148726255338E-4</v>
      </c>
      <c r="T128">
        <v>2.7059530968129888E-4</v>
      </c>
      <c r="U128">
        <v>3.4028652125089328E-4</v>
      </c>
      <c r="V128">
        <v>1.0202648944634251E-2</v>
      </c>
      <c r="W128">
        <v>2.3607599185481885E-3</v>
      </c>
      <c r="X128">
        <v>0.23441559558836181</v>
      </c>
    </row>
    <row r="129" spans="2:24" ht="16" customHeight="1">
      <c r="B129" s="10">
        <v>4</v>
      </c>
      <c r="C129">
        <v>3.8768924216499535E-3</v>
      </c>
      <c r="D129">
        <v>4.6382189239332092E-4</v>
      </c>
      <c r="E129">
        <v>1.3552575463204279E-2</v>
      </c>
      <c r="F129">
        <v>0.16219501606321093</v>
      </c>
      <c r="G129">
        <v>2.0605574952778888E-3</v>
      </c>
      <c r="H129">
        <v>1.2688984881209504E-3</v>
      </c>
      <c r="I129">
        <v>8.4817642069550444E-4</v>
      </c>
      <c r="J129">
        <v>0</v>
      </c>
      <c r="K129">
        <v>4.8723445722081472E-4</v>
      </c>
      <c r="L129">
        <v>1.7203244040304743E-3</v>
      </c>
      <c r="M129">
        <v>3.3709411117226203E-2</v>
      </c>
      <c r="N129">
        <v>1.1819632409432068E-4</v>
      </c>
      <c r="O129">
        <v>2.4499510009799805E-4</v>
      </c>
      <c r="P129">
        <v>3.6906421717378829E-4</v>
      </c>
      <c r="Q129">
        <v>3.751406777541578E-4</v>
      </c>
      <c r="R129">
        <v>3.1848523188342569E-3</v>
      </c>
      <c r="S129">
        <v>2.2088057723457515E-4</v>
      </c>
      <c r="T129">
        <v>2.7059530968129888E-4</v>
      </c>
      <c r="U129">
        <v>1.0208595637526798E-4</v>
      </c>
      <c r="V129">
        <v>8.2370009828239815E-3</v>
      </c>
      <c r="W129">
        <v>4.0390252634876587E-3</v>
      </c>
      <c r="X129">
        <v>1.6569452330563155E-2</v>
      </c>
    </row>
    <row r="130" spans="2:24" ht="16" customHeight="1">
      <c r="B130" s="15">
        <v>5</v>
      </c>
      <c r="C130">
        <v>1.7954993394121856E-2</v>
      </c>
      <c r="D130">
        <v>1.1595547309833022E-3</v>
      </c>
      <c r="E130">
        <v>1.154654156597008E-2</v>
      </c>
      <c r="F130">
        <v>3.2994703481809503E-3</v>
      </c>
      <c r="G130">
        <v>0.16146757483830348</v>
      </c>
      <c r="H130">
        <v>2.5377969762419008E-3</v>
      </c>
      <c r="I130">
        <v>3.9016115351993209E-2</v>
      </c>
      <c r="J130">
        <v>1.5E-3</v>
      </c>
      <c r="K130">
        <v>2.5336191775482369E-3</v>
      </c>
      <c r="L130">
        <v>2.9491275497665276E-3</v>
      </c>
      <c r="M130">
        <v>5.05641166758393E-2</v>
      </c>
      <c r="N130">
        <v>1.3592577270846876E-3</v>
      </c>
      <c r="O130">
        <v>6.0443791124177519E-2</v>
      </c>
      <c r="P130">
        <v>1.0251783810383008E-2</v>
      </c>
      <c r="Q130">
        <v>1.8757033887707889E-2</v>
      </c>
      <c r="R130">
        <v>5.1917455608394055E-3</v>
      </c>
      <c r="S130">
        <v>1.6934177587984095E-3</v>
      </c>
      <c r="T130">
        <v>3.9386650631389056E-3</v>
      </c>
      <c r="U130">
        <v>2.5861775615067888E-3</v>
      </c>
      <c r="V130">
        <v>3.4445640473627553E-2</v>
      </c>
      <c r="W130">
        <v>4.4977511244377807E-3</v>
      </c>
      <c r="X130">
        <v>1.1452364975309279E-2</v>
      </c>
    </row>
    <row r="131" spans="2:24" ht="16" customHeight="1">
      <c r="B131" s="15">
        <v>6</v>
      </c>
      <c r="C131">
        <v>2.5351411058889783E-2</v>
      </c>
      <c r="D131">
        <v>4.7077922077922073E-2</v>
      </c>
      <c r="E131">
        <v>1.5906111295392437E-2</v>
      </c>
      <c r="F131">
        <v>1.8668055917339589E-2</v>
      </c>
      <c r="G131">
        <v>2.0777288077385377E-2</v>
      </c>
      <c r="H131">
        <v>0.12783477321814254</v>
      </c>
      <c r="I131">
        <v>1.369199079122743E-2</v>
      </c>
      <c r="J131">
        <v>8.0000000000000002E-3</v>
      </c>
      <c r="K131">
        <v>1.8514909374390959E-3</v>
      </c>
      <c r="L131">
        <v>4.4236913246497919E-3</v>
      </c>
      <c r="M131">
        <v>4.2859108420473309E-2</v>
      </c>
      <c r="N131">
        <v>9.4557059275456544E-4</v>
      </c>
      <c r="O131">
        <v>1.6694666106677868E-2</v>
      </c>
      <c r="P131">
        <v>8.9088001312228344E-3</v>
      </c>
      <c r="Q131">
        <v>5.7521570588970857E-4</v>
      </c>
      <c r="R131">
        <v>8.9001352471532649E-3</v>
      </c>
      <c r="S131">
        <v>9.5714916801649245E-4</v>
      </c>
      <c r="T131">
        <v>5.7125676488274202E-4</v>
      </c>
      <c r="U131">
        <v>5.784870861265186E-4</v>
      </c>
      <c r="V131">
        <v>6.8797678663359389E-3</v>
      </c>
      <c r="W131">
        <v>3.1081474188278991E-2</v>
      </c>
      <c r="X131">
        <v>5.2660919836886387E-2</v>
      </c>
    </row>
    <row r="132" spans="2:24" ht="16" customHeight="1">
      <c r="B132" s="15">
        <v>7</v>
      </c>
      <c r="C132">
        <v>6.064412726603279E-4</v>
      </c>
      <c r="D132">
        <v>4.1743970315398886E-3</v>
      </c>
      <c r="E132">
        <v>5.3704844492884099E-4</v>
      </c>
      <c r="F132">
        <v>8.6828167057393434E-5</v>
      </c>
      <c r="G132">
        <v>4.0066395741514504E-4</v>
      </c>
      <c r="H132">
        <v>3.67170626349892E-3</v>
      </c>
      <c r="I132">
        <v>7.5245365321701188E-2</v>
      </c>
      <c r="J132">
        <v>2E-3</v>
      </c>
      <c r="K132">
        <v>5.7493665952056145E-3</v>
      </c>
      <c r="L132">
        <v>1.4745637748832638E-3</v>
      </c>
      <c r="M132">
        <v>2.0638414969730324E-4</v>
      </c>
      <c r="N132">
        <v>2.9549081023580166E-4</v>
      </c>
      <c r="O132">
        <v>9.7963040739185214E-2</v>
      </c>
      <c r="P132">
        <v>2.1528746001804315E-4</v>
      </c>
      <c r="Q132">
        <v>3.2512192072027009E-4</v>
      </c>
      <c r="R132">
        <v>2.6176868373980192E-4</v>
      </c>
      <c r="S132">
        <v>4.4176115446915029E-4</v>
      </c>
      <c r="T132">
        <v>3.0066145520144319E-4</v>
      </c>
      <c r="U132">
        <v>6.8057304250178656E-5</v>
      </c>
      <c r="V132">
        <v>1.8720456779145413E-4</v>
      </c>
      <c r="W132">
        <v>1.4321197610150148E-3</v>
      </c>
      <c r="X132">
        <v>4.6662881329685643E-3</v>
      </c>
    </row>
    <row r="133" spans="2:24" ht="16" customHeight="1">
      <c r="B133" s="15">
        <v>8</v>
      </c>
      <c r="C133">
        <v>6.3892919798141706E-4</v>
      </c>
      <c r="D133">
        <v>0</v>
      </c>
      <c r="E133">
        <v>3.3170639245604886E-4</v>
      </c>
      <c r="F133">
        <v>0</v>
      </c>
      <c r="G133">
        <v>6.8685249842596299E-4</v>
      </c>
      <c r="H133">
        <v>1.6171706263498918E-2</v>
      </c>
      <c r="I133">
        <v>4.6043862837755953E-3</v>
      </c>
      <c r="J133">
        <v>4.9000000000000002E-2</v>
      </c>
      <c r="K133">
        <v>0</v>
      </c>
      <c r="L133">
        <v>0</v>
      </c>
      <c r="M133">
        <v>5.8475509080902592E-3</v>
      </c>
      <c r="N133">
        <v>0</v>
      </c>
      <c r="O133">
        <v>4.7599048019039622E-3</v>
      </c>
      <c r="P133">
        <v>5.1258919051915032E-5</v>
      </c>
      <c r="Q133">
        <v>5.0018757033887713E-5</v>
      </c>
      <c r="R133">
        <v>4.3628113956633656E-5</v>
      </c>
      <c r="S133">
        <v>3.6813429539095862E-5</v>
      </c>
      <c r="T133">
        <v>2.7059530968129888E-4</v>
      </c>
      <c r="U133">
        <v>0</v>
      </c>
      <c r="V133">
        <v>4.6801141947863533E-5</v>
      </c>
      <c r="W133">
        <v>8.9507485063438426E-5</v>
      </c>
      <c r="X133">
        <v>2.4432629604776405E-4</v>
      </c>
    </row>
    <row r="134" spans="2:24" ht="16" customHeight="1">
      <c r="B134" s="15">
        <v>9</v>
      </c>
      <c r="C134">
        <v>1.0071256849537591E-3</v>
      </c>
      <c r="D134">
        <v>5.7513914656771796E-2</v>
      </c>
      <c r="E134">
        <v>4.7386627493721262E-4</v>
      </c>
      <c r="F134">
        <v>2.6048450117218026E-4</v>
      </c>
      <c r="G134">
        <v>2.1750329116822162E-3</v>
      </c>
      <c r="H134">
        <v>1.8007559395248382E-2</v>
      </c>
      <c r="I134">
        <v>9.6934448079486228E-4</v>
      </c>
      <c r="J134">
        <v>5.0000000000000001E-4</v>
      </c>
      <c r="K134">
        <v>9.3841356460728914E-2</v>
      </c>
      <c r="L134">
        <v>0.12091422954042763</v>
      </c>
      <c r="M134">
        <v>2.6761144744083656E-2</v>
      </c>
      <c r="N134">
        <v>1.388806808108268E-3</v>
      </c>
      <c r="O134">
        <v>1.398222035559289E-2</v>
      </c>
      <c r="P134">
        <v>5.2899204461576317E-3</v>
      </c>
      <c r="Q134">
        <v>7.502813555083156E-4</v>
      </c>
      <c r="R134">
        <v>7.4167793726277211E-4</v>
      </c>
      <c r="S134">
        <v>1.5461640406420262E-3</v>
      </c>
      <c r="T134">
        <v>7.2158749248346361E-4</v>
      </c>
      <c r="U134">
        <v>2.3820056487562527E-4</v>
      </c>
      <c r="V134">
        <v>7.4881827116581653E-4</v>
      </c>
      <c r="W134">
        <v>2.5397748886750652E-3</v>
      </c>
      <c r="X134">
        <v>1.8995509213854335E-3</v>
      </c>
    </row>
    <row r="135" spans="2:24" ht="16" customHeight="1">
      <c r="B135" s="15">
        <v>10</v>
      </c>
      <c r="C135">
        <v>2.70732711009075E-4</v>
      </c>
      <c r="D135">
        <v>2.3191094619666046E-4</v>
      </c>
      <c r="E135">
        <v>1.5795542497907086E-4</v>
      </c>
      <c r="F135">
        <v>8.6828167057393434E-5</v>
      </c>
      <c r="G135">
        <v>2.2895083280865435E-4</v>
      </c>
      <c r="H135">
        <v>2.4298056155507559E-4</v>
      </c>
      <c r="I135">
        <v>1.2116806009935778E-4</v>
      </c>
      <c r="J135">
        <v>0</v>
      </c>
      <c r="K135">
        <v>1.2473202104852858E-2</v>
      </c>
      <c r="L135">
        <v>1.966085033177685E-2</v>
      </c>
      <c r="M135">
        <v>1.7886626307099616E-3</v>
      </c>
      <c r="N135">
        <v>8.8647243070740504E-5</v>
      </c>
      <c r="O135">
        <v>1.2249755004899903E-4</v>
      </c>
      <c r="P135">
        <v>2.562945952595752E-4</v>
      </c>
      <c r="Q135">
        <v>3.5013129923721395E-4</v>
      </c>
      <c r="R135">
        <v>2.1814056978316829E-4</v>
      </c>
      <c r="S135">
        <v>4.1231041083787364E-3</v>
      </c>
      <c r="T135">
        <v>3.0066145520144319E-4</v>
      </c>
      <c r="U135">
        <v>6.8057304250178656E-5</v>
      </c>
      <c r="V135">
        <v>2.3400570973931766E-4</v>
      </c>
      <c r="W135">
        <v>3.804068115196133E-4</v>
      </c>
      <c r="X135">
        <v>3.5616579775976875E-3</v>
      </c>
    </row>
    <row r="136" spans="2:24" ht="16" customHeight="1">
      <c r="B136" s="15">
        <v>11</v>
      </c>
      <c r="C136">
        <v>2.6650928071733342E-2</v>
      </c>
      <c r="D136">
        <v>8.1168831168831154E-2</v>
      </c>
      <c r="E136">
        <v>5.52843987426748E-3</v>
      </c>
      <c r="F136">
        <v>2.500651211252931E-2</v>
      </c>
      <c r="G136">
        <v>2.3410222654684905E-2</v>
      </c>
      <c r="H136">
        <v>1.0556155507559395E-2</v>
      </c>
      <c r="I136">
        <v>6.0584030049678893E-3</v>
      </c>
      <c r="J136">
        <v>3.0000000000000001E-3</v>
      </c>
      <c r="K136">
        <v>2.9234067433248881E-4</v>
      </c>
      <c r="L136">
        <v>2.1381174735807324E-2</v>
      </c>
      <c r="M136">
        <v>9.5624656026417187E-3</v>
      </c>
      <c r="N136">
        <v>1.1524141599196266E-3</v>
      </c>
      <c r="O136">
        <v>1.9949601007979842E-3</v>
      </c>
      <c r="P136">
        <v>4.2442384974985649E-3</v>
      </c>
      <c r="Q136">
        <v>8.6032262098286863E-2</v>
      </c>
      <c r="R136">
        <v>9.5981850704594048E-4</v>
      </c>
      <c r="S136">
        <v>1.4725371815638345E-4</v>
      </c>
      <c r="T136">
        <v>5.4119061936259774E-3</v>
      </c>
      <c r="U136">
        <v>3.9813522986354511E-3</v>
      </c>
      <c r="V136">
        <v>2.4196190387045447E-2</v>
      </c>
      <c r="W136">
        <v>8.615095437355948E-3</v>
      </c>
      <c r="X136">
        <v>9.4736660988661205E-3</v>
      </c>
    </row>
    <row r="137" spans="2:24" ht="16" customHeight="1">
      <c r="B137" s="15">
        <v>12</v>
      </c>
      <c r="C137">
        <v>2.6640098763292979E-3</v>
      </c>
      <c r="D137">
        <v>5.5658627087198506E-3</v>
      </c>
      <c r="E137">
        <v>2.0621080731017705E-2</v>
      </c>
      <c r="F137">
        <v>2.2662151601979687E-2</v>
      </c>
      <c r="G137">
        <v>1.2821246637284641E-2</v>
      </c>
      <c r="H137">
        <v>1.3741900647948163E-2</v>
      </c>
      <c r="I137">
        <v>2.5929964861262565E-2</v>
      </c>
      <c r="J137">
        <v>6.9999999999999993E-3</v>
      </c>
      <c r="K137">
        <v>1.4811927499512767E-2</v>
      </c>
      <c r="L137">
        <v>1.6220201523715901E-2</v>
      </c>
      <c r="M137">
        <v>9.0809025866813425E-3</v>
      </c>
      <c r="N137">
        <v>0.10572661190236984</v>
      </c>
      <c r="O137">
        <v>7.5248495030099402E-4</v>
      </c>
      <c r="P137">
        <v>2.8807512507176249E-2</v>
      </c>
      <c r="Q137">
        <v>9.578591971989495E-3</v>
      </c>
      <c r="R137">
        <v>2.1552288294577025E-2</v>
      </c>
      <c r="S137">
        <v>5.3379472831688998E-3</v>
      </c>
      <c r="T137">
        <v>7.4263379434756464E-3</v>
      </c>
      <c r="U137">
        <v>3.5355769557967813E-2</v>
      </c>
      <c r="V137">
        <v>3.7674919268030141E-2</v>
      </c>
      <c r="W137">
        <v>3.122692385150708E-2</v>
      </c>
      <c r="X137">
        <v>1.0684973932793062E-2</v>
      </c>
    </row>
    <row r="138" spans="2:24" ht="16" customHeight="1">
      <c r="B138" s="15">
        <v>13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1.6760865328396025E-2</v>
      </c>
      <c r="L138">
        <v>2.7279429835340378E-2</v>
      </c>
      <c r="M138">
        <v>0</v>
      </c>
      <c r="N138">
        <v>0</v>
      </c>
      <c r="O138">
        <v>3.2024359512809748E-2</v>
      </c>
      <c r="P138">
        <v>0</v>
      </c>
      <c r="Q138">
        <v>0</v>
      </c>
      <c r="R138">
        <v>0</v>
      </c>
      <c r="S138">
        <v>8.6879693712266226E-2</v>
      </c>
      <c r="T138">
        <v>1.5033072760072159E-3</v>
      </c>
      <c r="U138">
        <v>6.0571000782659009E-3</v>
      </c>
      <c r="V138">
        <v>3.3696822202461743E-3</v>
      </c>
      <c r="W138">
        <v>7.7200205867215637E-4</v>
      </c>
      <c r="X138">
        <v>4.4013145442970457E-3</v>
      </c>
    </row>
    <row r="139" spans="2:24" ht="16" customHeight="1">
      <c r="B139" s="15">
        <v>14</v>
      </c>
      <c r="C139">
        <v>4.6219488423469283E-2</v>
      </c>
      <c r="D139">
        <v>0.14424860853432281</v>
      </c>
      <c r="E139">
        <v>7.2154038130439579E-2</v>
      </c>
      <c r="F139">
        <v>4.5584787705131552E-2</v>
      </c>
      <c r="G139">
        <v>0.11619254765039207</v>
      </c>
      <c r="H139">
        <v>9.6220302375809932E-2</v>
      </c>
      <c r="I139">
        <v>7.1973827699018528E-2</v>
      </c>
      <c r="J139">
        <v>2.5499999999999998E-2</v>
      </c>
      <c r="K139">
        <v>0.11976222958487627</v>
      </c>
      <c r="L139">
        <v>0.11231260752027526</v>
      </c>
      <c r="M139">
        <v>7.7875619152449102E-2</v>
      </c>
      <c r="N139">
        <v>3.0731044264523375E-3</v>
      </c>
      <c r="O139">
        <v>7.2466050678986427E-2</v>
      </c>
      <c r="P139">
        <v>4.2637168867382925E-2</v>
      </c>
      <c r="Q139">
        <v>0.13475053144929347</v>
      </c>
      <c r="R139">
        <v>3.2982854151215039E-2</v>
      </c>
      <c r="S139">
        <v>4.7010749521425414E-2</v>
      </c>
      <c r="T139">
        <v>7.4564040889957906E-3</v>
      </c>
      <c r="U139">
        <v>7.0099023377684019E-3</v>
      </c>
      <c r="V139">
        <v>4.9515608180839617E-2</v>
      </c>
      <c r="W139">
        <v>3.3274407572333228E-2</v>
      </c>
      <c r="X139">
        <v>9.2203926426813951E-2</v>
      </c>
    </row>
    <row r="140" spans="2:24" ht="16" customHeight="1">
      <c r="B140" s="15">
        <v>15</v>
      </c>
      <c r="C140">
        <v>5.111433583851336E-2</v>
      </c>
      <c r="D140">
        <v>2.5278293135435989E-2</v>
      </c>
      <c r="E140">
        <v>1.3844792999415562E-2</v>
      </c>
      <c r="F140">
        <v>4.0809238516974914E-3</v>
      </c>
      <c r="G140">
        <v>7.269188941674774E-3</v>
      </c>
      <c r="H140">
        <v>1.3741900647948163E-2</v>
      </c>
      <c r="I140">
        <v>1.2843814370531925E-2</v>
      </c>
      <c r="J140">
        <v>4.5000000000000005E-3</v>
      </c>
      <c r="K140">
        <v>5.8468134866497771E-3</v>
      </c>
      <c r="L140">
        <v>6.0211354141066604E-2</v>
      </c>
      <c r="M140">
        <v>6.2603192074848655E-3</v>
      </c>
      <c r="N140">
        <v>9.3670586844749135E-3</v>
      </c>
      <c r="O140">
        <v>6.1773764524709505E-3</v>
      </c>
      <c r="P140">
        <v>5.993192815549906E-2</v>
      </c>
      <c r="Q140">
        <v>3.0011254220332624E-3</v>
      </c>
      <c r="R140">
        <v>4.4936957375332669E-3</v>
      </c>
      <c r="S140">
        <v>1.9879251951111765E-3</v>
      </c>
      <c r="T140">
        <v>6.9152134696331934E-3</v>
      </c>
      <c r="U140">
        <v>1.1025283288528942E-2</v>
      </c>
      <c r="V140">
        <v>4.7362755651237896E-2</v>
      </c>
      <c r="W140">
        <v>5.7061021727941993E-3</v>
      </c>
      <c r="X140">
        <v>5.8197835475489942E-2</v>
      </c>
    </row>
    <row r="141" spans="2:24" ht="16" customHeight="1">
      <c r="B141" s="15">
        <v>16</v>
      </c>
      <c r="C141">
        <v>2.328301314678045E-3</v>
      </c>
      <c r="D141">
        <v>4.638218923933209E-3</v>
      </c>
      <c r="E141">
        <v>1.3347233410731488E-3</v>
      </c>
      <c r="F141">
        <v>7.8145350351654095E-4</v>
      </c>
      <c r="G141">
        <v>2.0605574952778888E-3</v>
      </c>
      <c r="H141">
        <v>3.0507559395248382E-3</v>
      </c>
      <c r="I141">
        <v>1.3328486610929358E-3</v>
      </c>
      <c r="J141">
        <v>2.5000000000000001E-3</v>
      </c>
      <c r="K141">
        <v>8.4778795556421753E-3</v>
      </c>
      <c r="L141">
        <v>5.8982550995330552E-3</v>
      </c>
      <c r="M141">
        <v>1.5134837644468907E-3</v>
      </c>
      <c r="N141">
        <v>5.8211689616452927E-3</v>
      </c>
      <c r="O141">
        <v>1.5224695506089877E-3</v>
      </c>
      <c r="P141">
        <v>2.0913638973181332E-3</v>
      </c>
      <c r="Q141">
        <v>5.7271476803801421E-3</v>
      </c>
      <c r="R141">
        <v>7.8966886261506927E-3</v>
      </c>
      <c r="S141">
        <v>8.7615962303048151E-3</v>
      </c>
      <c r="T141">
        <v>4.6903187011425136E-3</v>
      </c>
      <c r="U141">
        <v>2.3479769966311638E-3</v>
      </c>
      <c r="V141">
        <v>1.0389853512425704E-2</v>
      </c>
      <c r="W141">
        <v>1.2665309136476536E-2</v>
      </c>
      <c r="X141">
        <v>4.2550628882121168E-2</v>
      </c>
    </row>
    <row r="142" spans="2:24" ht="16" customHeight="1">
      <c r="B142" s="15">
        <v>17</v>
      </c>
      <c r="C142">
        <v>4.4400164605488295E-4</v>
      </c>
      <c r="D142">
        <v>2.7829313543599253E-3</v>
      </c>
      <c r="E142">
        <v>2.9695619896065325E-3</v>
      </c>
      <c r="F142">
        <v>6.9462533645914745E-3</v>
      </c>
      <c r="G142">
        <v>4.4073035315665959E-3</v>
      </c>
      <c r="H142">
        <v>2.4568034557235418E-3</v>
      </c>
      <c r="I142">
        <v>2.5445292620865138E-3</v>
      </c>
      <c r="J142">
        <v>1.3500000000000002E-2</v>
      </c>
      <c r="K142">
        <v>7.7957513155330355E-3</v>
      </c>
      <c r="L142">
        <v>2.0398132219218483E-2</v>
      </c>
      <c r="M142">
        <v>6.1227297743533301E-3</v>
      </c>
      <c r="N142">
        <v>3.8413805330654219E-4</v>
      </c>
      <c r="O142">
        <v>1.1899762004759906E-3</v>
      </c>
      <c r="P142">
        <v>7.9266792421881421E-2</v>
      </c>
      <c r="Q142">
        <v>8.1530573965236976E-3</v>
      </c>
      <c r="R142">
        <v>8.7692509052833649E-3</v>
      </c>
      <c r="S142">
        <v>0.20497717567368573</v>
      </c>
      <c r="T142">
        <v>2.5315694527961514E-2</v>
      </c>
      <c r="U142">
        <v>1.1467655766155105E-2</v>
      </c>
      <c r="V142">
        <v>7.3056582580614968E-2</v>
      </c>
      <c r="W142">
        <v>1.4712792857302689E-2</v>
      </c>
      <c r="X142">
        <v>2.7440251896970008E-2</v>
      </c>
    </row>
    <row r="143" spans="2:24" ht="16" customHeight="1">
      <c r="B143" s="15">
        <v>18</v>
      </c>
      <c r="C143">
        <v>5.2153949448788206E-2</v>
      </c>
      <c r="D143">
        <v>3.2467532467532461E-3</v>
      </c>
      <c r="E143">
        <v>1.9002037624982225E-2</v>
      </c>
      <c r="F143">
        <v>1.5021272900929064E-2</v>
      </c>
      <c r="G143">
        <v>1.5110754965371185E-2</v>
      </c>
      <c r="H143">
        <v>3.2559395248380127E-2</v>
      </c>
      <c r="I143">
        <v>3.9985459832788065E-3</v>
      </c>
      <c r="J143">
        <v>7.2499999999999995E-2</v>
      </c>
      <c r="K143">
        <v>1.2083414539076206E-2</v>
      </c>
      <c r="L143">
        <v>1.8677807815188009E-2</v>
      </c>
      <c r="M143">
        <v>5.7374793615850309E-2</v>
      </c>
      <c r="N143">
        <v>2.3934755629099937E-3</v>
      </c>
      <c r="O143">
        <v>9.7823043539129219E-3</v>
      </c>
      <c r="P143">
        <v>7.4315180841466419E-2</v>
      </c>
      <c r="Q143">
        <v>2.1132924846817558E-2</v>
      </c>
      <c r="R143">
        <v>7.9839448540639599E-3</v>
      </c>
      <c r="S143">
        <v>5.2275069945516119E-3</v>
      </c>
      <c r="T143">
        <v>8.0336740829825615E-2</v>
      </c>
      <c r="U143">
        <v>3.641065777384558E-3</v>
      </c>
      <c r="V143">
        <v>3.6972902138812193E-2</v>
      </c>
      <c r="W143">
        <v>1.8550426279397614E-2</v>
      </c>
      <c r="X143">
        <v>2.9842220272200144E-2</v>
      </c>
    </row>
    <row r="144" spans="2:24" ht="16" customHeight="1">
      <c r="B144" s="15">
        <v>19</v>
      </c>
      <c r="C144">
        <v>4.6230317731909644E-2</v>
      </c>
      <c r="D144">
        <v>4.4063079777365488E-3</v>
      </c>
      <c r="E144">
        <v>2.1402960084664106E-3</v>
      </c>
      <c r="F144">
        <v>5.9911435269601474E-3</v>
      </c>
      <c r="G144">
        <v>3.8349264495449601E-3</v>
      </c>
      <c r="H144">
        <v>3.185745140388769E-3</v>
      </c>
      <c r="I144">
        <v>2.5445292620865138E-3</v>
      </c>
      <c r="J144">
        <v>3.4999999999999996E-3</v>
      </c>
      <c r="K144">
        <v>1.9489378288832591E-4</v>
      </c>
      <c r="L144">
        <v>4.915212582944213E-4</v>
      </c>
      <c r="M144">
        <v>8.1177765547605953E-3</v>
      </c>
      <c r="N144">
        <v>8.5692334968382486E-4</v>
      </c>
      <c r="O144">
        <v>2.6249475010499792E-4</v>
      </c>
      <c r="P144">
        <v>3.0960387107356682E-2</v>
      </c>
      <c r="Q144">
        <v>1.297986745029386E-2</v>
      </c>
      <c r="R144">
        <v>1.1997731338074255E-2</v>
      </c>
      <c r="S144">
        <v>7.0681784715064047E-3</v>
      </c>
      <c r="T144">
        <v>1.0914010823812386E-2</v>
      </c>
      <c r="U144">
        <v>4.3896961241365233E-3</v>
      </c>
      <c r="V144">
        <v>2.7565872607291618E-2</v>
      </c>
      <c r="W144">
        <v>1.5607867707937075E-2</v>
      </c>
      <c r="X144">
        <v>6.134310638517524E-2</v>
      </c>
    </row>
    <row r="145" spans="2:24" ht="16" customHeight="1">
      <c r="B145" s="15">
        <v>20</v>
      </c>
      <c r="C145">
        <v>2.8654350133200501E-2</v>
      </c>
      <c r="D145">
        <v>1.7625231910946195E-2</v>
      </c>
      <c r="E145">
        <v>1.4776730006792079E-2</v>
      </c>
      <c r="F145">
        <v>9.1169575410263107E-3</v>
      </c>
      <c r="G145">
        <v>2.4955640776143321E-2</v>
      </c>
      <c r="H145">
        <v>2.6646868250539957E-2</v>
      </c>
      <c r="I145">
        <v>1.2237974070035136E-2</v>
      </c>
      <c r="J145">
        <v>2.9500000000000002E-2</v>
      </c>
      <c r="K145">
        <v>6.3340479438705917E-3</v>
      </c>
      <c r="L145">
        <v>5.6524944703858441E-3</v>
      </c>
      <c r="M145">
        <v>1.4653274628508533E-2</v>
      </c>
      <c r="N145">
        <v>1.5601914780450327E-2</v>
      </c>
      <c r="O145">
        <v>6.4573708525829483E-3</v>
      </c>
      <c r="P145">
        <v>2.6121545148855903E-2</v>
      </c>
      <c r="Q145">
        <v>2.8060522696011003E-2</v>
      </c>
      <c r="R145">
        <v>3.3157366607041577E-2</v>
      </c>
      <c r="S145">
        <v>5.7244882933294064E-2</v>
      </c>
      <c r="T145">
        <v>4.1431148526758874E-2</v>
      </c>
      <c r="U145">
        <v>1.1297512505529657E-2</v>
      </c>
      <c r="V145">
        <v>2.4945008658211261E-2</v>
      </c>
      <c r="W145">
        <v>3.1148604802076568E-2</v>
      </c>
      <c r="X145">
        <v>4.8727610592061111E-3</v>
      </c>
    </row>
    <row r="146" spans="2:24" ht="16" customHeight="1">
      <c r="B146" s="15">
        <v>21</v>
      </c>
      <c r="C146">
        <v>2.2091789218340518E-3</v>
      </c>
      <c r="D146">
        <v>9.2764378478664184E-4</v>
      </c>
      <c r="E146">
        <v>1.2004612298409385E-3</v>
      </c>
      <c r="F146">
        <v>2.3443605105496227E-3</v>
      </c>
      <c r="G146">
        <v>1.2019918722454353E-3</v>
      </c>
      <c r="H146">
        <v>6.2095032397408204E-4</v>
      </c>
      <c r="I146">
        <v>4.8467224039743114E-4</v>
      </c>
      <c r="J146">
        <v>0</v>
      </c>
      <c r="K146">
        <v>1.3447671019294487E-2</v>
      </c>
      <c r="L146">
        <v>9.5846645367412137E-3</v>
      </c>
      <c r="M146">
        <v>6.8794716565767752E-4</v>
      </c>
      <c r="N146">
        <v>5.7916198806217132E-3</v>
      </c>
      <c r="O146">
        <v>1.504969900601988E-3</v>
      </c>
      <c r="P146">
        <v>1.548019355367834E-3</v>
      </c>
      <c r="Q146">
        <v>1.200450168813305E-3</v>
      </c>
      <c r="R146">
        <v>8.0712010819772272E-3</v>
      </c>
      <c r="S146">
        <v>8.5039022235311439E-3</v>
      </c>
      <c r="T146">
        <v>1.079374624173181E-2</v>
      </c>
      <c r="U146">
        <v>1.0548882158777691E-3</v>
      </c>
      <c r="V146">
        <v>1.3478728880984697E-2</v>
      </c>
      <c r="W146">
        <v>8.4696457741278604E-3</v>
      </c>
      <c r="X146">
        <v>0.29691495036046733</v>
      </c>
    </row>
    <row r="147" spans="2:24" ht="16" customHeight="1">
      <c r="B147" s="15">
        <v>22</v>
      </c>
      <c r="C147">
        <v>6.112061683740877E-2</v>
      </c>
      <c r="D147">
        <v>7.3747680890538028E-2</v>
      </c>
      <c r="E147">
        <v>7.0811417018117467E-2</v>
      </c>
      <c r="F147">
        <v>0.10714595814882349</v>
      </c>
      <c r="G147">
        <v>5.3746208001831608E-2</v>
      </c>
      <c r="H147">
        <v>5.6371490280777543E-2</v>
      </c>
      <c r="I147">
        <v>9.8388464800678518E-2</v>
      </c>
      <c r="J147">
        <v>0.26950000000000002</v>
      </c>
      <c r="K147">
        <v>7.1623465211459764E-2</v>
      </c>
      <c r="L147">
        <v>0.13099041533546327</v>
      </c>
      <c r="M147">
        <v>8.3654375343973589E-2</v>
      </c>
      <c r="N147">
        <v>0.19351693162342651</v>
      </c>
      <c r="O147">
        <v>0.24412011759764807</v>
      </c>
      <c r="P147">
        <v>0.19367669974575577</v>
      </c>
      <c r="Q147">
        <v>0.14557959234713019</v>
      </c>
      <c r="R147">
        <v>0.17342175297761878</v>
      </c>
      <c r="S147">
        <v>8.5812104255632446E-2</v>
      </c>
      <c r="T147">
        <v>0.19927841250751652</v>
      </c>
      <c r="U147">
        <v>5.0226290536631843E-2</v>
      </c>
      <c r="V147">
        <v>0.16586324706322836</v>
      </c>
      <c r="W147">
        <v>0.58334265702969401</v>
      </c>
      <c r="X147">
        <v>0</v>
      </c>
    </row>
    <row r="148" spans="2:24">
      <c r="B148" s="13"/>
    </row>
    <row r="149" spans="2:24" ht="16" customHeight="1">
      <c r="B149" s="15" t="s">
        <v>284</v>
      </c>
      <c r="C149">
        <v>1</v>
      </c>
      <c r="D149">
        <v>2</v>
      </c>
      <c r="E149">
        <v>3</v>
      </c>
      <c r="F149">
        <v>4</v>
      </c>
      <c r="G149">
        <v>5</v>
      </c>
      <c r="H149">
        <v>6</v>
      </c>
      <c r="I149">
        <v>7</v>
      </c>
      <c r="J149">
        <v>8</v>
      </c>
      <c r="K149">
        <v>9</v>
      </c>
      <c r="L149">
        <v>10</v>
      </c>
      <c r="M149">
        <v>11</v>
      </c>
      <c r="N149">
        <v>12</v>
      </c>
      <c r="O149">
        <v>13</v>
      </c>
      <c r="P149">
        <v>14</v>
      </c>
      <c r="Q149">
        <v>15</v>
      </c>
      <c r="R149">
        <v>16</v>
      </c>
      <c r="S149">
        <v>17</v>
      </c>
      <c r="T149">
        <v>18</v>
      </c>
      <c r="U149">
        <v>19</v>
      </c>
      <c r="V149">
        <v>20</v>
      </c>
      <c r="W149">
        <v>21</v>
      </c>
      <c r="X149">
        <v>22</v>
      </c>
    </row>
    <row r="150" spans="2:24" ht="16" customHeight="1">
      <c r="B150" s="15">
        <v>1</v>
      </c>
      <c r="C150">
        <v>1.0711731617651059</v>
      </c>
      <c r="D150">
        <v>3.3849638657125973E-2</v>
      </c>
      <c r="E150">
        <v>0.36578427004923114</v>
      </c>
      <c r="F150">
        <v>5.1870317264871582E-2</v>
      </c>
      <c r="G150">
        <v>0.1512522771909085</v>
      </c>
      <c r="H150">
        <v>4.0653077304318448E-2</v>
      </c>
      <c r="I150">
        <v>4.147748673043359E-2</v>
      </c>
      <c r="J150">
        <v>6.2688233587472442E-2</v>
      </c>
      <c r="K150">
        <v>3.294850602206683E-2</v>
      </c>
      <c r="L150">
        <v>5.021095967137381E-2</v>
      </c>
      <c r="M150">
        <v>3.8310612672037239E-2</v>
      </c>
      <c r="N150">
        <v>4.4315291220090786E-2</v>
      </c>
      <c r="O150">
        <v>7.200134349786412E-2</v>
      </c>
      <c r="P150">
        <v>5.6053189014349608E-2</v>
      </c>
      <c r="Q150">
        <v>4.6519680181517843E-2</v>
      </c>
      <c r="R150">
        <v>0.16497349094732772</v>
      </c>
      <c r="S150">
        <v>5.0060824401347091E-2</v>
      </c>
      <c r="T150">
        <v>4.9443874586525979E-2</v>
      </c>
      <c r="U150">
        <v>1.5512313753695382E-2</v>
      </c>
      <c r="V150">
        <v>5.9360515611466706E-2</v>
      </c>
      <c r="W150">
        <v>0.12210933293802656</v>
      </c>
      <c r="X150">
        <v>0.1844193708989661</v>
      </c>
    </row>
    <row r="151" spans="2:24" ht="16" customHeight="1">
      <c r="B151" s="15">
        <v>2</v>
      </c>
      <c r="C151">
        <v>1.1909357551005998E-3</v>
      </c>
      <c r="D151">
        <v>1.0059965015531764</v>
      </c>
      <c r="E151">
        <v>1.3476843180576718E-3</v>
      </c>
      <c r="F151">
        <v>1.1886824201336277E-3</v>
      </c>
      <c r="G151">
        <v>1.2131127783189472E-3</v>
      </c>
      <c r="H151">
        <v>2.5306305439301365E-3</v>
      </c>
      <c r="I151">
        <v>0.17688580274826618</v>
      </c>
      <c r="J151">
        <v>8.2041003635247977E-3</v>
      </c>
      <c r="K151">
        <v>3.2137522105714568E-3</v>
      </c>
      <c r="L151">
        <v>3.7825996556906777E-3</v>
      </c>
      <c r="M151">
        <v>1.2673962311379448E-3</v>
      </c>
      <c r="N151">
        <v>1.3922874667553792E-3</v>
      </c>
      <c r="O151">
        <v>5.1609251434873535E-2</v>
      </c>
      <c r="P151">
        <v>2.3371573469516266E-3</v>
      </c>
      <c r="Q151">
        <v>1.5581019570450451E-3</v>
      </c>
      <c r="R151">
        <v>1.7705569595962444E-3</v>
      </c>
      <c r="S151">
        <v>7.1143001907644299E-3</v>
      </c>
      <c r="T151">
        <v>1.8187064650302379E-3</v>
      </c>
      <c r="U151">
        <v>8.6124130246740464E-4</v>
      </c>
      <c r="V151">
        <v>2.3308938847353528E-3</v>
      </c>
      <c r="W151">
        <v>4.1143516889462625E-3</v>
      </c>
      <c r="X151">
        <v>5.5911743013332856E-3</v>
      </c>
    </row>
    <row r="152" spans="2:24" ht="16" customHeight="1">
      <c r="B152" s="15">
        <v>3</v>
      </c>
      <c r="C152">
        <v>6.3772833011712132E-2</v>
      </c>
      <c r="D152">
        <v>6.8454578102978642E-2</v>
      </c>
      <c r="E152">
        <v>1.1508378044994756</v>
      </c>
      <c r="F152">
        <v>0.10043127170691113</v>
      </c>
      <c r="G152">
        <v>6.4621311658984631E-2</v>
      </c>
      <c r="H152">
        <v>6.6570337296462917E-2</v>
      </c>
      <c r="I152">
        <v>7.6152187575241559E-2</v>
      </c>
      <c r="J152">
        <v>0.13161691849250487</v>
      </c>
      <c r="K152">
        <v>6.4797683879302459E-2</v>
      </c>
      <c r="L152">
        <v>9.9030326461963775E-2</v>
      </c>
      <c r="M152">
        <v>6.6425949479371943E-2</v>
      </c>
      <c r="N152">
        <v>9.3883263493787214E-2</v>
      </c>
      <c r="O152">
        <v>0.13006048957191729</v>
      </c>
      <c r="P152">
        <v>0.11343787744407734</v>
      </c>
      <c r="Q152">
        <v>9.2046038222228899E-2</v>
      </c>
      <c r="R152">
        <v>0.34678506805017356</v>
      </c>
      <c r="S152">
        <v>8.2938192383927245E-2</v>
      </c>
      <c r="T152">
        <v>0.10245267831025744</v>
      </c>
      <c r="U152">
        <v>3.0631231039156444E-2</v>
      </c>
      <c r="V152">
        <v>0.11737869504841762</v>
      </c>
      <c r="W152">
        <v>0.25875177270572686</v>
      </c>
      <c r="X152">
        <v>0.39627993695830582</v>
      </c>
    </row>
    <row r="153" spans="2:24" ht="16" customHeight="1">
      <c r="B153" s="15">
        <v>4</v>
      </c>
      <c r="C153">
        <v>1.2638892577051933E-2</v>
      </c>
      <c r="D153">
        <v>1.1527952101519528E-2</v>
      </c>
      <c r="E153">
        <v>2.7596505911819138E-2</v>
      </c>
      <c r="F153">
        <v>1.2032354791570408</v>
      </c>
      <c r="G153">
        <v>1.195284333361279E-2</v>
      </c>
      <c r="H153">
        <v>9.0559885664023773E-3</v>
      </c>
      <c r="I153">
        <v>1.0590167728332442E-2</v>
      </c>
      <c r="J153">
        <v>1.4518285160303606E-2</v>
      </c>
      <c r="K153">
        <v>7.7015346972897176E-3</v>
      </c>
      <c r="L153">
        <v>1.3869582387372311E-2</v>
      </c>
      <c r="M153">
        <v>4.8235905998779235E-2</v>
      </c>
      <c r="N153">
        <v>1.0287820612626026E-2</v>
      </c>
      <c r="O153">
        <v>1.498528447273316E-2</v>
      </c>
      <c r="P153">
        <v>1.3248791164697977E-2</v>
      </c>
      <c r="Q153">
        <v>1.4086512817184432E-2</v>
      </c>
      <c r="R153">
        <v>2.0075887866534737E-2</v>
      </c>
      <c r="S153">
        <v>9.9869715797947026E-3</v>
      </c>
      <c r="T153">
        <v>1.1944929530773028E-2</v>
      </c>
      <c r="U153">
        <v>3.6889080074562542E-3</v>
      </c>
      <c r="V153">
        <v>2.3039790081240262E-2</v>
      </c>
      <c r="W153">
        <v>3.2625822506156095E-2</v>
      </c>
      <c r="X153">
        <v>4.1781801748444342E-2</v>
      </c>
    </row>
    <row r="154" spans="2:24" ht="16" customHeight="1">
      <c r="B154" s="15">
        <v>5</v>
      </c>
      <c r="C154">
        <v>3.6037087637147386E-2</v>
      </c>
      <c r="D154">
        <v>2.0300262204850945E-2</v>
      </c>
      <c r="E154">
        <v>3.6266982107091172E-2</v>
      </c>
      <c r="F154">
        <v>1.8500792839921398E-2</v>
      </c>
      <c r="G154">
        <v>1.2100487221230047</v>
      </c>
      <c r="H154">
        <v>1.6588544650319576E-2</v>
      </c>
      <c r="I154">
        <v>6.5148196761059318E-2</v>
      </c>
      <c r="J154">
        <v>2.1170779721283672E-2</v>
      </c>
      <c r="K154">
        <v>1.6496198247064386E-2</v>
      </c>
      <c r="L154">
        <v>2.5227766278441064E-2</v>
      </c>
      <c r="M154">
        <v>7.3187463908787401E-2</v>
      </c>
      <c r="N154">
        <v>1.4427206438063498E-2</v>
      </c>
      <c r="O154">
        <v>9.913327716560219E-2</v>
      </c>
      <c r="P154">
        <v>3.2333053751464245E-2</v>
      </c>
      <c r="Q154">
        <v>4.3371257926575785E-2</v>
      </c>
      <c r="R154">
        <v>2.8997717294387559E-2</v>
      </c>
      <c r="S154">
        <v>2.6656085861775907E-2</v>
      </c>
      <c r="T154">
        <v>2.1078843429362004E-2</v>
      </c>
      <c r="U154">
        <v>8.9004820720512568E-3</v>
      </c>
      <c r="V154">
        <v>6.1879725557772179E-2</v>
      </c>
      <c r="W154">
        <v>3.9940760514854914E-2</v>
      </c>
      <c r="X154">
        <v>4.7347042803832701E-2</v>
      </c>
    </row>
    <row r="155" spans="2:24" ht="16" customHeight="1">
      <c r="B155" s="15">
        <v>6</v>
      </c>
      <c r="C155">
        <v>5.134149643661795E-2</v>
      </c>
      <c r="D155">
        <v>8.2112354876089311E-2</v>
      </c>
      <c r="E155">
        <v>5.4782179503242719E-2</v>
      </c>
      <c r="F155">
        <v>5.2099087448409034E-2</v>
      </c>
      <c r="G155">
        <v>5.5501139756602445E-2</v>
      </c>
      <c r="H155">
        <v>1.1682122716617414</v>
      </c>
      <c r="I155">
        <v>5.453736512684864E-2</v>
      </c>
      <c r="J155">
        <v>5.308889083327463E-2</v>
      </c>
      <c r="K155">
        <v>2.5427880433734645E-2</v>
      </c>
      <c r="L155">
        <v>4.0884880779349229E-2</v>
      </c>
      <c r="M155">
        <v>7.447327188377402E-2</v>
      </c>
      <c r="N155">
        <v>3.1485513561224865E-2</v>
      </c>
      <c r="O155">
        <v>6.949543686929785E-2</v>
      </c>
      <c r="P155">
        <v>4.8300240864801849E-2</v>
      </c>
      <c r="Q155">
        <v>3.6547990499005874E-2</v>
      </c>
      <c r="R155">
        <v>5.32195557075286E-2</v>
      </c>
      <c r="S155">
        <v>3.2336753728951742E-2</v>
      </c>
      <c r="T155">
        <v>3.4783000037185333E-2</v>
      </c>
      <c r="U155">
        <v>1.1141697662765215E-2</v>
      </c>
      <c r="V155">
        <v>4.6623708989663892E-2</v>
      </c>
      <c r="W155">
        <v>0.11885507713505132</v>
      </c>
      <c r="X155">
        <v>0.12658185341302311</v>
      </c>
    </row>
    <row r="156" spans="2:24" ht="16" customHeight="1">
      <c r="B156" s="15">
        <v>7</v>
      </c>
      <c r="C156">
        <v>2.6702416752808246E-3</v>
      </c>
      <c r="D156">
        <v>7.5627271869901334E-3</v>
      </c>
      <c r="E156">
        <v>3.2690872847480445E-3</v>
      </c>
      <c r="F156">
        <v>2.5643162688207127E-3</v>
      </c>
      <c r="G156">
        <v>2.9106319450070317E-3</v>
      </c>
      <c r="H156">
        <v>6.7455407283312395E-3</v>
      </c>
      <c r="I156">
        <v>1.0848223674014006</v>
      </c>
      <c r="J156">
        <v>6.4354025581968028E-3</v>
      </c>
      <c r="K156">
        <v>1.1133559167509122E-2</v>
      </c>
      <c r="L156">
        <v>9.1403449439557086E-3</v>
      </c>
      <c r="M156">
        <v>2.9066030369371263E-3</v>
      </c>
      <c r="N156">
        <v>3.0661294357038241E-3</v>
      </c>
      <c r="O156">
        <v>0.11386458968565495</v>
      </c>
      <c r="P156">
        <v>4.7814612441009364E-3</v>
      </c>
      <c r="Q156">
        <v>3.3997491819786623E-3</v>
      </c>
      <c r="R156">
        <v>3.8565856966270057E-3</v>
      </c>
      <c r="S156">
        <v>1.521781635893241E-2</v>
      </c>
      <c r="T156">
        <v>3.904192750375522E-3</v>
      </c>
      <c r="U156">
        <v>1.8071725960671187E-3</v>
      </c>
      <c r="V156">
        <v>4.8415392454893916E-3</v>
      </c>
      <c r="W156">
        <v>9.3753825544823054E-3</v>
      </c>
      <c r="X156">
        <v>1.1238963283215535E-2</v>
      </c>
    </row>
    <row r="157" spans="2:24" ht="16" customHeight="1">
      <c r="B157" s="15">
        <v>8</v>
      </c>
      <c r="C157">
        <v>2.0341495702382488E-3</v>
      </c>
      <c r="D157">
        <v>2.2209125112523675E-3</v>
      </c>
      <c r="E157">
        <v>1.9400089974768481E-3</v>
      </c>
      <c r="F157">
        <v>1.3642809572414329E-3</v>
      </c>
      <c r="G157">
        <v>2.3537972191410637E-3</v>
      </c>
      <c r="H157">
        <v>2.0229497068823241E-2</v>
      </c>
      <c r="I157">
        <v>6.6320441982391778E-3</v>
      </c>
      <c r="J157">
        <v>1.0529261390144546</v>
      </c>
      <c r="K157">
        <v>8.3233720846285543E-4</v>
      </c>
      <c r="L157">
        <v>1.4256618819784969E-3</v>
      </c>
      <c r="M157">
        <v>7.8138701323843367E-3</v>
      </c>
      <c r="N157">
        <v>8.4569095730733959E-4</v>
      </c>
      <c r="O157">
        <v>7.4441410976443046E-3</v>
      </c>
      <c r="P157">
        <v>1.4103327859486094E-3</v>
      </c>
      <c r="Q157">
        <v>1.5787042638496453E-3</v>
      </c>
      <c r="R157">
        <v>1.5330954265763282E-3</v>
      </c>
      <c r="S157">
        <v>1.5512191115789715E-3</v>
      </c>
      <c r="T157">
        <v>1.3101960983829054E-3</v>
      </c>
      <c r="U157">
        <v>3.7022202369584961E-4</v>
      </c>
      <c r="V157">
        <v>1.51613325101099E-3</v>
      </c>
      <c r="W157">
        <v>3.0104457205054019E-3</v>
      </c>
      <c r="X157">
        <v>3.3479219137250243E-3</v>
      </c>
    </row>
    <row r="158" spans="2:24" ht="16" customHeight="1">
      <c r="B158" s="15">
        <v>9</v>
      </c>
      <c r="C158">
        <v>5.4429019378197481E-3</v>
      </c>
      <c r="D158">
        <v>7.1196320937897059E-2</v>
      </c>
      <c r="E158">
        <v>5.4583732780927319E-3</v>
      </c>
      <c r="F158">
        <v>4.8407787250716707E-3</v>
      </c>
      <c r="G158">
        <v>8.0529197495291908E-3</v>
      </c>
      <c r="H158">
        <v>2.6398034234834482E-2</v>
      </c>
      <c r="I158">
        <v>1.7203498861894147E-2</v>
      </c>
      <c r="J158">
        <v>5.9637952093776021E-3</v>
      </c>
      <c r="K158">
        <v>1.1092167421413106</v>
      </c>
      <c r="L158">
        <v>0.14244157428591175</v>
      </c>
      <c r="M158">
        <v>3.4469096011359085E-2</v>
      </c>
      <c r="N158">
        <v>4.8714968989555692E-3</v>
      </c>
      <c r="O158">
        <v>2.5247092943889517E-2</v>
      </c>
      <c r="P158">
        <v>1.1171887473446478E-2</v>
      </c>
      <c r="Q158">
        <v>7.8366137670435668E-3</v>
      </c>
      <c r="R158">
        <v>5.7703132678887624E-3</v>
      </c>
      <c r="S158">
        <v>8.5722638410000995E-3</v>
      </c>
      <c r="T158">
        <v>4.8249810723964542E-3</v>
      </c>
      <c r="U158">
        <v>1.7920714847173855E-3</v>
      </c>
      <c r="V158">
        <v>6.7535692378862255E-3</v>
      </c>
      <c r="W158">
        <v>1.2499215034775761E-2</v>
      </c>
      <c r="X158">
        <v>1.2326042045847398E-2</v>
      </c>
    </row>
    <row r="159" spans="2:24" ht="16" customHeight="1">
      <c r="B159" s="15">
        <v>10</v>
      </c>
      <c r="C159">
        <v>1.4242449518229064E-3</v>
      </c>
      <c r="D159">
        <v>2.5435881963245862E-3</v>
      </c>
      <c r="E159">
        <v>1.6342566513691641E-3</v>
      </c>
      <c r="F159">
        <v>1.5041984449221746E-3</v>
      </c>
      <c r="G159">
        <v>1.6508640318562175E-3</v>
      </c>
      <c r="H159">
        <v>1.7168921572415423E-3</v>
      </c>
      <c r="I159">
        <v>1.7874695705202141E-3</v>
      </c>
      <c r="J159">
        <v>2.3595950791823017E-3</v>
      </c>
      <c r="K159">
        <v>1.5290868474188564E-2</v>
      </c>
      <c r="L159">
        <v>1.0237354830305128</v>
      </c>
      <c r="M159">
        <v>3.5090409743316832E-3</v>
      </c>
      <c r="N159">
        <v>1.6821922822250887E-3</v>
      </c>
      <c r="O159">
        <v>2.6992259311534091E-3</v>
      </c>
      <c r="P159">
        <v>2.7702735633781815E-3</v>
      </c>
      <c r="Q159">
        <v>2.2578885521212237E-3</v>
      </c>
      <c r="R159">
        <v>2.1863131081600166E-3</v>
      </c>
      <c r="S159">
        <v>6.824908249751232E-3</v>
      </c>
      <c r="T159">
        <v>2.2315436094895048E-3</v>
      </c>
      <c r="U159">
        <v>6.7132884269785421E-4</v>
      </c>
      <c r="V159">
        <v>2.5868243291534542E-3</v>
      </c>
      <c r="W159">
        <v>4.8048416973107393E-3</v>
      </c>
      <c r="X159">
        <v>6.5331591403490182E-3</v>
      </c>
    </row>
    <row r="160" spans="2:24" ht="16" customHeight="1">
      <c r="B160" s="15">
        <v>11</v>
      </c>
      <c r="C160">
        <v>4.2849786286732368E-2</v>
      </c>
      <c r="D160">
        <v>9.6225451069301679E-2</v>
      </c>
      <c r="E160">
        <v>2.9786260627003687E-2</v>
      </c>
      <c r="F160">
        <v>4.1540182231728687E-2</v>
      </c>
      <c r="G160">
        <v>4.3792506697186095E-2</v>
      </c>
      <c r="H160">
        <v>2.3935646076003327E-2</v>
      </c>
      <c r="I160">
        <v>3.5246933476686018E-2</v>
      </c>
      <c r="J160">
        <v>2.127243834439824E-2</v>
      </c>
      <c r="K160">
        <v>1.1236489618200717E-2</v>
      </c>
      <c r="L160">
        <v>4.1832295813431203E-2</v>
      </c>
      <c r="M160">
        <v>1.0234918006496563</v>
      </c>
      <c r="N160">
        <v>1.3498420180641766E-2</v>
      </c>
      <c r="O160">
        <v>2.6714973753551884E-2</v>
      </c>
      <c r="P160">
        <v>2.562234367993008E-2</v>
      </c>
      <c r="Q160">
        <v>0.10147408050733153</v>
      </c>
      <c r="R160">
        <v>2.1613468657817988E-2</v>
      </c>
      <c r="S160">
        <v>1.4744391308496032E-2</v>
      </c>
      <c r="T160">
        <v>2.0214492978165657E-2</v>
      </c>
      <c r="U160">
        <v>9.3114353895131369E-3</v>
      </c>
      <c r="V160">
        <v>4.517087250050171E-2</v>
      </c>
      <c r="W160">
        <v>4.070323005681567E-2</v>
      </c>
      <c r="X160">
        <v>4.44801707751128E-2</v>
      </c>
    </row>
    <row r="161" spans="2:27" ht="16" customHeight="1">
      <c r="B161" s="15">
        <v>12</v>
      </c>
      <c r="C161">
        <v>2.1951694309098765E-2</v>
      </c>
      <c r="D161">
        <v>2.9810277347519891E-2</v>
      </c>
      <c r="E161">
        <v>4.6893540196805972E-2</v>
      </c>
      <c r="F161">
        <v>4.8467391582493122E-2</v>
      </c>
      <c r="G161">
        <v>3.8375063864756018E-2</v>
      </c>
      <c r="H161">
        <v>3.621808086614349E-2</v>
      </c>
      <c r="I161">
        <v>5.3599996520255856E-2</v>
      </c>
      <c r="J161">
        <v>3.5565761478330689E-2</v>
      </c>
      <c r="K161">
        <v>3.7037400833304063E-2</v>
      </c>
      <c r="L161">
        <v>4.6681530596343182E-2</v>
      </c>
      <c r="M161">
        <v>3.1224793676516031E-2</v>
      </c>
      <c r="N161">
        <v>1.1360896352592178</v>
      </c>
      <c r="O161">
        <v>3.4167123701302121E-2</v>
      </c>
      <c r="P161">
        <v>6.0136001200654494E-2</v>
      </c>
      <c r="Q161">
        <v>3.6524017741227363E-2</v>
      </c>
      <c r="R161">
        <v>5.509180119979027E-2</v>
      </c>
      <c r="S161">
        <v>3.0306543965271049E-2</v>
      </c>
      <c r="T161">
        <v>3.10974590452869E-2</v>
      </c>
      <c r="U161">
        <v>4.6599792736358635E-2</v>
      </c>
      <c r="V161">
        <v>7.0331863937026243E-2</v>
      </c>
      <c r="W161">
        <v>8.4958211113143028E-2</v>
      </c>
      <c r="X161">
        <v>6.824352516071755E-2</v>
      </c>
    </row>
    <row r="162" spans="2:27" ht="16" customHeight="1">
      <c r="B162" s="15">
        <v>13</v>
      </c>
      <c r="C162">
        <v>4.4888944549638654E-3</v>
      </c>
      <c r="D162">
        <v>6.8620641290876618E-3</v>
      </c>
      <c r="E162">
        <v>5.4680241339229475E-3</v>
      </c>
      <c r="F162">
        <v>5.2955679950648094E-3</v>
      </c>
      <c r="G162">
        <v>5.8474225220615352E-3</v>
      </c>
      <c r="H162">
        <v>5.3509000252022383E-3</v>
      </c>
      <c r="I162">
        <v>5.6654172651854811E-3</v>
      </c>
      <c r="J162">
        <v>8.744440866272735E-3</v>
      </c>
      <c r="K162">
        <v>2.5097290798379669E-2</v>
      </c>
      <c r="L162">
        <v>3.9965110875870034E-2</v>
      </c>
      <c r="M162">
        <v>6.0557248831098016E-3</v>
      </c>
      <c r="N162">
        <v>4.5842601085820094E-3</v>
      </c>
      <c r="O162">
        <v>1.0408930896507949</v>
      </c>
      <c r="P162">
        <v>1.5953293951757642E-2</v>
      </c>
      <c r="Q162">
        <v>7.3538315786281765E-3</v>
      </c>
      <c r="R162">
        <v>7.2762455862118566E-3</v>
      </c>
      <c r="S162">
        <v>0.11869022440374338</v>
      </c>
      <c r="T162">
        <v>1.0283342750813053E-2</v>
      </c>
      <c r="U162">
        <v>9.2848999526261751E-3</v>
      </c>
      <c r="V162">
        <v>1.8314678619984221E-2</v>
      </c>
      <c r="W162">
        <v>1.5089617749882033E-2</v>
      </c>
      <c r="X162">
        <v>1.770512153883801E-2</v>
      </c>
    </row>
    <row r="163" spans="2:27" ht="16" customHeight="1">
      <c r="B163" s="15">
        <v>14</v>
      </c>
      <c r="C163">
        <v>0.10930442544695097</v>
      </c>
      <c r="D163">
        <v>0.22720795209565525</v>
      </c>
      <c r="E163">
        <v>0.16133934221582705</v>
      </c>
      <c r="F163">
        <v>0.1174318501395176</v>
      </c>
      <c r="G163">
        <v>0.20744149007911108</v>
      </c>
      <c r="H163">
        <v>0.16814856586679852</v>
      </c>
      <c r="I163">
        <v>0.17727729202623299</v>
      </c>
      <c r="J163">
        <v>0.12226974536637066</v>
      </c>
      <c r="K163">
        <v>0.19081061207314309</v>
      </c>
      <c r="L163">
        <v>0.22274812649009368</v>
      </c>
      <c r="M163">
        <v>0.15030971493259637</v>
      </c>
      <c r="N163">
        <v>6.7968121038696677E-2</v>
      </c>
      <c r="O163">
        <v>0.19927853853318306</v>
      </c>
      <c r="P163">
        <v>1.1418017032064791</v>
      </c>
      <c r="Q163">
        <v>0.21857150436175377</v>
      </c>
      <c r="R163">
        <v>0.13822568194773552</v>
      </c>
      <c r="S163">
        <v>0.13686914706552183</v>
      </c>
      <c r="T163">
        <v>8.3729099861752088E-2</v>
      </c>
      <c r="U163">
        <v>3.2591174136580504E-2</v>
      </c>
      <c r="V163">
        <v>0.14950192186580008</v>
      </c>
      <c r="W163">
        <v>0.21247808030141871</v>
      </c>
      <c r="X163">
        <v>0.25622881934625225</v>
      </c>
    </row>
    <row r="164" spans="2:27" ht="16" customHeight="1">
      <c r="B164" s="15">
        <v>15</v>
      </c>
      <c r="C164">
        <v>7.949158318642506E-2</v>
      </c>
      <c r="D164">
        <v>6.1669051578873729E-2</v>
      </c>
      <c r="E164">
        <v>6.4668937861864409E-2</v>
      </c>
      <c r="F164">
        <v>3.5719298030480302E-2</v>
      </c>
      <c r="G164">
        <v>4.8336606776010184E-2</v>
      </c>
      <c r="H164">
        <v>4.5927116683585005E-2</v>
      </c>
      <c r="I164">
        <v>5.3385138977866564E-2</v>
      </c>
      <c r="J164">
        <v>5.259416161683271E-2</v>
      </c>
      <c r="K164">
        <v>3.8294953671883916E-2</v>
      </c>
      <c r="L164">
        <v>0.10559664323987623</v>
      </c>
      <c r="M164">
        <v>3.7863583294296309E-2</v>
      </c>
      <c r="N164">
        <v>4.2112326329548075E-2</v>
      </c>
      <c r="O164">
        <v>6.0633919964320354E-2</v>
      </c>
      <c r="P164">
        <v>0.10452309330058333</v>
      </c>
      <c r="Q164">
        <v>1.0452976681589212</v>
      </c>
      <c r="R164">
        <v>5.495231420478762E-2</v>
      </c>
      <c r="S164">
        <v>3.9854655551552265E-2</v>
      </c>
      <c r="T164">
        <v>4.4479536928968305E-2</v>
      </c>
      <c r="U164">
        <v>2.2940124057567641E-2</v>
      </c>
      <c r="V164">
        <v>9.1049445680272914E-2</v>
      </c>
      <c r="W164">
        <v>9.4391002083342959E-2</v>
      </c>
      <c r="X164">
        <v>0.1284908829657109</v>
      </c>
    </row>
    <row r="165" spans="2:27" ht="16" customHeight="1">
      <c r="B165" s="15">
        <v>16</v>
      </c>
      <c r="C165">
        <v>1.4137856898986032E-2</v>
      </c>
      <c r="D165">
        <v>1.9038269782740518E-2</v>
      </c>
      <c r="E165">
        <v>1.6606582927886034E-2</v>
      </c>
      <c r="F165">
        <v>1.5387835948166274E-2</v>
      </c>
      <c r="G165">
        <v>1.5774272298683275E-2</v>
      </c>
      <c r="H165">
        <v>1.5735976245116221E-2</v>
      </c>
      <c r="I165">
        <v>1.7635318358850745E-2</v>
      </c>
      <c r="J165">
        <v>2.8553516750364837E-2</v>
      </c>
      <c r="K165">
        <v>2.2316368309962215E-2</v>
      </c>
      <c r="L165">
        <v>2.692972869810905E-2</v>
      </c>
      <c r="M165">
        <v>1.5350616033785236E-2</v>
      </c>
      <c r="N165">
        <v>2.4337983577206838E-2</v>
      </c>
      <c r="O165">
        <v>2.7318746202102673E-2</v>
      </c>
      <c r="P165">
        <v>2.567530346563307E-2</v>
      </c>
      <c r="Q165">
        <v>2.4073392748276381E-2</v>
      </c>
      <c r="R165">
        <v>1.0292421721220892</v>
      </c>
      <c r="S165">
        <v>2.7772948856106115E-2</v>
      </c>
      <c r="T165">
        <v>2.5321874997908722E-2</v>
      </c>
      <c r="U165">
        <v>8.6503739217234765E-3</v>
      </c>
      <c r="V165">
        <v>3.2684269435011896E-2</v>
      </c>
      <c r="W165">
        <v>6.1742452668120097E-2</v>
      </c>
      <c r="X165">
        <v>7.454111430392632E-2</v>
      </c>
    </row>
    <row r="166" spans="2:27" ht="16" customHeight="1">
      <c r="B166" s="15">
        <v>17</v>
      </c>
      <c r="C166">
        <v>2.9898852201077616E-2</v>
      </c>
      <c r="D166">
        <v>4.4695264065719664E-2</v>
      </c>
      <c r="E166">
        <v>3.9912542799594219E-2</v>
      </c>
      <c r="F166">
        <v>3.9337868829527535E-2</v>
      </c>
      <c r="G166">
        <v>4.5673027494315718E-2</v>
      </c>
      <c r="H166">
        <v>3.7985144186019976E-2</v>
      </c>
      <c r="I166">
        <v>4.0367850157993816E-2</v>
      </c>
      <c r="J166">
        <v>6.1936645458371901E-2</v>
      </c>
      <c r="K166">
        <v>4.5212252213144247E-2</v>
      </c>
      <c r="L166">
        <v>7.2657272978848275E-2</v>
      </c>
      <c r="M166">
        <v>4.1827590738974123E-2</v>
      </c>
      <c r="N166">
        <v>2.7347127217906313E-2</v>
      </c>
      <c r="O166">
        <v>5.0306354603031969E-2</v>
      </c>
      <c r="P166">
        <v>0.14358486114057686</v>
      </c>
      <c r="Q166">
        <v>5.5698896667116977E-2</v>
      </c>
      <c r="R166">
        <v>5.1890573513242687E-2</v>
      </c>
      <c r="S166">
        <v>1.2959783315494018</v>
      </c>
      <c r="T166">
        <v>6.7859767071559524E-2</v>
      </c>
      <c r="U166">
        <v>2.5308108066888921E-2</v>
      </c>
      <c r="V166">
        <v>0.13447191823837348</v>
      </c>
      <c r="W166">
        <v>9.3741004305947548E-2</v>
      </c>
      <c r="X166">
        <v>0.10143044632955191</v>
      </c>
    </row>
    <row r="167" spans="2:27" ht="16" customHeight="1">
      <c r="B167" s="15">
        <v>18</v>
      </c>
      <c r="C167">
        <v>8.8444234545370676E-2</v>
      </c>
      <c r="D167">
        <v>4.8738236785156125E-2</v>
      </c>
      <c r="E167">
        <v>7.6375712357236891E-2</v>
      </c>
      <c r="F167">
        <v>5.189847360975066E-2</v>
      </c>
      <c r="G167">
        <v>6.4268754402741449E-2</v>
      </c>
      <c r="H167">
        <v>7.4117997158759691E-2</v>
      </c>
      <c r="I167">
        <v>4.3659284758359604E-2</v>
      </c>
      <c r="J167">
        <v>0.12639218679794179</v>
      </c>
      <c r="K167">
        <v>4.7401594312444291E-2</v>
      </c>
      <c r="L167">
        <v>6.9183583303739318E-2</v>
      </c>
      <c r="M167">
        <v>9.7358730753662803E-2</v>
      </c>
      <c r="N167">
        <v>3.1621909400954197E-2</v>
      </c>
      <c r="O167">
        <v>6.3598494837602063E-2</v>
      </c>
      <c r="P167">
        <v>0.12440566505231038</v>
      </c>
      <c r="Q167">
        <v>7.0727407519590904E-2</v>
      </c>
      <c r="R167">
        <v>6.0175959110106168E-2</v>
      </c>
      <c r="S167">
        <v>4.3905358405158613E-2</v>
      </c>
      <c r="T167">
        <v>1.1215677624358582</v>
      </c>
      <c r="U167">
        <v>1.5397544122460347E-2</v>
      </c>
      <c r="V167">
        <v>8.527845230674197E-2</v>
      </c>
      <c r="W167">
        <v>0.10156408413196789</v>
      </c>
      <c r="X167">
        <v>0.11300869253670708</v>
      </c>
    </row>
    <row r="168" spans="2:27" ht="16" customHeight="1">
      <c r="B168" s="15">
        <v>19</v>
      </c>
      <c r="C168">
        <v>7.054143956373965E-2</v>
      </c>
      <c r="D168">
        <v>3.3035463836173576E-2</v>
      </c>
      <c r="E168">
        <v>4.5076261615471423E-2</v>
      </c>
      <c r="F168">
        <v>3.3700662227966117E-2</v>
      </c>
      <c r="G168">
        <v>3.6732065670648344E-2</v>
      </c>
      <c r="H168">
        <v>2.8139713812495238E-2</v>
      </c>
      <c r="I168">
        <v>3.2589672315144688E-2</v>
      </c>
      <c r="J168">
        <v>4.7823933827951151E-2</v>
      </c>
      <c r="K168">
        <v>2.5514555298943E-2</v>
      </c>
      <c r="L168">
        <v>3.7747917201619338E-2</v>
      </c>
      <c r="M168">
        <v>3.4271130568308793E-2</v>
      </c>
      <c r="N168">
        <v>3.0739839453658869E-2</v>
      </c>
      <c r="O168">
        <v>4.6116006325485535E-2</v>
      </c>
      <c r="P168">
        <v>7.1640852176300548E-2</v>
      </c>
      <c r="Q168">
        <v>4.8506911497221895E-2</v>
      </c>
      <c r="R168">
        <v>5.4248934529047645E-2</v>
      </c>
      <c r="S168">
        <v>3.9675712672317502E-2</v>
      </c>
      <c r="T168">
        <v>4.5884585209815691E-2</v>
      </c>
      <c r="U168">
        <v>1.014938540315194</v>
      </c>
      <c r="V168">
        <v>6.6698902060117068E-2</v>
      </c>
      <c r="W168">
        <v>9.775422316907556E-2</v>
      </c>
      <c r="X168">
        <v>0.12254006820450514</v>
      </c>
    </row>
    <row r="169" spans="2:27" ht="16" customHeight="1">
      <c r="B169" s="15">
        <v>20</v>
      </c>
      <c r="C169">
        <v>5.1037959790331371E-2</v>
      </c>
      <c r="D169">
        <v>4.2809164709070008E-2</v>
      </c>
      <c r="E169">
        <v>4.8859806491997816E-2</v>
      </c>
      <c r="F169">
        <v>3.128967054213979E-2</v>
      </c>
      <c r="G169">
        <v>5.6143640885647862E-2</v>
      </c>
      <c r="H169">
        <v>5.1655063100218217E-2</v>
      </c>
      <c r="I169">
        <v>3.9689324713463987E-2</v>
      </c>
      <c r="J169">
        <v>6.1506528263463867E-2</v>
      </c>
      <c r="K169">
        <v>2.7304600482390067E-2</v>
      </c>
      <c r="L169">
        <v>3.6644249804120288E-2</v>
      </c>
      <c r="M169">
        <v>3.9065372924250628E-2</v>
      </c>
      <c r="N169">
        <v>3.498345550518453E-2</v>
      </c>
      <c r="O169">
        <v>4.0480518777111126E-2</v>
      </c>
      <c r="P169">
        <v>6.2424293640618037E-2</v>
      </c>
      <c r="Q169">
        <v>5.5782787987926061E-2</v>
      </c>
      <c r="R169">
        <v>6.6250884787408273E-2</v>
      </c>
      <c r="S169">
        <v>9.513963324486531E-2</v>
      </c>
      <c r="T169">
        <v>6.8052925862550906E-2</v>
      </c>
      <c r="U169">
        <v>1.9874683942813758E-2</v>
      </c>
      <c r="V169">
        <v>1.0603990588126342</v>
      </c>
      <c r="W169">
        <v>8.1980452283495653E-2</v>
      </c>
      <c r="X169">
        <v>6.5681434958399135E-2</v>
      </c>
    </row>
    <row r="170" spans="2:27" ht="16" customHeight="1">
      <c r="B170" s="15">
        <v>21</v>
      </c>
      <c r="C170">
        <v>6.2158405036282595E-2</v>
      </c>
      <c r="D170">
        <v>7.4075968081072946E-2</v>
      </c>
      <c r="E170">
        <v>7.8326498993932639E-2</v>
      </c>
      <c r="F170">
        <v>8.2469880303538606E-2</v>
      </c>
      <c r="G170">
        <v>6.9391514042702551E-2</v>
      </c>
      <c r="H170">
        <v>6.4065744640389291E-2</v>
      </c>
      <c r="I170">
        <v>8.3668285062743264E-2</v>
      </c>
      <c r="J170">
        <v>0.1481094030567055</v>
      </c>
      <c r="K170">
        <v>8.379666153506321E-2</v>
      </c>
      <c r="L170">
        <v>0.11794984870582367</v>
      </c>
      <c r="M170">
        <v>7.3090289220489102E-2</v>
      </c>
      <c r="N170">
        <v>0.11031968494508218</v>
      </c>
      <c r="O170">
        <v>0.14580737244958075</v>
      </c>
      <c r="P170">
        <v>0.12735644811319885</v>
      </c>
      <c r="Q170">
        <v>0.10122469395062267</v>
      </c>
      <c r="R170">
        <v>0.12370996772160056</v>
      </c>
      <c r="S170">
        <v>0.10006436648214126</v>
      </c>
      <c r="T170">
        <v>0.12542983363301694</v>
      </c>
      <c r="U170">
        <v>3.4690024420448676E-2</v>
      </c>
      <c r="V170">
        <v>0.13081074694713155</v>
      </c>
      <c r="W170">
        <v>1.2932743858284415</v>
      </c>
      <c r="X170">
        <v>0.44585880895481506</v>
      </c>
    </row>
    <row r="171" spans="2:27" ht="16" customHeight="1">
      <c r="B171" s="15">
        <v>22</v>
      </c>
      <c r="C171">
        <v>0.19022805022934455</v>
      </c>
      <c r="D171">
        <v>0.23213354493536142</v>
      </c>
      <c r="E171">
        <v>0.24454016591313599</v>
      </c>
      <c r="F171">
        <v>0.2578544882951404</v>
      </c>
      <c r="G171">
        <v>0.21589760848341674</v>
      </c>
      <c r="H171">
        <v>0.2010140879907906</v>
      </c>
      <c r="I171">
        <v>0.26773093148540911</v>
      </c>
      <c r="J171">
        <v>0.48116609186051096</v>
      </c>
      <c r="K171">
        <v>0.22140623982176239</v>
      </c>
      <c r="L171">
        <v>0.34336645043738789</v>
      </c>
      <c r="M171">
        <v>0.23001352765251951</v>
      </c>
      <c r="N171">
        <v>0.34017574316434052</v>
      </c>
      <c r="O171">
        <v>0.46982567187677576</v>
      </c>
      <c r="P171">
        <v>0.40336675449019282</v>
      </c>
      <c r="Q171">
        <v>0.32263820511827579</v>
      </c>
      <c r="R171">
        <v>0.37280488637733133</v>
      </c>
      <c r="S171">
        <v>0.28651078472701269</v>
      </c>
      <c r="T171">
        <v>0.36955006709468491</v>
      </c>
      <c r="U171">
        <v>0.10814098108098119</v>
      </c>
      <c r="V171">
        <v>0.37605248627597071</v>
      </c>
      <c r="W171">
        <v>0.9320338095361298</v>
      </c>
      <c r="X171">
        <v>1.4685182053315997</v>
      </c>
    </row>
    <row r="172" spans="2:27">
      <c r="B172" s="13"/>
    </row>
    <row r="173" spans="2:27" ht="16" customHeight="1">
      <c r="B173" s="15" t="s">
        <v>285</v>
      </c>
      <c r="C173">
        <v>1</v>
      </c>
      <c r="D173">
        <v>2</v>
      </c>
      <c r="E173">
        <v>3</v>
      </c>
      <c r="F173">
        <v>4</v>
      </c>
      <c r="G173">
        <v>5</v>
      </c>
      <c r="H173">
        <v>6</v>
      </c>
      <c r="I173">
        <v>7</v>
      </c>
      <c r="J173">
        <v>8</v>
      </c>
      <c r="K173">
        <v>9</v>
      </c>
      <c r="L173">
        <v>10</v>
      </c>
      <c r="M173">
        <v>11</v>
      </c>
      <c r="N173">
        <v>12</v>
      </c>
      <c r="O173">
        <v>13</v>
      </c>
      <c r="P173">
        <v>14</v>
      </c>
      <c r="Q173">
        <v>15</v>
      </c>
      <c r="R173">
        <v>16</v>
      </c>
      <c r="S173">
        <v>17</v>
      </c>
      <c r="T173">
        <v>18</v>
      </c>
      <c r="U173">
        <v>19</v>
      </c>
      <c r="V173">
        <v>20</v>
      </c>
      <c r="W173">
        <v>21</v>
      </c>
      <c r="X173"/>
      <c r="Y173"/>
      <c r="Z173"/>
      <c r="AA173"/>
    </row>
    <row r="174" spans="2:27" ht="16" customHeight="1">
      <c r="B174" s="15">
        <v>1</v>
      </c>
      <c r="C174">
        <v>3.8119165710077757E-2</v>
      </c>
      <c r="D174">
        <v>3.0148423005565859E-3</v>
      </c>
      <c r="E174">
        <v>6.4287857966481851E-3</v>
      </c>
      <c r="F174">
        <v>3.1084483806546846E-2</v>
      </c>
      <c r="G174">
        <v>9.4900120199187227E-2</v>
      </c>
      <c r="H174">
        <v>6.3201943844492445E-2</v>
      </c>
      <c r="I174">
        <v>6.7854113655640355E-3</v>
      </c>
      <c r="J174">
        <v>2.9500000000000002E-2</v>
      </c>
      <c r="K174">
        <v>9.0625609043071542E-3</v>
      </c>
      <c r="L174">
        <v>6.1440157286802655E-3</v>
      </c>
      <c r="M174">
        <v>0.16930379746835444</v>
      </c>
      <c r="N174">
        <v>7.2690739318007217E-3</v>
      </c>
      <c r="O174">
        <v>0</v>
      </c>
      <c r="P174">
        <v>4.3754613302714677E-2</v>
      </c>
      <c r="Q174">
        <v>0.118044266599975</v>
      </c>
      <c r="R174">
        <v>9.3800445006762354E-3</v>
      </c>
      <c r="S174">
        <v>1.5093506111029302E-3</v>
      </c>
      <c r="T174">
        <v>0.14479855682501505</v>
      </c>
      <c r="U174">
        <v>0.14526831592200634</v>
      </c>
      <c r="V174">
        <v>0.12383582159404692</v>
      </c>
      <c r="W174">
        <v>2.2824408691176795E-3</v>
      </c>
      <c r="X174"/>
      <c r="Y174"/>
      <c r="Z174"/>
      <c r="AA174"/>
    </row>
    <row r="175" spans="2:27" ht="16" customHeight="1">
      <c r="B175" s="15">
        <v>2</v>
      </c>
      <c r="C175">
        <v>1.0829308440363E-5</v>
      </c>
      <c r="D175">
        <v>3.9424860853432275E-3</v>
      </c>
      <c r="E175">
        <v>7.1079941240581896E-5</v>
      </c>
      <c r="F175">
        <v>1.7365633411478687E-4</v>
      </c>
      <c r="G175">
        <v>2.861885410108179E-4</v>
      </c>
      <c r="H175">
        <v>5.4805615550755941E-3</v>
      </c>
      <c r="I175">
        <v>2.1810250817884402E-3</v>
      </c>
      <c r="J175">
        <v>0</v>
      </c>
      <c r="K175">
        <v>2.4166829078152412E-2</v>
      </c>
      <c r="L175">
        <v>2.4576062914721065E-4</v>
      </c>
      <c r="M175">
        <v>2.4078150798018713E-2</v>
      </c>
      <c r="N175">
        <v>7.0917794456592403E-4</v>
      </c>
      <c r="O175">
        <v>0</v>
      </c>
      <c r="P175">
        <v>6.3766095300582309E-3</v>
      </c>
      <c r="Q175">
        <v>2.7260222583468802E-3</v>
      </c>
      <c r="R175">
        <v>8.7256227913267315E-4</v>
      </c>
      <c r="S175">
        <v>4.4176115446915029E-4</v>
      </c>
      <c r="T175">
        <v>4.2092603728202042E-4</v>
      </c>
      <c r="U175">
        <v>6.465443903766972E-4</v>
      </c>
      <c r="V175">
        <v>3.5568867880376282E-3</v>
      </c>
      <c r="W175">
        <v>4.4753742531719213E-5</v>
      </c>
      <c r="X175"/>
      <c r="Y175"/>
      <c r="Z175"/>
      <c r="AA175"/>
    </row>
    <row r="176" spans="2:27" ht="16" customHeight="1">
      <c r="B176" s="15">
        <v>3</v>
      </c>
      <c r="C176">
        <v>0.40273115158865963</v>
      </c>
      <c r="D176">
        <v>2.3191094619666046E-4</v>
      </c>
      <c r="E176">
        <v>7.318074839280353E-2</v>
      </c>
      <c r="F176">
        <v>0.14899713467048711</v>
      </c>
      <c r="G176">
        <v>8.3681529391563148E-2</v>
      </c>
      <c r="H176">
        <v>5.4373650107991361E-2</v>
      </c>
      <c r="I176">
        <v>8.2394280867563296E-3</v>
      </c>
      <c r="J176">
        <v>2.1000000000000001E-2</v>
      </c>
      <c r="K176">
        <v>5.8468134866497771E-3</v>
      </c>
      <c r="L176">
        <v>4.9152125829442124E-3</v>
      </c>
      <c r="M176">
        <v>4.8156301596037426E-2</v>
      </c>
      <c r="N176">
        <v>7.7152650552567828E-2</v>
      </c>
      <c r="O176">
        <v>0</v>
      </c>
      <c r="P176">
        <v>9.3660296891659153E-2</v>
      </c>
      <c r="Q176">
        <v>4.3841440540202579E-2</v>
      </c>
      <c r="R176">
        <v>7.3731512586710877E-3</v>
      </c>
      <c r="S176">
        <v>1.3841849506700045E-2</v>
      </c>
      <c r="T176">
        <v>7.2339146121467232E-2</v>
      </c>
      <c r="U176">
        <v>9.2217647258992074E-3</v>
      </c>
      <c r="V176">
        <v>8.7564936584452663E-2</v>
      </c>
      <c r="W176">
        <v>1.7006422162053299E-3</v>
      </c>
      <c r="X176"/>
      <c r="Y176"/>
      <c r="Z176"/>
      <c r="AA176"/>
    </row>
    <row r="177" spans="2:27" ht="16" customHeight="1">
      <c r="B177" s="15">
        <v>4</v>
      </c>
      <c r="C177">
        <v>8.4468605834831401E-4</v>
      </c>
      <c r="D177">
        <v>0</v>
      </c>
      <c r="E177">
        <v>2.0692160672258282E-3</v>
      </c>
      <c r="F177">
        <v>0.16219501606321093</v>
      </c>
      <c r="G177">
        <v>2.1750329116822162E-3</v>
      </c>
      <c r="H177">
        <v>5.8045356371490284E-3</v>
      </c>
      <c r="I177">
        <v>1.2116806009935778E-4</v>
      </c>
      <c r="J177">
        <v>0</v>
      </c>
      <c r="K177">
        <v>2.9234067433248881E-4</v>
      </c>
      <c r="L177">
        <v>2.4576062914721065E-4</v>
      </c>
      <c r="M177">
        <v>1.9812878370941114E-2</v>
      </c>
      <c r="N177">
        <v>7.7123101471544241E-3</v>
      </c>
      <c r="O177">
        <v>0</v>
      </c>
      <c r="P177">
        <v>5.3821865004510788E-3</v>
      </c>
      <c r="Q177">
        <v>1.1754407902963612E-3</v>
      </c>
      <c r="R177">
        <v>3.9265302560970291E-4</v>
      </c>
      <c r="S177">
        <v>2.9450743631276688E-3</v>
      </c>
      <c r="T177">
        <v>5.2014431749849675E-3</v>
      </c>
      <c r="U177">
        <v>2.3479769966311638E-3</v>
      </c>
      <c r="V177">
        <v>4.9141199045256712E-3</v>
      </c>
      <c r="W177">
        <v>3.020877620891047E-4</v>
      </c>
      <c r="X177"/>
      <c r="Y177"/>
      <c r="Z177"/>
      <c r="AA177"/>
    </row>
    <row r="178" spans="2:27" ht="16" customHeight="1">
      <c r="B178" s="15">
        <v>5</v>
      </c>
      <c r="C178">
        <v>1.8334019189534558E-2</v>
      </c>
      <c r="D178">
        <v>0</v>
      </c>
      <c r="E178">
        <v>2.6852422246442049E-4</v>
      </c>
      <c r="F178">
        <v>3.1258140140661638E-3</v>
      </c>
      <c r="G178">
        <v>0.16146757483830348</v>
      </c>
      <c r="H178">
        <v>9.800215982721381E-3</v>
      </c>
      <c r="I178">
        <v>8.4817642069550444E-4</v>
      </c>
      <c r="J178">
        <v>6.0000000000000001E-3</v>
      </c>
      <c r="K178">
        <v>3.7029818748781917E-3</v>
      </c>
      <c r="L178">
        <v>9.8304251658884261E-4</v>
      </c>
      <c r="M178">
        <v>2.8137039075399009E-2</v>
      </c>
      <c r="N178">
        <v>6.618994149281957E-3</v>
      </c>
      <c r="O178">
        <v>0</v>
      </c>
      <c r="P178">
        <v>2.0811121135077503E-2</v>
      </c>
      <c r="Q178">
        <v>3.1761910716518694E-3</v>
      </c>
      <c r="R178">
        <v>1.5706121024388116E-3</v>
      </c>
      <c r="S178">
        <v>2.8346340745103813E-3</v>
      </c>
      <c r="T178">
        <v>7.9374624173180995E-3</v>
      </c>
      <c r="U178">
        <v>2.2799196923809851E-3</v>
      </c>
      <c r="V178">
        <v>2.0405297889268502E-2</v>
      </c>
      <c r="W178">
        <v>2.3495714829152586E-4</v>
      </c>
      <c r="X178"/>
      <c r="Y178"/>
      <c r="Z178"/>
      <c r="AA178"/>
    </row>
    <row r="179" spans="2:27" ht="16" customHeight="1">
      <c r="B179" s="15">
        <v>6</v>
      </c>
      <c r="C179">
        <v>3.3462563080721669E-3</v>
      </c>
      <c r="D179">
        <v>5.1020408163265302E-3</v>
      </c>
      <c r="E179">
        <v>2.3140469759433883E-3</v>
      </c>
      <c r="F179">
        <v>4.0809238516974914E-3</v>
      </c>
      <c r="G179">
        <v>5.380344571003377E-3</v>
      </c>
      <c r="H179">
        <v>0.12783477321814254</v>
      </c>
      <c r="I179">
        <v>1.6478856173512659E-2</v>
      </c>
      <c r="J179">
        <v>0.29949999999999999</v>
      </c>
      <c r="K179">
        <v>6.4997076593256695E-2</v>
      </c>
      <c r="L179">
        <v>2.2118456623248959E-3</v>
      </c>
      <c r="M179">
        <v>2.6898734177215191E-2</v>
      </c>
      <c r="N179">
        <v>1.5040482241002306E-2</v>
      </c>
      <c r="O179">
        <v>0</v>
      </c>
      <c r="P179">
        <v>3.6537357500205037E-2</v>
      </c>
      <c r="Q179">
        <v>1.2729773665124421E-2</v>
      </c>
      <c r="R179">
        <v>4.9299768770996039E-3</v>
      </c>
      <c r="S179">
        <v>3.3500220880577232E-3</v>
      </c>
      <c r="T179">
        <v>3.6259771497294042E-2</v>
      </c>
      <c r="U179">
        <v>4.0153809507605413E-3</v>
      </c>
      <c r="V179">
        <v>4.6192727102541305E-2</v>
      </c>
      <c r="W179">
        <v>2.5733401955738546E-4</v>
      </c>
      <c r="X179"/>
      <c r="Y179"/>
      <c r="Z179"/>
      <c r="AA179"/>
    </row>
    <row r="180" spans="2:27" ht="16" customHeight="1">
      <c r="B180" s="15">
        <v>7</v>
      </c>
      <c r="C180">
        <v>1.0829308440363E-5</v>
      </c>
      <c r="D180">
        <v>0.30936920222634506</v>
      </c>
      <c r="E180">
        <v>7.1079941240581896E-5</v>
      </c>
      <c r="F180">
        <v>6.07797169401754E-4</v>
      </c>
      <c r="G180">
        <v>1.8430542041096676E-2</v>
      </c>
      <c r="H180">
        <v>3.0507559395248382E-3</v>
      </c>
      <c r="I180">
        <v>7.5245365321701188E-2</v>
      </c>
      <c r="J180">
        <v>1.9E-2</v>
      </c>
      <c r="K180">
        <v>7.7957513155330364E-4</v>
      </c>
      <c r="L180">
        <v>2.4576062914721065E-4</v>
      </c>
      <c r="M180">
        <v>3.4397358282883877E-3</v>
      </c>
      <c r="N180">
        <v>6.323503339046156E-3</v>
      </c>
      <c r="O180">
        <v>0</v>
      </c>
      <c r="P180">
        <v>6.0895595833675058E-3</v>
      </c>
      <c r="Q180">
        <v>2.6509941227960483E-3</v>
      </c>
      <c r="R180">
        <v>4.7990925352297024E-4</v>
      </c>
      <c r="S180">
        <v>7.7308202032101312E-4</v>
      </c>
      <c r="T180">
        <v>9.9218280216476244E-4</v>
      </c>
      <c r="U180">
        <v>7.1460169462687591E-4</v>
      </c>
      <c r="V180">
        <v>4.7269153367342168E-3</v>
      </c>
      <c r="W180">
        <v>4.4753742531719213E-5</v>
      </c>
      <c r="X180"/>
      <c r="Y180"/>
      <c r="Z180"/>
      <c r="AA180"/>
    </row>
    <row r="181" spans="2:27" ht="16" customHeight="1">
      <c r="B181" s="15">
        <v>8</v>
      </c>
      <c r="C181">
        <v>1.0829308440363E-5</v>
      </c>
      <c r="D181">
        <v>2.5510204081632651E-3</v>
      </c>
      <c r="E181">
        <v>0</v>
      </c>
      <c r="F181">
        <v>0</v>
      </c>
      <c r="G181">
        <v>1.7171312460649075E-4</v>
      </c>
      <c r="H181">
        <v>4.3196544276457888E-4</v>
      </c>
      <c r="I181">
        <v>4.8467224039743114E-4</v>
      </c>
      <c r="J181">
        <v>4.9000000000000002E-2</v>
      </c>
      <c r="K181">
        <v>9.7446891444162955E-5</v>
      </c>
      <c r="L181">
        <v>0</v>
      </c>
      <c r="M181">
        <v>4.1276829939460648E-4</v>
      </c>
      <c r="N181">
        <v>4.1368713433012231E-4</v>
      </c>
      <c r="O181">
        <v>0</v>
      </c>
      <c r="P181">
        <v>5.2284097432953329E-4</v>
      </c>
      <c r="Q181">
        <v>2.2508440665249468E-4</v>
      </c>
      <c r="R181">
        <v>2.1814056978316829E-4</v>
      </c>
      <c r="S181">
        <v>9.9396259755558827E-4</v>
      </c>
      <c r="T181">
        <v>4.3595911004209262E-3</v>
      </c>
      <c r="U181">
        <v>2.3820056487562527E-4</v>
      </c>
      <c r="V181">
        <v>2.7612673749239486E-3</v>
      </c>
      <c r="W181">
        <v>0</v>
      </c>
      <c r="X181"/>
      <c r="Y181"/>
      <c r="Z181"/>
      <c r="AA181"/>
    </row>
    <row r="182" spans="2:27" ht="16" customHeight="1">
      <c r="B182" s="15">
        <v>9</v>
      </c>
      <c r="C182">
        <v>1.62439626605445E-4</v>
      </c>
      <c r="D182">
        <v>2.3191094619666046E-4</v>
      </c>
      <c r="E182">
        <v>1.0267102623639606E-4</v>
      </c>
      <c r="F182">
        <v>4.3414083528696716E-4</v>
      </c>
      <c r="G182">
        <v>1.4881804132562532E-3</v>
      </c>
      <c r="H182">
        <v>5.1295896328293735E-4</v>
      </c>
      <c r="I182">
        <v>7.1489155458621095E-3</v>
      </c>
      <c r="J182">
        <v>0</v>
      </c>
      <c r="K182">
        <v>9.3841356460728914E-2</v>
      </c>
      <c r="L182">
        <v>3.1457360530842964E-2</v>
      </c>
      <c r="M182">
        <v>2.0638414969730324E-4</v>
      </c>
      <c r="N182">
        <v>4.4914603155841856E-3</v>
      </c>
      <c r="O182">
        <v>3.0099398012039761E-3</v>
      </c>
      <c r="P182">
        <v>1.2599442302960716E-2</v>
      </c>
      <c r="Q182">
        <v>1.5005627110166312E-3</v>
      </c>
      <c r="R182">
        <v>3.7956459142271279E-3</v>
      </c>
      <c r="S182">
        <v>2.9450743631276688E-3</v>
      </c>
      <c r="T182">
        <v>3.7282020444978953E-3</v>
      </c>
      <c r="U182">
        <v>6.8057304250178656E-5</v>
      </c>
      <c r="V182">
        <v>3.0420742266111297E-3</v>
      </c>
      <c r="W182">
        <v>1.5440041173443127E-3</v>
      </c>
      <c r="X182"/>
      <c r="Y182"/>
      <c r="Z182"/>
      <c r="AA182"/>
    </row>
    <row r="183" spans="2:27" ht="16" customHeight="1">
      <c r="B183" s="15">
        <v>10</v>
      </c>
      <c r="C183">
        <v>9.7463775963267001E-5</v>
      </c>
      <c r="D183">
        <v>2.3191094619666046E-4</v>
      </c>
      <c r="E183">
        <v>7.8977712489535428E-5</v>
      </c>
      <c r="F183">
        <v>6.07797169401754E-4</v>
      </c>
      <c r="G183">
        <v>6.8685249842596299E-4</v>
      </c>
      <c r="H183">
        <v>4.8596112311015117E-4</v>
      </c>
      <c r="I183">
        <v>7.2700836059614671E-4</v>
      </c>
      <c r="J183">
        <v>0</v>
      </c>
      <c r="K183">
        <v>4.7943870590528175E-2</v>
      </c>
      <c r="L183">
        <v>1.966085033177685E-2</v>
      </c>
      <c r="M183">
        <v>5.9851403412217938E-3</v>
      </c>
      <c r="N183">
        <v>1.9502393475562909E-3</v>
      </c>
      <c r="O183">
        <v>1.9424611507769846E-3</v>
      </c>
      <c r="P183">
        <v>4.6850652013450348E-3</v>
      </c>
      <c r="Q183">
        <v>6.1272977366512446E-3</v>
      </c>
      <c r="R183">
        <v>1.0470747349592077E-3</v>
      </c>
      <c r="S183">
        <v>3.0555146517449567E-3</v>
      </c>
      <c r="T183">
        <v>2.2850270595309681E-3</v>
      </c>
      <c r="U183">
        <v>6.8057304250178656E-5</v>
      </c>
      <c r="V183">
        <v>1.076426264800861E-3</v>
      </c>
      <c r="W183">
        <v>4.3634898968426231E-4</v>
      </c>
      <c r="X183"/>
      <c r="Y183"/>
      <c r="Z183"/>
      <c r="AA183"/>
    </row>
    <row r="184" spans="2:27" ht="16" customHeight="1">
      <c r="B184" s="15">
        <v>11</v>
      </c>
      <c r="C184">
        <v>2.1658616880726E-5</v>
      </c>
      <c r="D184">
        <v>0</v>
      </c>
      <c r="E184">
        <v>1.105687974853496E-4</v>
      </c>
      <c r="F184">
        <v>4.2545801858122782E-2</v>
      </c>
      <c r="G184">
        <v>4.2069715528590235E-2</v>
      </c>
      <c r="H184">
        <v>1.6819654427645787E-2</v>
      </c>
      <c r="I184">
        <v>3.6350418029807335E-4</v>
      </c>
      <c r="J184">
        <v>4.2500000000000003E-2</v>
      </c>
      <c r="K184">
        <v>3.7906840771779388E-2</v>
      </c>
      <c r="L184">
        <v>6.3897763578274766E-3</v>
      </c>
      <c r="M184">
        <v>9.5624656026417187E-3</v>
      </c>
      <c r="N184">
        <v>3.9004786951125818E-3</v>
      </c>
      <c r="O184">
        <v>0</v>
      </c>
      <c r="P184">
        <v>1.1605019273353565E-2</v>
      </c>
      <c r="Q184">
        <v>2.2758534450418905E-3</v>
      </c>
      <c r="R184">
        <v>9.5981850704594048E-4</v>
      </c>
      <c r="S184">
        <v>3.2763952289795316E-3</v>
      </c>
      <c r="T184">
        <v>2.5075165363800361E-2</v>
      </c>
      <c r="U184">
        <v>4.0153809507605413E-3</v>
      </c>
      <c r="V184">
        <v>9.9686432348949326E-3</v>
      </c>
      <c r="W184">
        <v>1.1188435632929802E-4</v>
      </c>
      <c r="X184"/>
      <c r="Y184"/>
      <c r="Z184"/>
      <c r="AA184"/>
    </row>
    <row r="185" spans="2:27" ht="16" customHeight="1">
      <c r="B185" s="15">
        <v>12</v>
      </c>
      <c r="C185">
        <v>7.5805159082540987E-5</v>
      </c>
      <c r="D185">
        <v>0</v>
      </c>
      <c r="E185">
        <v>7.8977712489535438E-6</v>
      </c>
      <c r="F185">
        <v>3.4731266822957374E-4</v>
      </c>
      <c r="G185">
        <v>2.6329345772995246E-3</v>
      </c>
      <c r="H185">
        <v>8.6393088552915776E-4</v>
      </c>
      <c r="I185">
        <v>1.2116806009935777E-3</v>
      </c>
      <c r="J185">
        <v>0</v>
      </c>
      <c r="K185">
        <v>4.5800038978756584E-3</v>
      </c>
      <c r="L185">
        <v>7.372818874416319E-4</v>
      </c>
      <c r="M185">
        <v>2.6829939460649424E-3</v>
      </c>
      <c r="N185">
        <v>0.10572661190236984</v>
      </c>
      <c r="O185">
        <v>0</v>
      </c>
      <c r="P185">
        <v>1.0661855162798328E-3</v>
      </c>
      <c r="Q185">
        <v>7.9279729898712008E-3</v>
      </c>
      <c r="R185">
        <v>8.5947384494568305E-3</v>
      </c>
      <c r="S185">
        <v>4.7857458400824622E-4</v>
      </c>
      <c r="T185">
        <v>2.4353577871316897E-3</v>
      </c>
      <c r="U185">
        <v>9.8683091162759043E-4</v>
      </c>
      <c r="V185">
        <v>2.4711002948471943E-2</v>
      </c>
      <c r="W185">
        <v>2.1929333840542413E-3</v>
      </c>
      <c r="X185"/>
      <c r="Y185"/>
      <c r="Z185"/>
      <c r="AA185"/>
    </row>
    <row r="186" spans="2:27" ht="16" customHeight="1">
      <c r="B186" s="15">
        <v>13</v>
      </c>
      <c r="C186">
        <v>1.6243962660544499E-3</v>
      </c>
      <c r="D186">
        <v>0.40607606679035246</v>
      </c>
      <c r="E186">
        <v>4.1858187619453778E-4</v>
      </c>
      <c r="F186">
        <v>1.215594338803508E-3</v>
      </c>
      <c r="G186">
        <v>0.19769904413027301</v>
      </c>
      <c r="H186">
        <v>2.5755939524838015E-2</v>
      </c>
      <c r="I186">
        <v>0.67829880043620483</v>
      </c>
      <c r="J186">
        <v>0.13600000000000001</v>
      </c>
      <c r="K186">
        <v>7.7860066263886196E-2</v>
      </c>
      <c r="L186">
        <v>1.7203244040304743E-3</v>
      </c>
      <c r="M186">
        <v>7.8425976884975244E-3</v>
      </c>
      <c r="N186">
        <v>1.2706104840139471E-3</v>
      </c>
      <c r="O186">
        <v>3.2024359512809748E-2</v>
      </c>
      <c r="P186">
        <v>4.2452636758796035E-2</v>
      </c>
      <c r="Q186">
        <v>8.8283106164811793E-3</v>
      </c>
      <c r="R186">
        <v>3.7956459142271279E-3</v>
      </c>
      <c r="S186">
        <v>2.5033132086585185E-3</v>
      </c>
      <c r="T186">
        <v>1.6806975345760672E-2</v>
      </c>
      <c r="U186">
        <v>5.1042978187633989E-4</v>
      </c>
      <c r="V186">
        <v>1.7269621378761642E-2</v>
      </c>
      <c r="W186">
        <v>9.6220546443196299E-4</v>
      </c>
      <c r="X186"/>
      <c r="Y186"/>
      <c r="Z186"/>
      <c r="AA186"/>
    </row>
    <row r="187" spans="2:27" ht="16" customHeight="1">
      <c r="B187" s="15">
        <v>14</v>
      </c>
      <c r="C187">
        <v>6.3892919798141706E-4</v>
      </c>
      <c r="D187">
        <v>2.7829313543599253E-3</v>
      </c>
      <c r="E187">
        <v>1.5321676222969872E-3</v>
      </c>
      <c r="F187">
        <v>3.1258140140661638E-3</v>
      </c>
      <c r="G187">
        <v>5.7237708202163583E-2</v>
      </c>
      <c r="H187">
        <v>2.3461123110151191E-2</v>
      </c>
      <c r="I187">
        <v>2.5445292620865138E-3</v>
      </c>
      <c r="J187">
        <v>2.5000000000000001E-3</v>
      </c>
      <c r="K187">
        <v>5.0282595985188083E-2</v>
      </c>
      <c r="L187">
        <v>6.1440157286802655E-3</v>
      </c>
      <c r="M187">
        <v>2.8481012658227847E-2</v>
      </c>
      <c r="N187">
        <v>8.3032917676260268E-2</v>
      </c>
      <c r="O187">
        <v>0</v>
      </c>
      <c r="P187">
        <v>4.2637168867382925E-2</v>
      </c>
      <c r="Q187">
        <v>0.14620482681005378</v>
      </c>
      <c r="R187">
        <v>8.9001352471532649E-3</v>
      </c>
      <c r="S187">
        <v>0.2846414371962892</v>
      </c>
      <c r="T187">
        <v>0.21794948887552615</v>
      </c>
      <c r="U187">
        <v>0.10276652941776977</v>
      </c>
      <c r="V187">
        <v>0.11924930968315628</v>
      </c>
      <c r="W187">
        <v>1.6894537805724002E-3</v>
      </c>
      <c r="X187"/>
      <c r="Y187"/>
      <c r="Z187"/>
      <c r="AA187"/>
    </row>
    <row r="188" spans="2:27" ht="16" customHeight="1">
      <c r="B188" s="15">
        <v>15</v>
      </c>
      <c r="C188">
        <v>1.19122392843993E-4</v>
      </c>
      <c r="D188">
        <v>2.3191094619666046E-4</v>
      </c>
      <c r="E188">
        <v>5.2915067367988742E-4</v>
      </c>
      <c r="F188">
        <v>1.3024225058609015E-3</v>
      </c>
      <c r="G188">
        <v>4.2928281151622685E-2</v>
      </c>
      <c r="H188">
        <v>6.2095032397408204E-4</v>
      </c>
      <c r="I188">
        <v>1.5751847812916513E-3</v>
      </c>
      <c r="J188">
        <v>1E-3</v>
      </c>
      <c r="K188">
        <v>2.9234067433248885E-3</v>
      </c>
      <c r="L188">
        <v>3.4406488080609486E-3</v>
      </c>
      <c r="M188">
        <v>0.23665382498624107</v>
      </c>
      <c r="N188">
        <v>1.1317298032031204E-2</v>
      </c>
      <c r="O188">
        <v>0</v>
      </c>
      <c r="P188">
        <v>5.523661117034364E-2</v>
      </c>
      <c r="Q188">
        <v>3.0011254220332624E-3</v>
      </c>
      <c r="R188">
        <v>9.9908380960691059E-3</v>
      </c>
      <c r="S188">
        <v>1.2001178029745251E-2</v>
      </c>
      <c r="T188">
        <v>2.5405892964521948E-2</v>
      </c>
      <c r="U188">
        <v>1.7660870452921359E-2</v>
      </c>
      <c r="V188">
        <v>5.2510881265502886E-2</v>
      </c>
      <c r="W188">
        <v>5.3704491038063045E-4</v>
      </c>
      <c r="X188"/>
      <c r="Y188"/>
      <c r="Z188"/>
      <c r="AA188"/>
    </row>
    <row r="189" spans="2:27" ht="16" customHeight="1">
      <c r="B189" s="15">
        <v>16</v>
      </c>
      <c r="C189">
        <v>9.6164258950423437E-3</v>
      </c>
      <c r="D189">
        <v>2.3191094619666046E-4</v>
      </c>
      <c r="E189">
        <v>4.0483975422135866E-2</v>
      </c>
      <c r="F189">
        <v>6.3384561951897204E-3</v>
      </c>
      <c r="G189">
        <v>6.811287276057466E-3</v>
      </c>
      <c r="H189">
        <v>5.5075593952483796E-3</v>
      </c>
      <c r="I189">
        <v>7.2700836059614671E-4</v>
      </c>
      <c r="J189">
        <v>5.0000000000000001E-4</v>
      </c>
      <c r="K189">
        <v>1.6565971545507701E-3</v>
      </c>
      <c r="L189">
        <v>1.2288031457360531E-3</v>
      </c>
      <c r="M189">
        <v>1.5134837644468907E-3</v>
      </c>
      <c r="N189">
        <v>1.4597246025648603E-2</v>
      </c>
      <c r="O189">
        <v>0</v>
      </c>
      <c r="P189">
        <v>7.7503485606495526E-3</v>
      </c>
      <c r="Q189">
        <v>2.5759659872452169E-3</v>
      </c>
      <c r="R189">
        <v>7.8966886261506927E-3</v>
      </c>
      <c r="S189">
        <v>7.3994993373582684E-3</v>
      </c>
      <c r="T189">
        <v>5.5021046301864107E-3</v>
      </c>
      <c r="U189">
        <v>9.3578793343995648E-3</v>
      </c>
      <c r="V189">
        <v>3.5568867880376283E-2</v>
      </c>
      <c r="W189">
        <v>2.0698605920920136E-3</v>
      </c>
      <c r="X189"/>
      <c r="Y189"/>
      <c r="Z189"/>
      <c r="AA189"/>
    </row>
    <row r="190" spans="2:27" ht="16" customHeight="1">
      <c r="B190" s="15">
        <v>17</v>
      </c>
      <c r="C190">
        <v>2.1117151458707848E-3</v>
      </c>
      <c r="D190">
        <v>1.623376623376623E-3</v>
      </c>
      <c r="E190">
        <v>1.263643399832567E-4</v>
      </c>
      <c r="F190">
        <v>5.2096900234436052E-4</v>
      </c>
      <c r="G190">
        <v>2.6329345772995246E-3</v>
      </c>
      <c r="H190">
        <v>7.0194384449244062E-4</v>
      </c>
      <c r="I190">
        <v>1.4540167211922934E-3</v>
      </c>
      <c r="J190">
        <v>5.0000000000000001E-4</v>
      </c>
      <c r="K190">
        <v>4.0927694406548438E-3</v>
      </c>
      <c r="L190">
        <v>2.7525190464487589E-2</v>
      </c>
      <c r="M190">
        <v>2.7517886626307104E-4</v>
      </c>
      <c r="N190">
        <v>4.2846167484191242E-3</v>
      </c>
      <c r="O190">
        <v>4.1299174016519676E-2</v>
      </c>
      <c r="P190">
        <v>1.30915279258591E-2</v>
      </c>
      <c r="Q190">
        <v>1.3505064399149682E-3</v>
      </c>
      <c r="R190">
        <v>1.0383491121678811E-2</v>
      </c>
      <c r="S190">
        <v>0.20497717567368573</v>
      </c>
      <c r="T190">
        <v>4.2693926638604929E-3</v>
      </c>
      <c r="U190">
        <v>6.533501208017151E-3</v>
      </c>
      <c r="V190">
        <v>7.2775775728927794E-2</v>
      </c>
      <c r="W190">
        <v>2.5845286312067843E-3</v>
      </c>
      <c r="X190"/>
      <c r="Y190"/>
      <c r="Z190"/>
      <c r="AA190"/>
    </row>
    <row r="191" spans="2:27" ht="16" customHeight="1">
      <c r="B191" s="15">
        <v>18</v>
      </c>
      <c r="C191">
        <v>1.84098243486171E-4</v>
      </c>
      <c r="D191">
        <v>2.3191094619666046E-4</v>
      </c>
      <c r="E191">
        <v>7.1079941240581896E-5</v>
      </c>
      <c r="F191">
        <v>7.8145350351654095E-4</v>
      </c>
      <c r="G191">
        <v>7.4981397744834288E-3</v>
      </c>
      <c r="H191">
        <v>5.1295896328293735E-4</v>
      </c>
      <c r="I191">
        <v>1.2116806009935777E-3</v>
      </c>
      <c r="J191">
        <v>4.5000000000000005E-3</v>
      </c>
      <c r="K191">
        <v>2.3387253946599105E-3</v>
      </c>
      <c r="L191">
        <v>2.4576062914721062E-3</v>
      </c>
      <c r="M191">
        <v>1.2383048981838195E-2</v>
      </c>
      <c r="N191">
        <v>7.2986230128243013E-3</v>
      </c>
      <c r="O191">
        <v>8.7498250034999305E-4</v>
      </c>
      <c r="P191">
        <v>2.5424423849749857E-3</v>
      </c>
      <c r="Q191">
        <v>5.7521570588970868E-3</v>
      </c>
      <c r="R191">
        <v>6.8059857772348499E-3</v>
      </c>
      <c r="S191">
        <v>3.0996907671918716E-2</v>
      </c>
      <c r="T191">
        <v>8.0336740829825615E-2</v>
      </c>
      <c r="U191">
        <v>1.2352400721407425E-2</v>
      </c>
      <c r="V191">
        <v>6.4491973604155955E-2</v>
      </c>
      <c r="W191">
        <v>4.0166483922217987E-3</v>
      </c>
      <c r="X191"/>
      <c r="Y191"/>
      <c r="Z191"/>
      <c r="AA191"/>
    </row>
    <row r="192" spans="2:27" ht="16" customHeight="1">
      <c r="B192" s="15">
        <v>19</v>
      </c>
      <c r="C192">
        <v>1.84098243486171E-4</v>
      </c>
      <c r="D192">
        <v>2.3191094619666046E-4</v>
      </c>
      <c r="E192">
        <v>7.8977712489535428E-5</v>
      </c>
      <c r="F192">
        <v>2.6048450117218026E-4</v>
      </c>
      <c r="G192">
        <v>4.3500658233644324E-3</v>
      </c>
      <c r="H192">
        <v>4.58963282937365E-4</v>
      </c>
      <c r="I192">
        <v>2.4233612019871557E-4</v>
      </c>
      <c r="J192">
        <v>0</v>
      </c>
      <c r="K192">
        <v>6.8212824010914063E-4</v>
      </c>
      <c r="L192">
        <v>4.915212582944213E-4</v>
      </c>
      <c r="M192">
        <v>8.0489818381948262E-3</v>
      </c>
      <c r="N192">
        <v>3.0701495183499797E-2</v>
      </c>
      <c r="O192">
        <v>3.1149377012459753E-3</v>
      </c>
      <c r="P192">
        <v>2.1118674649388998E-3</v>
      </c>
      <c r="Q192">
        <v>8.1030386394898082E-3</v>
      </c>
      <c r="R192">
        <v>3.0103398630077225E-3</v>
      </c>
      <c r="S192">
        <v>1.2406125754675305E-2</v>
      </c>
      <c r="T192">
        <v>3.2170775706554418E-3</v>
      </c>
      <c r="U192">
        <v>4.3896961241365233E-3</v>
      </c>
      <c r="V192">
        <v>1.5537979126690695E-2</v>
      </c>
      <c r="W192">
        <v>3.4684150462082388E-4</v>
      </c>
      <c r="X192"/>
      <c r="Y192"/>
      <c r="Z192"/>
      <c r="AA192"/>
    </row>
    <row r="193" spans="2:27" ht="16" customHeight="1">
      <c r="B193" s="15">
        <v>20</v>
      </c>
      <c r="C193">
        <v>1.0829308440363E-4</v>
      </c>
      <c r="D193">
        <v>4.6382189239332092E-4</v>
      </c>
      <c r="E193">
        <v>1.7217141322718725E-3</v>
      </c>
      <c r="F193">
        <v>1.5281757402101245E-2</v>
      </c>
      <c r="G193">
        <v>4.2126953236792393E-2</v>
      </c>
      <c r="H193">
        <v>3.968682505399568E-3</v>
      </c>
      <c r="I193">
        <v>4.8467224039743114E-4</v>
      </c>
      <c r="J193">
        <v>5.0000000000000001E-4</v>
      </c>
      <c r="K193">
        <v>1.5591502631066073E-3</v>
      </c>
      <c r="L193">
        <v>1.2288031457360531E-3</v>
      </c>
      <c r="M193">
        <v>3.5566868464501931E-2</v>
      </c>
      <c r="N193">
        <v>2.3787010223982035E-2</v>
      </c>
      <c r="O193">
        <v>1.25997480050399E-3</v>
      </c>
      <c r="P193">
        <v>1.0846387271385221E-2</v>
      </c>
      <c r="Q193">
        <v>2.530949105914718E-2</v>
      </c>
      <c r="R193">
        <v>9.6854412983726716E-3</v>
      </c>
      <c r="S193">
        <v>5.7465763510528636E-2</v>
      </c>
      <c r="T193">
        <v>2.3752254960914012E-2</v>
      </c>
      <c r="U193">
        <v>2.0042876101677612E-2</v>
      </c>
      <c r="V193">
        <v>2.4945008658211261E-2</v>
      </c>
      <c r="W193">
        <v>3.2222694622837831E-3</v>
      </c>
      <c r="X193"/>
      <c r="Y193"/>
      <c r="Z193"/>
      <c r="AA193"/>
    </row>
    <row r="194" spans="2:27" ht="16" customHeight="1">
      <c r="B194" s="15">
        <v>21</v>
      </c>
      <c r="C194">
        <v>5.1980680513742401E-4</v>
      </c>
      <c r="D194">
        <v>6.9573283858998132E-4</v>
      </c>
      <c r="E194">
        <v>1.6664297335291978E-3</v>
      </c>
      <c r="F194">
        <v>3.1344968307719032E-2</v>
      </c>
      <c r="G194">
        <v>2.3009558697269762E-2</v>
      </c>
      <c r="H194">
        <v>7.4999999999999997E-2</v>
      </c>
      <c r="I194">
        <v>1.5509511692717796E-2</v>
      </c>
      <c r="J194">
        <v>4.0000000000000001E-3</v>
      </c>
      <c r="K194">
        <v>2.2120444357824988E-2</v>
      </c>
      <c r="L194">
        <v>8.3558613910051614E-3</v>
      </c>
      <c r="M194">
        <v>5.2971931755641168E-2</v>
      </c>
      <c r="N194">
        <v>8.2471485136812253E-2</v>
      </c>
      <c r="O194">
        <v>1.2074758504829904E-3</v>
      </c>
      <c r="P194">
        <v>3.0488805052079061E-2</v>
      </c>
      <c r="Q194">
        <v>1.2754783043641365E-2</v>
      </c>
      <c r="R194">
        <v>4.9387024998909297E-2</v>
      </c>
      <c r="S194">
        <v>4.840965984391106E-2</v>
      </c>
      <c r="T194">
        <v>4.9849669272399283E-2</v>
      </c>
      <c r="U194">
        <v>4.7469969714499613E-2</v>
      </c>
      <c r="V194">
        <v>0.13029437918285205</v>
      </c>
      <c r="W194">
        <v>8.4696457741278604E-3</v>
      </c>
      <c r="X194"/>
      <c r="Y194"/>
      <c r="Z194"/>
      <c r="AA194"/>
    </row>
    <row r="195" spans="2:27" ht="16" customHeight="1">
      <c r="B195" s="1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2:27" ht="16" customHeight="1">
      <c r="B196" s="15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2:27" ht="16" customHeight="1">
      <c r="B197" s="15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2:27" ht="16" customHeight="1">
      <c r="B198" s="15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2:27">
      <c r="B199" s="13"/>
    </row>
    <row r="200" spans="2:27" ht="16" customHeight="1">
      <c r="B200" s="15" t="s">
        <v>286</v>
      </c>
      <c r="C200">
        <v>1</v>
      </c>
      <c r="D200">
        <v>2</v>
      </c>
      <c r="E200">
        <v>3</v>
      </c>
      <c r="F200">
        <v>4</v>
      </c>
      <c r="G200">
        <v>5</v>
      </c>
      <c r="H200">
        <v>6</v>
      </c>
      <c r="I200">
        <v>7</v>
      </c>
      <c r="J200">
        <v>8</v>
      </c>
      <c r="K200">
        <v>9</v>
      </c>
      <c r="L200">
        <v>10</v>
      </c>
      <c r="M200">
        <v>11</v>
      </c>
      <c r="N200">
        <v>12</v>
      </c>
      <c r="O200">
        <v>13</v>
      </c>
      <c r="P200">
        <v>14</v>
      </c>
      <c r="Q200">
        <v>15</v>
      </c>
      <c r="R200">
        <v>16</v>
      </c>
      <c r="S200">
        <v>17</v>
      </c>
      <c r="T200">
        <v>18</v>
      </c>
      <c r="U200">
        <v>19</v>
      </c>
      <c r="V200">
        <v>20</v>
      </c>
      <c r="W200">
        <v>21</v>
      </c>
      <c r="X200"/>
      <c r="Y200"/>
      <c r="Z200"/>
      <c r="AA200"/>
    </row>
    <row r="201" spans="2:27" ht="16" customHeight="1">
      <c r="B201" s="15">
        <v>1</v>
      </c>
      <c r="C201">
        <v>1.0472839534302925</v>
      </c>
      <c r="D201">
        <v>9.993783551176803E-3</v>
      </c>
      <c r="E201">
        <v>9.0722633934971209E-3</v>
      </c>
      <c r="F201">
        <v>5.7941947395786071E-2</v>
      </c>
      <c r="G201">
        <v>0.15805526577854859</v>
      </c>
      <c r="H201">
        <v>8.711762303194702E-2</v>
      </c>
      <c r="I201">
        <v>1.3587526574837994E-2</v>
      </c>
      <c r="J201">
        <v>7.3895227623114818E-2</v>
      </c>
      <c r="K201">
        <v>3.4609968142650528E-2</v>
      </c>
      <c r="L201">
        <v>1.3116159046342099E-2</v>
      </c>
      <c r="M201">
        <v>0.23560639488038046</v>
      </c>
      <c r="N201">
        <v>3.5776602693576048E-2</v>
      </c>
      <c r="O201">
        <v>3.5476928993932086E-3</v>
      </c>
      <c r="P201">
        <v>7.2054106352868033E-2</v>
      </c>
      <c r="Q201">
        <v>0.14514034626081587</v>
      </c>
      <c r="R201">
        <v>1.8056640897636689E-2</v>
      </c>
      <c r="S201">
        <v>5.6973744373313026E-2</v>
      </c>
      <c r="T201">
        <v>0.20491089817219466</v>
      </c>
      <c r="U201">
        <v>0.17178156003393905</v>
      </c>
      <c r="V201">
        <v>0.18380131895680313</v>
      </c>
      <c r="W201">
        <v>4.5490229245887673E-3</v>
      </c>
      <c r="X201"/>
      <c r="Y201"/>
      <c r="Z201"/>
      <c r="AA201"/>
    </row>
    <row r="202" spans="2:27" ht="16" customHeight="1">
      <c r="B202" s="15">
        <v>2</v>
      </c>
      <c r="C202">
        <v>2.1937101945752272E-4</v>
      </c>
      <c r="D202">
        <v>1.0051126860810851</v>
      </c>
      <c r="E202">
        <v>1.9797281926123232E-4</v>
      </c>
      <c r="F202">
        <v>1.8433225577225557E-3</v>
      </c>
      <c r="G202">
        <v>3.1630937646743539E-3</v>
      </c>
      <c r="H202">
        <v>7.2297177495407984E-3</v>
      </c>
      <c r="I202">
        <v>3.0231268320690843E-3</v>
      </c>
      <c r="J202">
        <v>3.647295253693816E-3</v>
      </c>
      <c r="K202">
        <v>2.9097345148160512E-2</v>
      </c>
      <c r="L202">
        <v>1.6010989626506272E-3</v>
      </c>
      <c r="M202">
        <v>2.645885527949177E-2</v>
      </c>
      <c r="N202">
        <v>2.4238017927192949E-3</v>
      </c>
      <c r="O202">
        <v>3.0661477377685143E-4</v>
      </c>
      <c r="P202">
        <v>8.2534242387806659E-3</v>
      </c>
      <c r="Q202">
        <v>4.460072624602027E-3</v>
      </c>
      <c r="R202">
        <v>1.3649007633915286E-3</v>
      </c>
      <c r="S202">
        <v>4.5497627165497724E-3</v>
      </c>
      <c r="T202">
        <v>4.0027414176595343E-3</v>
      </c>
      <c r="U202">
        <v>2.005108421056371E-3</v>
      </c>
      <c r="V202">
        <v>6.5439160562517067E-3</v>
      </c>
      <c r="W202">
        <v>1.7356390458455923E-4</v>
      </c>
      <c r="X202"/>
      <c r="Y202"/>
      <c r="Z202"/>
      <c r="AA202"/>
    </row>
    <row r="203" spans="2:27" ht="16" customHeight="1">
      <c r="B203" s="15">
        <v>3</v>
      </c>
      <c r="C203">
        <v>0.45944917292308879</v>
      </c>
      <c r="D203">
        <v>1.2234035543721088E-2</v>
      </c>
      <c r="E203">
        <v>1.0848485908962646</v>
      </c>
      <c r="F203">
        <v>0.22690456543130152</v>
      </c>
      <c r="G203">
        <v>0.20569842004237177</v>
      </c>
      <c r="H203">
        <v>0.1152126462156846</v>
      </c>
      <c r="I203">
        <v>2.1441382512447243E-2</v>
      </c>
      <c r="J203">
        <v>8.7525155173093436E-2</v>
      </c>
      <c r="K203">
        <v>4.2022809659988315E-2</v>
      </c>
      <c r="L203">
        <v>1.7000973200370174E-2</v>
      </c>
      <c r="M203">
        <v>0.19493864106246386</v>
      </c>
      <c r="N203">
        <v>0.13293173253476839</v>
      </c>
      <c r="O203">
        <v>5.5831593353571473E-3</v>
      </c>
      <c r="P203">
        <v>0.15404300462102113</v>
      </c>
      <c r="Q203">
        <v>0.13702805484727437</v>
      </c>
      <c r="R203">
        <v>2.3167370458032664E-2</v>
      </c>
      <c r="S203">
        <v>0.10731193028542135</v>
      </c>
      <c r="T203">
        <v>0.21911580435902014</v>
      </c>
      <c r="U203">
        <v>0.10629707406881377</v>
      </c>
      <c r="V203">
        <v>0.22472322570001993</v>
      </c>
      <c r="W203">
        <v>5.7818414926165849E-3</v>
      </c>
      <c r="X203"/>
      <c r="Y203"/>
      <c r="Z203"/>
      <c r="AA203"/>
    </row>
    <row r="204" spans="2:27" ht="16" customHeight="1">
      <c r="B204" s="15">
        <v>4</v>
      </c>
      <c r="C204">
        <v>2.4306217266647162E-3</v>
      </c>
      <c r="D204">
        <v>5.527148061285664E-4</v>
      </c>
      <c r="E204">
        <v>2.8059996947888645E-3</v>
      </c>
      <c r="F204">
        <v>1.1958990872275574</v>
      </c>
      <c r="G204">
        <v>6.7154770527939976E-3</v>
      </c>
      <c r="H204">
        <v>9.2884747827592096E-3</v>
      </c>
      <c r="I204">
        <v>8.2457810296467321E-4</v>
      </c>
      <c r="J204">
        <v>4.4710452580799002E-3</v>
      </c>
      <c r="K204">
        <v>3.0037923169137417E-3</v>
      </c>
      <c r="L204">
        <v>1.0106109543771651E-3</v>
      </c>
      <c r="M204">
        <v>2.6724565053315302E-2</v>
      </c>
      <c r="N204">
        <v>1.2416332286252435E-2</v>
      </c>
      <c r="O204">
        <v>4.407266589807337E-4</v>
      </c>
      <c r="P204">
        <v>8.5531045225820928E-3</v>
      </c>
      <c r="Q204">
        <v>3.7898846380621937E-3</v>
      </c>
      <c r="R204">
        <v>1.155315159571807E-3</v>
      </c>
      <c r="S204">
        <v>9.1273954649219221E-3</v>
      </c>
      <c r="T204">
        <v>1.1099908405604294E-2</v>
      </c>
      <c r="U204">
        <v>4.7750345604623302E-3</v>
      </c>
      <c r="V204">
        <v>1.0649079867420932E-2</v>
      </c>
      <c r="W204">
        <v>5.3892319859022095E-4</v>
      </c>
      <c r="X204"/>
      <c r="Y204"/>
      <c r="Z204"/>
      <c r="AA204"/>
    </row>
    <row r="205" spans="2:27" ht="16" customHeight="1">
      <c r="B205" s="15">
        <v>5</v>
      </c>
      <c r="C205">
        <v>2.3487038221022532E-2</v>
      </c>
      <c r="D205">
        <v>1.5846801765529671E-3</v>
      </c>
      <c r="E205">
        <v>8.7774437771646029E-4</v>
      </c>
      <c r="F205">
        <v>8.8139198434741186E-3</v>
      </c>
      <c r="G205">
        <v>1.2030878868585881</v>
      </c>
      <c r="H205">
        <v>1.7400915591560911E-2</v>
      </c>
      <c r="I205">
        <v>2.6637500068615316E-3</v>
      </c>
      <c r="J205">
        <v>1.6261960653574395E-2</v>
      </c>
      <c r="K205">
        <v>1.0624891271026577E-2</v>
      </c>
      <c r="L205">
        <v>2.9642584762049813E-3</v>
      </c>
      <c r="M205">
        <v>4.4775027920075115E-2</v>
      </c>
      <c r="N205">
        <v>1.4631657292575387E-2</v>
      </c>
      <c r="O205">
        <v>9.9195039970996902E-4</v>
      </c>
      <c r="P205">
        <v>3.0407574141197633E-2</v>
      </c>
      <c r="Q205">
        <v>1.286619832095812E-2</v>
      </c>
      <c r="R205">
        <v>3.670455466273757E-3</v>
      </c>
      <c r="S205">
        <v>1.9784470198809658E-2</v>
      </c>
      <c r="T205">
        <v>2.5032234208594226E-2</v>
      </c>
      <c r="U205">
        <v>1.1127263939570255E-2</v>
      </c>
      <c r="V205">
        <v>3.8010960139031297E-2</v>
      </c>
      <c r="W205">
        <v>7.5111491605268498E-4</v>
      </c>
      <c r="X205"/>
      <c r="Y205"/>
      <c r="Z205"/>
      <c r="AA205"/>
    </row>
    <row r="206" spans="2:27" ht="16" customHeight="1">
      <c r="B206" s="15">
        <v>6</v>
      </c>
      <c r="C206">
        <v>6.1809561907470471E-3</v>
      </c>
      <c r="D206">
        <v>1.5163876898509926E-2</v>
      </c>
      <c r="E206">
        <v>3.6059558619206062E-3</v>
      </c>
      <c r="F206">
        <v>1.0731537405698212E-2</v>
      </c>
      <c r="G206">
        <v>2.1428914207988085E-2</v>
      </c>
      <c r="H206">
        <v>1.1508854617334581</v>
      </c>
      <c r="I206">
        <v>2.336991991970724E-2</v>
      </c>
      <c r="J206">
        <v>0.3661631047304269</v>
      </c>
      <c r="K206">
        <v>8.9192037620702783E-2</v>
      </c>
      <c r="L206">
        <v>7.4882753169078012E-3</v>
      </c>
      <c r="M206">
        <v>4.5477199973767389E-2</v>
      </c>
      <c r="N206">
        <v>2.9416551406016733E-2</v>
      </c>
      <c r="O206">
        <v>1.8974917167443666E-3</v>
      </c>
      <c r="P206">
        <v>5.0532193835446722E-2</v>
      </c>
      <c r="Q206">
        <v>2.6251753295384206E-2</v>
      </c>
      <c r="R206">
        <v>8.9406331381872151E-3</v>
      </c>
      <c r="S206">
        <v>3.2863544537015982E-2</v>
      </c>
      <c r="T206">
        <v>6.5314585498770505E-2</v>
      </c>
      <c r="U206">
        <v>1.4326140511200862E-2</v>
      </c>
      <c r="V206">
        <v>7.3959416690978177E-2</v>
      </c>
      <c r="W206">
        <v>1.2580057104322391E-3</v>
      </c>
      <c r="X206"/>
      <c r="Y206"/>
      <c r="Z206"/>
      <c r="AA206"/>
    </row>
    <row r="207" spans="2:27" ht="16" customHeight="1">
      <c r="B207" s="15">
        <v>7</v>
      </c>
      <c r="C207">
        <v>7.0206322359385345E-4</v>
      </c>
      <c r="D207">
        <v>0.33660154348032884</v>
      </c>
      <c r="E207">
        <v>2.5452525995965164E-4</v>
      </c>
      <c r="F207">
        <v>2.1302689558742979E-3</v>
      </c>
      <c r="G207">
        <v>2.669727357553096E-2</v>
      </c>
      <c r="H207">
        <v>7.0096498796729453E-3</v>
      </c>
      <c r="I207">
        <v>1.0827733508500086</v>
      </c>
      <c r="J207">
        <v>2.4848430723709108E-2</v>
      </c>
      <c r="K207">
        <v>1.202828748136942E-2</v>
      </c>
      <c r="L207">
        <v>1.2096261345842898E-3</v>
      </c>
      <c r="M207">
        <v>1.5407714346926249E-2</v>
      </c>
      <c r="N207">
        <v>1.0037208161750778E-2</v>
      </c>
      <c r="O207">
        <v>3.5203957230626933E-4</v>
      </c>
      <c r="P207">
        <v>1.1046694116372218E-2</v>
      </c>
      <c r="Q207">
        <v>6.1837118199460309E-3</v>
      </c>
      <c r="R207">
        <v>1.4566179006359206E-3</v>
      </c>
      <c r="S207">
        <v>6.646300365463694E-3</v>
      </c>
      <c r="T207">
        <v>5.7210848599440227E-3</v>
      </c>
      <c r="U207">
        <v>2.8782976433535806E-3</v>
      </c>
      <c r="V207">
        <v>1.0704798702963975E-2</v>
      </c>
      <c r="W207">
        <v>2.1996177090905064E-4</v>
      </c>
      <c r="X207"/>
      <c r="Y207"/>
      <c r="Z207"/>
      <c r="AA207"/>
    </row>
    <row r="208" spans="2:27" ht="16" customHeight="1">
      <c r="B208" s="15">
        <v>8</v>
      </c>
      <c r="C208">
        <v>4.9001763574984424E-5</v>
      </c>
      <c r="D208">
        <v>2.9555328718175043E-3</v>
      </c>
      <c r="E208">
        <v>2.8023670466754479E-5</v>
      </c>
      <c r="F208">
        <v>1.4384027240086584E-4</v>
      </c>
      <c r="G208">
        <v>6.4762456797024187E-4</v>
      </c>
      <c r="H208">
        <v>6.270961446262855E-4</v>
      </c>
      <c r="I208">
        <v>6.6712941696378981E-4</v>
      </c>
      <c r="J208">
        <v>1.0518291784883729</v>
      </c>
      <c r="K208">
        <v>3.7519320147189538E-4</v>
      </c>
      <c r="L208">
        <v>1.0763250957156886E-4</v>
      </c>
      <c r="M208">
        <v>9.2161881797658395E-4</v>
      </c>
      <c r="N208">
        <v>7.8042000465239987E-4</v>
      </c>
      <c r="O208">
        <v>1.0301288768710914E-4</v>
      </c>
      <c r="P208">
        <v>7.8560050938229807E-4</v>
      </c>
      <c r="Q208">
        <v>5.2487632446334039E-4</v>
      </c>
      <c r="R208">
        <v>3.6035172293402148E-4</v>
      </c>
      <c r="S208">
        <v>2.1132777397904596E-3</v>
      </c>
      <c r="T208">
        <v>5.3736872593213945E-3</v>
      </c>
      <c r="U208">
        <v>5.2221535446748621E-4</v>
      </c>
      <c r="V208">
        <v>3.742755949310915E-3</v>
      </c>
      <c r="W208">
        <v>4.5244057854965375E-5</v>
      </c>
      <c r="X208"/>
      <c r="Y208"/>
      <c r="Z208"/>
      <c r="AA208"/>
    </row>
    <row r="209" spans="2:27" ht="16" customHeight="1">
      <c r="B209" s="15">
        <v>9</v>
      </c>
      <c r="C209">
        <v>5.7164125612516492E-4</v>
      </c>
      <c r="D209">
        <v>5.6421471444930245E-3</v>
      </c>
      <c r="E209">
        <v>4.0938140450689082E-4</v>
      </c>
      <c r="F209">
        <v>1.2493643858513578E-3</v>
      </c>
      <c r="G209">
        <v>5.4964972718968379E-3</v>
      </c>
      <c r="H209">
        <v>1.7574307613373327E-3</v>
      </c>
      <c r="I209">
        <v>1.1736800840811055E-2</v>
      </c>
      <c r="J209">
        <v>1.6807932311020861E-3</v>
      </c>
      <c r="K209">
        <v>1.1073583636674533</v>
      </c>
      <c r="L209">
        <v>3.6079351146008395E-2</v>
      </c>
      <c r="M209">
        <v>3.1982497388123241E-3</v>
      </c>
      <c r="N209">
        <v>8.1109975612996526E-3</v>
      </c>
      <c r="O209">
        <v>4.0276368769804408E-3</v>
      </c>
      <c r="P209">
        <v>1.6009850474048546E-2</v>
      </c>
      <c r="Q209">
        <v>4.8564090819006337E-3</v>
      </c>
      <c r="R209">
        <v>4.9597138803526199E-3</v>
      </c>
      <c r="S209">
        <v>1.130306155016003E-2</v>
      </c>
      <c r="T209">
        <v>9.3683010203866723E-3</v>
      </c>
      <c r="U209">
        <v>2.4581647131446662E-3</v>
      </c>
      <c r="V209">
        <v>8.3576736277359322E-3</v>
      </c>
      <c r="W209">
        <v>1.903095010918625E-3</v>
      </c>
      <c r="X209"/>
      <c r="Y209"/>
      <c r="Z209"/>
      <c r="AA209"/>
    </row>
    <row r="210" spans="2:27" ht="16" customHeight="1">
      <c r="B210" s="15">
        <v>10</v>
      </c>
      <c r="C210">
        <v>3.1243168226016097E-4</v>
      </c>
      <c r="D210">
        <v>2.3357878488564142E-3</v>
      </c>
      <c r="E210">
        <v>2.0479713733175932E-4</v>
      </c>
      <c r="F210">
        <v>1.4486275799809633E-3</v>
      </c>
      <c r="G210">
        <v>3.2972060191796783E-3</v>
      </c>
      <c r="H210">
        <v>1.2400041606531141E-3</v>
      </c>
      <c r="I210">
        <v>3.210861311043413E-3</v>
      </c>
      <c r="J210">
        <v>1.3078913979766133E-3</v>
      </c>
      <c r="K210">
        <v>5.5336940806287899E-2</v>
      </c>
      <c r="L210">
        <v>1.0222079107770536</v>
      </c>
      <c r="M210">
        <v>8.7986294956136808E-3</v>
      </c>
      <c r="N210">
        <v>3.6942201897860261E-3</v>
      </c>
      <c r="O210">
        <v>2.5509811103449419E-3</v>
      </c>
      <c r="P210">
        <v>6.7926710662087773E-3</v>
      </c>
      <c r="Q210">
        <v>7.6885244971910613E-3</v>
      </c>
      <c r="R210">
        <v>1.6865821350491212E-3</v>
      </c>
      <c r="S210">
        <v>7.3310571215557865E-3</v>
      </c>
      <c r="T210">
        <v>5.2312318440075551E-3</v>
      </c>
      <c r="U210">
        <v>1.2594286900680595E-3</v>
      </c>
      <c r="V210">
        <v>4.0537133875199255E-3</v>
      </c>
      <c r="W210">
        <v>6.2369786782581792E-4</v>
      </c>
      <c r="X210"/>
      <c r="Y210"/>
      <c r="Z210"/>
      <c r="AA210"/>
    </row>
    <row r="211" spans="2:27" ht="16" customHeight="1">
      <c r="B211" s="15">
        <v>11</v>
      </c>
      <c r="C211">
        <v>1.4836452554017065E-3</v>
      </c>
      <c r="D211">
        <v>1.3202828449745683E-3</v>
      </c>
      <c r="E211">
        <v>5.0016387525717563E-4</v>
      </c>
      <c r="F211">
        <v>5.2620441183773181E-2</v>
      </c>
      <c r="G211">
        <v>5.4722379881746219E-2</v>
      </c>
      <c r="H211">
        <v>2.1445622242548812E-2</v>
      </c>
      <c r="I211">
        <v>2.0188851595911192E-3</v>
      </c>
      <c r="J211">
        <v>5.2979985808545967E-2</v>
      </c>
      <c r="K211">
        <v>4.6090355674920716E-2</v>
      </c>
      <c r="L211">
        <v>8.8800505753312449E-3</v>
      </c>
      <c r="M211">
        <v>1.0165248860050675</v>
      </c>
      <c r="N211">
        <v>8.8206625621699702E-3</v>
      </c>
      <c r="O211">
        <v>8.3500535663442467E-4</v>
      </c>
      <c r="P211">
        <v>1.6418520860320085E-2</v>
      </c>
      <c r="Q211">
        <v>6.4484430495424594E-3</v>
      </c>
      <c r="R211">
        <v>2.3307735637660217E-3</v>
      </c>
      <c r="S211">
        <v>1.3881319731708858E-2</v>
      </c>
      <c r="T211">
        <v>3.4813945553207756E-2</v>
      </c>
      <c r="U211">
        <v>7.45805059134834E-3</v>
      </c>
      <c r="V211">
        <v>1.9577517188587551E-2</v>
      </c>
      <c r="W211">
        <v>5.2946984922935217E-4</v>
      </c>
      <c r="X211"/>
      <c r="Y211"/>
      <c r="Z211"/>
      <c r="AA211"/>
    </row>
    <row r="212" spans="2:27" ht="16" customHeight="1">
      <c r="B212" s="15">
        <v>12</v>
      </c>
      <c r="C212">
        <v>5.8467628182739173E-4</v>
      </c>
      <c r="D212">
        <v>7.6220380995150163E-4</v>
      </c>
      <c r="E212">
        <v>5.5774428844644717E-4</v>
      </c>
      <c r="F212">
        <v>1.7902472299300854E-3</v>
      </c>
      <c r="G212">
        <v>6.7011334559841486E-3</v>
      </c>
      <c r="H212">
        <v>1.9766025135731819E-3</v>
      </c>
      <c r="I212">
        <v>1.8972241428555547E-3</v>
      </c>
      <c r="J212">
        <v>1.1871716511371651E-3</v>
      </c>
      <c r="K212">
        <v>6.6490982418010557E-3</v>
      </c>
      <c r="L212">
        <v>1.4040386311861177E-3</v>
      </c>
      <c r="M212">
        <v>7.4379423480793816E-3</v>
      </c>
      <c r="N212">
        <v>1.1202813246755166</v>
      </c>
      <c r="O212">
        <v>2.8601243195851701E-4</v>
      </c>
      <c r="P212">
        <v>2.9884962491785582E-3</v>
      </c>
      <c r="Q212">
        <v>1.0450929220585197E-2</v>
      </c>
      <c r="R212">
        <v>1.0439866976458228E-2</v>
      </c>
      <c r="S212">
        <v>4.7979957931956387E-3</v>
      </c>
      <c r="T212">
        <v>5.5392067776081555E-3</v>
      </c>
      <c r="U212">
        <v>2.7108320319228223E-3</v>
      </c>
      <c r="V212">
        <v>3.1310449527386763E-2</v>
      </c>
      <c r="W212">
        <v>2.6650376409528718E-3</v>
      </c>
      <c r="X212"/>
      <c r="Y212"/>
      <c r="Z212"/>
      <c r="AA212"/>
    </row>
    <row r="213" spans="2:27" ht="16" customHeight="1">
      <c r="B213" s="15">
        <v>13</v>
      </c>
      <c r="C213">
        <v>8.0446181847108039E-3</v>
      </c>
      <c r="D213">
        <v>0.66023659407704405</v>
      </c>
      <c r="E213">
        <v>1.4793662084787271E-3</v>
      </c>
      <c r="F213">
        <v>8.0278337191820297E-3</v>
      </c>
      <c r="G213">
        <v>0.27469891256324497</v>
      </c>
      <c r="H213">
        <v>4.4736897089768281E-2</v>
      </c>
      <c r="I213">
        <v>0.7635048264137696</v>
      </c>
      <c r="J213">
        <v>0.18209033932111357</v>
      </c>
      <c r="K213">
        <v>0.1186292073655357</v>
      </c>
      <c r="L213">
        <v>8.5534915964734313E-3</v>
      </c>
      <c r="M213">
        <v>4.9078553216074017E-2</v>
      </c>
      <c r="N213">
        <v>2.0826355376734374E-2</v>
      </c>
      <c r="O213">
        <v>1.0352286582583587</v>
      </c>
      <c r="P213">
        <v>6.8719251888425689E-2</v>
      </c>
      <c r="Q213">
        <v>2.7904737252464607E-2</v>
      </c>
      <c r="R213">
        <v>8.6526835338025382E-3</v>
      </c>
      <c r="S213">
        <v>3.7562081128212896E-2</v>
      </c>
      <c r="T213">
        <v>4.7150535788010157E-2</v>
      </c>
      <c r="U213">
        <v>1.3439723177125246E-2</v>
      </c>
      <c r="V213">
        <v>5.2062468674055874E-2</v>
      </c>
      <c r="W213">
        <v>2.022245604424747E-3</v>
      </c>
      <c r="X213"/>
      <c r="Y213"/>
      <c r="Z213"/>
      <c r="AA213"/>
    </row>
    <row r="214" spans="2:27" ht="16" customHeight="1">
      <c r="B214" s="15">
        <v>14</v>
      </c>
      <c r="C214">
        <v>5.7016770545236005E-3</v>
      </c>
      <c r="D214">
        <v>1.8128791556994379E-2</v>
      </c>
      <c r="E214">
        <v>3.5354877791380617E-3</v>
      </c>
      <c r="F214">
        <v>1.5010880954037811E-2</v>
      </c>
      <c r="G214">
        <v>0.1079117467852254</v>
      </c>
      <c r="H214">
        <v>3.5634212532960591E-2</v>
      </c>
      <c r="I214">
        <v>2.0026332776540805E-2</v>
      </c>
      <c r="J214">
        <v>2.3934316514929912E-2</v>
      </c>
      <c r="K214">
        <v>7.4010812745967533E-2</v>
      </c>
      <c r="L214">
        <v>2.3391653631778062E-2</v>
      </c>
      <c r="M214">
        <v>8.9952443867418422E-2</v>
      </c>
      <c r="N214">
        <v>0.11930315598069477</v>
      </c>
      <c r="O214">
        <v>1.8930680435996758E-2</v>
      </c>
      <c r="P214">
        <v>1.0714217876621472</v>
      </c>
      <c r="Q214">
        <v>0.16888694569112458</v>
      </c>
      <c r="R214">
        <v>2.2132184707296342E-2</v>
      </c>
      <c r="S214">
        <v>0.41555793901507604</v>
      </c>
      <c r="T214">
        <v>0.27381793186905423</v>
      </c>
      <c r="U214">
        <v>0.12607341235054262</v>
      </c>
      <c r="V214">
        <v>0.20261677739058015</v>
      </c>
      <c r="W214">
        <v>5.336467416528776E-3</v>
      </c>
      <c r="X214"/>
      <c r="Y214"/>
      <c r="Z214"/>
      <c r="AA214"/>
    </row>
    <row r="215" spans="2:27" ht="16" customHeight="1">
      <c r="B215" s="15">
        <v>15</v>
      </c>
      <c r="C215">
        <v>2.5989891475466328E-3</v>
      </c>
      <c r="D215">
        <v>3.0573211403963664E-3</v>
      </c>
      <c r="E215">
        <v>1.5732943357666131E-3</v>
      </c>
      <c r="F215">
        <v>1.7035948876910269E-2</v>
      </c>
      <c r="G215">
        <v>7.5454400874565966E-2</v>
      </c>
      <c r="H215">
        <v>9.4322579072480348E-3</v>
      </c>
      <c r="I215">
        <v>4.5082448178605178E-3</v>
      </c>
      <c r="J215">
        <v>1.6856775898597236E-2</v>
      </c>
      <c r="K215">
        <v>1.9982924231321735E-2</v>
      </c>
      <c r="L215">
        <v>8.0828103559362589E-3</v>
      </c>
      <c r="M215">
        <v>0.25224891258858206</v>
      </c>
      <c r="N215">
        <v>2.5438946001417013E-2</v>
      </c>
      <c r="O215">
        <v>2.4238135647217927E-3</v>
      </c>
      <c r="P215">
        <v>6.6520277647478129E-2</v>
      </c>
      <c r="Q215">
        <v>1.0170678050876911</v>
      </c>
      <c r="R215">
        <v>1.3426259549508629E-2</v>
      </c>
      <c r="S215">
        <v>4.9185346474332932E-2</v>
      </c>
      <c r="T215">
        <v>5.5179578693505663E-2</v>
      </c>
      <c r="U215">
        <v>2.9368588186650946E-2</v>
      </c>
      <c r="V215">
        <v>7.7384484296600484E-2</v>
      </c>
      <c r="W215">
        <v>1.4620350876067274E-3</v>
      </c>
      <c r="X215"/>
      <c r="Y215"/>
      <c r="Z215"/>
      <c r="AA215"/>
    </row>
    <row r="216" spans="2:27" ht="16" customHeight="1">
      <c r="B216" s="15">
        <v>16</v>
      </c>
      <c r="C216">
        <v>2.9328496673152557E-2</v>
      </c>
      <c r="D216">
        <v>1.8666122086274486E-3</v>
      </c>
      <c r="E216">
        <v>4.45653394180789E-2</v>
      </c>
      <c r="F216">
        <v>1.8845023758498679E-2</v>
      </c>
      <c r="G216">
        <v>2.2274179378274306E-2</v>
      </c>
      <c r="H216">
        <v>1.304770223158941E-2</v>
      </c>
      <c r="I216">
        <v>2.7867637198648325E-3</v>
      </c>
      <c r="J216">
        <v>7.8295424683702958E-3</v>
      </c>
      <c r="K216">
        <v>5.8992576393466899E-3</v>
      </c>
      <c r="L216">
        <v>2.9729975306007918E-3</v>
      </c>
      <c r="M216">
        <v>1.6275431464353254E-2</v>
      </c>
      <c r="N216">
        <v>2.5579503688382771E-2</v>
      </c>
      <c r="O216">
        <v>1.1157023730328573E-3</v>
      </c>
      <c r="P216">
        <v>1.7195505510571422E-2</v>
      </c>
      <c r="Q216">
        <v>1.2802178962767715E-2</v>
      </c>
      <c r="R216">
        <v>1.0103188169007356</v>
      </c>
      <c r="S216">
        <v>2.2057764079215027E-2</v>
      </c>
      <c r="T216">
        <v>2.1699174882410899E-2</v>
      </c>
      <c r="U216">
        <v>1.8048788646022943E-2</v>
      </c>
      <c r="V216">
        <v>5.3182350883176653E-2</v>
      </c>
      <c r="W216">
        <v>2.698411716323631E-3</v>
      </c>
      <c r="X216"/>
      <c r="Y216"/>
      <c r="Z216"/>
      <c r="AA216"/>
    </row>
    <row r="217" spans="2:27" ht="16" customHeight="1">
      <c r="B217" s="15">
        <v>17</v>
      </c>
      <c r="C217">
        <v>4.1419475823380137E-3</v>
      </c>
      <c r="D217">
        <v>3.7945506936559507E-2</v>
      </c>
      <c r="E217">
        <v>1.2063732692426633E-3</v>
      </c>
      <c r="F217">
        <v>4.3286449271212049E-3</v>
      </c>
      <c r="G217">
        <v>2.7082504677637374E-2</v>
      </c>
      <c r="H217">
        <v>5.6032244965350279E-3</v>
      </c>
      <c r="I217">
        <v>4.287084345006089E-2</v>
      </c>
      <c r="J217">
        <v>1.2197083851007448E-2</v>
      </c>
      <c r="K217">
        <v>1.6325476225087336E-2</v>
      </c>
      <c r="L217">
        <v>3.7052764642982843E-2</v>
      </c>
      <c r="M217">
        <v>1.1336191017224733E-2</v>
      </c>
      <c r="N217">
        <v>1.3639068509579473E-2</v>
      </c>
      <c r="O217">
        <v>5.4778603924806185E-2</v>
      </c>
      <c r="P217">
        <v>2.4193849911481543E-2</v>
      </c>
      <c r="Q217">
        <v>1.0044825349806311E-2</v>
      </c>
      <c r="R217">
        <v>1.5678859239111883E-2</v>
      </c>
      <c r="S217">
        <v>1.2761890523511039</v>
      </c>
      <c r="T217">
        <v>1.7851093457945902E-2</v>
      </c>
      <c r="U217">
        <v>1.4575130708837857E-2</v>
      </c>
      <c r="V217">
        <v>0.10466035618195343</v>
      </c>
      <c r="W217">
        <v>3.9742257661865357E-3</v>
      </c>
      <c r="X217"/>
      <c r="Y217"/>
      <c r="Z217"/>
      <c r="AA217"/>
    </row>
    <row r="218" spans="2:27" ht="16" customHeight="1">
      <c r="B218" s="15">
        <v>18</v>
      </c>
      <c r="C218">
        <v>1.0931759682530717E-3</v>
      </c>
      <c r="D218">
        <v>3.1755673034313233E-3</v>
      </c>
      <c r="E218">
        <v>7.1698928031319693E-4</v>
      </c>
      <c r="F218">
        <v>4.1314694869937834E-3</v>
      </c>
      <c r="G218">
        <v>1.7445826579671978E-2</v>
      </c>
      <c r="H218">
        <v>2.6299963406518794E-3</v>
      </c>
      <c r="I218">
        <v>4.3360395587827578E-3</v>
      </c>
      <c r="J218">
        <v>7.7778067280721416E-3</v>
      </c>
      <c r="K218">
        <v>5.5848858781560031E-3</v>
      </c>
      <c r="L218">
        <v>4.8021048634709924E-3</v>
      </c>
      <c r="M218">
        <v>2.0641369515552069E-2</v>
      </c>
      <c r="N218">
        <v>1.3684633428570431E-2</v>
      </c>
      <c r="O218">
        <v>3.3920494395873009E-3</v>
      </c>
      <c r="P218">
        <v>6.5636059953130396E-3</v>
      </c>
      <c r="Q218">
        <v>1.0102379514961828E-2</v>
      </c>
      <c r="R218">
        <v>9.5244423077478456E-3</v>
      </c>
      <c r="S218">
        <v>5.1835558956705705E-2</v>
      </c>
      <c r="T218">
        <v>1.0931293203671115</v>
      </c>
      <c r="U218">
        <v>1.7030755367696538E-2</v>
      </c>
      <c r="V218">
        <v>8.0203043406341504E-2</v>
      </c>
      <c r="W218">
        <v>4.9233326602353689E-3</v>
      </c>
      <c r="X218"/>
      <c r="Y218"/>
      <c r="Z218"/>
      <c r="AA218"/>
    </row>
    <row r="219" spans="2:27" ht="16" customHeight="1">
      <c r="B219" s="15">
        <v>19</v>
      </c>
      <c r="C219">
        <v>6.1476474014275943E-4</v>
      </c>
      <c r="D219">
        <v>3.0634849603253787E-3</v>
      </c>
      <c r="E219">
        <v>3.3638579690614131E-4</v>
      </c>
      <c r="F219">
        <v>1.5618871046030789E-3</v>
      </c>
      <c r="G219">
        <v>9.1063677245850558E-3</v>
      </c>
      <c r="H219">
        <v>1.4441760972190849E-3</v>
      </c>
      <c r="I219">
        <v>3.4879149847266955E-3</v>
      </c>
      <c r="J219">
        <v>1.8173310004718603E-3</v>
      </c>
      <c r="K219">
        <v>2.5325958873261669E-3</v>
      </c>
      <c r="L219">
        <v>1.3738737806172066E-3</v>
      </c>
      <c r="M219">
        <v>1.2202674382292212E-2</v>
      </c>
      <c r="N219">
        <v>3.6101473657427378E-2</v>
      </c>
      <c r="O219">
        <v>4.1043798267066849E-3</v>
      </c>
      <c r="P219">
        <v>4.1341981132274729E-3</v>
      </c>
      <c r="Q219">
        <v>9.9057500026488096E-3</v>
      </c>
      <c r="R219">
        <v>4.05297484931854E-3</v>
      </c>
      <c r="S219">
        <v>1.9298680382221749E-2</v>
      </c>
      <c r="T219">
        <v>6.2517068295011528E-3</v>
      </c>
      <c r="U219">
        <v>1.0059147480671615</v>
      </c>
      <c r="V219">
        <v>2.0682350216362718E-2</v>
      </c>
      <c r="W219">
        <v>6.1063532077806893E-4</v>
      </c>
      <c r="X219"/>
      <c r="Y219"/>
      <c r="Z219"/>
      <c r="AA219"/>
    </row>
    <row r="220" spans="2:27" ht="16" customHeight="1">
      <c r="B220" s="15">
        <v>20</v>
      </c>
      <c r="C220">
        <v>2.8079418617904346E-3</v>
      </c>
      <c r="D220">
        <v>4.4553936360525763E-3</v>
      </c>
      <c r="E220">
        <v>2.6832959666329781E-3</v>
      </c>
      <c r="F220">
        <v>2.2894743663071808E-2</v>
      </c>
      <c r="G220">
        <v>6.0850610017965122E-2</v>
      </c>
      <c r="H220">
        <v>8.1967108632161716E-3</v>
      </c>
      <c r="I220">
        <v>5.0835202719419987E-3</v>
      </c>
      <c r="J220">
        <v>7.0383998538299736E-3</v>
      </c>
      <c r="K220">
        <v>7.4898265687258145E-3</v>
      </c>
      <c r="L220">
        <v>4.798716794390227E-3</v>
      </c>
      <c r="M220">
        <v>4.9655287653692974E-2</v>
      </c>
      <c r="N220">
        <v>3.3372173420617865E-2</v>
      </c>
      <c r="O220">
        <v>5.1528553418201863E-3</v>
      </c>
      <c r="P220">
        <v>1.8375618385350387E-2</v>
      </c>
      <c r="Q220">
        <v>3.1071788923341351E-2</v>
      </c>
      <c r="R220">
        <v>1.2674280539109167E-2</v>
      </c>
      <c r="S220">
        <v>8.5343718522173373E-2</v>
      </c>
      <c r="T220">
        <v>3.6193887365487849E-2</v>
      </c>
      <c r="U220">
        <v>2.5680326949225899E-2</v>
      </c>
      <c r="V220">
        <v>1.0435796099092398</v>
      </c>
      <c r="W220">
        <v>3.9772819190226046E-3</v>
      </c>
      <c r="X220"/>
      <c r="Y220"/>
      <c r="Z220"/>
      <c r="AA220"/>
    </row>
    <row r="221" spans="2:27" ht="16" customHeight="1">
      <c r="B221" s="15">
        <v>21</v>
      </c>
      <c r="C221">
        <v>4.9002119501422164E-3</v>
      </c>
      <c r="D221">
        <v>1.1727037354722686E-2</v>
      </c>
      <c r="E221">
        <v>5.1122166638992023E-3</v>
      </c>
      <c r="F221">
        <v>4.7400529061196933E-2</v>
      </c>
      <c r="G221">
        <v>5.0598819437309803E-2</v>
      </c>
      <c r="H221">
        <v>9.2940971473688058E-2</v>
      </c>
      <c r="I221">
        <v>2.4283331065326954E-2</v>
      </c>
      <c r="J221">
        <v>3.9576523891492361E-2</v>
      </c>
      <c r="K221">
        <v>4.072758592220746E-2</v>
      </c>
      <c r="L221">
        <v>1.4462145541145333E-2</v>
      </c>
      <c r="M221">
        <v>7.6691418593461597E-2</v>
      </c>
      <c r="N221">
        <v>0.10998775553492873</v>
      </c>
      <c r="O221">
        <v>6.0257817580085665E-3</v>
      </c>
      <c r="P221">
        <v>4.568197905672839E-2</v>
      </c>
      <c r="Q221">
        <v>2.870305546244023E-2</v>
      </c>
      <c r="R221">
        <v>5.6279824696918127E-2</v>
      </c>
      <c r="S221">
        <v>9.6621607266511811E-2</v>
      </c>
      <c r="T221">
        <v>8.0187966297530999E-2</v>
      </c>
      <c r="U221">
        <v>6.0770279018491531E-2</v>
      </c>
      <c r="V221">
        <v>0.16854948714518289</v>
      </c>
      <c r="W221">
        <v>1.0102983336986939</v>
      </c>
      <c r="X221"/>
      <c r="Y221"/>
      <c r="Z221"/>
      <c r="AA221"/>
    </row>
    <row r="222" spans="2:27" ht="16" customHeight="1">
      <c r="B222" s="15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2:27" ht="16" customHeight="1">
      <c r="B223" s="15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2:27" ht="16" customHeight="1">
      <c r="B224" s="15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2:27" ht="16" customHeight="1">
      <c r="B225" s="1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alcularMultiplicadoresDesdeZ" altText="Generar Matrices de Cálculo…">
                <anchor moveWithCells="1" sizeWithCells="1">
                  <from>
                    <xdr:col>3</xdr:col>
                    <xdr:colOff>812800</xdr:colOff>
                    <xdr:row>1</xdr:row>
                    <xdr:rowOff>63500</xdr:rowOff>
                  </from>
                  <to>
                    <xdr:col>6</xdr:col>
                    <xdr:colOff>482600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>
    <tabColor theme="2" tint="-0.499984740745262"/>
  </sheetPr>
  <dimension ref="A1:X50"/>
  <sheetViews>
    <sheetView showGridLines="0" topLeftCell="A3" zoomScale="164" zoomScaleNormal="16" workbookViewId="0">
      <selection activeCell="B6" sqref="B6:K26"/>
    </sheetView>
  </sheetViews>
  <sheetFormatPr baseColWidth="10" defaultColWidth="8.83203125" defaultRowHeight="16"/>
  <cols>
    <col min="1" max="1" width="27.33203125" customWidth="1"/>
    <col min="2" max="11" width="8" customWidth="1"/>
    <col min="12" max="12" width="11" customWidth="1"/>
    <col min="13" max="13" width="30" customWidth="1"/>
  </cols>
  <sheetData>
    <row r="1" spans="1:24" ht="24" customHeight="1">
      <c r="A1" s="541" t="s">
        <v>628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</row>
    <row r="3" spans="1:24" s="230" customFormat="1">
      <c r="A3" s="379" t="s">
        <v>574</v>
      </c>
    </row>
    <row r="4" spans="1:24" s="230" customFormat="1" ht="28" customHeight="1">
      <c r="A4" s="542" t="s">
        <v>575</v>
      </c>
      <c r="B4" s="542"/>
      <c r="C4" s="542"/>
      <c r="D4" s="542"/>
      <c r="E4" s="542"/>
      <c r="F4" s="542"/>
      <c r="G4" s="542"/>
      <c r="H4" s="542"/>
      <c r="I4" s="542"/>
      <c r="J4" s="542"/>
      <c r="K4" s="542"/>
    </row>
    <row r="5" spans="1:24" s="230" customFormat="1">
      <c r="A5" s="380" t="s">
        <v>287</v>
      </c>
      <c r="B5" s="381" t="s">
        <v>127</v>
      </c>
      <c r="C5" s="381" t="s">
        <v>89</v>
      </c>
      <c r="D5" s="381" t="s">
        <v>128</v>
      </c>
      <c r="E5" s="381" t="s">
        <v>90</v>
      </c>
      <c r="F5" s="381" t="s">
        <v>126</v>
      </c>
      <c r="G5" s="381" t="s">
        <v>130</v>
      </c>
      <c r="H5" s="381" t="s">
        <v>92</v>
      </c>
      <c r="I5" s="381" t="s">
        <v>93</v>
      </c>
      <c r="J5" s="381" t="s">
        <v>129</v>
      </c>
      <c r="K5" s="381" t="s">
        <v>95</v>
      </c>
    </row>
    <row r="6" spans="1:24" s="230" customFormat="1">
      <c r="A6" s="21" t="s">
        <v>10</v>
      </c>
      <c r="B6" s="382">
        <v>311.25779999999997</v>
      </c>
      <c r="C6" s="382">
        <v>102.828</v>
      </c>
      <c r="D6" s="382">
        <v>0</v>
      </c>
      <c r="E6" s="382">
        <v>0</v>
      </c>
      <c r="F6" s="382">
        <v>2737.7982000000002</v>
      </c>
      <c r="G6" s="382">
        <v>0</v>
      </c>
      <c r="H6" s="382">
        <v>0</v>
      </c>
      <c r="I6" s="382">
        <v>0</v>
      </c>
      <c r="J6" s="382">
        <v>0</v>
      </c>
      <c r="K6" s="382">
        <v>24.216000000000001</v>
      </c>
    </row>
    <row r="7" spans="1:24" s="230" customFormat="1">
      <c r="A7" s="19" t="s">
        <v>11</v>
      </c>
      <c r="B7" s="425">
        <v>7.2176999999999998</v>
      </c>
      <c r="C7" s="425">
        <v>0.99</v>
      </c>
      <c r="D7" s="425">
        <v>0</v>
      </c>
      <c r="E7" s="425">
        <v>0.47199999999999998</v>
      </c>
      <c r="F7" s="425">
        <v>1.2778</v>
      </c>
      <c r="G7" s="425">
        <v>0</v>
      </c>
      <c r="H7" s="425">
        <v>0.36840000000000001</v>
      </c>
      <c r="I7" s="425">
        <v>0.4259</v>
      </c>
      <c r="J7" s="425">
        <v>0</v>
      </c>
      <c r="K7" s="425">
        <v>0.74819999999999998</v>
      </c>
    </row>
    <row r="8" spans="1:24" s="230" customFormat="1">
      <c r="A8" s="21" t="s">
        <v>12</v>
      </c>
      <c r="B8" s="382">
        <v>969.94860000000006</v>
      </c>
      <c r="C8" s="382">
        <v>230.55119999999999</v>
      </c>
      <c r="D8" s="382">
        <v>0</v>
      </c>
      <c r="E8" s="382">
        <v>280.64600000000002</v>
      </c>
      <c r="F8" s="382">
        <v>0</v>
      </c>
      <c r="G8" s="382">
        <v>0</v>
      </c>
      <c r="H8" s="382">
        <v>1563.0967000000001</v>
      </c>
      <c r="I8" s="382">
        <v>0</v>
      </c>
      <c r="J8" s="382">
        <v>0</v>
      </c>
      <c r="K8" s="382">
        <v>1068.0574999999999</v>
      </c>
    </row>
    <row r="9" spans="1:24" s="230" customFormat="1">
      <c r="A9" s="19" t="s">
        <v>13</v>
      </c>
      <c r="B9" s="425">
        <v>84.046099999999996</v>
      </c>
      <c r="C9" s="425">
        <v>18.417200000000001</v>
      </c>
      <c r="D9" s="425">
        <v>0</v>
      </c>
      <c r="E9" s="425">
        <v>5.4958</v>
      </c>
      <c r="F9" s="425">
        <v>14.879</v>
      </c>
      <c r="G9" s="425">
        <v>0</v>
      </c>
      <c r="H9" s="425">
        <v>4.2893999999999997</v>
      </c>
      <c r="I9" s="425">
        <v>4.9596999999999998</v>
      </c>
      <c r="J9" s="425">
        <v>0</v>
      </c>
      <c r="K9" s="425">
        <v>8.7128999999999994</v>
      </c>
    </row>
    <row r="10" spans="1:24" s="230" customFormat="1">
      <c r="A10" s="21" t="s">
        <v>14</v>
      </c>
      <c r="B10" s="382">
        <v>11.1624</v>
      </c>
      <c r="C10" s="382">
        <v>2.4460000000000002</v>
      </c>
      <c r="D10" s="382">
        <v>0</v>
      </c>
      <c r="E10" s="382">
        <v>0.72989999999999999</v>
      </c>
      <c r="F10" s="382">
        <v>1.9761</v>
      </c>
      <c r="G10" s="382">
        <v>0</v>
      </c>
      <c r="H10" s="382">
        <v>0.56969999999999998</v>
      </c>
      <c r="I10" s="382">
        <v>0.65869999999999995</v>
      </c>
      <c r="J10" s="382">
        <v>0</v>
      </c>
      <c r="K10" s="382">
        <v>1.1572</v>
      </c>
    </row>
    <row r="11" spans="1:24" s="230" customFormat="1">
      <c r="A11" s="19" t="s">
        <v>15</v>
      </c>
      <c r="B11" s="425">
        <v>230.33709999999999</v>
      </c>
      <c r="C11" s="425">
        <v>61.696800000000003</v>
      </c>
      <c r="D11" s="425">
        <v>0</v>
      </c>
      <c r="E11" s="425">
        <v>15.0619</v>
      </c>
      <c r="F11" s="425">
        <v>40.7774</v>
      </c>
      <c r="G11" s="425">
        <v>0</v>
      </c>
      <c r="H11" s="425">
        <v>11.755599999999999</v>
      </c>
      <c r="I11" s="425">
        <v>13.592499999999999</v>
      </c>
      <c r="J11" s="425">
        <v>0</v>
      </c>
      <c r="K11" s="425">
        <v>23.878699999999998</v>
      </c>
    </row>
    <row r="12" spans="1:24" s="230" customFormat="1">
      <c r="A12" s="21" t="s">
        <v>16</v>
      </c>
      <c r="B12" s="382">
        <v>7.0435999999999996</v>
      </c>
      <c r="C12" s="382">
        <v>1.5435000000000001</v>
      </c>
      <c r="D12" s="382">
        <v>0</v>
      </c>
      <c r="E12" s="382">
        <v>0.46060000000000001</v>
      </c>
      <c r="F12" s="382">
        <v>1.2470000000000001</v>
      </c>
      <c r="G12" s="382">
        <v>0</v>
      </c>
      <c r="H12" s="382">
        <v>0.35949999999999999</v>
      </c>
      <c r="I12" s="382">
        <v>0.41570000000000001</v>
      </c>
      <c r="J12" s="382">
        <v>0</v>
      </c>
      <c r="K12" s="382">
        <v>0.73019999999999996</v>
      </c>
    </row>
    <row r="13" spans="1:24" s="230" customFormat="1">
      <c r="A13" s="19" t="s">
        <v>17</v>
      </c>
      <c r="B13" s="425">
        <v>36.949199999999998</v>
      </c>
      <c r="C13" s="425">
        <v>8.0967000000000002</v>
      </c>
      <c r="D13" s="425">
        <v>0</v>
      </c>
      <c r="E13" s="425">
        <v>2.4161000000000001</v>
      </c>
      <c r="F13" s="425">
        <v>6.5412999999999997</v>
      </c>
      <c r="G13" s="425">
        <v>0</v>
      </c>
      <c r="H13" s="425">
        <v>1.8857999999999999</v>
      </c>
      <c r="I13" s="425">
        <v>2.1804000000000001</v>
      </c>
      <c r="J13" s="425">
        <v>0</v>
      </c>
      <c r="K13" s="425">
        <v>3.8304999999999998</v>
      </c>
      <c r="L13" s="382"/>
      <c r="M13" s="382"/>
      <c r="N13" s="382"/>
      <c r="O13" s="382"/>
      <c r="P13" s="382"/>
      <c r="Q13" s="382"/>
      <c r="R13" s="382"/>
      <c r="S13" s="382"/>
      <c r="T13" s="382"/>
      <c r="U13" s="382"/>
      <c r="V13" s="382"/>
      <c r="W13" s="382"/>
      <c r="X13" s="391"/>
    </row>
    <row r="14" spans="1:24" s="230" customFormat="1">
      <c r="A14" s="21" t="s">
        <v>18</v>
      </c>
      <c r="B14" s="382">
        <v>37.068600000000004</v>
      </c>
      <c r="C14" s="382">
        <v>8.1228999999999996</v>
      </c>
      <c r="D14" s="382">
        <v>0</v>
      </c>
      <c r="E14" s="382">
        <v>2.4239000000000002</v>
      </c>
      <c r="F14" s="382">
        <v>6.5624000000000002</v>
      </c>
      <c r="G14" s="382">
        <v>0</v>
      </c>
      <c r="H14" s="382">
        <v>1.8918999999999999</v>
      </c>
      <c r="I14" s="382">
        <v>2.1875</v>
      </c>
      <c r="J14" s="382">
        <v>0</v>
      </c>
      <c r="K14" s="382">
        <v>3.8428</v>
      </c>
    </row>
    <row r="15" spans="1:24" s="230" customFormat="1">
      <c r="A15" s="19" t="s">
        <v>19</v>
      </c>
      <c r="B15" s="425">
        <v>61.721299999999999</v>
      </c>
      <c r="C15" s="425">
        <v>13.5251</v>
      </c>
      <c r="D15" s="425">
        <v>0</v>
      </c>
      <c r="E15" s="425">
        <v>4.0359999999999996</v>
      </c>
      <c r="F15" s="425">
        <v>10.9267</v>
      </c>
      <c r="G15" s="425">
        <v>0</v>
      </c>
      <c r="H15" s="425">
        <v>3.1501000000000001</v>
      </c>
      <c r="I15" s="425">
        <v>3.6421999999999999</v>
      </c>
      <c r="J15" s="425">
        <v>0</v>
      </c>
      <c r="K15" s="425">
        <v>6.3985000000000003</v>
      </c>
    </row>
    <row r="16" spans="1:24" s="230" customFormat="1">
      <c r="A16" s="21" t="s">
        <v>20</v>
      </c>
      <c r="B16" s="382">
        <v>18.8626</v>
      </c>
      <c r="C16" s="382">
        <v>4.1334</v>
      </c>
      <c r="D16" s="382">
        <v>0</v>
      </c>
      <c r="E16" s="382">
        <v>1.2334000000000001</v>
      </c>
      <c r="F16" s="382">
        <v>3.3393000000000002</v>
      </c>
      <c r="G16" s="382">
        <v>0</v>
      </c>
      <c r="H16" s="382">
        <v>0.9627</v>
      </c>
      <c r="I16" s="382">
        <v>1.1131</v>
      </c>
      <c r="J16" s="382">
        <v>0</v>
      </c>
      <c r="K16" s="382">
        <v>1.9555</v>
      </c>
    </row>
    <row r="17" spans="1:23" s="230" customFormat="1">
      <c r="A17" s="19" t="s">
        <v>21</v>
      </c>
      <c r="B17" s="425">
        <v>1200.2919999999999</v>
      </c>
      <c r="C17" s="425">
        <v>0</v>
      </c>
      <c r="D17" s="425">
        <v>0</v>
      </c>
      <c r="E17" s="425">
        <v>0</v>
      </c>
      <c r="F17" s="425">
        <v>194.50800000000001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</row>
    <row r="18" spans="1:23" s="230" customFormat="1">
      <c r="A18" s="21" t="s">
        <v>22</v>
      </c>
      <c r="B18" s="382">
        <v>0</v>
      </c>
      <c r="C18" s="382">
        <v>0</v>
      </c>
      <c r="D18" s="382">
        <v>0</v>
      </c>
      <c r="E18" s="382">
        <v>0</v>
      </c>
      <c r="F18" s="382">
        <v>0</v>
      </c>
      <c r="G18" s="382">
        <v>0</v>
      </c>
      <c r="H18" s="382">
        <v>0</v>
      </c>
      <c r="I18" s="382">
        <v>0</v>
      </c>
      <c r="J18" s="382">
        <v>0</v>
      </c>
      <c r="K18" s="382">
        <v>0</v>
      </c>
    </row>
    <row r="19" spans="1:23" s="230" customFormat="1">
      <c r="A19" s="19" t="s">
        <v>23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5">
        <v>0</v>
      </c>
      <c r="H19" s="425">
        <v>0</v>
      </c>
      <c r="I19" s="425">
        <v>0</v>
      </c>
      <c r="J19" s="425">
        <v>0</v>
      </c>
      <c r="K19" s="425">
        <v>0</v>
      </c>
    </row>
    <row r="20" spans="1:23" s="230" customFormat="1">
      <c r="A20" s="21" t="s">
        <v>24</v>
      </c>
      <c r="B20" s="382">
        <v>0</v>
      </c>
      <c r="C20" s="382">
        <v>0</v>
      </c>
      <c r="D20" s="382">
        <v>0</v>
      </c>
      <c r="E20" s="382">
        <v>0</v>
      </c>
      <c r="F20" s="382">
        <v>0</v>
      </c>
      <c r="G20" s="382">
        <v>0</v>
      </c>
      <c r="H20" s="382">
        <v>0</v>
      </c>
      <c r="I20" s="382">
        <v>0</v>
      </c>
      <c r="J20" s="382">
        <v>0</v>
      </c>
      <c r="K20" s="382">
        <v>0</v>
      </c>
    </row>
    <row r="21" spans="1:23" s="230" customFormat="1">
      <c r="A21" s="19" t="s">
        <v>25</v>
      </c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>
        <v>0</v>
      </c>
      <c r="I21" s="425">
        <v>0</v>
      </c>
      <c r="J21" s="425">
        <v>0</v>
      </c>
      <c r="K21" s="425">
        <v>0</v>
      </c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</row>
    <row r="22" spans="1:23" s="230" customFormat="1">
      <c r="A22" s="21" t="s">
        <v>26</v>
      </c>
      <c r="B22" s="382">
        <v>0</v>
      </c>
      <c r="C22" s="382">
        <v>0</v>
      </c>
      <c r="D22" s="382">
        <v>0</v>
      </c>
      <c r="E22" s="382">
        <v>0</v>
      </c>
      <c r="F22" s="382">
        <v>0</v>
      </c>
      <c r="G22" s="382">
        <v>0</v>
      </c>
      <c r="H22" s="382">
        <v>0</v>
      </c>
      <c r="I22" s="382">
        <v>0</v>
      </c>
      <c r="J22" s="382">
        <v>0</v>
      </c>
      <c r="K22" s="382">
        <v>0</v>
      </c>
    </row>
    <row r="23" spans="1:23" s="230" customFormat="1">
      <c r="A23" s="19" t="s">
        <v>27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0</v>
      </c>
      <c r="H23" s="425">
        <v>0</v>
      </c>
      <c r="I23" s="425">
        <v>0</v>
      </c>
      <c r="J23" s="425">
        <v>0</v>
      </c>
      <c r="K23" s="425">
        <v>0</v>
      </c>
    </row>
    <row r="24" spans="1:23" s="230" customFormat="1">
      <c r="A24" s="21" t="s">
        <v>28</v>
      </c>
      <c r="B24" s="382">
        <v>0</v>
      </c>
      <c r="C24" s="382">
        <v>0</v>
      </c>
      <c r="D24" s="382">
        <v>0</v>
      </c>
      <c r="E24" s="382">
        <v>0</v>
      </c>
      <c r="F24" s="382">
        <v>0</v>
      </c>
      <c r="G24" s="382">
        <v>0</v>
      </c>
      <c r="H24" s="382">
        <v>0</v>
      </c>
      <c r="I24" s="382">
        <v>0</v>
      </c>
      <c r="J24" s="382">
        <v>0</v>
      </c>
      <c r="K24" s="382">
        <v>0</v>
      </c>
    </row>
    <row r="25" spans="1:23" s="230" customFormat="1">
      <c r="A25" s="19" t="s">
        <v>29</v>
      </c>
      <c r="B25" s="425">
        <v>0</v>
      </c>
      <c r="C25" s="425">
        <v>0</v>
      </c>
      <c r="D25" s="425">
        <v>0</v>
      </c>
      <c r="E25" s="425">
        <v>0</v>
      </c>
      <c r="F25" s="425">
        <v>0</v>
      </c>
      <c r="G25" s="425">
        <v>0</v>
      </c>
      <c r="H25" s="425">
        <v>0</v>
      </c>
      <c r="I25" s="425">
        <v>0</v>
      </c>
      <c r="J25" s="425">
        <v>0</v>
      </c>
      <c r="K25" s="425">
        <v>0</v>
      </c>
    </row>
    <row r="26" spans="1:23" s="230" customFormat="1">
      <c r="A26" s="21" t="s">
        <v>30</v>
      </c>
      <c r="B26" s="382">
        <v>0</v>
      </c>
      <c r="C26" s="382">
        <v>0</v>
      </c>
      <c r="D26" s="382">
        <v>0</v>
      </c>
      <c r="E26" s="382">
        <v>0</v>
      </c>
      <c r="F26" s="382">
        <v>0</v>
      </c>
      <c r="G26" s="382">
        <v>0</v>
      </c>
      <c r="H26" s="382">
        <v>0</v>
      </c>
      <c r="I26" s="382">
        <v>0</v>
      </c>
      <c r="J26" s="382">
        <v>0</v>
      </c>
      <c r="K26" s="382">
        <v>0</v>
      </c>
    </row>
    <row r="30" spans="1:23">
      <c r="L30" s="423"/>
      <c r="M30" s="423"/>
      <c r="N30" s="423"/>
      <c r="O30" s="423"/>
      <c r="P30" s="423"/>
    </row>
    <row r="31" spans="1:23">
      <c r="L31" s="423"/>
      <c r="M31" s="423"/>
      <c r="N31" s="423"/>
      <c r="O31" s="423"/>
      <c r="P31" s="423"/>
    </row>
    <row r="32" spans="1:23">
      <c r="L32" s="423"/>
      <c r="M32" s="423"/>
      <c r="N32" s="423"/>
      <c r="O32" s="423"/>
      <c r="P32" s="423"/>
    </row>
    <row r="33" spans="12:16">
      <c r="L33" s="423"/>
      <c r="M33" s="423"/>
      <c r="N33" s="423"/>
      <c r="O33" s="423"/>
      <c r="P33" s="423"/>
    </row>
    <row r="34" spans="12:16">
      <c r="L34" s="423"/>
      <c r="M34" s="423"/>
      <c r="N34" s="423"/>
      <c r="O34" s="423"/>
      <c r="P34" s="423"/>
    </row>
    <row r="35" spans="12:16">
      <c r="L35" s="423"/>
      <c r="M35" s="423"/>
      <c r="N35" s="423"/>
      <c r="O35" s="423"/>
      <c r="P35" s="423"/>
    </row>
    <row r="36" spans="12:16">
      <c r="L36" s="423"/>
      <c r="M36" s="423"/>
      <c r="N36" s="423"/>
      <c r="O36" s="423"/>
      <c r="P36" s="423"/>
    </row>
    <row r="37" spans="12:16">
      <c r="L37" s="423"/>
      <c r="M37" s="423"/>
      <c r="N37" s="423"/>
      <c r="O37" s="423"/>
      <c r="P37" s="423"/>
    </row>
    <row r="38" spans="12:16">
      <c r="L38" s="423"/>
      <c r="M38" s="423"/>
      <c r="N38" s="423"/>
      <c r="O38" s="423"/>
      <c r="P38" s="423"/>
    </row>
    <row r="39" spans="12:16">
      <c r="L39" s="423"/>
      <c r="M39" s="423"/>
      <c r="N39" s="423"/>
      <c r="O39" s="423"/>
      <c r="P39" s="423"/>
    </row>
    <row r="40" spans="12:16">
      <c r="L40" s="423"/>
      <c r="M40" s="423"/>
      <c r="N40" s="423"/>
      <c r="O40" s="423"/>
      <c r="P40" s="423"/>
    </row>
    <row r="41" spans="12:16">
      <c r="L41" s="423"/>
      <c r="M41" s="423"/>
      <c r="N41" s="423"/>
      <c r="O41" s="423"/>
      <c r="P41" s="423"/>
    </row>
    <row r="42" spans="12:16">
      <c r="L42" s="423"/>
      <c r="M42" s="423"/>
      <c r="N42" s="423"/>
      <c r="O42" s="423"/>
      <c r="P42" s="423"/>
    </row>
    <row r="43" spans="12:16">
      <c r="L43" s="423"/>
      <c r="M43" s="423"/>
      <c r="N43" s="423"/>
      <c r="O43" s="423"/>
      <c r="P43" s="423"/>
    </row>
    <row r="44" spans="12:16">
      <c r="L44" s="423"/>
      <c r="M44" s="423"/>
      <c r="N44" s="423"/>
      <c r="O44" s="423"/>
      <c r="P44" s="423"/>
    </row>
    <row r="45" spans="12:16">
      <c r="L45" s="423"/>
      <c r="M45" s="423"/>
      <c r="N45" s="423"/>
      <c r="O45" s="423"/>
      <c r="P45" s="423"/>
    </row>
    <row r="46" spans="12:16">
      <c r="L46" s="423"/>
      <c r="M46" s="423"/>
      <c r="N46" s="423"/>
      <c r="O46" s="423"/>
      <c r="P46" s="423"/>
    </row>
    <row r="47" spans="12:16">
      <c r="L47" s="423"/>
      <c r="M47" s="423"/>
      <c r="N47" s="423"/>
      <c r="O47" s="423"/>
      <c r="P47" s="423"/>
    </row>
    <row r="48" spans="12:16">
      <c r="L48" s="423"/>
      <c r="M48" s="423"/>
      <c r="N48" s="423"/>
      <c r="O48" s="423"/>
      <c r="P48" s="423"/>
    </row>
    <row r="49" spans="12:16">
      <c r="L49" s="423"/>
      <c r="M49" s="423"/>
      <c r="N49" s="423"/>
      <c r="O49" s="423"/>
      <c r="P49" s="423"/>
    </row>
    <row r="50" spans="12:16">
      <c r="L50" s="423"/>
      <c r="M50" s="423"/>
      <c r="N50" s="423"/>
      <c r="O50" s="423"/>
      <c r="P50" s="423"/>
    </row>
  </sheetData>
  <mergeCells count="2">
    <mergeCell ref="A1:L1"/>
    <mergeCell ref="A4:K4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rgb="FF717D7E"/>
  </sheetPr>
  <dimension ref="A1:JQ63"/>
  <sheetViews>
    <sheetView showGridLines="0" topLeftCell="A22" workbookViewId="0">
      <selection activeCell="C29" sqref="C29"/>
    </sheetView>
  </sheetViews>
  <sheetFormatPr baseColWidth="10" defaultRowHeight="16"/>
  <sheetData>
    <row r="1" spans="1:277">
      <c r="D1" s="119"/>
    </row>
    <row r="2" spans="1:277" ht="63" customHeight="1">
      <c r="A2" s="543" t="s">
        <v>288</v>
      </c>
      <c r="B2" s="543"/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543"/>
    </row>
    <row r="3" spans="1:277" ht="36" customHeight="1">
      <c r="A3" s="63"/>
      <c r="B3" s="63"/>
      <c r="C3" s="64" t="s">
        <v>289</v>
      </c>
      <c r="D3" s="64" t="s">
        <v>290</v>
      </c>
      <c r="E3" s="64" t="s">
        <v>291</v>
      </c>
      <c r="F3" s="64" t="s">
        <v>292</v>
      </c>
      <c r="G3" s="64" t="s">
        <v>293</v>
      </c>
      <c r="H3" s="64" t="s">
        <v>294</v>
      </c>
      <c r="I3" s="64" t="s">
        <v>295</v>
      </c>
      <c r="J3" s="64" t="s">
        <v>296</v>
      </c>
      <c r="K3" s="64" t="s">
        <v>297</v>
      </c>
      <c r="L3" s="64" t="s">
        <v>298</v>
      </c>
      <c r="M3" s="64" t="s">
        <v>299</v>
      </c>
      <c r="N3" s="64" t="s">
        <v>300</v>
      </c>
      <c r="O3" s="64" t="s">
        <v>301</v>
      </c>
      <c r="P3" s="64" t="s">
        <v>302</v>
      </c>
      <c r="Q3" s="64" t="s">
        <v>303</v>
      </c>
      <c r="R3" s="64" t="s">
        <v>304</v>
      </c>
      <c r="S3" s="64" t="s">
        <v>305</v>
      </c>
      <c r="T3" s="64" t="s">
        <v>306</v>
      </c>
      <c r="U3" s="64" t="s">
        <v>307</v>
      </c>
      <c r="V3" s="64" t="s">
        <v>308</v>
      </c>
      <c r="W3" s="64" t="s">
        <v>309</v>
      </c>
      <c r="X3" s="64" t="s">
        <v>310</v>
      </c>
      <c r="Y3" s="64" t="s">
        <v>311</v>
      </c>
      <c r="Z3" s="64" t="s">
        <v>312</v>
      </c>
      <c r="AA3" s="64" t="s">
        <v>313</v>
      </c>
      <c r="AB3" s="64" t="s">
        <v>314</v>
      </c>
      <c r="AC3" s="64" t="s">
        <v>315</v>
      </c>
      <c r="AD3" s="64" t="s">
        <v>316</v>
      </c>
      <c r="AE3" s="64" t="s">
        <v>317</v>
      </c>
      <c r="AF3" s="64" t="s">
        <v>318</v>
      </c>
      <c r="AG3" s="64" t="s">
        <v>319</v>
      </c>
      <c r="AH3" s="64" t="s">
        <v>320</v>
      </c>
      <c r="AI3" s="64" t="s">
        <v>321</v>
      </c>
      <c r="AJ3" s="64" t="s">
        <v>322</v>
      </c>
      <c r="AK3" s="64" t="s">
        <v>323</v>
      </c>
      <c r="AL3" s="64" t="s">
        <v>324</v>
      </c>
      <c r="AM3" s="64" t="s">
        <v>325</v>
      </c>
      <c r="AN3" s="64" t="s">
        <v>326</v>
      </c>
      <c r="AO3" s="64" t="s">
        <v>327</v>
      </c>
      <c r="AP3" s="64" t="s">
        <v>328</v>
      </c>
      <c r="AQ3" s="64" t="s">
        <v>329</v>
      </c>
      <c r="AR3" s="64" t="s">
        <v>330</v>
      </c>
      <c r="AS3" s="64" t="s">
        <v>331</v>
      </c>
      <c r="AT3" s="64" t="s">
        <v>332</v>
      </c>
      <c r="AU3" s="64" t="s">
        <v>333</v>
      </c>
      <c r="AV3" s="64" t="s">
        <v>334</v>
      </c>
      <c r="AW3" s="64" t="s">
        <v>335</v>
      </c>
      <c r="AX3" s="64" t="s">
        <v>336</v>
      </c>
      <c r="AY3" s="64" t="s">
        <v>337</v>
      </c>
      <c r="AZ3" s="64" t="s">
        <v>338</v>
      </c>
      <c r="BA3" s="64" t="s">
        <v>339</v>
      </c>
      <c r="BB3" s="64" t="s">
        <v>340</v>
      </c>
      <c r="BC3" s="64" t="s">
        <v>341</v>
      </c>
      <c r="BD3" s="64" t="s">
        <v>342</v>
      </c>
      <c r="BE3" s="64" t="s">
        <v>343</v>
      </c>
      <c r="BF3" s="64" t="s">
        <v>344</v>
      </c>
      <c r="BG3" s="64" t="s">
        <v>345</v>
      </c>
      <c r="BH3" s="64" t="s">
        <v>346</v>
      </c>
      <c r="BI3" s="64" t="s">
        <v>347</v>
      </c>
      <c r="BJ3" s="64" t="s">
        <v>348</v>
      </c>
      <c r="BK3" s="64" t="s">
        <v>349</v>
      </c>
      <c r="BL3" s="64" t="s">
        <v>350</v>
      </c>
      <c r="BM3" s="64" t="s">
        <v>351</v>
      </c>
      <c r="BN3" s="64" t="s">
        <v>352</v>
      </c>
      <c r="BO3" s="64" t="s">
        <v>353</v>
      </c>
      <c r="BP3" s="64" t="s">
        <v>354</v>
      </c>
      <c r="BQ3" s="64" t="s">
        <v>355</v>
      </c>
      <c r="BR3" s="64" t="s">
        <v>356</v>
      </c>
      <c r="BS3" s="64" t="s">
        <v>357</v>
      </c>
      <c r="BT3" s="64" t="s">
        <v>358</v>
      </c>
      <c r="BU3" s="64" t="s">
        <v>359</v>
      </c>
      <c r="BV3" s="64" t="s">
        <v>360</v>
      </c>
      <c r="BW3" s="64" t="s">
        <v>361</v>
      </c>
      <c r="BX3" s="64" t="s">
        <v>362</v>
      </c>
      <c r="BY3" s="64" t="s">
        <v>363</v>
      </c>
      <c r="BZ3" s="64" t="s">
        <v>364</v>
      </c>
      <c r="CA3" s="64" t="s">
        <v>365</v>
      </c>
      <c r="CB3" s="64" t="s">
        <v>366</v>
      </c>
      <c r="CC3" s="64" t="s">
        <v>367</v>
      </c>
      <c r="CD3" s="64" t="s">
        <v>368</v>
      </c>
      <c r="CE3" s="64" t="s">
        <v>369</v>
      </c>
      <c r="CF3" s="64" t="s">
        <v>370</v>
      </c>
      <c r="CG3" s="64" t="s">
        <v>371</v>
      </c>
      <c r="CH3" s="64" t="s">
        <v>372</v>
      </c>
      <c r="CI3" s="64" t="s">
        <v>373</v>
      </c>
      <c r="CJ3" s="64" t="s">
        <v>374</v>
      </c>
      <c r="CK3" s="64" t="s">
        <v>375</v>
      </c>
      <c r="CL3" s="64" t="s">
        <v>376</v>
      </c>
      <c r="CM3" s="64" t="s">
        <v>377</v>
      </c>
      <c r="CN3" s="64" t="s">
        <v>378</v>
      </c>
      <c r="CO3" s="64" t="s">
        <v>379</v>
      </c>
      <c r="CP3" s="64" t="s">
        <v>380</v>
      </c>
      <c r="CQ3" s="64" t="s">
        <v>381</v>
      </c>
      <c r="CR3" s="64" t="s">
        <v>382</v>
      </c>
      <c r="CS3" s="64" t="s">
        <v>383</v>
      </c>
      <c r="CT3" s="64" t="s">
        <v>384</v>
      </c>
      <c r="CU3" s="64" t="s">
        <v>385</v>
      </c>
      <c r="CV3" s="64" t="s">
        <v>386</v>
      </c>
      <c r="CW3" s="64" t="s">
        <v>387</v>
      </c>
      <c r="CX3" s="64" t="s">
        <v>388</v>
      </c>
      <c r="CY3" s="64" t="s">
        <v>389</v>
      </c>
      <c r="CZ3" s="64" t="s">
        <v>390</v>
      </c>
      <c r="DA3" s="64" t="s">
        <v>391</v>
      </c>
      <c r="DB3" s="64" t="s">
        <v>392</v>
      </c>
      <c r="DC3" s="64" t="s">
        <v>393</v>
      </c>
      <c r="DD3" s="64" t="s">
        <v>394</v>
      </c>
      <c r="DE3" s="64" t="s">
        <v>395</v>
      </c>
      <c r="DF3" s="64" t="s">
        <v>396</v>
      </c>
      <c r="DG3" s="64" t="s">
        <v>397</v>
      </c>
      <c r="DH3" s="64" t="s">
        <v>398</v>
      </c>
      <c r="DI3" s="64" t="s">
        <v>399</v>
      </c>
      <c r="DJ3" s="64" t="s">
        <v>400</v>
      </c>
      <c r="DK3" s="64" t="s">
        <v>401</v>
      </c>
      <c r="DL3" s="64" t="s">
        <v>402</v>
      </c>
      <c r="DM3" s="64" t="s">
        <v>403</v>
      </c>
      <c r="DN3" s="64" t="s">
        <v>404</v>
      </c>
      <c r="DO3" s="64" t="s">
        <v>405</v>
      </c>
      <c r="DP3" s="64" t="s">
        <v>406</v>
      </c>
      <c r="DQ3" s="64" t="s">
        <v>407</v>
      </c>
      <c r="DR3" s="64" t="s">
        <v>408</v>
      </c>
      <c r="DS3" s="64" t="s">
        <v>409</v>
      </c>
      <c r="DT3" s="64" t="s">
        <v>410</v>
      </c>
      <c r="DU3" s="64" t="s">
        <v>411</v>
      </c>
      <c r="DV3" s="64" t="s">
        <v>412</v>
      </c>
      <c r="DW3" s="64" t="s">
        <v>413</v>
      </c>
      <c r="DX3" s="64" t="s">
        <v>414</v>
      </c>
      <c r="DY3" s="64" t="s">
        <v>415</v>
      </c>
      <c r="DZ3" s="64" t="s">
        <v>416</v>
      </c>
      <c r="EA3" s="64" t="s">
        <v>417</v>
      </c>
      <c r="EB3" s="64" t="s">
        <v>418</v>
      </c>
      <c r="EC3" s="64" t="s">
        <v>419</v>
      </c>
      <c r="ED3" s="64" t="s">
        <v>420</v>
      </c>
      <c r="EE3" s="64" t="s">
        <v>421</v>
      </c>
      <c r="EF3" s="64" t="s">
        <v>422</v>
      </c>
      <c r="EG3" s="64" t="s">
        <v>423</v>
      </c>
      <c r="EH3" s="64" t="s">
        <v>424</v>
      </c>
      <c r="EI3" s="64" t="s">
        <v>425</v>
      </c>
      <c r="EJ3" s="64" t="s">
        <v>426</v>
      </c>
      <c r="EK3" s="64" t="s">
        <v>427</v>
      </c>
      <c r="EL3" s="64" t="s">
        <v>428</v>
      </c>
      <c r="EM3" s="64" t="s">
        <v>429</v>
      </c>
      <c r="EN3" s="64" t="s">
        <v>430</v>
      </c>
      <c r="EO3" s="64" t="s">
        <v>431</v>
      </c>
      <c r="EP3" s="64" t="s">
        <v>432</v>
      </c>
      <c r="EQ3" s="64" t="s">
        <v>433</v>
      </c>
      <c r="ER3" s="64" t="s">
        <v>434</v>
      </c>
      <c r="ES3" s="64" t="s">
        <v>435</v>
      </c>
      <c r="ET3" s="64" t="s">
        <v>436</v>
      </c>
      <c r="EU3" s="64" t="s">
        <v>437</v>
      </c>
      <c r="EV3" s="64" t="s">
        <v>438</v>
      </c>
      <c r="EW3" s="64" t="s">
        <v>439</v>
      </c>
      <c r="EX3" s="64" t="s">
        <v>440</v>
      </c>
      <c r="EY3" s="64" t="s">
        <v>441</v>
      </c>
      <c r="EZ3" s="64" t="s">
        <v>442</v>
      </c>
      <c r="FA3" s="64" t="s">
        <v>443</v>
      </c>
      <c r="FB3" s="64" t="s">
        <v>444</v>
      </c>
      <c r="FC3" s="64" t="s">
        <v>445</v>
      </c>
      <c r="FD3" s="64" t="s">
        <v>446</v>
      </c>
      <c r="FE3" s="64" t="s">
        <v>447</v>
      </c>
      <c r="FF3" s="64" t="s">
        <v>448</v>
      </c>
      <c r="FG3" s="64" t="s">
        <v>449</v>
      </c>
      <c r="FH3" s="64" t="s">
        <v>450</v>
      </c>
      <c r="FI3" s="64" t="s">
        <v>451</v>
      </c>
      <c r="FJ3" s="64" t="s">
        <v>452</v>
      </c>
      <c r="FK3" s="64" t="s">
        <v>453</v>
      </c>
      <c r="FL3" s="64" t="s">
        <v>454</v>
      </c>
      <c r="FM3" s="64" t="s">
        <v>455</v>
      </c>
      <c r="FN3" s="64" t="s">
        <v>456</v>
      </c>
      <c r="FO3" s="64" t="s">
        <v>457</v>
      </c>
      <c r="FP3" s="64" t="s">
        <v>458</v>
      </c>
      <c r="FQ3" s="64" t="s">
        <v>459</v>
      </c>
      <c r="FR3" s="64" t="s">
        <v>460</v>
      </c>
      <c r="FS3" s="64" t="s">
        <v>461</v>
      </c>
      <c r="FT3" s="64" t="s">
        <v>462</v>
      </c>
      <c r="FU3" s="64" t="s">
        <v>463</v>
      </c>
      <c r="FV3" s="64" t="s">
        <v>464</v>
      </c>
      <c r="FW3" s="64" t="s">
        <v>465</v>
      </c>
      <c r="FX3" s="64" t="s">
        <v>466</v>
      </c>
      <c r="FY3" s="64" t="s">
        <v>467</v>
      </c>
      <c r="FZ3" s="64" t="s">
        <v>468</v>
      </c>
      <c r="GA3" s="64" t="s">
        <v>469</v>
      </c>
      <c r="GB3" s="64" t="s">
        <v>470</v>
      </c>
      <c r="GC3" s="64" t="s">
        <v>471</v>
      </c>
      <c r="GD3" s="64" t="s">
        <v>472</v>
      </c>
      <c r="GE3" s="64" t="s">
        <v>473</v>
      </c>
      <c r="GF3" s="64" t="s">
        <v>474</v>
      </c>
      <c r="GG3" s="64" t="s">
        <v>475</v>
      </c>
      <c r="GH3" s="64" t="s">
        <v>476</v>
      </c>
      <c r="GI3" s="64" t="s">
        <v>477</v>
      </c>
      <c r="GJ3" s="64" t="s">
        <v>478</v>
      </c>
      <c r="GK3" s="64" t="s">
        <v>479</v>
      </c>
      <c r="GL3" s="64" t="s">
        <v>480</v>
      </c>
      <c r="GM3" s="64" t="s">
        <v>481</v>
      </c>
      <c r="GN3" s="64" t="s">
        <v>482</v>
      </c>
      <c r="GO3" s="64" t="s">
        <v>483</v>
      </c>
      <c r="GP3" s="64" t="s">
        <v>484</v>
      </c>
      <c r="GQ3" s="64" t="s">
        <v>485</v>
      </c>
      <c r="GR3" s="64" t="s">
        <v>486</v>
      </c>
      <c r="GS3" s="64" t="s">
        <v>487</v>
      </c>
      <c r="GT3" s="64" t="s">
        <v>488</v>
      </c>
      <c r="GU3" s="64" t="s">
        <v>489</v>
      </c>
      <c r="GV3" s="64" t="s">
        <v>490</v>
      </c>
      <c r="GW3" s="64" t="s">
        <v>491</v>
      </c>
      <c r="GX3" s="64" t="s">
        <v>492</v>
      </c>
      <c r="GY3" s="64" t="s">
        <v>493</v>
      </c>
      <c r="GZ3" s="64" t="s">
        <v>494</v>
      </c>
      <c r="HA3" s="64" t="s">
        <v>495</v>
      </c>
      <c r="HB3" s="64" t="s">
        <v>496</v>
      </c>
      <c r="HC3" s="64" t="s">
        <v>497</v>
      </c>
      <c r="HD3" s="64" t="s">
        <v>498</v>
      </c>
      <c r="HE3" s="64" t="s">
        <v>499</v>
      </c>
      <c r="HF3" s="64" t="s">
        <v>500</v>
      </c>
      <c r="HG3" s="64" t="s">
        <v>501</v>
      </c>
      <c r="HH3" s="64" t="s">
        <v>502</v>
      </c>
      <c r="HI3" s="64" t="s">
        <v>503</v>
      </c>
      <c r="HJ3" s="64" t="s">
        <v>504</v>
      </c>
      <c r="HK3" s="64" t="s">
        <v>505</v>
      </c>
      <c r="HL3" s="64" t="s">
        <v>506</v>
      </c>
      <c r="HM3" s="64" t="s">
        <v>507</v>
      </c>
      <c r="HN3" s="64" t="s">
        <v>508</v>
      </c>
      <c r="HO3" s="64" t="s">
        <v>509</v>
      </c>
      <c r="HP3" s="64" t="s">
        <v>510</v>
      </c>
      <c r="HQ3" s="64" t="s">
        <v>511</v>
      </c>
      <c r="HR3" s="64" t="s">
        <v>512</v>
      </c>
      <c r="HS3" s="64" t="s">
        <v>513</v>
      </c>
      <c r="HT3" s="64" t="s">
        <v>514</v>
      </c>
      <c r="HU3" s="64" t="s">
        <v>515</v>
      </c>
      <c r="HV3" s="64" t="s">
        <v>516</v>
      </c>
      <c r="HW3" s="64" t="s">
        <v>517</v>
      </c>
      <c r="HX3" s="64" t="s">
        <v>518</v>
      </c>
      <c r="HY3" s="64" t="s">
        <v>519</v>
      </c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</row>
    <row r="4" spans="1:277">
      <c r="A4" s="65" t="s">
        <v>96</v>
      </c>
      <c r="B4" s="66" t="s">
        <v>10</v>
      </c>
      <c r="C4" s="67">
        <v>2.9801999999999999E-2</v>
      </c>
      <c r="D4" s="67">
        <v>0</v>
      </c>
      <c r="E4" s="67">
        <v>0.192191</v>
      </c>
      <c r="F4" s="67">
        <v>5.1089999999999998E-3</v>
      </c>
      <c r="G4" s="67">
        <v>9.8405000000000006E-2</v>
      </c>
      <c r="H4" s="67">
        <v>1.5216E-2</v>
      </c>
      <c r="I4" s="67">
        <v>0</v>
      </c>
      <c r="J4" s="67">
        <v>0</v>
      </c>
      <c r="K4" s="67">
        <v>0</v>
      </c>
      <c r="L4" s="67">
        <v>2.8760000000000001E-3</v>
      </c>
      <c r="M4" s="67">
        <v>3.1210000000000001E-3</v>
      </c>
      <c r="N4" s="67">
        <v>0</v>
      </c>
      <c r="O4" s="67">
        <v>1.82E-3</v>
      </c>
      <c r="P4" s="67">
        <v>3.6089999999999998E-3</v>
      </c>
      <c r="Q4" s="67">
        <v>6.8110000000000002E-3</v>
      </c>
      <c r="R4" s="67">
        <v>7.3080000000000003E-3</v>
      </c>
      <c r="S4" s="67">
        <v>0</v>
      </c>
      <c r="T4" s="67">
        <v>0</v>
      </c>
      <c r="U4" s="67">
        <v>2.1610000000000002E-3</v>
      </c>
      <c r="V4" s="67">
        <v>1.5709999999999999E-3</v>
      </c>
      <c r="W4" s="67">
        <v>2.9390000000000002E-3</v>
      </c>
      <c r="X4" s="67">
        <v>9.1000000000000003E-5</v>
      </c>
      <c r="Y4" s="67">
        <v>0</v>
      </c>
      <c r="Z4" s="67">
        <v>4.7100000000000001E-4</v>
      </c>
      <c r="AA4" s="67">
        <v>6.3E-5</v>
      </c>
      <c r="AB4" s="67">
        <v>9.9999999999999995E-7</v>
      </c>
      <c r="AC4" s="67">
        <v>1.2400000000000001E-4</v>
      </c>
      <c r="AD4" s="67">
        <v>9.9999999999999995E-7</v>
      </c>
      <c r="AE4" s="67">
        <v>0</v>
      </c>
      <c r="AF4" s="67">
        <v>0</v>
      </c>
      <c r="AG4" s="67">
        <v>9.9999999999999995E-7</v>
      </c>
      <c r="AH4" s="67">
        <v>9.9999999999999995E-7</v>
      </c>
      <c r="AI4" s="67">
        <v>0</v>
      </c>
      <c r="AJ4" s="67">
        <v>0</v>
      </c>
      <c r="AK4" s="67">
        <v>1.9999999999999999E-6</v>
      </c>
      <c r="AL4" s="67">
        <v>0</v>
      </c>
      <c r="AM4" s="67">
        <v>4.6E-5</v>
      </c>
      <c r="AN4" s="67">
        <v>0</v>
      </c>
      <c r="AO4" s="67">
        <v>0</v>
      </c>
      <c r="AP4" s="67">
        <v>0</v>
      </c>
      <c r="AQ4" s="67">
        <v>0</v>
      </c>
      <c r="AR4" s="67">
        <v>1.9999999999999999E-6</v>
      </c>
      <c r="AS4" s="67">
        <v>3.6000000000000001E-5</v>
      </c>
      <c r="AT4" s="67">
        <v>0</v>
      </c>
      <c r="AU4" s="67">
        <v>8.2000000000000001E-5</v>
      </c>
      <c r="AV4" s="67">
        <v>1.8E-5</v>
      </c>
      <c r="AW4" s="67">
        <v>0</v>
      </c>
      <c r="AX4" s="67">
        <v>1.1E-5</v>
      </c>
      <c r="AY4" s="67">
        <v>0</v>
      </c>
      <c r="AZ4" s="67">
        <v>0</v>
      </c>
      <c r="BA4" s="67">
        <v>0</v>
      </c>
      <c r="BB4" s="67">
        <v>0</v>
      </c>
      <c r="BC4" s="67">
        <v>0</v>
      </c>
      <c r="BD4" s="67">
        <v>0</v>
      </c>
      <c r="BE4" s="67">
        <v>0</v>
      </c>
      <c r="BF4" s="67">
        <v>0</v>
      </c>
      <c r="BG4" s="67">
        <v>0</v>
      </c>
      <c r="BH4" s="67">
        <v>3.9999999999999998E-6</v>
      </c>
      <c r="BI4" s="67">
        <v>0</v>
      </c>
      <c r="BJ4" s="67">
        <v>0</v>
      </c>
      <c r="BK4" s="67">
        <v>0</v>
      </c>
      <c r="BL4" s="67">
        <v>0</v>
      </c>
      <c r="BM4" s="67">
        <v>0</v>
      </c>
      <c r="BN4" s="67">
        <v>0</v>
      </c>
      <c r="BO4" s="67">
        <v>0</v>
      </c>
      <c r="BP4" s="67">
        <v>9.9999999999999995E-7</v>
      </c>
      <c r="BQ4" s="67">
        <v>0</v>
      </c>
      <c r="BR4" s="67">
        <v>0</v>
      </c>
      <c r="BS4" s="67">
        <v>0</v>
      </c>
      <c r="BT4" s="67">
        <v>0</v>
      </c>
      <c r="BU4" s="67">
        <v>0</v>
      </c>
      <c r="BV4" s="67">
        <v>0</v>
      </c>
      <c r="BW4" s="67">
        <v>0</v>
      </c>
      <c r="BX4" s="67">
        <v>0</v>
      </c>
      <c r="BY4" s="67">
        <v>0</v>
      </c>
      <c r="BZ4" s="67">
        <v>0</v>
      </c>
      <c r="CA4" s="67">
        <v>0</v>
      </c>
      <c r="CB4" s="67">
        <v>0</v>
      </c>
      <c r="CC4" s="67">
        <v>0</v>
      </c>
      <c r="CD4" s="67">
        <v>0</v>
      </c>
      <c r="CE4" s="67">
        <v>0</v>
      </c>
      <c r="CF4" s="67">
        <v>0</v>
      </c>
      <c r="CG4" s="67">
        <v>0</v>
      </c>
      <c r="CH4" s="67">
        <v>0</v>
      </c>
      <c r="CI4" s="67">
        <v>1.9999999999999999E-6</v>
      </c>
      <c r="CJ4" s="67">
        <v>0</v>
      </c>
      <c r="CK4" s="67">
        <v>1.1E-5</v>
      </c>
      <c r="CL4" s="67">
        <v>0</v>
      </c>
      <c r="CM4" s="67">
        <v>0</v>
      </c>
      <c r="CN4" s="67">
        <v>0</v>
      </c>
      <c r="CO4" s="67">
        <v>0</v>
      </c>
      <c r="CP4" s="67">
        <v>0</v>
      </c>
      <c r="CQ4" s="67">
        <v>0</v>
      </c>
      <c r="CR4" s="67">
        <v>0</v>
      </c>
      <c r="CS4" s="67">
        <v>0</v>
      </c>
      <c r="CT4" s="67">
        <v>0</v>
      </c>
      <c r="CU4" s="67">
        <v>0</v>
      </c>
      <c r="CV4" s="67">
        <v>0</v>
      </c>
      <c r="CW4" s="67">
        <v>0</v>
      </c>
      <c r="CX4" s="67">
        <v>0</v>
      </c>
      <c r="CY4" s="67">
        <v>0</v>
      </c>
      <c r="CZ4" s="67">
        <v>0</v>
      </c>
      <c r="DA4" s="67">
        <v>0</v>
      </c>
      <c r="DB4" s="67">
        <v>0</v>
      </c>
      <c r="DC4" s="67">
        <v>0</v>
      </c>
      <c r="DD4" s="67">
        <v>4.3629999999999997E-3</v>
      </c>
      <c r="DE4" s="67">
        <v>0</v>
      </c>
      <c r="DF4" s="67">
        <v>9.8410000000000008E-3</v>
      </c>
      <c r="DG4" s="67">
        <v>3.7559999999999998E-3</v>
      </c>
      <c r="DH4" s="67">
        <v>3.9999999999999998E-6</v>
      </c>
      <c r="DI4" s="67">
        <v>1.56E-4</v>
      </c>
      <c r="DJ4" s="67">
        <v>9.9999999999999995E-7</v>
      </c>
      <c r="DK4" s="67">
        <v>9.9999999999999995E-7</v>
      </c>
      <c r="DL4" s="67">
        <v>9.0000000000000002E-6</v>
      </c>
      <c r="DM4" s="67">
        <v>1.1E-5</v>
      </c>
      <c r="DN4" s="67">
        <v>3.0000000000000001E-6</v>
      </c>
      <c r="DO4" s="67">
        <v>9.9999999999999995E-7</v>
      </c>
      <c r="DP4" s="67">
        <v>3.9999999999999998E-6</v>
      </c>
      <c r="DQ4" s="67">
        <v>1.4E-5</v>
      </c>
      <c r="DR4" s="67">
        <v>9.9999999999999995E-7</v>
      </c>
      <c r="DS4" s="67">
        <v>1.5410000000000001E-3</v>
      </c>
      <c r="DT4" s="67">
        <v>2.3E-5</v>
      </c>
      <c r="DU4" s="67">
        <v>0</v>
      </c>
      <c r="DV4" s="67">
        <v>0</v>
      </c>
      <c r="DW4" s="67">
        <v>0</v>
      </c>
      <c r="DX4" s="67">
        <v>4.3999999999999999E-5</v>
      </c>
      <c r="DY4" s="67">
        <v>3.9999999999999998E-6</v>
      </c>
      <c r="DZ4" s="67">
        <v>0</v>
      </c>
      <c r="EA4" s="67">
        <v>4.3000000000000002E-5</v>
      </c>
      <c r="EB4" s="67">
        <v>1.4E-5</v>
      </c>
      <c r="EC4" s="67">
        <v>0</v>
      </c>
      <c r="ED4" s="67">
        <v>1.2E-5</v>
      </c>
      <c r="EE4" s="67">
        <v>0</v>
      </c>
      <c r="EF4" s="67">
        <v>0</v>
      </c>
      <c r="EG4" s="67">
        <v>0</v>
      </c>
      <c r="EH4" s="67">
        <v>0</v>
      </c>
      <c r="EI4" s="67">
        <v>0</v>
      </c>
      <c r="EJ4" s="67">
        <v>0</v>
      </c>
      <c r="EK4" s="67">
        <v>0</v>
      </c>
      <c r="EL4" s="67">
        <v>0</v>
      </c>
      <c r="EM4" s="67">
        <v>0</v>
      </c>
      <c r="EN4" s="67">
        <v>1.9999999999999999E-6</v>
      </c>
      <c r="EO4" s="67">
        <v>0</v>
      </c>
      <c r="EP4" s="67">
        <v>0</v>
      </c>
      <c r="EQ4" s="67">
        <v>0</v>
      </c>
      <c r="ER4" s="67">
        <v>0</v>
      </c>
      <c r="ES4" s="67">
        <v>0</v>
      </c>
      <c r="ET4" s="67">
        <v>6.6000000000000005E-5</v>
      </c>
      <c r="EU4" s="67">
        <v>0</v>
      </c>
      <c r="EV4" s="67">
        <v>2.2599999999999999E-4</v>
      </c>
      <c r="EW4" s="67">
        <v>1.5E-5</v>
      </c>
      <c r="EX4" s="67">
        <v>9.9999999999999995E-7</v>
      </c>
      <c r="EY4" s="67">
        <v>9.0000000000000002E-6</v>
      </c>
      <c r="EZ4" s="67">
        <v>0</v>
      </c>
      <c r="FA4" s="67">
        <v>0</v>
      </c>
      <c r="FB4" s="67">
        <v>0</v>
      </c>
      <c r="FC4" s="67">
        <v>0</v>
      </c>
      <c r="FD4" s="67">
        <v>1.0000000000000001E-5</v>
      </c>
      <c r="FE4" s="67">
        <v>0</v>
      </c>
      <c r="FF4" s="67">
        <v>0</v>
      </c>
      <c r="FG4" s="67">
        <v>9.9999999999999995E-7</v>
      </c>
      <c r="FH4" s="67">
        <v>0</v>
      </c>
      <c r="FI4" s="67">
        <v>1.2E-5</v>
      </c>
      <c r="FJ4" s="67">
        <v>0</v>
      </c>
      <c r="FK4" s="67">
        <v>0</v>
      </c>
      <c r="FL4" s="67">
        <v>0</v>
      </c>
      <c r="FM4" s="67">
        <v>0</v>
      </c>
      <c r="FN4" s="67">
        <v>5.0000000000000004E-6</v>
      </c>
      <c r="FO4" s="67">
        <v>7.0600000000000003E-4</v>
      </c>
      <c r="FP4" s="67">
        <v>0</v>
      </c>
      <c r="FQ4" s="67">
        <v>1.3519999999999999E-3</v>
      </c>
      <c r="FR4" s="67">
        <v>8.7220000000000006E-3</v>
      </c>
      <c r="FS4" s="67">
        <v>1.12E-4</v>
      </c>
      <c r="FT4" s="67">
        <v>1.8680000000000001E-3</v>
      </c>
      <c r="FU4" s="67">
        <v>0</v>
      </c>
      <c r="FV4" s="67">
        <v>0</v>
      </c>
      <c r="FW4" s="67">
        <v>9.9999999999999995E-7</v>
      </c>
      <c r="FX4" s="67">
        <v>3.0000000000000001E-6</v>
      </c>
      <c r="FY4" s="67">
        <v>5.0000000000000004E-6</v>
      </c>
      <c r="FZ4" s="67">
        <v>0</v>
      </c>
      <c r="GA4" s="67">
        <v>0</v>
      </c>
      <c r="GB4" s="67">
        <v>7.9999999999999996E-6</v>
      </c>
      <c r="GC4" s="67">
        <v>6.9999999999999999E-6</v>
      </c>
      <c r="GD4" s="67">
        <v>1.9999999999999999E-6</v>
      </c>
      <c r="GE4" s="67">
        <v>7.6000000000000004E-5</v>
      </c>
      <c r="GF4" s="67">
        <v>9.9999999999999995E-7</v>
      </c>
      <c r="GG4" s="67">
        <v>1.9999999999999999E-6</v>
      </c>
      <c r="GH4" s="67">
        <v>1.9999999999999999E-6</v>
      </c>
      <c r="GI4" s="67">
        <v>1.2999999999999999E-5</v>
      </c>
      <c r="GJ4" s="67">
        <v>9.9999999999999995E-7</v>
      </c>
      <c r="GK4" s="67">
        <v>0</v>
      </c>
      <c r="GL4" s="67">
        <v>9.9999999999999995E-7</v>
      </c>
      <c r="GM4" s="67">
        <v>0</v>
      </c>
      <c r="GN4" s="67">
        <v>0</v>
      </c>
      <c r="GO4" s="67">
        <v>0</v>
      </c>
      <c r="GP4" s="67">
        <v>0</v>
      </c>
      <c r="GQ4" s="67">
        <v>0</v>
      </c>
      <c r="GR4" s="67">
        <v>0</v>
      </c>
      <c r="GS4" s="67">
        <v>0</v>
      </c>
      <c r="GT4" s="67">
        <v>0</v>
      </c>
      <c r="GU4" s="67">
        <v>0</v>
      </c>
      <c r="GV4" s="67">
        <v>0</v>
      </c>
      <c r="GW4" s="67">
        <v>0</v>
      </c>
      <c r="GX4" s="67">
        <v>0</v>
      </c>
      <c r="GY4" s="67">
        <v>0</v>
      </c>
      <c r="GZ4" s="67">
        <v>0</v>
      </c>
      <c r="HA4" s="67">
        <v>0</v>
      </c>
      <c r="HB4" s="67">
        <v>0</v>
      </c>
      <c r="HC4" s="67">
        <v>0</v>
      </c>
      <c r="HD4" s="67">
        <v>0</v>
      </c>
      <c r="HE4" s="67">
        <v>1.05E-4</v>
      </c>
      <c r="HF4" s="67">
        <v>0</v>
      </c>
      <c r="HG4" s="67">
        <v>5.2899999999999996E-4</v>
      </c>
      <c r="HH4" s="67">
        <v>1.7100000000000001E-4</v>
      </c>
      <c r="HI4" s="67">
        <v>9.9999999999999995E-7</v>
      </c>
      <c r="HJ4" s="67">
        <v>1.18E-4</v>
      </c>
      <c r="HK4" s="67">
        <v>0</v>
      </c>
      <c r="HL4" s="67">
        <v>0</v>
      </c>
      <c r="HM4" s="67">
        <v>0</v>
      </c>
      <c r="HN4" s="67">
        <v>0</v>
      </c>
      <c r="HO4" s="67">
        <v>9.9999999999999995E-7</v>
      </c>
      <c r="HP4" s="67">
        <v>0</v>
      </c>
      <c r="HQ4" s="67">
        <v>9.9999999999999995E-7</v>
      </c>
      <c r="HR4" s="67">
        <v>1.9999999999999999E-6</v>
      </c>
      <c r="HS4" s="67">
        <v>9.9999999999999995E-7</v>
      </c>
      <c r="HT4" s="67">
        <v>5.3000000000000001E-5</v>
      </c>
      <c r="HU4" s="67">
        <v>0</v>
      </c>
      <c r="HV4" s="67">
        <v>0</v>
      </c>
      <c r="HW4" s="67">
        <v>0</v>
      </c>
      <c r="HX4" s="67">
        <v>0</v>
      </c>
      <c r="HY4" s="67">
        <v>6.0000000000000002E-6</v>
      </c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</row>
    <row r="5" spans="1:277">
      <c r="A5" s="68" t="s">
        <v>97</v>
      </c>
      <c r="B5" s="69" t="s">
        <v>11</v>
      </c>
      <c r="C5" s="70">
        <v>0</v>
      </c>
      <c r="D5" s="70">
        <v>0</v>
      </c>
      <c r="E5" s="70">
        <v>0</v>
      </c>
      <c r="F5" s="70">
        <v>0</v>
      </c>
      <c r="G5" s="70">
        <v>0</v>
      </c>
      <c r="H5" s="70">
        <v>0</v>
      </c>
      <c r="I5" s="70">
        <v>0</v>
      </c>
      <c r="J5" s="70">
        <v>0</v>
      </c>
      <c r="K5" s="70">
        <v>0</v>
      </c>
      <c r="L5" s="70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0">
        <v>0</v>
      </c>
      <c r="V5" s="70">
        <v>0</v>
      </c>
      <c r="W5" s="70">
        <v>0</v>
      </c>
      <c r="X5" s="70">
        <v>0</v>
      </c>
      <c r="Y5" s="70">
        <v>0</v>
      </c>
      <c r="Z5" s="70">
        <v>0</v>
      </c>
      <c r="AA5" s="70">
        <v>0</v>
      </c>
      <c r="AB5" s="70">
        <v>0</v>
      </c>
      <c r="AC5" s="70">
        <v>0</v>
      </c>
      <c r="AD5" s="70">
        <v>0</v>
      </c>
      <c r="AE5" s="70">
        <v>0</v>
      </c>
      <c r="AF5" s="70">
        <v>0</v>
      </c>
      <c r="AG5" s="70">
        <v>0</v>
      </c>
      <c r="AH5" s="70">
        <v>0</v>
      </c>
      <c r="AI5" s="70">
        <v>0</v>
      </c>
      <c r="AJ5" s="70">
        <v>0</v>
      </c>
      <c r="AK5" s="70">
        <v>0</v>
      </c>
      <c r="AL5" s="70">
        <v>0</v>
      </c>
      <c r="AM5" s="70">
        <v>0</v>
      </c>
      <c r="AN5" s="70">
        <v>0</v>
      </c>
      <c r="AO5" s="70">
        <v>0</v>
      </c>
      <c r="AP5" s="70">
        <v>0</v>
      </c>
      <c r="AQ5" s="70">
        <v>0</v>
      </c>
      <c r="AR5" s="70">
        <v>0</v>
      </c>
      <c r="AS5" s="70">
        <v>0</v>
      </c>
      <c r="AT5" s="70">
        <v>0</v>
      </c>
      <c r="AU5" s="70">
        <v>0</v>
      </c>
      <c r="AV5" s="70">
        <v>0</v>
      </c>
      <c r="AW5" s="70">
        <v>0</v>
      </c>
      <c r="AX5" s="70">
        <v>0</v>
      </c>
      <c r="AY5" s="70">
        <v>0</v>
      </c>
      <c r="AZ5" s="70">
        <v>0</v>
      </c>
      <c r="BA5" s="70">
        <v>0</v>
      </c>
      <c r="BB5" s="70">
        <v>0</v>
      </c>
      <c r="BC5" s="70">
        <v>0</v>
      </c>
      <c r="BD5" s="70">
        <v>0</v>
      </c>
      <c r="BE5" s="70">
        <v>0</v>
      </c>
      <c r="BF5" s="70">
        <v>0</v>
      </c>
      <c r="BG5" s="70">
        <v>0</v>
      </c>
      <c r="BH5" s="70">
        <v>0</v>
      </c>
      <c r="BI5" s="70">
        <v>0</v>
      </c>
      <c r="BJ5" s="70">
        <v>0</v>
      </c>
      <c r="BK5" s="70">
        <v>0</v>
      </c>
      <c r="BL5" s="70">
        <v>0</v>
      </c>
      <c r="BM5" s="70">
        <v>0</v>
      </c>
      <c r="BN5" s="70">
        <v>0</v>
      </c>
      <c r="BO5" s="70">
        <v>0</v>
      </c>
      <c r="BP5" s="70">
        <v>0</v>
      </c>
      <c r="BQ5" s="70">
        <v>0</v>
      </c>
      <c r="BR5" s="70">
        <v>0</v>
      </c>
      <c r="BS5" s="70">
        <v>0</v>
      </c>
      <c r="BT5" s="70">
        <v>0</v>
      </c>
      <c r="BU5" s="70">
        <v>0</v>
      </c>
      <c r="BV5" s="70">
        <v>0</v>
      </c>
      <c r="BW5" s="70">
        <v>0</v>
      </c>
      <c r="BX5" s="70">
        <v>0</v>
      </c>
      <c r="BY5" s="70">
        <v>0</v>
      </c>
      <c r="BZ5" s="70">
        <v>0</v>
      </c>
      <c r="CA5" s="70">
        <v>0</v>
      </c>
      <c r="CB5" s="70">
        <v>0</v>
      </c>
      <c r="CC5" s="70">
        <v>0</v>
      </c>
      <c r="CD5" s="70">
        <v>0</v>
      </c>
      <c r="CE5" s="70">
        <v>0</v>
      </c>
      <c r="CF5" s="70">
        <v>0</v>
      </c>
      <c r="CG5" s="70">
        <v>0</v>
      </c>
      <c r="CH5" s="70">
        <v>0</v>
      </c>
      <c r="CI5" s="70">
        <v>0</v>
      </c>
      <c r="CJ5" s="70">
        <v>0</v>
      </c>
      <c r="CK5" s="70">
        <v>0</v>
      </c>
      <c r="CL5" s="70">
        <v>0</v>
      </c>
      <c r="CM5" s="70">
        <v>0</v>
      </c>
      <c r="CN5" s="70">
        <v>0</v>
      </c>
      <c r="CO5" s="70">
        <v>0</v>
      </c>
      <c r="CP5" s="70">
        <v>0</v>
      </c>
      <c r="CQ5" s="70">
        <v>0</v>
      </c>
      <c r="CR5" s="70">
        <v>0</v>
      </c>
      <c r="CS5" s="70">
        <v>0</v>
      </c>
      <c r="CT5" s="70">
        <v>0</v>
      </c>
      <c r="CU5" s="70">
        <v>0</v>
      </c>
      <c r="CV5" s="70">
        <v>0</v>
      </c>
      <c r="CW5" s="70">
        <v>0</v>
      </c>
      <c r="CX5" s="70">
        <v>0</v>
      </c>
      <c r="CY5" s="70">
        <v>0</v>
      </c>
      <c r="CZ5" s="70">
        <v>0</v>
      </c>
      <c r="DA5" s="70">
        <v>0</v>
      </c>
      <c r="DB5" s="70">
        <v>0</v>
      </c>
      <c r="DC5" s="70">
        <v>0</v>
      </c>
      <c r="DD5" s="70">
        <v>0</v>
      </c>
      <c r="DE5" s="70">
        <v>0</v>
      </c>
      <c r="DF5" s="70">
        <v>0</v>
      </c>
      <c r="DG5" s="70">
        <v>0</v>
      </c>
      <c r="DH5" s="70">
        <v>0</v>
      </c>
      <c r="DI5" s="70">
        <v>0</v>
      </c>
      <c r="DJ5" s="70">
        <v>0</v>
      </c>
      <c r="DK5" s="70">
        <v>0</v>
      </c>
      <c r="DL5" s="70">
        <v>0</v>
      </c>
      <c r="DM5" s="70">
        <v>0</v>
      </c>
      <c r="DN5" s="70">
        <v>0</v>
      </c>
      <c r="DO5" s="70">
        <v>0</v>
      </c>
      <c r="DP5" s="70">
        <v>0</v>
      </c>
      <c r="DQ5" s="70">
        <v>0</v>
      </c>
      <c r="DR5" s="70">
        <v>0</v>
      </c>
      <c r="DS5" s="70">
        <v>0</v>
      </c>
      <c r="DT5" s="70">
        <v>0</v>
      </c>
      <c r="DU5" s="70">
        <v>0</v>
      </c>
      <c r="DV5" s="70">
        <v>0</v>
      </c>
      <c r="DW5" s="70">
        <v>0</v>
      </c>
      <c r="DX5" s="70">
        <v>0</v>
      </c>
      <c r="DY5" s="70">
        <v>0</v>
      </c>
      <c r="DZ5" s="70">
        <v>0</v>
      </c>
      <c r="EA5" s="70">
        <v>0</v>
      </c>
      <c r="EB5" s="70">
        <v>0</v>
      </c>
      <c r="EC5" s="70">
        <v>0</v>
      </c>
      <c r="ED5" s="70">
        <v>0</v>
      </c>
      <c r="EE5" s="70">
        <v>0</v>
      </c>
      <c r="EF5" s="70">
        <v>0</v>
      </c>
      <c r="EG5" s="70">
        <v>0</v>
      </c>
      <c r="EH5" s="70">
        <v>0</v>
      </c>
      <c r="EI5" s="70">
        <v>0</v>
      </c>
      <c r="EJ5" s="70">
        <v>0</v>
      </c>
      <c r="EK5" s="70">
        <v>0</v>
      </c>
      <c r="EL5" s="70">
        <v>0</v>
      </c>
      <c r="EM5" s="70">
        <v>0</v>
      </c>
      <c r="EN5" s="70">
        <v>0</v>
      </c>
      <c r="EO5" s="70">
        <v>0</v>
      </c>
      <c r="EP5" s="70">
        <v>0</v>
      </c>
      <c r="EQ5" s="70">
        <v>0</v>
      </c>
      <c r="ER5" s="70">
        <v>0</v>
      </c>
      <c r="ES5" s="70">
        <v>0</v>
      </c>
      <c r="ET5" s="70">
        <v>0</v>
      </c>
      <c r="EU5" s="70">
        <v>0</v>
      </c>
      <c r="EV5" s="70">
        <v>0</v>
      </c>
      <c r="EW5" s="70">
        <v>0</v>
      </c>
      <c r="EX5" s="70">
        <v>0</v>
      </c>
      <c r="EY5" s="70">
        <v>0</v>
      </c>
      <c r="EZ5" s="70">
        <v>0</v>
      </c>
      <c r="FA5" s="70">
        <v>0</v>
      </c>
      <c r="FB5" s="70">
        <v>0</v>
      </c>
      <c r="FC5" s="70">
        <v>0</v>
      </c>
      <c r="FD5" s="70">
        <v>0</v>
      </c>
      <c r="FE5" s="70">
        <v>0</v>
      </c>
      <c r="FF5" s="70">
        <v>0</v>
      </c>
      <c r="FG5" s="70">
        <v>0</v>
      </c>
      <c r="FH5" s="70">
        <v>0</v>
      </c>
      <c r="FI5" s="70">
        <v>0</v>
      </c>
      <c r="FJ5" s="70">
        <v>0</v>
      </c>
      <c r="FK5" s="70">
        <v>0</v>
      </c>
      <c r="FL5" s="70">
        <v>0</v>
      </c>
      <c r="FM5" s="70">
        <v>0</v>
      </c>
      <c r="FN5" s="70">
        <v>0</v>
      </c>
      <c r="FO5" s="70">
        <v>0</v>
      </c>
      <c r="FP5" s="70">
        <v>0</v>
      </c>
      <c r="FQ5" s="70">
        <v>0</v>
      </c>
      <c r="FR5" s="70">
        <v>0</v>
      </c>
      <c r="FS5" s="70">
        <v>0</v>
      </c>
      <c r="FT5" s="70">
        <v>0</v>
      </c>
      <c r="FU5" s="70">
        <v>0</v>
      </c>
      <c r="FV5" s="70">
        <v>0</v>
      </c>
      <c r="FW5" s="70">
        <v>0</v>
      </c>
      <c r="FX5" s="70">
        <v>0</v>
      </c>
      <c r="FY5" s="70">
        <v>0</v>
      </c>
      <c r="FZ5" s="70">
        <v>0</v>
      </c>
      <c r="GA5" s="70">
        <v>0</v>
      </c>
      <c r="GB5" s="70">
        <v>0</v>
      </c>
      <c r="GC5" s="70">
        <v>0</v>
      </c>
      <c r="GD5" s="70">
        <v>0</v>
      </c>
      <c r="GE5" s="70">
        <v>0</v>
      </c>
      <c r="GF5" s="70">
        <v>0</v>
      </c>
      <c r="GG5" s="70">
        <v>0</v>
      </c>
      <c r="GH5" s="70">
        <v>0</v>
      </c>
      <c r="GI5" s="70">
        <v>0</v>
      </c>
      <c r="GJ5" s="70">
        <v>0</v>
      </c>
      <c r="GK5" s="70">
        <v>0</v>
      </c>
      <c r="GL5" s="70">
        <v>0</v>
      </c>
      <c r="GM5" s="70">
        <v>0</v>
      </c>
      <c r="GN5" s="70">
        <v>0</v>
      </c>
      <c r="GO5" s="70">
        <v>0</v>
      </c>
      <c r="GP5" s="70">
        <v>0</v>
      </c>
      <c r="GQ5" s="70">
        <v>0</v>
      </c>
      <c r="GR5" s="70">
        <v>0</v>
      </c>
      <c r="GS5" s="70">
        <v>0</v>
      </c>
      <c r="GT5" s="70">
        <v>0</v>
      </c>
      <c r="GU5" s="70">
        <v>0</v>
      </c>
      <c r="GV5" s="70">
        <v>0</v>
      </c>
      <c r="GW5" s="70">
        <v>0</v>
      </c>
      <c r="GX5" s="70">
        <v>0</v>
      </c>
      <c r="GY5" s="70">
        <v>0</v>
      </c>
      <c r="GZ5" s="70">
        <v>0</v>
      </c>
      <c r="HA5" s="70">
        <v>0</v>
      </c>
      <c r="HB5" s="70">
        <v>0</v>
      </c>
      <c r="HC5" s="70">
        <v>0</v>
      </c>
      <c r="HD5" s="70">
        <v>0</v>
      </c>
      <c r="HE5" s="70">
        <v>0</v>
      </c>
      <c r="HF5" s="70">
        <v>0</v>
      </c>
      <c r="HG5" s="70">
        <v>0</v>
      </c>
      <c r="HH5" s="70">
        <v>0</v>
      </c>
      <c r="HI5" s="70">
        <v>0</v>
      </c>
      <c r="HJ5" s="70">
        <v>0</v>
      </c>
      <c r="HK5" s="70">
        <v>0</v>
      </c>
      <c r="HL5" s="70">
        <v>0</v>
      </c>
      <c r="HM5" s="70">
        <v>0</v>
      </c>
      <c r="HN5" s="70">
        <v>0</v>
      </c>
      <c r="HO5" s="70">
        <v>0</v>
      </c>
      <c r="HP5" s="70">
        <v>0</v>
      </c>
      <c r="HQ5" s="70">
        <v>0</v>
      </c>
      <c r="HR5" s="70">
        <v>0</v>
      </c>
      <c r="HS5" s="70">
        <v>0</v>
      </c>
      <c r="HT5" s="70">
        <v>0</v>
      </c>
      <c r="HU5" s="70">
        <v>0</v>
      </c>
      <c r="HV5" s="70">
        <v>0</v>
      </c>
      <c r="HW5" s="70">
        <v>0</v>
      </c>
      <c r="HX5" s="70">
        <v>0</v>
      </c>
      <c r="HY5" s="70">
        <v>0</v>
      </c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70"/>
      <c r="IQ5" s="70"/>
      <c r="IR5" s="70"/>
      <c r="IS5" s="70"/>
      <c r="IT5" s="70"/>
      <c r="IU5" s="70"/>
      <c r="IV5" s="70"/>
      <c r="IW5" s="70"/>
      <c r="IX5" s="70"/>
      <c r="IY5" s="70"/>
      <c r="IZ5" s="70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</row>
    <row r="6" spans="1:277">
      <c r="A6" s="65" t="s">
        <v>98</v>
      </c>
      <c r="B6" s="66" t="s">
        <v>12</v>
      </c>
      <c r="C6" s="67">
        <v>5.7959999999999999E-3</v>
      </c>
      <c r="D6" s="67">
        <v>0</v>
      </c>
      <c r="E6" s="67">
        <v>3.1165999999999999E-2</v>
      </c>
      <c r="F6" s="67">
        <v>1.0617E-2</v>
      </c>
      <c r="G6" s="67">
        <v>6.6E-4</v>
      </c>
      <c r="H6" s="67">
        <v>1.6816999999999999E-2</v>
      </c>
      <c r="I6" s="67">
        <v>0</v>
      </c>
      <c r="J6" s="67">
        <v>0</v>
      </c>
      <c r="K6" s="67">
        <v>2.8E-5</v>
      </c>
      <c r="L6" s="67">
        <v>2.3249999999999998E-3</v>
      </c>
      <c r="M6" s="67">
        <v>7.4999999999999993E-5</v>
      </c>
      <c r="N6" s="67">
        <v>0</v>
      </c>
      <c r="O6" s="67">
        <v>3.4299999999999999E-4</v>
      </c>
      <c r="P6" s="67">
        <v>1.155E-3</v>
      </c>
      <c r="Q6" s="67">
        <v>1.934E-3</v>
      </c>
      <c r="R6" s="67">
        <v>5.9913000000000001E-2</v>
      </c>
      <c r="S6" s="67">
        <v>1.6699999999999999E-4</v>
      </c>
      <c r="T6" s="67">
        <v>0</v>
      </c>
      <c r="U6" s="67">
        <v>3.2499999999999999E-4</v>
      </c>
      <c r="V6" s="67">
        <v>2.3599999999999999E-4</v>
      </c>
      <c r="W6" s="67">
        <v>2.375E-2</v>
      </c>
      <c r="X6" s="67">
        <v>0</v>
      </c>
      <c r="Y6" s="67">
        <v>0</v>
      </c>
      <c r="Z6" s="67">
        <v>0</v>
      </c>
      <c r="AA6" s="67">
        <v>0</v>
      </c>
      <c r="AB6" s="67">
        <v>0</v>
      </c>
      <c r="AC6" s="67">
        <v>0</v>
      </c>
      <c r="AD6" s="67">
        <v>0</v>
      </c>
      <c r="AE6" s="67">
        <v>0</v>
      </c>
      <c r="AF6" s="67">
        <v>0</v>
      </c>
      <c r="AG6" s="67">
        <v>0</v>
      </c>
      <c r="AH6" s="67">
        <v>0</v>
      </c>
      <c r="AI6" s="67">
        <v>0</v>
      </c>
      <c r="AJ6" s="67">
        <v>0</v>
      </c>
      <c r="AK6" s="67">
        <v>0</v>
      </c>
      <c r="AL6" s="67">
        <v>0</v>
      </c>
      <c r="AM6" s="67">
        <v>0</v>
      </c>
      <c r="AN6" s="67">
        <v>0</v>
      </c>
      <c r="AO6" s="67">
        <v>0</v>
      </c>
      <c r="AP6" s="67">
        <v>0</v>
      </c>
      <c r="AQ6" s="67">
        <v>0</v>
      </c>
      <c r="AR6" s="67">
        <v>0</v>
      </c>
      <c r="AS6" s="67">
        <v>0</v>
      </c>
      <c r="AT6" s="67">
        <v>0</v>
      </c>
      <c r="AU6" s="67">
        <v>0</v>
      </c>
      <c r="AV6" s="67">
        <v>0</v>
      </c>
      <c r="AW6" s="67">
        <v>0</v>
      </c>
      <c r="AX6" s="67">
        <v>0</v>
      </c>
      <c r="AY6" s="67">
        <v>0</v>
      </c>
      <c r="AZ6" s="67">
        <v>0</v>
      </c>
      <c r="BA6" s="67">
        <v>0</v>
      </c>
      <c r="BB6" s="67">
        <v>0</v>
      </c>
      <c r="BC6" s="67">
        <v>0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0</v>
      </c>
      <c r="BK6" s="67">
        <v>0</v>
      </c>
      <c r="BL6" s="67">
        <v>0</v>
      </c>
      <c r="BM6" s="67">
        <v>0</v>
      </c>
      <c r="BN6" s="67">
        <v>0</v>
      </c>
      <c r="BO6" s="67">
        <v>0</v>
      </c>
      <c r="BP6" s="67">
        <v>0</v>
      </c>
      <c r="BQ6" s="67">
        <v>0</v>
      </c>
      <c r="BR6" s="67">
        <v>0</v>
      </c>
      <c r="BS6" s="67">
        <v>0</v>
      </c>
      <c r="BT6" s="67">
        <v>0</v>
      </c>
      <c r="BU6" s="67">
        <v>0</v>
      </c>
      <c r="BV6" s="67">
        <v>0</v>
      </c>
      <c r="BW6" s="67">
        <v>0</v>
      </c>
      <c r="BX6" s="67">
        <v>0</v>
      </c>
      <c r="BY6" s="67">
        <v>0</v>
      </c>
      <c r="BZ6" s="67">
        <v>0</v>
      </c>
      <c r="CA6" s="67">
        <v>0</v>
      </c>
      <c r="CB6" s="67">
        <v>0</v>
      </c>
      <c r="CC6" s="67">
        <v>0</v>
      </c>
      <c r="CD6" s="67">
        <v>0</v>
      </c>
      <c r="CE6" s="67">
        <v>0</v>
      </c>
      <c r="CF6" s="67">
        <v>0</v>
      </c>
      <c r="CG6" s="67">
        <v>0</v>
      </c>
      <c r="CH6" s="67">
        <v>0</v>
      </c>
      <c r="CI6" s="67">
        <v>0</v>
      </c>
      <c r="CJ6" s="67">
        <v>0</v>
      </c>
      <c r="CK6" s="67">
        <v>0</v>
      </c>
      <c r="CL6" s="67">
        <v>0</v>
      </c>
      <c r="CM6" s="67">
        <v>0</v>
      </c>
      <c r="CN6" s="67">
        <v>0</v>
      </c>
      <c r="CO6" s="67">
        <v>0</v>
      </c>
      <c r="CP6" s="67">
        <v>0</v>
      </c>
      <c r="CQ6" s="67">
        <v>0</v>
      </c>
      <c r="CR6" s="67">
        <v>0</v>
      </c>
      <c r="CS6" s="67">
        <v>0</v>
      </c>
      <c r="CT6" s="67">
        <v>0</v>
      </c>
      <c r="CU6" s="67">
        <v>0</v>
      </c>
      <c r="CV6" s="67">
        <v>0</v>
      </c>
      <c r="CW6" s="67">
        <v>0</v>
      </c>
      <c r="CX6" s="67">
        <v>0</v>
      </c>
      <c r="CY6" s="67">
        <v>0</v>
      </c>
      <c r="CZ6" s="67">
        <v>0</v>
      </c>
      <c r="DA6" s="67">
        <v>0</v>
      </c>
      <c r="DB6" s="67">
        <v>0</v>
      </c>
      <c r="DC6" s="67">
        <v>0</v>
      </c>
      <c r="DD6" s="67">
        <v>0</v>
      </c>
      <c r="DE6" s="67">
        <v>0</v>
      </c>
      <c r="DF6" s="67">
        <v>0</v>
      </c>
      <c r="DG6" s="67">
        <v>0</v>
      </c>
      <c r="DH6" s="67">
        <v>0</v>
      </c>
      <c r="DI6" s="67">
        <v>0</v>
      </c>
      <c r="DJ6" s="67">
        <v>0</v>
      </c>
      <c r="DK6" s="67">
        <v>0</v>
      </c>
      <c r="DL6" s="67">
        <v>0</v>
      </c>
      <c r="DM6" s="67">
        <v>0</v>
      </c>
      <c r="DN6" s="67">
        <v>0</v>
      </c>
      <c r="DO6" s="67">
        <v>0</v>
      </c>
      <c r="DP6" s="67">
        <v>0</v>
      </c>
      <c r="DQ6" s="67">
        <v>0</v>
      </c>
      <c r="DR6" s="67">
        <v>0</v>
      </c>
      <c r="DS6" s="67">
        <v>0</v>
      </c>
      <c r="DT6" s="67">
        <v>0</v>
      </c>
      <c r="DU6" s="67">
        <v>0</v>
      </c>
      <c r="DV6" s="67">
        <v>0</v>
      </c>
      <c r="DW6" s="67">
        <v>0</v>
      </c>
      <c r="DX6" s="67">
        <v>0</v>
      </c>
      <c r="DY6" s="67">
        <v>0</v>
      </c>
      <c r="DZ6" s="67">
        <v>0</v>
      </c>
      <c r="EA6" s="67">
        <v>0</v>
      </c>
      <c r="EB6" s="67">
        <v>0</v>
      </c>
      <c r="EC6" s="67">
        <v>0</v>
      </c>
      <c r="ED6" s="67">
        <v>0</v>
      </c>
      <c r="EE6" s="67">
        <v>0</v>
      </c>
      <c r="EF6" s="67">
        <v>0</v>
      </c>
      <c r="EG6" s="67">
        <v>0</v>
      </c>
      <c r="EH6" s="67">
        <v>0</v>
      </c>
      <c r="EI6" s="67">
        <v>0</v>
      </c>
      <c r="EJ6" s="67">
        <v>0</v>
      </c>
      <c r="EK6" s="67">
        <v>0</v>
      </c>
      <c r="EL6" s="67">
        <v>0</v>
      </c>
      <c r="EM6" s="67">
        <v>0</v>
      </c>
      <c r="EN6" s="67">
        <v>0</v>
      </c>
      <c r="EO6" s="67">
        <v>0</v>
      </c>
      <c r="EP6" s="67">
        <v>0</v>
      </c>
      <c r="EQ6" s="67">
        <v>0</v>
      </c>
      <c r="ER6" s="67">
        <v>0</v>
      </c>
      <c r="ES6" s="67">
        <v>0</v>
      </c>
      <c r="ET6" s="67">
        <v>2.92E-4</v>
      </c>
      <c r="EU6" s="67">
        <v>0</v>
      </c>
      <c r="EV6" s="67">
        <v>4.8500000000000003E-4</v>
      </c>
      <c r="EW6" s="67">
        <v>6.0000000000000002E-6</v>
      </c>
      <c r="EX6" s="67">
        <v>7.7999999999999999E-5</v>
      </c>
      <c r="EY6" s="67">
        <v>6.0999999999999999E-5</v>
      </c>
      <c r="EZ6" s="67">
        <v>3.9999999999999998E-6</v>
      </c>
      <c r="FA6" s="67">
        <v>9.9999999999999995E-7</v>
      </c>
      <c r="FB6" s="67">
        <v>6.0000000000000002E-6</v>
      </c>
      <c r="FC6" s="67">
        <v>1.9999999999999999E-6</v>
      </c>
      <c r="FD6" s="67">
        <v>1.4E-5</v>
      </c>
      <c r="FE6" s="67">
        <v>9.9999999999999995E-7</v>
      </c>
      <c r="FF6" s="67">
        <v>6.0000000000000002E-6</v>
      </c>
      <c r="FG6" s="67">
        <v>7.9999999999999996E-6</v>
      </c>
      <c r="FH6" s="67">
        <v>5.0000000000000004E-6</v>
      </c>
      <c r="FI6" s="67">
        <v>1.4E-5</v>
      </c>
      <c r="FJ6" s="67">
        <v>3.0000000000000001E-6</v>
      </c>
      <c r="FK6" s="67">
        <v>1.9999999999999999E-6</v>
      </c>
      <c r="FL6" s="67">
        <v>3.0000000000000001E-6</v>
      </c>
      <c r="FM6" s="67">
        <v>1.9999999999999999E-6</v>
      </c>
      <c r="FN6" s="67">
        <v>3.4999999999999997E-5</v>
      </c>
      <c r="FO6" s="67">
        <v>6.7999999999999999E-5</v>
      </c>
      <c r="FP6" s="67">
        <v>0</v>
      </c>
      <c r="FQ6" s="67">
        <v>1.5299999999999999E-3</v>
      </c>
      <c r="FR6" s="67">
        <v>3.4999999999999997E-5</v>
      </c>
      <c r="FS6" s="67">
        <v>3.9999999999999998E-6</v>
      </c>
      <c r="FT6" s="67">
        <v>6.4300000000000002E-4</v>
      </c>
      <c r="FU6" s="67">
        <v>0</v>
      </c>
      <c r="FV6" s="67">
        <v>3.0000000000000001E-6</v>
      </c>
      <c r="FW6" s="67">
        <v>0</v>
      </c>
      <c r="FX6" s="67">
        <v>5.0000000000000004E-6</v>
      </c>
      <c r="FY6" s="67">
        <v>1.2999999999999999E-5</v>
      </c>
      <c r="FZ6" s="67">
        <v>0</v>
      </c>
      <c r="GA6" s="67">
        <v>0</v>
      </c>
      <c r="GB6" s="67">
        <v>6.0000000000000002E-6</v>
      </c>
      <c r="GC6" s="67">
        <v>5.0000000000000004E-6</v>
      </c>
      <c r="GD6" s="67">
        <v>1.4499999999999999E-3</v>
      </c>
      <c r="GE6" s="67">
        <v>0</v>
      </c>
      <c r="GF6" s="67">
        <v>2.1999999999999999E-5</v>
      </c>
      <c r="GG6" s="67">
        <v>0</v>
      </c>
      <c r="GH6" s="67">
        <v>0</v>
      </c>
      <c r="GI6" s="67">
        <v>4.3899999999999999E-4</v>
      </c>
      <c r="GJ6" s="67">
        <v>0</v>
      </c>
      <c r="GK6" s="67">
        <v>0</v>
      </c>
      <c r="GL6" s="67">
        <v>0</v>
      </c>
      <c r="GM6" s="67">
        <v>0</v>
      </c>
      <c r="GN6" s="67">
        <v>0</v>
      </c>
      <c r="GO6" s="67">
        <v>0</v>
      </c>
      <c r="GP6" s="67">
        <v>0</v>
      </c>
      <c r="GQ6" s="67">
        <v>0</v>
      </c>
      <c r="GR6" s="67">
        <v>0</v>
      </c>
      <c r="GS6" s="67">
        <v>0</v>
      </c>
      <c r="GT6" s="67">
        <v>0</v>
      </c>
      <c r="GU6" s="67">
        <v>0</v>
      </c>
      <c r="GV6" s="67">
        <v>0</v>
      </c>
      <c r="GW6" s="67">
        <v>0</v>
      </c>
      <c r="GX6" s="67">
        <v>0</v>
      </c>
      <c r="GY6" s="67">
        <v>0</v>
      </c>
      <c r="GZ6" s="67">
        <v>0</v>
      </c>
      <c r="HA6" s="67">
        <v>0</v>
      </c>
      <c r="HB6" s="67">
        <v>0</v>
      </c>
      <c r="HC6" s="67">
        <v>0</v>
      </c>
      <c r="HD6" s="67">
        <v>0</v>
      </c>
      <c r="HE6" s="67">
        <v>0</v>
      </c>
      <c r="HF6" s="67">
        <v>0</v>
      </c>
      <c r="HG6" s="67">
        <v>0</v>
      </c>
      <c r="HH6" s="67">
        <v>0</v>
      </c>
      <c r="HI6" s="67">
        <v>0</v>
      </c>
      <c r="HJ6" s="67">
        <v>0</v>
      </c>
      <c r="HK6" s="67">
        <v>0</v>
      </c>
      <c r="HL6" s="67">
        <v>0</v>
      </c>
      <c r="HM6" s="67">
        <v>0</v>
      </c>
      <c r="HN6" s="67">
        <v>0</v>
      </c>
      <c r="HO6" s="67">
        <v>0</v>
      </c>
      <c r="HP6" s="67">
        <v>0</v>
      </c>
      <c r="HQ6" s="67">
        <v>0</v>
      </c>
      <c r="HR6" s="67">
        <v>0</v>
      </c>
      <c r="HS6" s="67">
        <v>0</v>
      </c>
      <c r="HT6" s="67">
        <v>0</v>
      </c>
      <c r="HU6" s="67">
        <v>0</v>
      </c>
      <c r="HV6" s="67">
        <v>0</v>
      </c>
      <c r="HW6" s="67">
        <v>0</v>
      </c>
      <c r="HX6" s="67">
        <v>0</v>
      </c>
      <c r="HY6" s="67">
        <v>0</v>
      </c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</row>
    <row r="7" spans="1:277">
      <c r="A7" s="68" t="s">
        <v>99</v>
      </c>
      <c r="B7" s="69" t="s">
        <v>13</v>
      </c>
      <c r="C7" s="70">
        <v>7.8100000000000001E-4</v>
      </c>
      <c r="D7" s="70">
        <v>0</v>
      </c>
      <c r="E7" s="70">
        <v>1.1856999999999999E-2</v>
      </c>
      <c r="F7" s="70">
        <v>0.14982200000000001</v>
      </c>
      <c r="G7" s="70">
        <v>2.2880000000000001E-3</v>
      </c>
      <c r="H7" s="70">
        <v>2.9729999999999999E-3</v>
      </c>
      <c r="I7" s="70">
        <v>7.27E-4</v>
      </c>
      <c r="J7" s="70">
        <v>0</v>
      </c>
      <c r="K7" s="70">
        <v>7.9999999999999996E-6</v>
      </c>
      <c r="L7" s="70">
        <v>6.1995000000000001E-2</v>
      </c>
      <c r="M7" s="70">
        <v>9.1832999999999998E-2</v>
      </c>
      <c r="N7" s="70">
        <v>4.1999999999999998E-5</v>
      </c>
      <c r="O7" s="70">
        <v>4.1999999999999998E-5</v>
      </c>
      <c r="P7" s="70">
        <v>5.5599999999999996E-4</v>
      </c>
      <c r="Q7" s="70">
        <v>8.1800000000000004E-4</v>
      </c>
      <c r="R7" s="70">
        <v>3.369E-3</v>
      </c>
      <c r="S7" s="70">
        <v>6.7999999999999999E-5</v>
      </c>
      <c r="T7" s="70">
        <v>3.1999999999999999E-5</v>
      </c>
      <c r="U7" s="70">
        <v>2.6800000000000001E-4</v>
      </c>
      <c r="V7" s="70">
        <v>1.95E-4</v>
      </c>
      <c r="W7" s="70">
        <v>3.3050000000000002E-3</v>
      </c>
      <c r="X7" s="70">
        <v>3.0000000000000001E-6</v>
      </c>
      <c r="Y7" s="70">
        <v>0</v>
      </c>
      <c r="Z7" s="70">
        <v>9.9999999999999995E-7</v>
      </c>
      <c r="AA7" s="70">
        <v>3.8099999999999999E-4</v>
      </c>
      <c r="AB7" s="70">
        <v>3.0000000000000001E-6</v>
      </c>
      <c r="AC7" s="70">
        <v>1.2999999999999999E-5</v>
      </c>
      <c r="AD7" s="70">
        <v>9.9999999999999995E-7</v>
      </c>
      <c r="AE7" s="70">
        <v>0</v>
      </c>
      <c r="AF7" s="70">
        <v>1.9999999999999999E-6</v>
      </c>
      <c r="AG7" s="70">
        <v>1.1E-5</v>
      </c>
      <c r="AH7" s="70">
        <v>3.1999999999999999E-5</v>
      </c>
      <c r="AI7" s="70">
        <v>9.9999999999999995E-7</v>
      </c>
      <c r="AJ7" s="70">
        <v>1.9999999999999999E-6</v>
      </c>
      <c r="AK7" s="70">
        <v>1.9999999999999999E-6</v>
      </c>
      <c r="AL7" s="70">
        <v>1.9999999999999999E-6</v>
      </c>
      <c r="AM7" s="70">
        <v>5.0000000000000004E-6</v>
      </c>
      <c r="AN7" s="70">
        <v>3.0000000000000001E-6</v>
      </c>
      <c r="AO7" s="70">
        <v>0</v>
      </c>
      <c r="AP7" s="70">
        <v>0</v>
      </c>
      <c r="AQ7" s="70">
        <v>0</v>
      </c>
      <c r="AR7" s="70">
        <v>1.9999999999999999E-6</v>
      </c>
      <c r="AS7" s="70">
        <v>9.9999999999999995E-7</v>
      </c>
      <c r="AT7" s="70">
        <v>0</v>
      </c>
      <c r="AU7" s="70">
        <v>9.9999999999999995E-7</v>
      </c>
      <c r="AV7" s="70">
        <v>2.5599999999999999E-4</v>
      </c>
      <c r="AW7" s="70">
        <v>6.9999999999999999E-6</v>
      </c>
      <c r="AX7" s="70">
        <v>1.4E-5</v>
      </c>
      <c r="AY7" s="70">
        <v>1.9999999999999999E-6</v>
      </c>
      <c r="AZ7" s="70">
        <v>9.9999999999999995E-7</v>
      </c>
      <c r="BA7" s="70">
        <v>9.9999999999999995E-7</v>
      </c>
      <c r="BB7" s="70">
        <v>6.0000000000000002E-6</v>
      </c>
      <c r="BC7" s="70">
        <v>3.1000000000000001E-5</v>
      </c>
      <c r="BD7" s="70">
        <v>0</v>
      </c>
      <c r="BE7" s="70">
        <v>9.9999999999999995E-7</v>
      </c>
      <c r="BF7" s="70">
        <v>1.9999999999999999E-6</v>
      </c>
      <c r="BG7" s="70">
        <v>9.9999999999999995E-7</v>
      </c>
      <c r="BH7" s="70">
        <v>1.9999999999999999E-6</v>
      </c>
      <c r="BI7" s="70">
        <v>3.0000000000000001E-6</v>
      </c>
      <c r="BJ7" s="70">
        <v>0</v>
      </c>
      <c r="BK7" s="70">
        <v>0</v>
      </c>
      <c r="BL7" s="70">
        <v>0</v>
      </c>
      <c r="BM7" s="70">
        <v>9.9999999999999995E-7</v>
      </c>
      <c r="BN7" s="70">
        <v>0</v>
      </c>
      <c r="BO7" s="70">
        <v>0</v>
      </c>
      <c r="BP7" s="70">
        <v>0</v>
      </c>
      <c r="BQ7" s="70">
        <v>0</v>
      </c>
      <c r="BR7" s="70">
        <v>0</v>
      </c>
      <c r="BS7" s="70">
        <v>0</v>
      </c>
      <c r="BT7" s="70">
        <v>0</v>
      </c>
      <c r="BU7" s="70">
        <v>0</v>
      </c>
      <c r="BV7" s="70">
        <v>0</v>
      </c>
      <c r="BW7" s="70">
        <v>0</v>
      </c>
      <c r="BX7" s="70">
        <v>0</v>
      </c>
      <c r="BY7" s="70">
        <v>0</v>
      </c>
      <c r="BZ7" s="70">
        <v>0</v>
      </c>
      <c r="CA7" s="70">
        <v>0</v>
      </c>
      <c r="CB7" s="70">
        <v>0</v>
      </c>
      <c r="CC7" s="70">
        <v>0</v>
      </c>
      <c r="CD7" s="70">
        <v>0</v>
      </c>
      <c r="CE7" s="70">
        <v>0</v>
      </c>
      <c r="CF7" s="70">
        <v>0</v>
      </c>
      <c r="CG7" s="70">
        <v>0</v>
      </c>
      <c r="CH7" s="70">
        <v>0</v>
      </c>
      <c r="CI7" s="70">
        <v>0</v>
      </c>
      <c r="CJ7" s="70">
        <v>0</v>
      </c>
      <c r="CK7" s="70">
        <v>0</v>
      </c>
      <c r="CL7" s="70">
        <v>1.1E-5</v>
      </c>
      <c r="CM7" s="70">
        <v>9.9999999999999995E-7</v>
      </c>
      <c r="CN7" s="70">
        <v>1.9999999999999999E-6</v>
      </c>
      <c r="CO7" s="70">
        <v>0</v>
      </c>
      <c r="CP7" s="70">
        <v>0</v>
      </c>
      <c r="CQ7" s="70">
        <v>0</v>
      </c>
      <c r="CR7" s="70">
        <v>9.9999999999999995E-7</v>
      </c>
      <c r="CS7" s="70">
        <v>1.9999999999999999E-6</v>
      </c>
      <c r="CT7" s="70">
        <v>0</v>
      </c>
      <c r="CU7" s="70">
        <v>0</v>
      </c>
      <c r="CV7" s="70">
        <v>0</v>
      </c>
      <c r="CW7" s="70">
        <v>0</v>
      </c>
      <c r="CX7" s="70">
        <v>0</v>
      </c>
      <c r="CY7" s="70">
        <v>0</v>
      </c>
      <c r="CZ7" s="70">
        <v>0</v>
      </c>
      <c r="DA7" s="70">
        <v>0</v>
      </c>
      <c r="DB7" s="70">
        <v>0</v>
      </c>
      <c r="DC7" s="70">
        <v>0</v>
      </c>
      <c r="DD7" s="70">
        <v>3.0000000000000001E-6</v>
      </c>
      <c r="DE7" s="70">
        <v>0</v>
      </c>
      <c r="DF7" s="70">
        <v>1.9999999999999999E-6</v>
      </c>
      <c r="DG7" s="70">
        <v>2.0799999999999999E-4</v>
      </c>
      <c r="DH7" s="70">
        <v>6.0000000000000002E-6</v>
      </c>
      <c r="DI7" s="70">
        <v>3.8999999999999999E-5</v>
      </c>
      <c r="DJ7" s="70">
        <v>3.0000000000000001E-6</v>
      </c>
      <c r="DK7" s="70">
        <v>3.9999999999999998E-6</v>
      </c>
      <c r="DL7" s="70">
        <v>5.0000000000000004E-6</v>
      </c>
      <c r="DM7" s="70">
        <v>1.1E-5</v>
      </c>
      <c r="DN7" s="70">
        <v>2.5999999999999998E-5</v>
      </c>
      <c r="DO7" s="70">
        <v>9.9999999999999995E-7</v>
      </c>
      <c r="DP7" s="70">
        <v>0</v>
      </c>
      <c r="DQ7" s="70">
        <v>3.9999999999999998E-6</v>
      </c>
      <c r="DR7" s="70">
        <v>9.9999999999999995E-7</v>
      </c>
      <c r="DS7" s="70">
        <v>6.0000000000000002E-6</v>
      </c>
      <c r="DT7" s="70">
        <v>3.0000000000000001E-6</v>
      </c>
      <c r="DU7" s="70">
        <v>0</v>
      </c>
      <c r="DV7" s="70">
        <v>1.9999999999999999E-6</v>
      </c>
      <c r="DW7" s="70">
        <v>9.9999999999999995E-7</v>
      </c>
      <c r="DX7" s="70">
        <v>6.0000000000000002E-6</v>
      </c>
      <c r="DY7" s="70">
        <v>0</v>
      </c>
      <c r="DZ7" s="70">
        <v>0</v>
      </c>
      <c r="EA7" s="70">
        <v>0</v>
      </c>
      <c r="EB7" s="70">
        <v>4.0000000000000003E-5</v>
      </c>
      <c r="EC7" s="70">
        <v>9.9999999999999995E-7</v>
      </c>
      <c r="ED7" s="70">
        <v>3.0000000000000001E-6</v>
      </c>
      <c r="EE7" s="70">
        <v>0</v>
      </c>
      <c r="EF7" s="70">
        <v>0</v>
      </c>
      <c r="EG7" s="70">
        <v>0</v>
      </c>
      <c r="EH7" s="70">
        <v>9.9999999999999995E-7</v>
      </c>
      <c r="EI7" s="70">
        <v>7.9999999999999996E-6</v>
      </c>
      <c r="EJ7" s="70">
        <v>0</v>
      </c>
      <c r="EK7" s="70">
        <v>0</v>
      </c>
      <c r="EL7" s="70">
        <v>9.9999999999999995E-7</v>
      </c>
      <c r="EM7" s="70">
        <v>0</v>
      </c>
      <c r="EN7" s="70">
        <v>9.9999999999999995E-7</v>
      </c>
      <c r="EO7" s="70">
        <v>9.9999999999999995E-7</v>
      </c>
      <c r="EP7" s="70">
        <v>0</v>
      </c>
      <c r="EQ7" s="70">
        <v>0</v>
      </c>
      <c r="ER7" s="70">
        <v>0</v>
      </c>
      <c r="ES7" s="70">
        <v>9.9999999999999995E-7</v>
      </c>
      <c r="ET7" s="70">
        <v>0</v>
      </c>
      <c r="EU7" s="70">
        <v>0</v>
      </c>
      <c r="EV7" s="70">
        <v>0</v>
      </c>
      <c r="EW7" s="70">
        <v>3.6000000000000001E-5</v>
      </c>
      <c r="EX7" s="70">
        <v>9.9999999999999995E-7</v>
      </c>
      <c r="EY7" s="70">
        <v>1.9999999999999999E-6</v>
      </c>
      <c r="EZ7" s="70">
        <v>0</v>
      </c>
      <c r="FA7" s="70">
        <v>0</v>
      </c>
      <c r="FB7" s="70">
        <v>9.9999999999999995E-7</v>
      </c>
      <c r="FC7" s="70">
        <v>9.9999999999999995E-7</v>
      </c>
      <c r="FD7" s="70">
        <v>6.9999999999999999E-6</v>
      </c>
      <c r="FE7" s="70">
        <v>0</v>
      </c>
      <c r="FF7" s="70">
        <v>9.9999999999999995E-7</v>
      </c>
      <c r="FG7" s="70">
        <v>0</v>
      </c>
      <c r="FH7" s="70">
        <v>0</v>
      </c>
      <c r="FI7" s="70">
        <v>0</v>
      </c>
      <c r="FJ7" s="70">
        <v>0</v>
      </c>
      <c r="FK7" s="70">
        <v>0</v>
      </c>
      <c r="FL7" s="70">
        <v>0</v>
      </c>
      <c r="FM7" s="70">
        <v>0</v>
      </c>
      <c r="FN7" s="70">
        <v>0</v>
      </c>
      <c r="FO7" s="70">
        <v>0</v>
      </c>
      <c r="FP7" s="70">
        <v>0</v>
      </c>
      <c r="FQ7" s="70">
        <v>1.5E-5</v>
      </c>
      <c r="FR7" s="70">
        <v>1.371E-3</v>
      </c>
      <c r="FS7" s="70">
        <v>2.8E-5</v>
      </c>
      <c r="FT7" s="70">
        <v>4.1999999999999998E-5</v>
      </c>
      <c r="FU7" s="70">
        <v>3.0000000000000001E-6</v>
      </c>
      <c r="FV7" s="70">
        <v>3.0000000000000001E-6</v>
      </c>
      <c r="FW7" s="70">
        <v>3.0000000000000001E-6</v>
      </c>
      <c r="FX7" s="70">
        <v>5.3799999999999996E-4</v>
      </c>
      <c r="FY7" s="70">
        <v>6.3999999999999997E-5</v>
      </c>
      <c r="FZ7" s="70">
        <v>1.9999999999999999E-6</v>
      </c>
      <c r="GA7" s="70">
        <v>9.9999999999999995E-7</v>
      </c>
      <c r="GB7" s="70">
        <v>5.0000000000000004E-6</v>
      </c>
      <c r="GC7" s="70">
        <v>5.0000000000000004E-6</v>
      </c>
      <c r="GD7" s="70">
        <v>1.4E-5</v>
      </c>
      <c r="GE7" s="70">
        <v>6.0000000000000002E-6</v>
      </c>
      <c r="GF7" s="70">
        <v>3.0000000000000001E-6</v>
      </c>
      <c r="GG7" s="70">
        <v>0</v>
      </c>
      <c r="GH7" s="70">
        <v>0</v>
      </c>
      <c r="GI7" s="70">
        <v>1.0000000000000001E-5</v>
      </c>
      <c r="GJ7" s="70">
        <v>0</v>
      </c>
      <c r="GK7" s="70">
        <v>0</v>
      </c>
      <c r="GL7" s="70">
        <v>0</v>
      </c>
      <c r="GM7" s="70">
        <v>1.27E-4</v>
      </c>
      <c r="GN7" s="70">
        <v>9.9999999999999995E-7</v>
      </c>
      <c r="GO7" s="70">
        <v>1.9999999999999999E-6</v>
      </c>
      <c r="GP7" s="70">
        <v>9.9999999999999995E-7</v>
      </c>
      <c r="GQ7" s="70">
        <v>0</v>
      </c>
      <c r="GR7" s="70">
        <v>0</v>
      </c>
      <c r="GS7" s="70">
        <v>3.0000000000000001E-6</v>
      </c>
      <c r="GT7" s="70">
        <v>1.5999999999999999E-5</v>
      </c>
      <c r="GU7" s="70">
        <v>0</v>
      </c>
      <c r="GV7" s="70">
        <v>0</v>
      </c>
      <c r="GW7" s="70">
        <v>3.0000000000000001E-6</v>
      </c>
      <c r="GX7" s="70">
        <v>0</v>
      </c>
      <c r="GY7" s="70">
        <v>0</v>
      </c>
      <c r="GZ7" s="70">
        <v>0</v>
      </c>
      <c r="HA7" s="70">
        <v>0</v>
      </c>
      <c r="HB7" s="70">
        <v>0</v>
      </c>
      <c r="HC7" s="70">
        <v>0</v>
      </c>
      <c r="HD7" s="70">
        <v>0</v>
      </c>
      <c r="HE7" s="70">
        <v>9.9999999999999995E-7</v>
      </c>
      <c r="HF7" s="70">
        <v>0</v>
      </c>
      <c r="HG7" s="70">
        <v>9.9999999999999995E-7</v>
      </c>
      <c r="HH7" s="70">
        <v>1.05E-4</v>
      </c>
      <c r="HI7" s="70">
        <v>3.0000000000000001E-6</v>
      </c>
      <c r="HJ7" s="70">
        <v>2.3E-5</v>
      </c>
      <c r="HK7" s="70">
        <v>9.9999999999999995E-7</v>
      </c>
      <c r="HL7" s="70">
        <v>9.9999999999999995E-7</v>
      </c>
      <c r="HM7" s="70">
        <v>9.9999999999999995E-7</v>
      </c>
      <c r="HN7" s="70">
        <v>7.9999999999999996E-6</v>
      </c>
      <c r="HO7" s="70">
        <v>2.4000000000000001E-5</v>
      </c>
      <c r="HP7" s="70">
        <v>9.9999999999999995E-7</v>
      </c>
      <c r="HQ7" s="70">
        <v>9.9999999999999995E-7</v>
      </c>
      <c r="HR7" s="70">
        <v>3.0000000000000001E-6</v>
      </c>
      <c r="HS7" s="70">
        <v>9.9999999999999995E-7</v>
      </c>
      <c r="HT7" s="70">
        <v>3.9999999999999998E-6</v>
      </c>
      <c r="HU7" s="70">
        <v>3.0000000000000001E-6</v>
      </c>
      <c r="HV7" s="70">
        <v>9.9999999999999995E-7</v>
      </c>
      <c r="HW7" s="70">
        <v>0</v>
      </c>
      <c r="HX7" s="70">
        <v>0</v>
      </c>
      <c r="HY7" s="70">
        <v>3.0000000000000001E-6</v>
      </c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</row>
    <row r="8" spans="1:277">
      <c r="A8" s="65" t="s">
        <v>100</v>
      </c>
      <c r="B8" s="66" t="s">
        <v>14</v>
      </c>
      <c r="C8" s="67">
        <v>2.0250000000000001E-2</v>
      </c>
      <c r="D8" s="67">
        <v>0</v>
      </c>
      <c r="E8" s="67">
        <v>8.8059999999999996E-3</v>
      </c>
      <c r="F8" s="67">
        <v>4.078E-3</v>
      </c>
      <c r="G8" s="67">
        <v>9.5321000000000003E-2</v>
      </c>
      <c r="H8" s="67">
        <v>6.7000000000000002E-4</v>
      </c>
      <c r="I8" s="67">
        <v>3.5628E-2</v>
      </c>
      <c r="J8" s="67">
        <v>2.4629999999999999E-3</v>
      </c>
      <c r="K8" s="67">
        <v>1.237E-3</v>
      </c>
      <c r="L8" s="67">
        <v>7.7783000000000005E-2</v>
      </c>
      <c r="M8" s="67">
        <v>0.10490099999999999</v>
      </c>
      <c r="N8" s="67">
        <v>1.302E-3</v>
      </c>
      <c r="O8" s="67">
        <v>5.6427999999999999E-2</v>
      </c>
      <c r="P8" s="67">
        <v>1.1745E-2</v>
      </c>
      <c r="Q8" s="67">
        <v>2.2360000000000001E-2</v>
      </c>
      <c r="R8" s="67">
        <v>6.7390000000000002E-3</v>
      </c>
      <c r="S8" s="67">
        <v>1.0666E-2</v>
      </c>
      <c r="T8" s="67">
        <v>4.0400000000000002E-3</v>
      </c>
      <c r="U8" s="67">
        <v>2.235E-3</v>
      </c>
      <c r="V8" s="67">
        <v>1.6249999999999999E-3</v>
      </c>
      <c r="W8" s="67">
        <v>9.4789999999999996E-3</v>
      </c>
      <c r="X8" s="67">
        <v>0</v>
      </c>
      <c r="Y8" s="67">
        <v>0</v>
      </c>
      <c r="Z8" s="67">
        <v>0</v>
      </c>
      <c r="AA8" s="67">
        <v>0</v>
      </c>
      <c r="AB8" s="67">
        <v>0</v>
      </c>
      <c r="AC8" s="67">
        <v>0</v>
      </c>
      <c r="AD8" s="67">
        <v>0</v>
      </c>
      <c r="AE8" s="67">
        <v>0</v>
      </c>
      <c r="AF8" s="67">
        <v>0</v>
      </c>
      <c r="AG8" s="67">
        <v>0</v>
      </c>
      <c r="AH8" s="67">
        <v>0</v>
      </c>
      <c r="AI8" s="67">
        <v>0</v>
      </c>
      <c r="AJ8" s="67">
        <v>0</v>
      </c>
      <c r="AK8" s="67">
        <v>0</v>
      </c>
      <c r="AL8" s="67">
        <v>0</v>
      </c>
      <c r="AM8" s="67">
        <v>0</v>
      </c>
      <c r="AN8" s="67">
        <v>9.9999999999999995E-7</v>
      </c>
      <c r="AO8" s="67">
        <v>0</v>
      </c>
      <c r="AP8" s="67">
        <v>0</v>
      </c>
      <c r="AQ8" s="67">
        <v>0</v>
      </c>
      <c r="AR8" s="67">
        <v>0</v>
      </c>
      <c r="AS8" s="67">
        <v>0</v>
      </c>
      <c r="AT8" s="67">
        <v>0</v>
      </c>
      <c r="AU8" s="67">
        <v>0</v>
      </c>
      <c r="AV8" s="67">
        <v>0</v>
      </c>
      <c r="AW8" s="67">
        <v>0</v>
      </c>
      <c r="AX8" s="67">
        <v>0</v>
      </c>
      <c r="AY8" s="67">
        <v>0</v>
      </c>
      <c r="AZ8" s="67">
        <v>0</v>
      </c>
      <c r="BA8" s="67">
        <v>0</v>
      </c>
      <c r="BB8" s="67">
        <v>0</v>
      </c>
      <c r="BC8" s="67">
        <v>0</v>
      </c>
      <c r="BD8" s="67">
        <v>0</v>
      </c>
      <c r="BE8" s="67">
        <v>0</v>
      </c>
      <c r="BF8" s="67">
        <v>0</v>
      </c>
      <c r="BG8" s="67">
        <v>0</v>
      </c>
      <c r="BH8" s="67">
        <v>0</v>
      </c>
      <c r="BI8" s="67">
        <v>0</v>
      </c>
      <c r="BJ8" s="67">
        <v>0</v>
      </c>
      <c r="BK8" s="67">
        <v>0</v>
      </c>
      <c r="BL8" s="67">
        <v>0</v>
      </c>
      <c r="BM8" s="67">
        <v>0</v>
      </c>
      <c r="BN8" s="67">
        <v>0</v>
      </c>
      <c r="BO8" s="67">
        <v>0</v>
      </c>
      <c r="BP8" s="67">
        <v>0</v>
      </c>
      <c r="BQ8" s="67">
        <v>0</v>
      </c>
      <c r="BR8" s="67">
        <v>0</v>
      </c>
      <c r="BS8" s="67">
        <v>0</v>
      </c>
      <c r="BT8" s="67">
        <v>0</v>
      </c>
      <c r="BU8" s="67">
        <v>0</v>
      </c>
      <c r="BV8" s="67">
        <v>0</v>
      </c>
      <c r="BW8" s="67">
        <v>0</v>
      </c>
      <c r="BX8" s="67">
        <v>0</v>
      </c>
      <c r="BY8" s="67">
        <v>0</v>
      </c>
      <c r="BZ8" s="67">
        <v>0</v>
      </c>
      <c r="CA8" s="67">
        <v>0</v>
      </c>
      <c r="CB8" s="67">
        <v>0</v>
      </c>
      <c r="CC8" s="67">
        <v>0</v>
      </c>
      <c r="CD8" s="67">
        <v>0</v>
      </c>
      <c r="CE8" s="67">
        <v>0</v>
      </c>
      <c r="CF8" s="67">
        <v>0</v>
      </c>
      <c r="CG8" s="67">
        <v>0</v>
      </c>
      <c r="CH8" s="67">
        <v>0</v>
      </c>
      <c r="CI8" s="67">
        <v>0</v>
      </c>
      <c r="CJ8" s="67">
        <v>0</v>
      </c>
      <c r="CK8" s="67">
        <v>0</v>
      </c>
      <c r="CL8" s="67">
        <v>0</v>
      </c>
      <c r="CM8" s="67">
        <v>0</v>
      </c>
      <c r="CN8" s="67">
        <v>0</v>
      </c>
      <c r="CO8" s="67">
        <v>0</v>
      </c>
      <c r="CP8" s="67">
        <v>0</v>
      </c>
      <c r="CQ8" s="67">
        <v>0</v>
      </c>
      <c r="CR8" s="67">
        <v>0</v>
      </c>
      <c r="CS8" s="67">
        <v>0</v>
      </c>
      <c r="CT8" s="67">
        <v>0</v>
      </c>
      <c r="CU8" s="67">
        <v>0</v>
      </c>
      <c r="CV8" s="67">
        <v>0</v>
      </c>
      <c r="CW8" s="67">
        <v>0</v>
      </c>
      <c r="CX8" s="67">
        <v>0</v>
      </c>
      <c r="CY8" s="67">
        <v>0</v>
      </c>
      <c r="CZ8" s="67">
        <v>0</v>
      </c>
      <c r="DA8" s="67">
        <v>0</v>
      </c>
      <c r="DB8" s="67">
        <v>0</v>
      </c>
      <c r="DC8" s="67">
        <v>0</v>
      </c>
      <c r="DD8" s="67">
        <v>0</v>
      </c>
      <c r="DE8" s="67">
        <v>0</v>
      </c>
      <c r="DF8" s="67">
        <v>0</v>
      </c>
      <c r="DG8" s="67">
        <v>0</v>
      </c>
      <c r="DH8" s="67">
        <v>1.9999999999999999E-6</v>
      </c>
      <c r="DI8" s="67">
        <v>9.9999999999999995E-7</v>
      </c>
      <c r="DJ8" s="67">
        <v>0</v>
      </c>
      <c r="DK8" s="67">
        <v>0</v>
      </c>
      <c r="DL8" s="67">
        <v>0</v>
      </c>
      <c r="DM8" s="67">
        <v>0</v>
      </c>
      <c r="DN8" s="67">
        <v>0</v>
      </c>
      <c r="DO8" s="67">
        <v>0</v>
      </c>
      <c r="DP8" s="67">
        <v>0</v>
      </c>
      <c r="DQ8" s="67">
        <v>0</v>
      </c>
      <c r="DR8" s="67">
        <v>0</v>
      </c>
      <c r="DS8" s="67">
        <v>0</v>
      </c>
      <c r="DT8" s="67">
        <v>9.9999999999999995E-7</v>
      </c>
      <c r="DU8" s="67">
        <v>0</v>
      </c>
      <c r="DV8" s="67">
        <v>0</v>
      </c>
      <c r="DW8" s="67">
        <v>0</v>
      </c>
      <c r="DX8" s="67">
        <v>0</v>
      </c>
      <c r="DY8" s="67">
        <v>0</v>
      </c>
      <c r="DZ8" s="67">
        <v>0</v>
      </c>
      <c r="EA8" s="67">
        <v>0</v>
      </c>
      <c r="EB8" s="67">
        <v>0</v>
      </c>
      <c r="EC8" s="67">
        <v>0</v>
      </c>
      <c r="ED8" s="67">
        <v>0</v>
      </c>
      <c r="EE8" s="67">
        <v>0</v>
      </c>
      <c r="EF8" s="67">
        <v>0</v>
      </c>
      <c r="EG8" s="67">
        <v>0</v>
      </c>
      <c r="EH8" s="67">
        <v>0</v>
      </c>
      <c r="EI8" s="67">
        <v>0</v>
      </c>
      <c r="EJ8" s="67">
        <v>0</v>
      </c>
      <c r="EK8" s="67">
        <v>0</v>
      </c>
      <c r="EL8" s="67">
        <v>0</v>
      </c>
      <c r="EM8" s="67">
        <v>0</v>
      </c>
      <c r="EN8" s="67">
        <v>0</v>
      </c>
      <c r="EO8" s="67">
        <v>0</v>
      </c>
      <c r="EP8" s="67">
        <v>0</v>
      </c>
      <c r="EQ8" s="67">
        <v>0</v>
      </c>
      <c r="ER8" s="67">
        <v>0</v>
      </c>
      <c r="ES8" s="67">
        <v>0</v>
      </c>
      <c r="ET8" s="67">
        <v>9.9999999999999995E-7</v>
      </c>
      <c r="EU8" s="67">
        <v>0</v>
      </c>
      <c r="EV8" s="67">
        <v>1.9999999999999999E-6</v>
      </c>
      <c r="EW8" s="67">
        <v>1.9999999999999999E-6</v>
      </c>
      <c r="EX8" s="67">
        <v>8.6000000000000003E-5</v>
      </c>
      <c r="EY8" s="67">
        <v>6.0000000000000002E-6</v>
      </c>
      <c r="EZ8" s="67">
        <v>3.9999999999999998E-6</v>
      </c>
      <c r="FA8" s="67">
        <v>9.9999999999999995E-7</v>
      </c>
      <c r="FB8" s="67">
        <v>3.0000000000000001E-6</v>
      </c>
      <c r="FC8" s="67">
        <v>0</v>
      </c>
      <c r="FD8" s="67">
        <v>6.0000000000000002E-6</v>
      </c>
      <c r="FE8" s="67">
        <v>0</v>
      </c>
      <c r="FF8" s="67">
        <v>3.0000000000000001E-6</v>
      </c>
      <c r="FG8" s="67">
        <v>1.9999999999999999E-6</v>
      </c>
      <c r="FH8" s="67">
        <v>0</v>
      </c>
      <c r="FI8" s="67">
        <v>0</v>
      </c>
      <c r="FJ8" s="67">
        <v>1.4E-5</v>
      </c>
      <c r="FK8" s="67">
        <v>9.9999999999999995E-7</v>
      </c>
      <c r="FL8" s="67">
        <v>0</v>
      </c>
      <c r="FM8" s="67">
        <v>0</v>
      </c>
      <c r="FN8" s="67">
        <v>9.9999999999999995E-7</v>
      </c>
      <c r="FO8" s="67">
        <v>1.4E-5</v>
      </c>
      <c r="FP8" s="67">
        <v>0</v>
      </c>
      <c r="FQ8" s="67">
        <v>2.5000000000000001E-5</v>
      </c>
      <c r="FR8" s="67">
        <v>6.9999999999999999E-6</v>
      </c>
      <c r="FS8" s="67">
        <v>3.8999999999999999E-4</v>
      </c>
      <c r="FT8" s="67">
        <v>6.4999999999999994E-5</v>
      </c>
      <c r="FU8" s="67">
        <v>3.1999999999999999E-5</v>
      </c>
      <c r="FV8" s="67">
        <v>9.0000000000000002E-6</v>
      </c>
      <c r="FW8" s="67">
        <v>3.4400000000000001E-4</v>
      </c>
      <c r="FX8" s="67">
        <v>4.0000000000000002E-4</v>
      </c>
      <c r="FY8" s="67">
        <v>1.3960000000000001E-3</v>
      </c>
      <c r="FZ8" s="67">
        <v>1.0000000000000001E-5</v>
      </c>
      <c r="GA8" s="67">
        <v>4.7199999999999998E-4</v>
      </c>
      <c r="GB8" s="67">
        <v>6.9999999999999999E-6</v>
      </c>
      <c r="GC8" s="67">
        <v>1.1E-5</v>
      </c>
      <c r="GD8" s="67">
        <v>2.0999999999999999E-5</v>
      </c>
      <c r="GE8" s="67">
        <v>3.4999999999999997E-5</v>
      </c>
      <c r="GF8" s="67">
        <v>2.5000000000000001E-5</v>
      </c>
      <c r="GG8" s="67">
        <v>0</v>
      </c>
      <c r="GH8" s="67">
        <v>0</v>
      </c>
      <c r="GI8" s="67">
        <v>2.0999999999999999E-5</v>
      </c>
      <c r="GJ8" s="67">
        <v>0</v>
      </c>
      <c r="GK8" s="67">
        <v>0</v>
      </c>
      <c r="GL8" s="67">
        <v>0</v>
      </c>
      <c r="GM8" s="67">
        <v>0</v>
      </c>
      <c r="GN8" s="67">
        <v>0</v>
      </c>
      <c r="GO8" s="67">
        <v>0</v>
      </c>
      <c r="GP8" s="67">
        <v>0</v>
      </c>
      <c r="GQ8" s="67">
        <v>0</v>
      </c>
      <c r="GR8" s="67">
        <v>0</v>
      </c>
      <c r="GS8" s="67">
        <v>0</v>
      </c>
      <c r="GT8" s="67">
        <v>0</v>
      </c>
      <c r="GU8" s="67">
        <v>0</v>
      </c>
      <c r="GV8" s="67">
        <v>0</v>
      </c>
      <c r="GW8" s="67">
        <v>0</v>
      </c>
      <c r="GX8" s="67">
        <v>0</v>
      </c>
      <c r="GY8" s="67">
        <v>0</v>
      </c>
      <c r="GZ8" s="67">
        <v>0</v>
      </c>
      <c r="HA8" s="67">
        <v>0</v>
      </c>
      <c r="HB8" s="67">
        <v>0</v>
      </c>
      <c r="HC8" s="67">
        <v>0</v>
      </c>
      <c r="HD8" s="67">
        <v>0</v>
      </c>
      <c r="HE8" s="67">
        <v>0</v>
      </c>
      <c r="HF8" s="67">
        <v>0</v>
      </c>
      <c r="HG8" s="67">
        <v>0</v>
      </c>
      <c r="HH8" s="67">
        <v>0</v>
      </c>
      <c r="HI8" s="67">
        <v>0</v>
      </c>
      <c r="HJ8" s="67">
        <v>0</v>
      </c>
      <c r="HK8" s="67">
        <v>0</v>
      </c>
      <c r="HL8" s="67">
        <v>0</v>
      </c>
      <c r="HM8" s="67">
        <v>0</v>
      </c>
      <c r="HN8" s="67">
        <v>0</v>
      </c>
      <c r="HO8" s="67">
        <v>0</v>
      </c>
      <c r="HP8" s="67">
        <v>0</v>
      </c>
      <c r="HQ8" s="67">
        <v>0</v>
      </c>
      <c r="HR8" s="67">
        <v>0</v>
      </c>
      <c r="HS8" s="67">
        <v>0</v>
      </c>
      <c r="HT8" s="67">
        <v>0</v>
      </c>
      <c r="HU8" s="67">
        <v>0</v>
      </c>
      <c r="HV8" s="67">
        <v>0</v>
      </c>
      <c r="HW8" s="67">
        <v>0</v>
      </c>
      <c r="HX8" s="67">
        <v>0</v>
      </c>
      <c r="HY8" s="67">
        <v>0</v>
      </c>
      <c r="HZ8" s="67"/>
      <c r="IA8" s="67"/>
      <c r="IB8" s="67"/>
      <c r="IC8" s="67"/>
      <c r="ID8" s="67"/>
      <c r="IE8" s="67"/>
      <c r="IF8" s="67"/>
      <c r="IG8" s="67"/>
      <c r="IH8" s="67"/>
      <c r="II8" s="67"/>
      <c r="IJ8" s="67"/>
      <c r="IK8" s="67"/>
      <c r="IL8" s="67"/>
      <c r="IM8" s="67"/>
      <c r="IN8" s="67"/>
      <c r="IO8" s="67"/>
      <c r="IP8" s="67"/>
      <c r="IQ8" s="67"/>
      <c r="IR8" s="67"/>
      <c r="IS8" s="67"/>
      <c r="IT8" s="67"/>
      <c r="IU8" s="67"/>
      <c r="IV8" s="67"/>
      <c r="IW8" s="67"/>
      <c r="IX8" s="67"/>
      <c r="IY8" s="67"/>
      <c r="IZ8" s="67"/>
      <c r="JA8" s="67"/>
      <c r="JB8" s="67"/>
      <c r="JC8" s="67"/>
      <c r="JD8" s="67"/>
      <c r="JE8" s="67"/>
      <c r="JF8" s="67"/>
      <c r="JG8" s="67"/>
      <c r="JH8" s="67"/>
      <c r="JI8" s="67"/>
      <c r="JJ8" s="67"/>
      <c r="JK8" s="67"/>
      <c r="JL8" s="67"/>
      <c r="JM8" s="67"/>
      <c r="JN8" s="67"/>
      <c r="JO8" s="67"/>
      <c r="JP8" s="67"/>
      <c r="JQ8" s="67"/>
    </row>
    <row r="9" spans="1:277">
      <c r="A9" s="68" t="s">
        <v>101</v>
      </c>
      <c r="B9" s="69" t="s">
        <v>15</v>
      </c>
      <c r="C9" s="70">
        <v>1.1061E-2</v>
      </c>
      <c r="D9" s="70">
        <v>0</v>
      </c>
      <c r="E9" s="70">
        <v>1.8218999999999999E-2</v>
      </c>
      <c r="F9" s="70">
        <v>2.0709999999999999E-2</v>
      </c>
      <c r="G9" s="70">
        <v>3.4765999999999998E-2</v>
      </c>
      <c r="H9" s="70">
        <v>0.39279599999999998</v>
      </c>
      <c r="I9" s="70">
        <v>1.9848999999999999E-2</v>
      </c>
      <c r="J9" s="70">
        <v>2.0688999999999999E-2</v>
      </c>
      <c r="K9" s="70">
        <v>5.0590000000000001E-3</v>
      </c>
      <c r="L9" s="70">
        <v>5.3178999999999997E-2</v>
      </c>
      <c r="M9" s="70">
        <v>2.4416E-2</v>
      </c>
      <c r="N9" s="70">
        <v>1.9819999999999998E-3</v>
      </c>
      <c r="O9" s="70">
        <v>2.5217E-2</v>
      </c>
      <c r="P9" s="70">
        <v>1.5299E-2</v>
      </c>
      <c r="Q9" s="70">
        <v>1.029E-3</v>
      </c>
      <c r="R9" s="70">
        <v>2.9239999999999999E-2</v>
      </c>
      <c r="S9" s="70">
        <v>1.585E-3</v>
      </c>
      <c r="T9" s="70">
        <v>1.75E-4</v>
      </c>
      <c r="U9" s="70">
        <v>2.372E-3</v>
      </c>
      <c r="V9" s="70">
        <v>1.725E-3</v>
      </c>
      <c r="W9" s="70">
        <v>2.7945999999999999E-2</v>
      </c>
      <c r="X9" s="70">
        <v>1.426E-3</v>
      </c>
      <c r="Y9" s="70">
        <v>0</v>
      </c>
      <c r="Z9" s="70">
        <v>6.7999999999999999E-5</v>
      </c>
      <c r="AA9" s="70">
        <v>4.2000000000000002E-4</v>
      </c>
      <c r="AB9" s="70">
        <v>6.3400000000000001E-4</v>
      </c>
      <c r="AC9" s="70">
        <v>4.6899999999999997E-3</v>
      </c>
      <c r="AD9" s="70">
        <v>4.3399999999999998E-4</v>
      </c>
      <c r="AE9" s="70">
        <v>1.16E-4</v>
      </c>
      <c r="AF9" s="70">
        <v>2.7799999999999998E-4</v>
      </c>
      <c r="AG9" s="70">
        <v>2.3699999999999999E-4</v>
      </c>
      <c r="AH9" s="70">
        <v>4.57E-4</v>
      </c>
      <c r="AI9" s="70">
        <v>1.4E-5</v>
      </c>
      <c r="AJ9" s="70">
        <v>1.47E-4</v>
      </c>
      <c r="AK9" s="70">
        <v>1.7E-5</v>
      </c>
      <c r="AL9" s="70">
        <v>3.6000000000000001E-5</v>
      </c>
      <c r="AM9" s="70">
        <v>9.0000000000000002E-6</v>
      </c>
      <c r="AN9" s="70">
        <v>3.3000000000000003E-5</v>
      </c>
      <c r="AO9" s="70">
        <v>1.9999999999999999E-6</v>
      </c>
      <c r="AP9" s="70">
        <v>9.0000000000000002E-6</v>
      </c>
      <c r="AQ9" s="70">
        <v>6.9999999999999999E-6</v>
      </c>
      <c r="AR9" s="70">
        <v>3.8000000000000002E-5</v>
      </c>
      <c r="AS9" s="70">
        <v>0</v>
      </c>
      <c r="AT9" s="70">
        <v>0</v>
      </c>
      <c r="AU9" s="70">
        <v>0</v>
      </c>
      <c r="AV9" s="70">
        <v>0</v>
      </c>
      <c r="AW9" s="70">
        <v>0</v>
      </c>
      <c r="AX9" s="70">
        <v>3.0000000000000001E-6</v>
      </c>
      <c r="AY9" s="70">
        <v>0</v>
      </c>
      <c r="AZ9" s="70">
        <v>0</v>
      </c>
      <c r="BA9" s="70">
        <v>0</v>
      </c>
      <c r="BB9" s="70">
        <v>0</v>
      </c>
      <c r="BC9" s="70">
        <v>0</v>
      </c>
      <c r="BD9" s="70">
        <v>0</v>
      </c>
      <c r="BE9" s="70">
        <v>0</v>
      </c>
      <c r="BF9" s="70">
        <v>0</v>
      </c>
      <c r="BG9" s="70">
        <v>0</v>
      </c>
      <c r="BH9" s="70">
        <v>0</v>
      </c>
      <c r="BI9" s="70">
        <v>0</v>
      </c>
      <c r="BJ9" s="70">
        <v>0</v>
      </c>
      <c r="BK9" s="70">
        <v>0</v>
      </c>
      <c r="BL9" s="70">
        <v>0</v>
      </c>
      <c r="BM9" s="70">
        <v>0</v>
      </c>
      <c r="BN9" s="70">
        <v>9.9999999999999995E-7</v>
      </c>
      <c r="BO9" s="70">
        <v>0</v>
      </c>
      <c r="BP9" s="70">
        <v>0</v>
      </c>
      <c r="BQ9" s="70">
        <v>9.9999999999999995E-7</v>
      </c>
      <c r="BR9" s="70">
        <v>9.9999999999999995E-7</v>
      </c>
      <c r="BS9" s="70">
        <v>1.1E-5</v>
      </c>
      <c r="BT9" s="70">
        <v>9.9999999999999995E-7</v>
      </c>
      <c r="BU9" s="70">
        <v>0</v>
      </c>
      <c r="BV9" s="70">
        <v>0</v>
      </c>
      <c r="BW9" s="70">
        <v>9.9999999999999995E-7</v>
      </c>
      <c r="BX9" s="70">
        <v>9.9999999999999995E-7</v>
      </c>
      <c r="BY9" s="70">
        <v>0</v>
      </c>
      <c r="BZ9" s="70">
        <v>0</v>
      </c>
      <c r="CA9" s="70">
        <v>0</v>
      </c>
      <c r="CB9" s="70">
        <v>0</v>
      </c>
      <c r="CC9" s="70">
        <v>0</v>
      </c>
      <c r="CD9" s="70">
        <v>0</v>
      </c>
      <c r="CE9" s="70">
        <v>0</v>
      </c>
      <c r="CF9" s="70">
        <v>0</v>
      </c>
      <c r="CG9" s="70">
        <v>0</v>
      </c>
      <c r="CH9" s="70">
        <v>0</v>
      </c>
      <c r="CI9" s="70">
        <v>3.0000000000000001E-6</v>
      </c>
      <c r="CJ9" s="70">
        <v>0</v>
      </c>
      <c r="CK9" s="70">
        <v>9.9999999999999995E-7</v>
      </c>
      <c r="CL9" s="70">
        <v>9.0000000000000002E-6</v>
      </c>
      <c r="CM9" s="70">
        <v>3.0000000000000001E-6</v>
      </c>
      <c r="CN9" s="70">
        <v>3.6000000000000001E-5</v>
      </c>
      <c r="CO9" s="70">
        <v>1.9999999999999999E-6</v>
      </c>
      <c r="CP9" s="70">
        <v>9.9999999999999995E-7</v>
      </c>
      <c r="CQ9" s="70">
        <v>9.9999999999999995E-7</v>
      </c>
      <c r="CR9" s="70">
        <v>9.9999999999999995E-7</v>
      </c>
      <c r="CS9" s="70">
        <v>1.9999999999999999E-6</v>
      </c>
      <c r="CT9" s="70">
        <v>0</v>
      </c>
      <c r="CU9" s="70">
        <v>0</v>
      </c>
      <c r="CV9" s="70">
        <v>0</v>
      </c>
      <c r="CW9" s="70">
        <v>0</v>
      </c>
      <c r="CX9" s="70">
        <v>0</v>
      </c>
      <c r="CY9" s="70">
        <v>0</v>
      </c>
      <c r="CZ9" s="70">
        <v>0</v>
      </c>
      <c r="DA9" s="70">
        <v>0</v>
      </c>
      <c r="DB9" s="70">
        <v>0</v>
      </c>
      <c r="DC9" s="70">
        <v>0</v>
      </c>
      <c r="DD9" s="70">
        <v>1.5799999999999999E-4</v>
      </c>
      <c r="DE9" s="70">
        <v>0</v>
      </c>
      <c r="DF9" s="70">
        <v>1.9000000000000001E-5</v>
      </c>
      <c r="DG9" s="70">
        <v>1.94E-4</v>
      </c>
      <c r="DH9" s="70">
        <v>1.5300000000000001E-4</v>
      </c>
      <c r="DI9" s="70">
        <v>1.8619999999999999E-3</v>
      </c>
      <c r="DJ9" s="70">
        <v>7.2999999999999999E-5</v>
      </c>
      <c r="DK9" s="70">
        <v>4.1999999999999998E-5</v>
      </c>
      <c r="DL9" s="70">
        <v>7.2000000000000002E-5</v>
      </c>
      <c r="DM9" s="70">
        <v>1.15E-4</v>
      </c>
      <c r="DN9" s="70">
        <v>1.4100000000000001E-4</v>
      </c>
      <c r="DO9" s="70">
        <v>1.0000000000000001E-5</v>
      </c>
      <c r="DP9" s="70">
        <v>3.6999999999999998E-5</v>
      </c>
      <c r="DQ9" s="70">
        <v>3.9999999999999998E-6</v>
      </c>
      <c r="DR9" s="70">
        <v>1.0000000000000001E-5</v>
      </c>
      <c r="DS9" s="70">
        <v>5.0000000000000004E-6</v>
      </c>
      <c r="DT9" s="70">
        <v>1.9000000000000001E-5</v>
      </c>
      <c r="DU9" s="70">
        <v>9.9999999999999995E-7</v>
      </c>
      <c r="DV9" s="70">
        <v>1.4E-5</v>
      </c>
      <c r="DW9" s="70">
        <v>1.0000000000000001E-5</v>
      </c>
      <c r="DX9" s="70">
        <v>2.3E-5</v>
      </c>
      <c r="DY9" s="70">
        <v>0</v>
      </c>
      <c r="DZ9" s="70">
        <v>0</v>
      </c>
      <c r="EA9" s="70">
        <v>0</v>
      </c>
      <c r="EB9" s="70">
        <v>0</v>
      </c>
      <c r="EC9" s="70">
        <v>0</v>
      </c>
      <c r="ED9" s="70">
        <v>9.9999999999999995E-7</v>
      </c>
      <c r="EE9" s="70">
        <v>0</v>
      </c>
      <c r="EF9" s="70">
        <v>0</v>
      </c>
      <c r="EG9" s="70">
        <v>0</v>
      </c>
      <c r="EH9" s="70">
        <v>0</v>
      </c>
      <c r="EI9" s="70">
        <v>0</v>
      </c>
      <c r="EJ9" s="70">
        <v>0</v>
      </c>
      <c r="EK9" s="70">
        <v>0</v>
      </c>
      <c r="EL9" s="70">
        <v>0</v>
      </c>
      <c r="EM9" s="70">
        <v>0</v>
      </c>
      <c r="EN9" s="70">
        <v>0</v>
      </c>
      <c r="EO9" s="70">
        <v>0</v>
      </c>
      <c r="EP9" s="70">
        <v>0</v>
      </c>
      <c r="EQ9" s="70">
        <v>0</v>
      </c>
      <c r="ER9" s="70">
        <v>0</v>
      </c>
      <c r="ES9" s="70">
        <v>0</v>
      </c>
      <c r="ET9" s="70">
        <v>3.9999999999999998E-6</v>
      </c>
      <c r="EU9" s="70">
        <v>0</v>
      </c>
      <c r="EV9" s="70">
        <v>1.9999999999999999E-6</v>
      </c>
      <c r="EW9" s="70">
        <v>1.9999999999999999E-6</v>
      </c>
      <c r="EX9" s="70">
        <v>3.9999999999999998E-6</v>
      </c>
      <c r="EY9" s="70">
        <v>3.6000000000000001E-5</v>
      </c>
      <c r="EZ9" s="70">
        <v>1.9999999999999999E-6</v>
      </c>
      <c r="FA9" s="70">
        <v>9.9999999999999995E-7</v>
      </c>
      <c r="FB9" s="70">
        <v>1.9999999999999999E-6</v>
      </c>
      <c r="FC9" s="70">
        <v>9.9999999999999995E-7</v>
      </c>
      <c r="FD9" s="70">
        <v>6.0000000000000002E-6</v>
      </c>
      <c r="FE9" s="70">
        <v>0</v>
      </c>
      <c r="FF9" s="70">
        <v>9.9999999999999995E-7</v>
      </c>
      <c r="FG9" s="70">
        <v>0</v>
      </c>
      <c r="FH9" s="70">
        <v>9.9999999999999995E-7</v>
      </c>
      <c r="FI9" s="70">
        <v>0</v>
      </c>
      <c r="FJ9" s="70">
        <v>9.9999999999999995E-7</v>
      </c>
      <c r="FK9" s="70">
        <v>0</v>
      </c>
      <c r="FL9" s="70">
        <v>0</v>
      </c>
      <c r="FM9" s="70">
        <v>0</v>
      </c>
      <c r="FN9" s="70">
        <v>1.9999999999999999E-6</v>
      </c>
      <c r="FO9" s="70">
        <v>2.4000000000000001E-4</v>
      </c>
      <c r="FP9" s="70">
        <v>0</v>
      </c>
      <c r="FQ9" s="70">
        <v>1.93E-4</v>
      </c>
      <c r="FR9" s="70">
        <v>3.8499999999999998E-4</v>
      </c>
      <c r="FS9" s="70">
        <v>1.2899999999999999E-4</v>
      </c>
      <c r="FT9" s="70">
        <v>1.7329999999999999E-3</v>
      </c>
      <c r="FU9" s="70">
        <v>1.6699999999999999E-4</v>
      </c>
      <c r="FV9" s="70">
        <v>2.1000000000000001E-4</v>
      </c>
      <c r="FW9" s="70">
        <v>1.92E-4</v>
      </c>
      <c r="FX9" s="70">
        <v>3.0299999999999999E-4</v>
      </c>
      <c r="FY9" s="70">
        <v>1.3200000000000001E-4</v>
      </c>
      <c r="FZ9" s="70">
        <v>7.3999999999999996E-5</v>
      </c>
      <c r="GA9" s="70">
        <v>1.8100000000000001E-4</v>
      </c>
      <c r="GB9" s="70">
        <v>3.6000000000000001E-5</v>
      </c>
      <c r="GC9" s="70">
        <v>2.52E-4</v>
      </c>
      <c r="GD9" s="70">
        <v>1.1E-4</v>
      </c>
      <c r="GE9" s="70">
        <v>8.2999999999999998E-5</v>
      </c>
      <c r="GF9" s="70">
        <v>3.0000000000000001E-6</v>
      </c>
      <c r="GG9" s="70">
        <v>0</v>
      </c>
      <c r="GH9" s="70">
        <v>0</v>
      </c>
      <c r="GI9" s="70">
        <v>4.1999999999999998E-5</v>
      </c>
      <c r="GJ9" s="70">
        <v>0</v>
      </c>
      <c r="GK9" s="70">
        <v>0</v>
      </c>
      <c r="GL9" s="70">
        <v>0</v>
      </c>
      <c r="GM9" s="70">
        <v>0</v>
      </c>
      <c r="GN9" s="70">
        <v>0</v>
      </c>
      <c r="GO9" s="70">
        <v>0</v>
      </c>
      <c r="GP9" s="70">
        <v>0</v>
      </c>
      <c r="GQ9" s="70">
        <v>0</v>
      </c>
      <c r="GR9" s="70">
        <v>0</v>
      </c>
      <c r="GS9" s="70">
        <v>0</v>
      </c>
      <c r="GT9" s="70">
        <v>0</v>
      </c>
      <c r="GU9" s="70">
        <v>0</v>
      </c>
      <c r="GV9" s="70">
        <v>0</v>
      </c>
      <c r="GW9" s="70">
        <v>0</v>
      </c>
      <c r="GX9" s="70">
        <v>0</v>
      </c>
      <c r="GY9" s="70">
        <v>0</v>
      </c>
      <c r="GZ9" s="70">
        <v>0</v>
      </c>
      <c r="HA9" s="70">
        <v>0</v>
      </c>
      <c r="HB9" s="70">
        <v>0</v>
      </c>
      <c r="HC9" s="70">
        <v>0</v>
      </c>
      <c r="HD9" s="70">
        <v>0</v>
      </c>
      <c r="HE9" s="70">
        <v>1.0000000000000001E-5</v>
      </c>
      <c r="HF9" s="70">
        <v>0</v>
      </c>
      <c r="HG9" s="70">
        <v>1.9999999999999999E-6</v>
      </c>
      <c r="HH9" s="70">
        <v>4.8999999999999998E-5</v>
      </c>
      <c r="HI9" s="70">
        <v>1.2E-5</v>
      </c>
      <c r="HJ9" s="70">
        <v>1.37E-4</v>
      </c>
      <c r="HK9" s="70">
        <v>1.2E-5</v>
      </c>
      <c r="HL9" s="70">
        <v>6.9999999999999999E-6</v>
      </c>
      <c r="HM9" s="70">
        <v>3.9999999999999998E-6</v>
      </c>
      <c r="HN9" s="70">
        <v>6.0000000000000002E-6</v>
      </c>
      <c r="HO9" s="70">
        <v>1.4E-5</v>
      </c>
      <c r="HP9" s="70">
        <v>9.9999999999999995E-7</v>
      </c>
      <c r="HQ9" s="70">
        <v>9.9999999999999995E-7</v>
      </c>
      <c r="HR9" s="70">
        <v>9.9999999999999995E-7</v>
      </c>
      <c r="HS9" s="70">
        <v>0</v>
      </c>
      <c r="HT9" s="70">
        <v>0</v>
      </c>
      <c r="HU9" s="70">
        <v>0</v>
      </c>
      <c r="HV9" s="70">
        <v>0</v>
      </c>
      <c r="HW9" s="70">
        <v>0</v>
      </c>
      <c r="HX9" s="70">
        <v>0</v>
      </c>
      <c r="HY9" s="70">
        <v>0</v>
      </c>
      <c r="HZ9" s="70"/>
      <c r="IA9" s="70"/>
      <c r="IB9" s="70"/>
      <c r="IC9" s="70"/>
      <c r="ID9" s="70"/>
      <c r="IE9" s="70"/>
      <c r="IF9" s="70"/>
      <c r="IG9" s="70"/>
      <c r="IH9" s="70"/>
      <c r="II9" s="70"/>
      <c r="IJ9" s="70"/>
      <c r="IK9" s="70"/>
      <c r="IL9" s="70"/>
      <c r="IM9" s="70"/>
      <c r="IN9" s="70"/>
      <c r="IO9" s="70"/>
      <c r="IP9" s="70"/>
      <c r="IQ9" s="70"/>
      <c r="IR9" s="70"/>
      <c r="IS9" s="70"/>
      <c r="IT9" s="70"/>
      <c r="IU9" s="70"/>
      <c r="IV9" s="70"/>
      <c r="IW9" s="70"/>
      <c r="IX9" s="70"/>
      <c r="IY9" s="70"/>
      <c r="IZ9" s="70"/>
      <c r="JA9" s="70"/>
      <c r="JB9" s="70"/>
      <c r="JC9" s="70"/>
      <c r="JD9" s="70"/>
      <c r="JE9" s="70"/>
      <c r="JF9" s="70"/>
      <c r="JG9" s="70"/>
      <c r="JH9" s="70"/>
      <c r="JI9" s="70"/>
      <c r="JJ9" s="70"/>
      <c r="JK9" s="70"/>
      <c r="JL9" s="70"/>
      <c r="JM9" s="70"/>
      <c r="JN9" s="70"/>
      <c r="JO9" s="70"/>
      <c r="JP9" s="70"/>
      <c r="JQ9" s="70"/>
    </row>
    <row r="10" spans="1:277">
      <c r="A10" s="65" t="s">
        <v>102</v>
      </c>
      <c r="B10" s="66" t="s">
        <v>16</v>
      </c>
      <c r="C10" s="67">
        <v>5.8299999999999997E-4</v>
      </c>
      <c r="D10" s="67">
        <v>0</v>
      </c>
      <c r="E10" s="67">
        <v>3.8499999999999998E-4</v>
      </c>
      <c r="F10" s="67">
        <v>0</v>
      </c>
      <c r="G10" s="67">
        <v>1.9100000000000001E-4</v>
      </c>
      <c r="H10" s="67">
        <v>3.7299999999999998E-3</v>
      </c>
      <c r="I10" s="67">
        <v>1.6954E-2</v>
      </c>
      <c r="J10" s="67">
        <v>0</v>
      </c>
      <c r="K10" s="67">
        <v>1.6949999999999999E-3</v>
      </c>
      <c r="L10" s="67">
        <v>7.1349999999999998E-3</v>
      </c>
      <c r="M10" s="67">
        <v>4.8899999999999996E-4</v>
      </c>
      <c r="N10" s="67">
        <v>2.3699999999999999E-4</v>
      </c>
      <c r="O10" s="67">
        <v>8.1223000000000004E-2</v>
      </c>
      <c r="P10" s="67">
        <v>3.8999999999999999E-5</v>
      </c>
      <c r="Q10" s="67">
        <v>3.3000000000000003E-5</v>
      </c>
      <c r="R10" s="67">
        <v>1.057E-3</v>
      </c>
      <c r="S10" s="67">
        <v>0</v>
      </c>
      <c r="T10" s="67">
        <v>0</v>
      </c>
      <c r="U10" s="67">
        <v>4.3999999999999999E-5</v>
      </c>
      <c r="V10" s="67">
        <v>3.1999999999999999E-5</v>
      </c>
      <c r="W10" s="67">
        <v>1.034E-3</v>
      </c>
      <c r="X10" s="67">
        <v>0</v>
      </c>
      <c r="Y10" s="67">
        <v>0</v>
      </c>
      <c r="Z10" s="67">
        <v>0</v>
      </c>
      <c r="AA10" s="67">
        <v>0</v>
      </c>
      <c r="AB10" s="67">
        <v>0</v>
      </c>
      <c r="AC10" s="67">
        <v>0</v>
      </c>
      <c r="AD10" s="67">
        <v>0</v>
      </c>
      <c r="AE10" s="67">
        <v>0</v>
      </c>
      <c r="AF10" s="67">
        <v>0</v>
      </c>
      <c r="AG10" s="67">
        <v>0</v>
      </c>
      <c r="AH10" s="67">
        <v>0</v>
      </c>
      <c r="AI10" s="67">
        <v>0</v>
      </c>
      <c r="AJ10" s="67">
        <v>0</v>
      </c>
      <c r="AK10" s="67">
        <v>0</v>
      </c>
      <c r="AL10" s="67">
        <v>0</v>
      </c>
      <c r="AM10" s="67">
        <v>0</v>
      </c>
      <c r="AN10" s="67">
        <v>0</v>
      </c>
      <c r="AO10" s="67">
        <v>0</v>
      </c>
      <c r="AP10" s="67">
        <v>0</v>
      </c>
      <c r="AQ10" s="67">
        <v>0</v>
      </c>
      <c r="AR10" s="67">
        <v>0</v>
      </c>
      <c r="AS10" s="67">
        <v>0</v>
      </c>
      <c r="AT10" s="67">
        <v>0</v>
      </c>
      <c r="AU10" s="67">
        <v>0</v>
      </c>
      <c r="AV10" s="67">
        <v>0</v>
      </c>
      <c r="AW10" s="67">
        <v>0</v>
      </c>
      <c r="AX10" s="67">
        <v>0</v>
      </c>
      <c r="AY10" s="67">
        <v>0</v>
      </c>
      <c r="AZ10" s="67">
        <v>0</v>
      </c>
      <c r="BA10" s="67">
        <v>0</v>
      </c>
      <c r="BB10" s="67">
        <v>0</v>
      </c>
      <c r="BC10" s="67">
        <v>0</v>
      </c>
      <c r="BD10" s="67">
        <v>0</v>
      </c>
      <c r="BE10" s="67">
        <v>0</v>
      </c>
      <c r="BF10" s="67">
        <v>0</v>
      </c>
      <c r="BG10" s="67">
        <v>0</v>
      </c>
      <c r="BH10" s="67">
        <v>0</v>
      </c>
      <c r="BI10" s="67">
        <v>0</v>
      </c>
      <c r="BJ10" s="67">
        <v>0</v>
      </c>
      <c r="BK10" s="67">
        <v>0</v>
      </c>
      <c r="BL10" s="67">
        <v>0</v>
      </c>
      <c r="BM10" s="67">
        <v>0</v>
      </c>
      <c r="BN10" s="67">
        <v>0</v>
      </c>
      <c r="BO10" s="67">
        <v>0</v>
      </c>
      <c r="BP10" s="67">
        <v>0</v>
      </c>
      <c r="BQ10" s="67">
        <v>0</v>
      </c>
      <c r="BR10" s="67">
        <v>0</v>
      </c>
      <c r="BS10" s="67">
        <v>0</v>
      </c>
      <c r="BT10" s="67">
        <v>0</v>
      </c>
      <c r="BU10" s="67">
        <v>0</v>
      </c>
      <c r="BV10" s="67">
        <v>0</v>
      </c>
      <c r="BW10" s="67">
        <v>0</v>
      </c>
      <c r="BX10" s="67">
        <v>0</v>
      </c>
      <c r="BY10" s="67">
        <v>0</v>
      </c>
      <c r="BZ10" s="67">
        <v>0</v>
      </c>
      <c r="CA10" s="67">
        <v>0</v>
      </c>
      <c r="CB10" s="67">
        <v>0</v>
      </c>
      <c r="CC10" s="67">
        <v>0</v>
      </c>
      <c r="CD10" s="67">
        <v>0</v>
      </c>
      <c r="CE10" s="67">
        <v>0</v>
      </c>
      <c r="CF10" s="67">
        <v>0</v>
      </c>
      <c r="CG10" s="67">
        <v>0</v>
      </c>
      <c r="CH10" s="67">
        <v>0</v>
      </c>
      <c r="CI10" s="67">
        <v>0</v>
      </c>
      <c r="CJ10" s="67">
        <v>0</v>
      </c>
      <c r="CK10" s="67">
        <v>0</v>
      </c>
      <c r="CL10" s="67">
        <v>0</v>
      </c>
      <c r="CM10" s="67">
        <v>0</v>
      </c>
      <c r="CN10" s="67">
        <v>0</v>
      </c>
      <c r="CO10" s="67">
        <v>0</v>
      </c>
      <c r="CP10" s="67">
        <v>0</v>
      </c>
      <c r="CQ10" s="67">
        <v>0</v>
      </c>
      <c r="CR10" s="67">
        <v>0</v>
      </c>
      <c r="CS10" s="67">
        <v>0</v>
      </c>
      <c r="CT10" s="67">
        <v>0</v>
      </c>
      <c r="CU10" s="67">
        <v>0</v>
      </c>
      <c r="CV10" s="67">
        <v>0</v>
      </c>
      <c r="CW10" s="67">
        <v>0</v>
      </c>
      <c r="CX10" s="67">
        <v>0</v>
      </c>
      <c r="CY10" s="67">
        <v>0</v>
      </c>
      <c r="CZ10" s="67">
        <v>0</v>
      </c>
      <c r="DA10" s="67">
        <v>0</v>
      </c>
      <c r="DB10" s="67">
        <v>0</v>
      </c>
      <c r="DC10" s="67">
        <v>0</v>
      </c>
      <c r="DD10" s="67">
        <v>0</v>
      </c>
      <c r="DE10" s="67">
        <v>0</v>
      </c>
      <c r="DF10" s="67">
        <v>0</v>
      </c>
      <c r="DG10" s="67">
        <v>0</v>
      </c>
      <c r="DH10" s="67">
        <v>0</v>
      </c>
      <c r="DI10" s="67">
        <v>0</v>
      </c>
      <c r="DJ10" s="67">
        <v>0</v>
      </c>
      <c r="DK10" s="67">
        <v>0</v>
      </c>
      <c r="DL10" s="67">
        <v>0</v>
      </c>
      <c r="DM10" s="67">
        <v>0</v>
      </c>
      <c r="DN10" s="67">
        <v>0</v>
      </c>
      <c r="DO10" s="67">
        <v>0</v>
      </c>
      <c r="DP10" s="67">
        <v>0</v>
      </c>
      <c r="DQ10" s="67">
        <v>0</v>
      </c>
      <c r="DR10" s="67">
        <v>0</v>
      </c>
      <c r="DS10" s="67">
        <v>0</v>
      </c>
      <c r="DT10" s="67">
        <v>0</v>
      </c>
      <c r="DU10" s="67">
        <v>0</v>
      </c>
      <c r="DV10" s="67">
        <v>0</v>
      </c>
      <c r="DW10" s="67">
        <v>0</v>
      </c>
      <c r="DX10" s="67">
        <v>0</v>
      </c>
      <c r="DY10" s="67">
        <v>0</v>
      </c>
      <c r="DZ10" s="67">
        <v>0</v>
      </c>
      <c r="EA10" s="67">
        <v>0</v>
      </c>
      <c r="EB10" s="67">
        <v>0</v>
      </c>
      <c r="EC10" s="67">
        <v>0</v>
      </c>
      <c r="ED10" s="67">
        <v>0</v>
      </c>
      <c r="EE10" s="67">
        <v>0</v>
      </c>
      <c r="EF10" s="67">
        <v>0</v>
      </c>
      <c r="EG10" s="67">
        <v>0</v>
      </c>
      <c r="EH10" s="67">
        <v>0</v>
      </c>
      <c r="EI10" s="67">
        <v>0</v>
      </c>
      <c r="EJ10" s="67">
        <v>0</v>
      </c>
      <c r="EK10" s="67">
        <v>0</v>
      </c>
      <c r="EL10" s="67">
        <v>0</v>
      </c>
      <c r="EM10" s="67">
        <v>0</v>
      </c>
      <c r="EN10" s="67">
        <v>0</v>
      </c>
      <c r="EO10" s="67">
        <v>0</v>
      </c>
      <c r="EP10" s="67">
        <v>0</v>
      </c>
      <c r="EQ10" s="67">
        <v>0</v>
      </c>
      <c r="ER10" s="67">
        <v>0</v>
      </c>
      <c r="ES10" s="67">
        <v>0</v>
      </c>
      <c r="ET10" s="67">
        <v>0</v>
      </c>
      <c r="EU10" s="67">
        <v>0</v>
      </c>
      <c r="EV10" s="67">
        <v>0</v>
      </c>
      <c r="EW10" s="67">
        <v>0</v>
      </c>
      <c r="EX10" s="67">
        <v>0</v>
      </c>
      <c r="EY10" s="67">
        <v>0</v>
      </c>
      <c r="EZ10" s="67">
        <v>5.0000000000000004E-6</v>
      </c>
      <c r="FA10" s="67">
        <v>0</v>
      </c>
      <c r="FB10" s="67">
        <v>0</v>
      </c>
      <c r="FC10" s="67">
        <v>0</v>
      </c>
      <c r="FD10" s="67">
        <v>0</v>
      </c>
      <c r="FE10" s="67">
        <v>0</v>
      </c>
      <c r="FF10" s="67">
        <v>9.9999999999999995E-7</v>
      </c>
      <c r="FG10" s="67">
        <v>0</v>
      </c>
      <c r="FH10" s="67">
        <v>0</v>
      </c>
      <c r="FI10" s="67">
        <v>0</v>
      </c>
      <c r="FJ10" s="67">
        <v>0</v>
      </c>
      <c r="FK10" s="67">
        <v>0</v>
      </c>
      <c r="FL10" s="67">
        <v>0</v>
      </c>
      <c r="FM10" s="67">
        <v>0</v>
      </c>
      <c r="FN10" s="67">
        <v>0</v>
      </c>
      <c r="FO10" s="67">
        <v>0</v>
      </c>
      <c r="FP10" s="67">
        <v>0</v>
      </c>
      <c r="FQ10" s="67">
        <v>5.0000000000000004E-6</v>
      </c>
      <c r="FR10" s="67">
        <v>1.9999999999999999E-6</v>
      </c>
      <c r="FS10" s="67">
        <v>6.9999999999999999E-6</v>
      </c>
      <c r="FT10" s="67">
        <v>1.9000000000000001E-5</v>
      </c>
      <c r="FU10" s="67">
        <v>2.5999999999999998E-5</v>
      </c>
      <c r="FV10" s="67">
        <v>3.9999999999999998E-6</v>
      </c>
      <c r="FW10" s="67">
        <v>1.0000000000000001E-5</v>
      </c>
      <c r="FX10" s="67">
        <v>5.5000000000000002E-5</v>
      </c>
      <c r="FY10" s="67">
        <v>6.9999999999999999E-6</v>
      </c>
      <c r="FZ10" s="67">
        <v>3.0000000000000001E-6</v>
      </c>
      <c r="GA10" s="67">
        <v>9.7E-5</v>
      </c>
      <c r="GB10" s="67">
        <v>1.9999999999999999E-6</v>
      </c>
      <c r="GC10" s="67">
        <v>9.9999999999999995E-7</v>
      </c>
      <c r="GD10" s="67">
        <v>7.9999999999999996E-6</v>
      </c>
      <c r="GE10" s="67">
        <v>5.0000000000000004E-6</v>
      </c>
      <c r="GF10" s="67">
        <v>0</v>
      </c>
      <c r="GG10" s="67">
        <v>0</v>
      </c>
      <c r="GH10" s="67">
        <v>0</v>
      </c>
      <c r="GI10" s="67">
        <v>9.9999999999999995E-7</v>
      </c>
      <c r="GJ10" s="67">
        <v>0</v>
      </c>
      <c r="GK10" s="67">
        <v>0</v>
      </c>
      <c r="GL10" s="67">
        <v>0</v>
      </c>
      <c r="GM10" s="67">
        <v>0</v>
      </c>
      <c r="GN10" s="67">
        <v>0</v>
      </c>
      <c r="GO10" s="67">
        <v>0</v>
      </c>
      <c r="GP10" s="67">
        <v>0</v>
      </c>
      <c r="GQ10" s="67">
        <v>0</v>
      </c>
      <c r="GR10" s="67">
        <v>0</v>
      </c>
      <c r="GS10" s="67">
        <v>0</v>
      </c>
      <c r="GT10" s="67">
        <v>0</v>
      </c>
      <c r="GU10" s="67">
        <v>0</v>
      </c>
      <c r="GV10" s="67">
        <v>0</v>
      </c>
      <c r="GW10" s="67">
        <v>0</v>
      </c>
      <c r="GX10" s="67">
        <v>0</v>
      </c>
      <c r="GY10" s="67">
        <v>0</v>
      </c>
      <c r="GZ10" s="67">
        <v>0</v>
      </c>
      <c r="HA10" s="67">
        <v>0</v>
      </c>
      <c r="HB10" s="67">
        <v>0</v>
      </c>
      <c r="HC10" s="67">
        <v>0</v>
      </c>
      <c r="HD10" s="67">
        <v>0</v>
      </c>
      <c r="HE10" s="67">
        <v>0</v>
      </c>
      <c r="HF10" s="67">
        <v>0</v>
      </c>
      <c r="HG10" s="67">
        <v>0</v>
      </c>
      <c r="HH10" s="67">
        <v>0</v>
      </c>
      <c r="HI10" s="67">
        <v>0</v>
      </c>
      <c r="HJ10" s="67">
        <v>0</v>
      </c>
      <c r="HK10" s="67">
        <v>0</v>
      </c>
      <c r="HL10" s="67">
        <v>0</v>
      </c>
      <c r="HM10" s="67">
        <v>0</v>
      </c>
      <c r="HN10" s="67">
        <v>0</v>
      </c>
      <c r="HO10" s="67">
        <v>0</v>
      </c>
      <c r="HP10" s="67">
        <v>0</v>
      </c>
      <c r="HQ10" s="67">
        <v>0</v>
      </c>
      <c r="HR10" s="67">
        <v>0</v>
      </c>
      <c r="HS10" s="67">
        <v>0</v>
      </c>
      <c r="HT10" s="67">
        <v>0</v>
      </c>
      <c r="HU10" s="67">
        <v>0</v>
      </c>
      <c r="HV10" s="67">
        <v>0</v>
      </c>
      <c r="HW10" s="67">
        <v>0</v>
      </c>
      <c r="HX10" s="67">
        <v>0</v>
      </c>
      <c r="HY10" s="67">
        <v>0</v>
      </c>
      <c r="HZ10" s="67"/>
      <c r="IA10" s="67"/>
      <c r="IB10" s="67"/>
      <c r="IC10" s="67"/>
      <c r="ID10" s="67"/>
      <c r="IE10" s="67"/>
      <c r="IF10" s="67"/>
      <c r="IG10" s="67"/>
      <c r="IH10" s="67"/>
      <c r="II10" s="67"/>
      <c r="IJ10" s="67"/>
      <c r="IK10" s="67"/>
      <c r="IL10" s="67"/>
      <c r="IM10" s="67"/>
      <c r="IN10" s="67"/>
      <c r="IO10" s="67"/>
      <c r="IP10" s="67"/>
      <c r="IQ10" s="67"/>
      <c r="IR10" s="67"/>
      <c r="IS10" s="67"/>
      <c r="IT10" s="67"/>
      <c r="IU10" s="67"/>
      <c r="IV10" s="67"/>
      <c r="IW10" s="67"/>
      <c r="IX10" s="67"/>
      <c r="IY10" s="67"/>
      <c r="IZ10" s="67"/>
      <c r="JA10" s="67"/>
      <c r="JB10" s="67"/>
      <c r="JC10" s="67"/>
      <c r="JD10" s="67"/>
      <c r="JE10" s="67"/>
      <c r="JF10" s="67"/>
      <c r="JG10" s="67"/>
      <c r="JH10" s="67"/>
      <c r="JI10" s="67"/>
      <c r="JJ10" s="67"/>
      <c r="JK10" s="67"/>
      <c r="JL10" s="67"/>
      <c r="JM10" s="67"/>
      <c r="JN10" s="67"/>
      <c r="JO10" s="67"/>
      <c r="JP10" s="67"/>
      <c r="JQ10" s="67"/>
    </row>
    <row r="11" spans="1:277">
      <c r="A11" s="68" t="s">
        <v>103</v>
      </c>
      <c r="B11" s="69" t="s">
        <v>17</v>
      </c>
      <c r="C11" s="70">
        <v>3.77E-4</v>
      </c>
      <c r="D11" s="70">
        <v>0</v>
      </c>
      <c r="E11" s="70">
        <v>2.8499999999999999E-4</v>
      </c>
      <c r="F11" s="70">
        <v>0</v>
      </c>
      <c r="G11" s="70">
        <v>6.4800000000000003E-4</v>
      </c>
      <c r="H11" s="70">
        <v>5.7499999999999999E-3</v>
      </c>
      <c r="I11" s="70">
        <v>0</v>
      </c>
      <c r="J11" s="70">
        <v>2.1614999999999999E-2</v>
      </c>
      <c r="K11" s="70">
        <v>0</v>
      </c>
      <c r="L11" s="70">
        <v>0.153032</v>
      </c>
      <c r="M11" s="70">
        <v>1.6211E-2</v>
      </c>
      <c r="N11" s="70">
        <v>0</v>
      </c>
      <c r="O11" s="70">
        <v>8.2159999999999993E-3</v>
      </c>
      <c r="P11" s="70">
        <v>3.6999999999999998E-5</v>
      </c>
      <c r="Q11" s="70">
        <v>1.9000000000000001E-5</v>
      </c>
      <c r="R11" s="70">
        <v>0</v>
      </c>
      <c r="S11" s="70">
        <v>0</v>
      </c>
      <c r="T11" s="70">
        <v>1.25E-3</v>
      </c>
      <c r="U11" s="70">
        <v>2.5000000000000001E-5</v>
      </c>
      <c r="V11" s="70">
        <v>1.8E-5</v>
      </c>
      <c r="W11" s="70">
        <v>1.95E-4</v>
      </c>
      <c r="X11" s="70">
        <v>9.9999999999999995E-7</v>
      </c>
      <c r="Y11" s="70">
        <v>0</v>
      </c>
      <c r="Z11" s="70">
        <v>9.9999999999999995E-7</v>
      </c>
      <c r="AA11" s="70">
        <v>0</v>
      </c>
      <c r="AB11" s="70">
        <v>1.9999999999999999E-6</v>
      </c>
      <c r="AC11" s="70">
        <v>5.0000000000000004E-6</v>
      </c>
      <c r="AD11" s="70">
        <v>3.9999999999999998E-6</v>
      </c>
      <c r="AE11" s="70">
        <v>4.8000000000000001E-5</v>
      </c>
      <c r="AF11" s="70">
        <v>9.5000000000000005E-5</v>
      </c>
      <c r="AG11" s="70">
        <v>6.4999999999999994E-5</v>
      </c>
      <c r="AH11" s="70">
        <v>3.6999999999999998E-5</v>
      </c>
      <c r="AI11" s="70">
        <v>9.9999999999999995E-7</v>
      </c>
      <c r="AJ11" s="70">
        <v>1.2E-5</v>
      </c>
      <c r="AK11" s="70">
        <v>0</v>
      </c>
      <c r="AL11" s="70">
        <v>0</v>
      </c>
      <c r="AM11" s="70">
        <v>0</v>
      </c>
      <c r="AN11" s="70">
        <v>0</v>
      </c>
      <c r="AO11" s="70">
        <v>0</v>
      </c>
      <c r="AP11" s="70">
        <v>0</v>
      </c>
      <c r="AQ11" s="70">
        <v>0</v>
      </c>
      <c r="AR11" s="70">
        <v>0</v>
      </c>
      <c r="AS11" s="70">
        <v>0</v>
      </c>
      <c r="AT11" s="70">
        <v>0</v>
      </c>
      <c r="AU11" s="70">
        <v>0</v>
      </c>
      <c r="AV11" s="70">
        <v>0</v>
      </c>
      <c r="AW11" s="70">
        <v>0</v>
      </c>
      <c r="AX11" s="70">
        <v>9.9999999999999995E-7</v>
      </c>
      <c r="AY11" s="70">
        <v>0</v>
      </c>
      <c r="AZ11" s="70">
        <v>1.5999999999999999E-5</v>
      </c>
      <c r="BA11" s="70">
        <v>6.0000000000000002E-6</v>
      </c>
      <c r="BB11" s="70">
        <v>3.0000000000000001E-6</v>
      </c>
      <c r="BC11" s="70">
        <v>1.9999999999999999E-6</v>
      </c>
      <c r="BD11" s="70">
        <v>0</v>
      </c>
      <c r="BE11" s="70">
        <v>0</v>
      </c>
      <c r="BF11" s="70">
        <v>0</v>
      </c>
      <c r="BG11" s="70">
        <v>0</v>
      </c>
      <c r="BH11" s="70">
        <v>0</v>
      </c>
      <c r="BI11" s="70">
        <v>0</v>
      </c>
      <c r="BJ11" s="70">
        <v>0</v>
      </c>
      <c r="BK11" s="70">
        <v>0</v>
      </c>
      <c r="BL11" s="70">
        <v>0</v>
      </c>
      <c r="BM11" s="70">
        <v>0</v>
      </c>
      <c r="BN11" s="70">
        <v>0</v>
      </c>
      <c r="BO11" s="70">
        <v>0</v>
      </c>
      <c r="BP11" s="70">
        <v>0</v>
      </c>
      <c r="BQ11" s="70">
        <v>0</v>
      </c>
      <c r="BR11" s="70">
        <v>0</v>
      </c>
      <c r="BS11" s="70">
        <v>0</v>
      </c>
      <c r="BT11" s="70">
        <v>0</v>
      </c>
      <c r="BU11" s="70">
        <v>0</v>
      </c>
      <c r="BV11" s="70">
        <v>0</v>
      </c>
      <c r="BW11" s="70">
        <v>0</v>
      </c>
      <c r="BX11" s="70">
        <v>0</v>
      </c>
      <c r="BY11" s="70">
        <v>0</v>
      </c>
      <c r="BZ11" s="70">
        <v>0</v>
      </c>
      <c r="CA11" s="70">
        <v>0</v>
      </c>
      <c r="CB11" s="70">
        <v>0</v>
      </c>
      <c r="CC11" s="70">
        <v>0</v>
      </c>
      <c r="CD11" s="70">
        <v>0</v>
      </c>
      <c r="CE11" s="70">
        <v>0</v>
      </c>
      <c r="CF11" s="70">
        <v>0</v>
      </c>
      <c r="CG11" s="70">
        <v>0</v>
      </c>
      <c r="CH11" s="70">
        <v>0</v>
      </c>
      <c r="CI11" s="70">
        <v>0</v>
      </c>
      <c r="CJ11" s="70">
        <v>0</v>
      </c>
      <c r="CK11" s="70">
        <v>0</v>
      </c>
      <c r="CL11" s="70">
        <v>0</v>
      </c>
      <c r="CM11" s="70">
        <v>0</v>
      </c>
      <c r="CN11" s="70">
        <v>0</v>
      </c>
      <c r="CO11" s="70">
        <v>0</v>
      </c>
      <c r="CP11" s="70">
        <v>5.0000000000000004E-6</v>
      </c>
      <c r="CQ11" s="70">
        <v>1.9999999999999999E-6</v>
      </c>
      <c r="CR11" s="70">
        <v>9.9999999999999995E-7</v>
      </c>
      <c r="CS11" s="70">
        <v>9.9999999999999995E-7</v>
      </c>
      <c r="CT11" s="70">
        <v>0</v>
      </c>
      <c r="CU11" s="70">
        <v>0</v>
      </c>
      <c r="CV11" s="70">
        <v>0</v>
      </c>
      <c r="CW11" s="70">
        <v>0</v>
      </c>
      <c r="CX11" s="70">
        <v>0</v>
      </c>
      <c r="CY11" s="70">
        <v>0</v>
      </c>
      <c r="CZ11" s="70">
        <v>0</v>
      </c>
      <c r="DA11" s="70">
        <v>0</v>
      </c>
      <c r="DB11" s="70">
        <v>0</v>
      </c>
      <c r="DC11" s="70">
        <v>0</v>
      </c>
      <c r="DD11" s="70">
        <v>0</v>
      </c>
      <c r="DE11" s="70">
        <v>0</v>
      </c>
      <c r="DF11" s="70">
        <v>0</v>
      </c>
      <c r="DG11" s="70">
        <v>0</v>
      </c>
      <c r="DH11" s="70">
        <v>0</v>
      </c>
      <c r="DI11" s="70">
        <v>9.9999999999999995E-7</v>
      </c>
      <c r="DJ11" s="70">
        <v>9.9999999999999995E-7</v>
      </c>
      <c r="DK11" s="70">
        <v>1.5E-5</v>
      </c>
      <c r="DL11" s="70">
        <v>2.0000000000000002E-5</v>
      </c>
      <c r="DM11" s="70">
        <v>1.1E-5</v>
      </c>
      <c r="DN11" s="70">
        <v>6.0000000000000002E-6</v>
      </c>
      <c r="DO11" s="70">
        <v>0</v>
      </c>
      <c r="DP11" s="70">
        <v>3.9999999999999998E-6</v>
      </c>
      <c r="DQ11" s="70">
        <v>0</v>
      </c>
      <c r="DR11" s="70">
        <v>0</v>
      </c>
      <c r="DS11" s="70">
        <v>0</v>
      </c>
      <c r="DT11" s="70">
        <v>0</v>
      </c>
      <c r="DU11" s="70">
        <v>0</v>
      </c>
      <c r="DV11" s="70">
        <v>0</v>
      </c>
      <c r="DW11" s="70">
        <v>0</v>
      </c>
      <c r="DX11" s="70">
        <v>0</v>
      </c>
      <c r="DY11" s="70">
        <v>0</v>
      </c>
      <c r="DZ11" s="70">
        <v>0</v>
      </c>
      <c r="EA11" s="70">
        <v>0</v>
      </c>
      <c r="EB11" s="70">
        <v>0</v>
      </c>
      <c r="EC11" s="70">
        <v>0</v>
      </c>
      <c r="ED11" s="70">
        <v>0</v>
      </c>
      <c r="EE11" s="70">
        <v>0</v>
      </c>
      <c r="EF11" s="70">
        <v>9.9999999999999995E-7</v>
      </c>
      <c r="EG11" s="70">
        <v>3.9999999999999998E-6</v>
      </c>
      <c r="EH11" s="70">
        <v>1.9999999999999999E-6</v>
      </c>
      <c r="EI11" s="70">
        <v>6.0000000000000002E-6</v>
      </c>
      <c r="EJ11" s="70">
        <v>0</v>
      </c>
      <c r="EK11" s="70">
        <v>9.9999999999999995E-7</v>
      </c>
      <c r="EL11" s="70">
        <v>0</v>
      </c>
      <c r="EM11" s="70">
        <v>0</v>
      </c>
      <c r="EN11" s="70">
        <v>0</v>
      </c>
      <c r="EO11" s="70">
        <v>0</v>
      </c>
      <c r="EP11" s="70">
        <v>0</v>
      </c>
      <c r="EQ11" s="70">
        <v>0</v>
      </c>
      <c r="ER11" s="70">
        <v>0</v>
      </c>
      <c r="ES11" s="70">
        <v>0</v>
      </c>
      <c r="ET11" s="70">
        <v>0</v>
      </c>
      <c r="EU11" s="70">
        <v>0</v>
      </c>
      <c r="EV11" s="70">
        <v>0</v>
      </c>
      <c r="EW11" s="70">
        <v>0</v>
      </c>
      <c r="EX11" s="70">
        <v>0</v>
      </c>
      <c r="EY11" s="70">
        <v>0</v>
      </c>
      <c r="EZ11" s="70">
        <v>0</v>
      </c>
      <c r="FA11" s="70">
        <v>9.9999999999999995E-7</v>
      </c>
      <c r="FB11" s="70">
        <v>1.9999999999999999E-6</v>
      </c>
      <c r="FC11" s="70">
        <v>1.9999999999999999E-6</v>
      </c>
      <c r="FD11" s="70">
        <v>9.9999999999999995E-7</v>
      </c>
      <c r="FE11" s="70">
        <v>0</v>
      </c>
      <c r="FF11" s="70">
        <v>0</v>
      </c>
      <c r="FG11" s="70">
        <v>0</v>
      </c>
      <c r="FH11" s="70">
        <v>0</v>
      </c>
      <c r="FI11" s="70">
        <v>0</v>
      </c>
      <c r="FJ11" s="70">
        <v>0</v>
      </c>
      <c r="FK11" s="70">
        <v>0</v>
      </c>
      <c r="FL11" s="70">
        <v>0</v>
      </c>
      <c r="FM11" s="70">
        <v>0</v>
      </c>
      <c r="FN11" s="70">
        <v>0</v>
      </c>
      <c r="FO11" s="70">
        <v>0</v>
      </c>
      <c r="FP11" s="70">
        <v>0</v>
      </c>
      <c r="FQ11" s="70">
        <v>9.9999999999999995E-7</v>
      </c>
      <c r="FR11" s="70">
        <v>0</v>
      </c>
      <c r="FS11" s="70">
        <v>3.0000000000000001E-6</v>
      </c>
      <c r="FT11" s="70">
        <v>2.3E-5</v>
      </c>
      <c r="FU11" s="70">
        <v>9.9999999999999995E-7</v>
      </c>
      <c r="FV11" s="70">
        <v>1.9999999999999999E-6</v>
      </c>
      <c r="FW11" s="70">
        <v>6.9999999999999999E-6</v>
      </c>
      <c r="FX11" s="70">
        <v>3.9999999999999998E-6</v>
      </c>
      <c r="FY11" s="70">
        <v>1.16E-4</v>
      </c>
      <c r="FZ11" s="70">
        <v>9.9999999999999995E-7</v>
      </c>
      <c r="GA11" s="70">
        <v>3.1000000000000001E-5</v>
      </c>
      <c r="GB11" s="70">
        <v>0</v>
      </c>
      <c r="GC11" s="70">
        <v>0</v>
      </c>
      <c r="GD11" s="70">
        <v>0</v>
      </c>
      <c r="GE11" s="70">
        <v>9.9999999999999995E-7</v>
      </c>
      <c r="GF11" s="70">
        <v>0</v>
      </c>
      <c r="GG11" s="70">
        <v>0</v>
      </c>
      <c r="GH11" s="70">
        <v>0</v>
      </c>
      <c r="GI11" s="70">
        <v>9.9999999999999995E-7</v>
      </c>
      <c r="GJ11" s="70">
        <v>0</v>
      </c>
      <c r="GK11" s="70">
        <v>0</v>
      </c>
      <c r="GL11" s="70">
        <v>0</v>
      </c>
      <c r="GM11" s="70">
        <v>0</v>
      </c>
      <c r="GN11" s="70">
        <v>0</v>
      </c>
      <c r="GO11" s="70">
        <v>3.0000000000000001E-6</v>
      </c>
      <c r="GP11" s="70">
        <v>9.9999999999999995E-7</v>
      </c>
      <c r="GQ11" s="70">
        <v>7.8999999999999996E-5</v>
      </c>
      <c r="GR11" s="70">
        <v>3.1999999999999999E-5</v>
      </c>
      <c r="GS11" s="70">
        <v>3.4E-5</v>
      </c>
      <c r="GT11" s="70">
        <v>1.2E-5</v>
      </c>
      <c r="GU11" s="70">
        <v>0</v>
      </c>
      <c r="GV11" s="70">
        <v>0</v>
      </c>
      <c r="GW11" s="70">
        <v>0</v>
      </c>
      <c r="GX11" s="70">
        <v>0</v>
      </c>
      <c r="GY11" s="70">
        <v>0</v>
      </c>
      <c r="GZ11" s="70">
        <v>0</v>
      </c>
      <c r="HA11" s="70">
        <v>0</v>
      </c>
      <c r="HB11" s="70">
        <v>0</v>
      </c>
      <c r="HC11" s="70">
        <v>0</v>
      </c>
      <c r="HD11" s="70">
        <v>0</v>
      </c>
      <c r="HE11" s="70">
        <v>0</v>
      </c>
      <c r="HF11" s="70">
        <v>0</v>
      </c>
      <c r="HG11" s="70">
        <v>0</v>
      </c>
      <c r="HH11" s="70">
        <v>0</v>
      </c>
      <c r="HI11" s="70">
        <v>0</v>
      </c>
      <c r="HJ11" s="70">
        <v>9.9999999999999995E-7</v>
      </c>
      <c r="HK11" s="70">
        <v>9.9999999999999995E-7</v>
      </c>
      <c r="HL11" s="70">
        <v>9.0000000000000002E-6</v>
      </c>
      <c r="HM11" s="70">
        <v>1.2E-5</v>
      </c>
      <c r="HN11" s="70">
        <v>1.5E-5</v>
      </c>
      <c r="HO11" s="70">
        <v>6.9999999999999999E-6</v>
      </c>
      <c r="HP11" s="70">
        <v>0</v>
      </c>
      <c r="HQ11" s="70">
        <v>1.9999999999999999E-6</v>
      </c>
      <c r="HR11" s="70">
        <v>0</v>
      </c>
      <c r="HS11" s="70">
        <v>0</v>
      </c>
      <c r="HT11" s="70">
        <v>0</v>
      </c>
      <c r="HU11" s="70">
        <v>0</v>
      </c>
      <c r="HV11" s="70">
        <v>0</v>
      </c>
      <c r="HW11" s="70">
        <v>0</v>
      </c>
      <c r="HX11" s="70">
        <v>0</v>
      </c>
      <c r="HY11" s="70">
        <v>0</v>
      </c>
      <c r="HZ11" s="70"/>
      <c r="IA11" s="70"/>
      <c r="IB11" s="70"/>
      <c r="IC11" s="70"/>
      <c r="ID11" s="70"/>
      <c r="IE11" s="70"/>
      <c r="IF11" s="70"/>
      <c r="IG11" s="70"/>
      <c r="IH11" s="70"/>
      <c r="II11" s="70"/>
      <c r="IJ11" s="70"/>
      <c r="IK11" s="70"/>
      <c r="IL11" s="70"/>
      <c r="IM11" s="70"/>
      <c r="IN11" s="70"/>
      <c r="IO11" s="70"/>
      <c r="IP11" s="70"/>
      <c r="IQ11" s="70"/>
      <c r="IR11" s="70"/>
      <c r="IS11" s="70"/>
      <c r="IT11" s="70"/>
      <c r="IU11" s="70"/>
      <c r="IV11" s="70"/>
      <c r="IW11" s="70"/>
      <c r="IX11" s="70"/>
      <c r="IY11" s="70"/>
      <c r="IZ11" s="70"/>
      <c r="JA11" s="70"/>
      <c r="JB11" s="70"/>
      <c r="JC11" s="70"/>
      <c r="JD11" s="70"/>
      <c r="JE11" s="70"/>
      <c r="JF11" s="70"/>
      <c r="JG11" s="70"/>
      <c r="JH11" s="70"/>
      <c r="JI11" s="70"/>
      <c r="JJ11" s="70"/>
      <c r="JK11" s="70"/>
      <c r="JL11" s="70"/>
      <c r="JM11" s="70"/>
      <c r="JN11" s="70"/>
      <c r="JO11" s="70"/>
      <c r="JP11" s="70"/>
      <c r="JQ11" s="70"/>
    </row>
    <row r="12" spans="1:277">
      <c r="A12" s="65" t="s">
        <v>104</v>
      </c>
      <c r="B12" s="66" t="s">
        <v>18</v>
      </c>
      <c r="C12" s="67">
        <v>1.66E-4</v>
      </c>
      <c r="D12" s="67">
        <v>0</v>
      </c>
      <c r="E12" s="67">
        <v>0</v>
      </c>
      <c r="F12" s="67">
        <v>9.0000000000000002E-6</v>
      </c>
      <c r="G12" s="67">
        <v>6.9200000000000002E-4</v>
      </c>
      <c r="H12" s="67">
        <v>1.9605999999999998E-2</v>
      </c>
      <c r="I12" s="67">
        <v>1.2999999999999999E-4</v>
      </c>
      <c r="J12" s="67">
        <v>0</v>
      </c>
      <c r="K12" s="67">
        <v>7.2672E-2</v>
      </c>
      <c r="L12" s="67">
        <v>7.2418999999999997E-2</v>
      </c>
      <c r="M12" s="67">
        <v>5.0271000000000003E-2</v>
      </c>
      <c r="N12" s="67">
        <v>8.4800000000000001E-4</v>
      </c>
      <c r="O12" s="67">
        <v>6.0020000000000004E-3</v>
      </c>
      <c r="P12" s="67">
        <v>2.7169999999999998E-3</v>
      </c>
      <c r="Q12" s="67">
        <v>6.5600000000000001E-4</v>
      </c>
      <c r="R12" s="67">
        <v>1.804E-3</v>
      </c>
      <c r="S12" s="67">
        <v>0</v>
      </c>
      <c r="T12" s="67">
        <v>5.0000000000000004E-6</v>
      </c>
      <c r="U12" s="67">
        <v>2.52E-4</v>
      </c>
      <c r="V12" s="67">
        <v>1.83E-4</v>
      </c>
      <c r="W12" s="67">
        <v>1.5839999999999999E-3</v>
      </c>
      <c r="X12" s="67">
        <v>3.0000000000000001E-6</v>
      </c>
      <c r="Y12" s="67">
        <v>0</v>
      </c>
      <c r="Z12" s="67">
        <v>1.2999999999999999E-5</v>
      </c>
      <c r="AA12" s="67">
        <v>1.9999999999999999E-6</v>
      </c>
      <c r="AB12" s="67">
        <v>5.0000000000000004E-6</v>
      </c>
      <c r="AC12" s="67">
        <v>1.2E-5</v>
      </c>
      <c r="AD12" s="67">
        <v>3.0000000000000001E-6</v>
      </c>
      <c r="AE12" s="67">
        <v>1.2E-5</v>
      </c>
      <c r="AF12" s="67">
        <v>1.05E-4</v>
      </c>
      <c r="AG12" s="67">
        <v>7.2000000000000002E-5</v>
      </c>
      <c r="AH12" s="67">
        <v>8.0000000000000007E-5</v>
      </c>
      <c r="AI12" s="67">
        <v>6.9999999999999999E-6</v>
      </c>
      <c r="AJ12" s="67">
        <v>5.0000000000000002E-5</v>
      </c>
      <c r="AK12" s="67">
        <v>9.9999999999999995E-7</v>
      </c>
      <c r="AL12" s="67">
        <v>9.9999999999999995E-7</v>
      </c>
      <c r="AM12" s="67">
        <v>9.0000000000000002E-6</v>
      </c>
      <c r="AN12" s="67">
        <v>0</v>
      </c>
      <c r="AO12" s="67">
        <v>0</v>
      </c>
      <c r="AP12" s="67">
        <v>0</v>
      </c>
      <c r="AQ12" s="67">
        <v>0</v>
      </c>
      <c r="AR12" s="67">
        <v>9.9999999999999995E-7</v>
      </c>
      <c r="AS12" s="67">
        <v>0</v>
      </c>
      <c r="AT12" s="67">
        <v>0</v>
      </c>
      <c r="AU12" s="67">
        <v>0</v>
      </c>
      <c r="AV12" s="67">
        <v>0</v>
      </c>
      <c r="AW12" s="67">
        <v>0</v>
      </c>
      <c r="AX12" s="67">
        <v>0</v>
      </c>
      <c r="AY12" s="67">
        <v>0</v>
      </c>
      <c r="AZ12" s="67">
        <v>0</v>
      </c>
      <c r="BA12" s="67">
        <v>0</v>
      </c>
      <c r="BB12" s="67">
        <v>0</v>
      </c>
      <c r="BC12" s="67">
        <v>0</v>
      </c>
      <c r="BD12" s="67">
        <v>0</v>
      </c>
      <c r="BE12" s="67">
        <v>0</v>
      </c>
      <c r="BF12" s="67">
        <v>0</v>
      </c>
      <c r="BG12" s="67">
        <v>0</v>
      </c>
      <c r="BH12" s="67">
        <v>0</v>
      </c>
      <c r="BI12" s="67">
        <v>0</v>
      </c>
      <c r="BJ12" s="67">
        <v>0</v>
      </c>
      <c r="BK12" s="67">
        <v>0</v>
      </c>
      <c r="BL12" s="67">
        <v>0</v>
      </c>
      <c r="BM12" s="67">
        <v>0</v>
      </c>
      <c r="BN12" s="67">
        <v>0</v>
      </c>
      <c r="BO12" s="67">
        <v>0</v>
      </c>
      <c r="BP12" s="67">
        <v>0</v>
      </c>
      <c r="BQ12" s="67">
        <v>0</v>
      </c>
      <c r="BR12" s="67">
        <v>0</v>
      </c>
      <c r="BS12" s="67">
        <v>0</v>
      </c>
      <c r="BT12" s="67">
        <v>0</v>
      </c>
      <c r="BU12" s="67">
        <v>0</v>
      </c>
      <c r="BV12" s="67">
        <v>0</v>
      </c>
      <c r="BW12" s="67">
        <v>0</v>
      </c>
      <c r="BX12" s="67">
        <v>0</v>
      </c>
      <c r="BY12" s="67">
        <v>0</v>
      </c>
      <c r="BZ12" s="67">
        <v>0</v>
      </c>
      <c r="CA12" s="67">
        <v>0</v>
      </c>
      <c r="CB12" s="67">
        <v>0</v>
      </c>
      <c r="CC12" s="67">
        <v>0</v>
      </c>
      <c r="CD12" s="67">
        <v>0</v>
      </c>
      <c r="CE12" s="67">
        <v>0</v>
      </c>
      <c r="CF12" s="67">
        <v>0</v>
      </c>
      <c r="CG12" s="67">
        <v>0</v>
      </c>
      <c r="CH12" s="67">
        <v>0</v>
      </c>
      <c r="CI12" s="67">
        <v>0</v>
      </c>
      <c r="CJ12" s="67">
        <v>0</v>
      </c>
      <c r="CK12" s="67">
        <v>0</v>
      </c>
      <c r="CL12" s="67">
        <v>0</v>
      </c>
      <c r="CM12" s="67">
        <v>0</v>
      </c>
      <c r="CN12" s="67">
        <v>0</v>
      </c>
      <c r="CO12" s="67">
        <v>0</v>
      </c>
      <c r="CP12" s="67">
        <v>0</v>
      </c>
      <c r="CQ12" s="67">
        <v>0</v>
      </c>
      <c r="CR12" s="67">
        <v>0</v>
      </c>
      <c r="CS12" s="67">
        <v>0</v>
      </c>
      <c r="CT12" s="67">
        <v>0</v>
      </c>
      <c r="CU12" s="67">
        <v>0</v>
      </c>
      <c r="CV12" s="67">
        <v>0</v>
      </c>
      <c r="CW12" s="67">
        <v>0</v>
      </c>
      <c r="CX12" s="67">
        <v>0</v>
      </c>
      <c r="CY12" s="67">
        <v>0</v>
      </c>
      <c r="CZ12" s="67">
        <v>0</v>
      </c>
      <c r="DA12" s="67">
        <v>0</v>
      </c>
      <c r="DB12" s="67">
        <v>0</v>
      </c>
      <c r="DC12" s="67">
        <v>0</v>
      </c>
      <c r="DD12" s="67">
        <v>1.9999999999999999E-6</v>
      </c>
      <c r="DE12" s="67">
        <v>0</v>
      </c>
      <c r="DF12" s="67">
        <v>5.0000000000000004E-6</v>
      </c>
      <c r="DG12" s="67">
        <v>5.0000000000000004E-6</v>
      </c>
      <c r="DH12" s="67">
        <v>3.9999999999999998E-6</v>
      </c>
      <c r="DI12" s="67">
        <v>1.8E-5</v>
      </c>
      <c r="DJ12" s="67">
        <v>9.9999999999999995E-7</v>
      </c>
      <c r="DK12" s="67">
        <v>3.9999999999999998E-6</v>
      </c>
      <c r="DL12" s="67">
        <v>2.0999999999999999E-5</v>
      </c>
      <c r="DM12" s="67">
        <v>9.7999999999999997E-5</v>
      </c>
      <c r="DN12" s="67">
        <v>4.1999999999999998E-5</v>
      </c>
      <c r="DO12" s="67">
        <v>9.9999999999999995E-7</v>
      </c>
      <c r="DP12" s="67">
        <v>2.4000000000000001E-5</v>
      </c>
      <c r="DQ12" s="67">
        <v>9.9999999999999995E-7</v>
      </c>
      <c r="DR12" s="67">
        <v>3.0000000000000001E-6</v>
      </c>
      <c r="DS12" s="67">
        <v>1.9999999999999999E-6</v>
      </c>
      <c r="DT12" s="67">
        <v>1.1E-5</v>
      </c>
      <c r="DU12" s="67">
        <v>0</v>
      </c>
      <c r="DV12" s="67">
        <v>3.9999999999999998E-6</v>
      </c>
      <c r="DW12" s="67">
        <v>3.0000000000000001E-6</v>
      </c>
      <c r="DX12" s="67">
        <v>9.9999999999999995E-7</v>
      </c>
      <c r="DY12" s="67">
        <v>0</v>
      </c>
      <c r="DZ12" s="67">
        <v>0</v>
      </c>
      <c r="EA12" s="67">
        <v>0</v>
      </c>
      <c r="EB12" s="67">
        <v>0</v>
      </c>
      <c r="EC12" s="67">
        <v>0</v>
      </c>
      <c r="ED12" s="67">
        <v>0</v>
      </c>
      <c r="EE12" s="67">
        <v>0</v>
      </c>
      <c r="EF12" s="67">
        <v>0</v>
      </c>
      <c r="EG12" s="67">
        <v>0</v>
      </c>
      <c r="EH12" s="67">
        <v>0</v>
      </c>
      <c r="EI12" s="67">
        <v>0</v>
      </c>
      <c r="EJ12" s="67">
        <v>0</v>
      </c>
      <c r="EK12" s="67">
        <v>0</v>
      </c>
      <c r="EL12" s="67">
        <v>0</v>
      </c>
      <c r="EM12" s="67">
        <v>0</v>
      </c>
      <c r="EN12" s="67">
        <v>0</v>
      </c>
      <c r="EO12" s="67">
        <v>0</v>
      </c>
      <c r="EP12" s="67">
        <v>0</v>
      </c>
      <c r="EQ12" s="67">
        <v>0</v>
      </c>
      <c r="ER12" s="67">
        <v>0</v>
      </c>
      <c r="ES12" s="67">
        <v>0</v>
      </c>
      <c r="ET12" s="67">
        <v>0</v>
      </c>
      <c r="EU12" s="67">
        <v>0</v>
      </c>
      <c r="EV12" s="67">
        <v>0</v>
      </c>
      <c r="EW12" s="67">
        <v>0</v>
      </c>
      <c r="EX12" s="67">
        <v>0</v>
      </c>
      <c r="EY12" s="67">
        <v>0</v>
      </c>
      <c r="EZ12" s="67">
        <v>0</v>
      </c>
      <c r="FA12" s="67">
        <v>0</v>
      </c>
      <c r="FB12" s="67">
        <v>9.9999999999999995E-7</v>
      </c>
      <c r="FC12" s="67">
        <v>0</v>
      </c>
      <c r="FD12" s="67">
        <v>9.9999999999999995E-7</v>
      </c>
      <c r="FE12" s="67">
        <v>0</v>
      </c>
      <c r="FF12" s="67">
        <v>9.9999999999999995E-7</v>
      </c>
      <c r="FG12" s="67">
        <v>0</v>
      </c>
      <c r="FH12" s="67">
        <v>0</v>
      </c>
      <c r="FI12" s="67">
        <v>0</v>
      </c>
      <c r="FJ12" s="67">
        <v>0</v>
      </c>
      <c r="FK12" s="67">
        <v>0</v>
      </c>
      <c r="FL12" s="67">
        <v>0</v>
      </c>
      <c r="FM12" s="67">
        <v>0</v>
      </c>
      <c r="FN12" s="67">
        <v>0</v>
      </c>
      <c r="FO12" s="67">
        <v>1.9999999999999999E-6</v>
      </c>
      <c r="FP12" s="67">
        <v>0</v>
      </c>
      <c r="FQ12" s="67">
        <v>6.0000000000000002E-6</v>
      </c>
      <c r="FR12" s="67">
        <v>5.0000000000000004E-6</v>
      </c>
      <c r="FS12" s="67">
        <v>6.0000000000000002E-6</v>
      </c>
      <c r="FT12" s="67">
        <v>1.5E-5</v>
      </c>
      <c r="FU12" s="67">
        <v>3.9999999999999998E-6</v>
      </c>
      <c r="FV12" s="67">
        <v>3.6000000000000001E-5</v>
      </c>
      <c r="FW12" s="67">
        <v>9.6000000000000002E-5</v>
      </c>
      <c r="FX12" s="67">
        <v>1.0399999999999999E-4</v>
      </c>
      <c r="FY12" s="67">
        <v>1.2799999999999999E-4</v>
      </c>
      <c r="FZ12" s="67">
        <v>6.0000000000000002E-6</v>
      </c>
      <c r="GA12" s="67">
        <v>3.3000000000000003E-5</v>
      </c>
      <c r="GB12" s="67">
        <v>6.0000000000000002E-6</v>
      </c>
      <c r="GC12" s="67">
        <v>2.5000000000000001E-5</v>
      </c>
      <c r="GD12" s="67">
        <v>3.0000000000000001E-6</v>
      </c>
      <c r="GE12" s="67">
        <v>3.0000000000000001E-6</v>
      </c>
      <c r="GF12" s="67">
        <v>1.9999999999999999E-6</v>
      </c>
      <c r="GG12" s="67">
        <v>0</v>
      </c>
      <c r="GH12" s="67">
        <v>0</v>
      </c>
      <c r="GI12" s="67">
        <v>3.0000000000000001E-6</v>
      </c>
      <c r="GJ12" s="67">
        <v>0</v>
      </c>
      <c r="GK12" s="67">
        <v>0</v>
      </c>
      <c r="GL12" s="67">
        <v>0</v>
      </c>
      <c r="GM12" s="67">
        <v>0</v>
      </c>
      <c r="GN12" s="67">
        <v>0</v>
      </c>
      <c r="GO12" s="67">
        <v>0</v>
      </c>
      <c r="GP12" s="67">
        <v>0</v>
      </c>
      <c r="GQ12" s="67">
        <v>0</v>
      </c>
      <c r="GR12" s="67">
        <v>0</v>
      </c>
      <c r="GS12" s="67">
        <v>0</v>
      </c>
      <c r="GT12" s="67">
        <v>0</v>
      </c>
      <c r="GU12" s="67">
        <v>0</v>
      </c>
      <c r="GV12" s="67">
        <v>0</v>
      </c>
      <c r="GW12" s="67">
        <v>0</v>
      </c>
      <c r="GX12" s="67">
        <v>0</v>
      </c>
      <c r="GY12" s="67">
        <v>0</v>
      </c>
      <c r="GZ12" s="67">
        <v>0</v>
      </c>
      <c r="HA12" s="67">
        <v>0</v>
      </c>
      <c r="HB12" s="67">
        <v>0</v>
      </c>
      <c r="HC12" s="67">
        <v>0</v>
      </c>
      <c r="HD12" s="67">
        <v>0</v>
      </c>
      <c r="HE12" s="67">
        <v>0</v>
      </c>
      <c r="HF12" s="67">
        <v>0</v>
      </c>
      <c r="HG12" s="67">
        <v>0</v>
      </c>
      <c r="HH12" s="67">
        <v>0</v>
      </c>
      <c r="HI12" s="67">
        <v>0</v>
      </c>
      <c r="HJ12" s="67">
        <v>0</v>
      </c>
      <c r="HK12" s="67">
        <v>0</v>
      </c>
      <c r="HL12" s="67">
        <v>0</v>
      </c>
      <c r="HM12" s="67">
        <v>0</v>
      </c>
      <c r="HN12" s="67">
        <v>0</v>
      </c>
      <c r="HO12" s="67">
        <v>0</v>
      </c>
      <c r="HP12" s="67">
        <v>0</v>
      </c>
      <c r="HQ12" s="67">
        <v>0</v>
      </c>
      <c r="HR12" s="67">
        <v>0</v>
      </c>
      <c r="HS12" s="67">
        <v>0</v>
      </c>
      <c r="HT12" s="67">
        <v>0</v>
      </c>
      <c r="HU12" s="67">
        <v>0</v>
      </c>
      <c r="HV12" s="67">
        <v>0</v>
      </c>
      <c r="HW12" s="67">
        <v>0</v>
      </c>
      <c r="HX12" s="67">
        <v>0</v>
      </c>
      <c r="HY12" s="67">
        <v>0</v>
      </c>
      <c r="HZ12" s="67"/>
      <c r="IA12" s="67"/>
      <c r="IB12" s="67"/>
      <c r="IC12" s="67"/>
      <c r="ID12" s="67"/>
      <c r="IE12" s="67"/>
      <c r="IF12" s="67"/>
      <c r="IG12" s="67"/>
      <c r="IH12" s="67"/>
      <c r="II12" s="67"/>
      <c r="IJ12" s="67"/>
      <c r="IK12" s="67"/>
      <c r="IL12" s="67"/>
      <c r="IM12" s="67"/>
      <c r="IN12" s="67"/>
      <c r="IO12" s="67"/>
      <c r="IP12" s="67"/>
      <c r="IQ12" s="67"/>
      <c r="IR12" s="67"/>
      <c r="IS12" s="67"/>
      <c r="IT12" s="67"/>
      <c r="IU12" s="67"/>
      <c r="IV12" s="67"/>
      <c r="IW12" s="67"/>
      <c r="IX12" s="67"/>
      <c r="IY12" s="67"/>
      <c r="IZ12" s="67"/>
      <c r="JA12" s="67"/>
      <c r="JB12" s="67"/>
      <c r="JC12" s="67"/>
      <c r="JD12" s="67"/>
      <c r="JE12" s="67"/>
      <c r="JF12" s="67"/>
      <c r="JG12" s="67"/>
      <c r="JH12" s="67"/>
      <c r="JI12" s="67"/>
      <c r="JJ12" s="67"/>
      <c r="JK12" s="67"/>
      <c r="JL12" s="67"/>
      <c r="JM12" s="67"/>
      <c r="JN12" s="67"/>
      <c r="JO12" s="67"/>
      <c r="JP12" s="67"/>
      <c r="JQ12" s="67"/>
    </row>
    <row r="13" spans="1:277">
      <c r="A13" s="68" t="s">
        <v>105</v>
      </c>
      <c r="B13" s="69" t="s">
        <v>19</v>
      </c>
      <c r="C13" s="70">
        <v>0</v>
      </c>
      <c r="D13" s="70">
        <v>0</v>
      </c>
      <c r="E13" s="70">
        <v>2.8800000000000001E-4</v>
      </c>
      <c r="F13" s="70">
        <v>0</v>
      </c>
      <c r="G13" s="70">
        <v>2.4600000000000002E-4</v>
      </c>
      <c r="H13" s="70">
        <v>2.3605999999999999E-2</v>
      </c>
      <c r="I13" s="70">
        <v>3.0000000000000001E-5</v>
      </c>
      <c r="J13" s="70">
        <v>5.9999999999999995E-4</v>
      </c>
      <c r="K13" s="70">
        <v>6.8515000000000006E-2</v>
      </c>
      <c r="L13" s="70">
        <v>0.35565999999999998</v>
      </c>
      <c r="M13" s="70">
        <v>0.15815199999999999</v>
      </c>
      <c r="N13" s="70">
        <v>5.8299999999999997E-4</v>
      </c>
      <c r="O13" s="70">
        <v>1.6080000000000001E-3</v>
      </c>
      <c r="P13" s="70">
        <v>7.0299999999999996E-4</v>
      </c>
      <c r="Q13" s="70">
        <v>8.8730000000000007E-3</v>
      </c>
      <c r="R13" s="70">
        <v>4.3899999999999998E-3</v>
      </c>
      <c r="S13" s="70">
        <v>6.3157000000000005E-2</v>
      </c>
      <c r="T13" s="70">
        <v>9.8400000000000007E-4</v>
      </c>
      <c r="U13" s="70">
        <v>1.9100000000000001E-4</v>
      </c>
      <c r="V13" s="70">
        <v>1.3899999999999999E-4</v>
      </c>
      <c r="W13" s="70">
        <v>3.1809999999999998E-3</v>
      </c>
      <c r="X13" s="70">
        <v>0</v>
      </c>
      <c r="Y13" s="70">
        <v>0</v>
      </c>
      <c r="Z13" s="70">
        <v>0</v>
      </c>
      <c r="AA13" s="70">
        <v>0</v>
      </c>
      <c r="AB13" s="70">
        <v>3.0000000000000001E-6</v>
      </c>
      <c r="AC13" s="70">
        <v>9.9999999999999995E-7</v>
      </c>
      <c r="AD13" s="70">
        <v>9.9999999999999995E-7</v>
      </c>
      <c r="AE13" s="70">
        <v>0</v>
      </c>
      <c r="AF13" s="70">
        <v>0</v>
      </c>
      <c r="AG13" s="70">
        <v>1.56E-4</v>
      </c>
      <c r="AH13" s="70">
        <v>4.0000000000000003E-5</v>
      </c>
      <c r="AI13" s="70">
        <v>5.0000000000000004E-6</v>
      </c>
      <c r="AJ13" s="70">
        <v>6.9999999999999999E-6</v>
      </c>
      <c r="AK13" s="70">
        <v>1.9999999999999999E-6</v>
      </c>
      <c r="AL13" s="70">
        <v>3.9999999999999998E-6</v>
      </c>
      <c r="AM13" s="70">
        <v>0</v>
      </c>
      <c r="AN13" s="70">
        <v>1.2E-5</v>
      </c>
      <c r="AO13" s="70">
        <v>9.9999999999999995E-7</v>
      </c>
      <c r="AP13" s="70">
        <v>0</v>
      </c>
      <c r="AQ13" s="70">
        <v>0</v>
      </c>
      <c r="AR13" s="70">
        <v>1.9999999999999999E-6</v>
      </c>
      <c r="AS13" s="70">
        <v>0</v>
      </c>
      <c r="AT13" s="70">
        <v>0</v>
      </c>
      <c r="AU13" s="70">
        <v>0</v>
      </c>
      <c r="AV13" s="70">
        <v>0</v>
      </c>
      <c r="AW13" s="70">
        <v>0</v>
      </c>
      <c r="AX13" s="70">
        <v>0</v>
      </c>
      <c r="AY13" s="70">
        <v>0</v>
      </c>
      <c r="AZ13" s="70">
        <v>0</v>
      </c>
      <c r="BA13" s="70">
        <v>0</v>
      </c>
      <c r="BB13" s="70">
        <v>1.9999999999999999E-6</v>
      </c>
      <c r="BC13" s="70">
        <v>9.9999999999999995E-7</v>
      </c>
      <c r="BD13" s="70">
        <v>0</v>
      </c>
      <c r="BE13" s="70">
        <v>9.9999999999999995E-7</v>
      </c>
      <c r="BF13" s="70">
        <v>0</v>
      </c>
      <c r="BG13" s="70">
        <v>0</v>
      </c>
      <c r="BH13" s="70">
        <v>0</v>
      </c>
      <c r="BI13" s="70">
        <v>0</v>
      </c>
      <c r="BJ13" s="70">
        <v>0</v>
      </c>
      <c r="BK13" s="70">
        <v>0</v>
      </c>
      <c r="BL13" s="70">
        <v>0</v>
      </c>
      <c r="BM13" s="70">
        <v>0</v>
      </c>
      <c r="BN13" s="70">
        <v>0</v>
      </c>
      <c r="BO13" s="70">
        <v>0</v>
      </c>
      <c r="BP13" s="70">
        <v>0</v>
      </c>
      <c r="BQ13" s="70">
        <v>0</v>
      </c>
      <c r="BR13" s="70">
        <v>0</v>
      </c>
      <c r="BS13" s="70">
        <v>0</v>
      </c>
      <c r="BT13" s="70">
        <v>0</v>
      </c>
      <c r="BU13" s="70">
        <v>0</v>
      </c>
      <c r="BV13" s="70">
        <v>0</v>
      </c>
      <c r="BW13" s="70">
        <v>9.9999999999999995E-7</v>
      </c>
      <c r="BX13" s="70">
        <v>0</v>
      </c>
      <c r="BY13" s="70">
        <v>0</v>
      </c>
      <c r="BZ13" s="70">
        <v>0</v>
      </c>
      <c r="CA13" s="70">
        <v>0</v>
      </c>
      <c r="CB13" s="70">
        <v>0</v>
      </c>
      <c r="CC13" s="70">
        <v>0</v>
      </c>
      <c r="CD13" s="70">
        <v>0</v>
      </c>
      <c r="CE13" s="70">
        <v>0</v>
      </c>
      <c r="CF13" s="70">
        <v>0</v>
      </c>
      <c r="CG13" s="70">
        <v>0</v>
      </c>
      <c r="CH13" s="70">
        <v>0</v>
      </c>
      <c r="CI13" s="70">
        <v>0</v>
      </c>
      <c r="CJ13" s="70">
        <v>0</v>
      </c>
      <c r="CK13" s="70">
        <v>0</v>
      </c>
      <c r="CL13" s="70">
        <v>0</v>
      </c>
      <c r="CM13" s="70">
        <v>0</v>
      </c>
      <c r="CN13" s="70">
        <v>0</v>
      </c>
      <c r="CO13" s="70">
        <v>0</v>
      </c>
      <c r="CP13" s="70">
        <v>0</v>
      </c>
      <c r="CQ13" s="70">
        <v>0</v>
      </c>
      <c r="CR13" s="70">
        <v>9.9999999999999995E-7</v>
      </c>
      <c r="CS13" s="70">
        <v>9.9999999999999995E-7</v>
      </c>
      <c r="CT13" s="70">
        <v>0</v>
      </c>
      <c r="CU13" s="70">
        <v>9.9999999999999995E-7</v>
      </c>
      <c r="CV13" s="70">
        <v>0</v>
      </c>
      <c r="CW13" s="70">
        <v>0</v>
      </c>
      <c r="CX13" s="70">
        <v>0</v>
      </c>
      <c r="CY13" s="70">
        <v>0</v>
      </c>
      <c r="CZ13" s="70">
        <v>0</v>
      </c>
      <c r="DA13" s="70">
        <v>0</v>
      </c>
      <c r="DB13" s="70">
        <v>0</v>
      </c>
      <c r="DC13" s="70">
        <v>0</v>
      </c>
      <c r="DD13" s="70">
        <v>1.9999999999999999E-6</v>
      </c>
      <c r="DE13" s="70">
        <v>0</v>
      </c>
      <c r="DF13" s="70">
        <v>3.9999999999999998E-6</v>
      </c>
      <c r="DG13" s="70">
        <v>3.0000000000000001E-6</v>
      </c>
      <c r="DH13" s="70">
        <v>2.5000000000000001E-5</v>
      </c>
      <c r="DI13" s="70">
        <v>1.4E-5</v>
      </c>
      <c r="DJ13" s="70">
        <v>6.0000000000000002E-6</v>
      </c>
      <c r="DK13" s="70">
        <v>1.1E-5</v>
      </c>
      <c r="DL13" s="70">
        <v>2.0999999999999999E-5</v>
      </c>
      <c r="DM13" s="70">
        <v>1.119E-3</v>
      </c>
      <c r="DN13" s="70">
        <v>5.7000000000000003E-5</v>
      </c>
      <c r="DO13" s="70">
        <v>7.9999999999999996E-6</v>
      </c>
      <c r="DP13" s="70">
        <v>5.1999999999999997E-5</v>
      </c>
      <c r="DQ13" s="70">
        <v>3.9999999999999998E-6</v>
      </c>
      <c r="DR13" s="70">
        <v>1.9999999999999999E-6</v>
      </c>
      <c r="DS13" s="70">
        <v>6.9999999999999999E-6</v>
      </c>
      <c r="DT13" s="70">
        <v>4.0000000000000002E-4</v>
      </c>
      <c r="DU13" s="70">
        <v>9.9999999999999995E-7</v>
      </c>
      <c r="DV13" s="70">
        <v>1.9999999999999999E-6</v>
      </c>
      <c r="DW13" s="70">
        <v>9.9999999999999995E-7</v>
      </c>
      <c r="DX13" s="70">
        <v>2.4000000000000001E-5</v>
      </c>
      <c r="DY13" s="70">
        <v>0</v>
      </c>
      <c r="DZ13" s="70">
        <v>0</v>
      </c>
      <c r="EA13" s="70">
        <v>0</v>
      </c>
      <c r="EB13" s="70">
        <v>0</v>
      </c>
      <c r="EC13" s="70">
        <v>0</v>
      </c>
      <c r="ED13" s="70">
        <v>0</v>
      </c>
      <c r="EE13" s="70">
        <v>0</v>
      </c>
      <c r="EF13" s="70">
        <v>0</v>
      </c>
      <c r="EG13" s="70">
        <v>0</v>
      </c>
      <c r="EH13" s="70">
        <v>9.9999999999999995E-7</v>
      </c>
      <c r="EI13" s="70">
        <v>0</v>
      </c>
      <c r="EJ13" s="70">
        <v>0</v>
      </c>
      <c r="EK13" s="70">
        <v>0</v>
      </c>
      <c r="EL13" s="70">
        <v>0</v>
      </c>
      <c r="EM13" s="70">
        <v>0</v>
      </c>
      <c r="EN13" s="70">
        <v>0</v>
      </c>
      <c r="EO13" s="70">
        <v>0</v>
      </c>
      <c r="EP13" s="70">
        <v>0</v>
      </c>
      <c r="EQ13" s="70">
        <v>0</v>
      </c>
      <c r="ER13" s="70">
        <v>0</v>
      </c>
      <c r="ES13" s="70">
        <v>0</v>
      </c>
      <c r="ET13" s="70">
        <v>0</v>
      </c>
      <c r="EU13" s="70">
        <v>0</v>
      </c>
      <c r="EV13" s="70">
        <v>0</v>
      </c>
      <c r="EW13" s="70">
        <v>0</v>
      </c>
      <c r="EX13" s="70">
        <v>0</v>
      </c>
      <c r="EY13" s="70">
        <v>0</v>
      </c>
      <c r="EZ13" s="70">
        <v>0</v>
      </c>
      <c r="FA13" s="70">
        <v>0</v>
      </c>
      <c r="FB13" s="70">
        <v>0</v>
      </c>
      <c r="FC13" s="70">
        <v>0</v>
      </c>
      <c r="FD13" s="70">
        <v>0</v>
      </c>
      <c r="FE13" s="70">
        <v>0</v>
      </c>
      <c r="FF13" s="70">
        <v>0</v>
      </c>
      <c r="FG13" s="70">
        <v>0</v>
      </c>
      <c r="FH13" s="70">
        <v>0</v>
      </c>
      <c r="FI13" s="70">
        <v>0</v>
      </c>
      <c r="FJ13" s="70">
        <v>0</v>
      </c>
      <c r="FK13" s="70">
        <v>0</v>
      </c>
      <c r="FL13" s="70">
        <v>0</v>
      </c>
      <c r="FM13" s="70">
        <v>0</v>
      </c>
      <c r="FN13" s="70">
        <v>0</v>
      </c>
      <c r="FO13" s="70">
        <v>0</v>
      </c>
      <c r="FP13" s="70">
        <v>0</v>
      </c>
      <c r="FQ13" s="70">
        <v>9.9999999999999995E-7</v>
      </c>
      <c r="FR13" s="70">
        <v>9.9999999999999995E-7</v>
      </c>
      <c r="FS13" s="70">
        <v>9.9999999999999995E-7</v>
      </c>
      <c r="FT13" s="70">
        <v>3.0000000000000001E-6</v>
      </c>
      <c r="FU13" s="70">
        <v>0</v>
      </c>
      <c r="FV13" s="70">
        <v>3.0000000000000001E-6</v>
      </c>
      <c r="FW13" s="70">
        <v>6.9999999999999999E-6</v>
      </c>
      <c r="FX13" s="70">
        <v>5.7000000000000003E-5</v>
      </c>
      <c r="FY13" s="70">
        <v>1.7E-5</v>
      </c>
      <c r="FZ13" s="70">
        <v>1.9999999999999999E-6</v>
      </c>
      <c r="GA13" s="70">
        <v>1.2999999999999999E-5</v>
      </c>
      <c r="GB13" s="70">
        <v>9.9999999999999995E-7</v>
      </c>
      <c r="GC13" s="70">
        <v>3.0000000000000001E-6</v>
      </c>
      <c r="GD13" s="70">
        <v>0</v>
      </c>
      <c r="GE13" s="70">
        <v>1.9999999999999999E-6</v>
      </c>
      <c r="GF13" s="70">
        <v>0</v>
      </c>
      <c r="GG13" s="70">
        <v>0</v>
      </c>
      <c r="GH13" s="70">
        <v>0</v>
      </c>
      <c r="GI13" s="70">
        <v>9.9999999999999995E-7</v>
      </c>
      <c r="GJ13" s="70">
        <v>0</v>
      </c>
      <c r="GK13" s="70">
        <v>0</v>
      </c>
      <c r="GL13" s="70">
        <v>0</v>
      </c>
      <c r="GM13" s="70">
        <v>0</v>
      </c>
      <c r="GN13" s="70">
        <v>0</v>
      </c>
      <c r="GO13" s="70">
        <v>0</v>
      </c>
      <c r="GP13" s="70">
        <v>0</v>
      </c>
      <c r="GQ13" s="70">
        <v>0</v>
      </c>
      <c r="GR13" s="70">
        <v>0</v>
      </c>
      <c r="GS13" s="70">
        <v>0</v>
      </c>
      <c r="GT13" s="70">
        <v>0</v>
      </c>
      <c r="GU13" s="70">
        <v>0</v>
      </c>
      <c r="GV13" s="70">
        <v>0</v>
      </c>
      <c r="GW13" s="70">
        <v>0</v>
      </c>
      <c r="GX13" s="70">
        <v>0</v>
      </c>
      <c r="GY13" s="70">
        <v>0</v>
      </c>
      <c r="GZ13" s="70">
        <v>0</v>
      </c>
      <c r="HA13" s="70">
        <v>0</v>
      </c>
      <c r="HB13" s="70">
        <v>0</v>
      </c>
      <c r="HC13" s="70">
        <v>0</v>
      </c>
      <c r="HD13" s="70">
        <v>0</v>
      </c>
      <c r="HE13" s="70">
        <v>0</v>
      </c>
      <c r="HF13" s="70">
        <v>0</v>
      </c>
      <c r="HG13" s="70">
        <v>0</v>
      </c>
      <c r="HH13" s="70">
        <v>0</v>
      </c>
      <c r="HI13" s="70">
        <v>0</v>
      </c>
      <c r="HJ13" s="70">
        <v>0</v>
      </c>
      <c r="HK13" s="70">
        <v>0</v>
      </c>
      <c r="HL13" s="70">
        <v>0</v>
      </c>
      <c r="HM13" s="70">
        <v>0</v>
      </c>
      <c r="HN13" s="70">
        <v>0</v>
      </c>
      <c r="HO13" s="70">
        <v>0</v>
      </c>
      <c r="HP13" s="70">
        <v>0</v>
      </c>
      <c r="HQ13" s="70">
        <v>0</v>
      </c>
      <c r="HR13" s="70">
        <v>0</v>
      </c>
      <c r="HS13" s="70">
        <v>0</v>
      </c>
      <c r="HT13" s="70">
        <v>0</v>
      </c>
      <c r="HU13" s="70">
        <v>0</v>
      </c>
      <c r="HV13" s="70">
        <v>0</v>
      </c>
      <c r="HW13" s="70">
        <v>0</v>
      </c>
      <c r="HX13" s="70">
        <v>0</v>
      </c>
      <c r="HY13" s="70">
        <v>0</v>
      </c>
      <c r="HZ13" s="70"/>
      <c r="IA13" s="70"/>
      <c r="IB13" s="70"/>
      <c r="IC13" s="70"/>
      <c r="ID13" s="70"/>
      <c r="IE13" s="70"/>
      <c r="IF13" s="70"/>
      <c r="IG13" s="70"/>
      <c r="IH13" s="70"/>
      <c r="II13" s="70"/>
      <c r="IJ13" s="70"/>
      <c r="IK13" s="70"/>
      <c r="IL13" s="70"/>
      <c r="IM13" s="70"/>
      <c r="IN13" s="70"/>
      <c r="IO13" s="70"/>
      <c r="IP13" s="70"/>
      <c r="IQ13" s="70"/>
      <c r="IR13" s="70"/>
      <c r="IS13" s="70"/>
      <c r="IT13" s="70"/>
      <c r="IU13" s="70"/>
      <c r="IV13" s="70"/>
      <c r="IW13" s="70"/>
      <c r="IX13" s="70"/>
      <c r="IY13" s="70"/>
      <c r="IZ13" s="70"/>
      <c r="JA13" s="70"/>
      <c r="JB13" s="70"/>
      <c r="JC13" s="70"/>
      <c r="JD13" s="70"/>
      <c r="JE13" s="70"/>
      <c r="JF13" s="70"/>
      <c r="JG13" s="70"/>
      <c r="JH13" s="70"/>
      <c r="JI13" s="70"/>
      <c r="JJ13" s="70"/>
      <c r="JK13" s="70"/>
      <c r="JL13" s="70"/>
      <c r="JM13" s="70"/>
      <c r="JN13" s="70"/>
      <c r="JO13" s="70"/>
      <c r="JP13" s="70"/>
      <c r="JQ13" s="70"/>
    </row>
    <row r="14" spans="1:277">
      <c r="A14" s="65" t="s">
        <v>106</v>
      </c>
      <c r="B14" s="66" t="s">
        <v>20</v>
      </c>
      <c r="C14" s="67">
        <v>0</v>
      </c>
      <c r="D14" s="67">
        <v>0</v>
      </c>
      <c r="E14" s="67">
        <v>0</v>
      </c>
      <c r="F14" s="67">
        <v>0</v>
      </c>
      <c r="G14" s="67">
        <v>0</v>
      </c>
      <c r="H14" s="67">
        <v>0</v>
      </c>
      <c r="I14" s="67">
        <v>0</v>
      </c>
      <c r="J14" s="67">
        <v>3.7750000000000001E-3</v>
      </c>
      <c r="K14" s="67">
        <v>3.392E-3</v>
      </c>
      <c r="L14" s="67">
        <v>1.2642E-2</v>
      </c>
      <c r="M14" s="67">
        <v>0.39427800000000002</v>
      </c>
      <c r="N14" s="67">
        <v>6.69E-4</v>
      </c>
      <c r="O14" s="67">
        <v>2.9910000000000002E-3</v>
      </c>
      <c r="P14" s="67">
        <v>3.2750000000000001E-3</v>
      </c>
      <c r="Q14" s="67">
        <v>6.6233E-2</v>
      </c>
      <c r="R14" s="67">
        <v>4.0800000000000003E-3</v>
      </c>
      <c r="S14" s="67">
        <v>2.3970000000000002E-2</v>
      </c>
      <c r="T14" s="67">
        <v>4.3169999999999997E-3</v>
      </c>
      <c r="U14" s="67">
        <v>1.456E-3</v>
      </c>
      <c r="V14" s="67">
        <v>1.059E-3</v>
      </c>
      <c r="W14" s="67">
        <v>4.9020000000000001E-3</v>
      </c>
      <c r="X14" s="67">
        <v>9.9999999999999995E-7</v>
      </c>
      <c r="Y14" s="67">
        <v>0</v>
      </c>
      <c r="Z14" s="67">
        <v>0</v>
      </c>
      <c r="AA14" s="67">
        <v>1.2E-5</v>
      </c>
      <c r="AB14" s="67">
        <v>1.9999999999999999E-6</v>
      </c>
      <c r="AC14" s="67">
        <v>5.0000000000000004E-6</v>
      </c>
      <c r="AD14" s="67">
        <v>3.0000000000000001E-6</v>
      </c>
      <c r="AE14" s="67">
        <v>1.9999999999999999E-6</v>
      </c>
      <c r="AF14" s="67">
        <v>9.9999999999999995E-7</v>
      </c>
      <c r="AG14" s="67">
        <v>7.9999999999999996E-6</v>
      </c>
      <c r="AH14" s="67">
        <v>4.3000000000000002E-5</v>
      </c>
      <c r="AI14" s="67">
        <v>0</v>
      </c>
      <c r="AJ14" s="67">
        <v>1.9999999999999999E-6</v>
      </c>
      <c r="AK14" s="67">
        <v>9.9999999999999995E-7</v>
      </c>
      <c r="AL14" s="67">
        <v>9.9999999999999995E-7</v>
      </c>
      <c r="AM14" s="67">
        <v>0</v>
      </c>
      <c r="AN14" s="67">
        <v>1.9999999999999999E-6</v>
      </c>
      <c r="AO14" s="67">
        <v>9.9999999999999995E-7</v>
      </c>
      <c r="AP14" s="67">
        <v>0</v>
      </c>
      <c r="AQ14" s="67">
        <v>0</v>
      </c>
      <c r="AR14" s="67">
        <v>3.0000000000000001E-6</v>
      </c>
      <c r="AS14" s="67">
        <v>0</v>
      </c>
      <c r="AT14" s="67">
        <v>0</v>
      </c>
      <c r="AU14" s="67">
        <v>0</v>
      </c>
      <c r="AV14" s="67">
        <v>0</v>
      </c>
      <c r="AW14" s="67">
        <v>0</v>
      </c>
      <c r="AX14" s="67">
        <v>0</v>
      </c>
      <c r="AY14" s="67">
        <v>0</v>
      </c>
      <c r="AZ14" s="67">
        <v>0</v>
      </c>
      <c r="BA14" s="67">
        <v>0</v>
      </c>
      <c r="BB14" s="67">
        <v>0</v>
      </c>
      <c r="BC14" s="67">
        <v>0</v>
      </c>
      <c r="BD14" s="67">
        <v>0</v>
      </c>
      <c r="BE14" s="67">
        <v>0</v>
      </c>
      <c r="BF14" s="67">
        <v>0</v>
      </c>
      <c r="BG14" s="67">
        <v>0</v>
      </c>
      <c r="BH14" s="67">
        <v>0</v>
      </c>
      <c r="BI14" s="67">
        <v>0</v>
      </c>
      <c r="BJ14" s="67">
        <v>0</v>
      </c>
      <c r="BK14" s="67">
        <v>0</v>
      </c>
      <c r="BL14" s="67">
        <v>0</v>
      </c>
      <c r="BM14" s="67">
        <v>0</v>
      </c>
      <c r="BN14" s="67">
        <v>0</v>
      </c>
      <c r="BO14" s="67">
        <v>0</v>
      </c>
      <c r="BP14" s="67">
        <v>0</v>
      </c>
      <c r="BQ14" s="67">
        <v>0</v>
      </c>
      <c r="BR14" s="67">
        <v>0</v>
      </c>
      <c r="BS14" s="67">
        <v>0</v>
      </c>
      <c r="BT14" s="67">
        <v>0</v>
      </c>
      <c r="BU14" s="67">
        <v>0</v>
      </c>
      <c r="BV14" s="67">
        <v>0</v>
      </c>
      <c r="BW14" s="67">
        <v>0</v>
      </c>
      <c r="BX14" s="67">
        <v>0</v>
      </c>
      <c r="BY14" s="67">
        <v>0</v>
      </c>
      <c r="BZ14" s="67">
        <v>0</v>
      </c>
      <c r="CA14" s="67">
        <v>0</v>
      </c>
      <c r="CB14" s="67">
        <v>0</v>
      </c>
      <c r="CC14" s="67">
        <v>0</v>
      </c>
      <c r="CD14" s="67">
        <v>0</v>
      </c>
      <c r="CE14" s="67">
        <v>0</v>
      </c>
      <c r="CF14" s="67">
        <v>0</v>
      </c>
      <c r="CG14" s="67">
        <v>0</v>
      </c>
      <c r="CH14" s="67">
        <v>0</v>
      </c>
      <c r="CI14" s="67">
        <v>0</v>
      </c>
      <c r="CJ14" s="67">
        <v>0</v>
      </c>
      <c r="CK14" s="67">
        <v>0</v>
      </c>
      <c r="CL14" s="67">
        <v>0</v>
      </c>
      <c r="CM14" s="67">
        <v>0</v>
      </c>
      <c r="CN14" s="67">
        <v>0</v>
      </c>
      <c r="CO14" s="67">
        <v>0</v>
      </c>
      <c r="CP14" s="67">
        <v>0</v>
      </c>
      <c r="CQ14" s="67">
        <v>0</v>
      </c>
      <c r="CR14" s="67">
        <v>0</v>
      </c>
      <c r="CS14" s="67">
        <v>9.9999999999999995E-7</v>
      </c>
      <c r="CT14" s="67">
        <v>0</v>
      </c>
      <c r="CU14" s="67">
        <v>0</v>
      </c>
      <c r="CV14" s="67">
        <v>0</v>
      </c>
      <c r="CW14" s="67">
        <v>0</v>
      </c>
      <c r="CX14" s="67">
        <v>0</v>
      </c>
      <c r="CY14" s="67">
        <v>0</v>
      </c>
      <c r="CZ14" s="67">
        <v>0</v>
      </c>
      <c r="DA14" s="67">
        <v>0</v>
      </c>
      <c r="DB14" s="67">
        <v>0</v>
      </c>
      <c r="DC14" s="67">
        <v>0</v>
      </c>
      <c r="DD14" s="67">
        <v>0</v>
      </c>
      <c r="DE14" s="67">
        <v>0</v>
      </c>
      <c r="DF14" s="67">
        <v>0</v>
      </c>
      <c r="DG14" s="67">
        <v>6.0000000000000002E-6</v>
      </c>
      <c r="DH14" s="67">
        <v>3.0000000000000001E-6</v>
      </c>
      <c r="DI14" s="67">
        <v>1.9999999999999999E-6</v>
      </c>
      <c r="DJ14" s="67">
        <v>0</v>
      </c>
      <c r="DK14" s="67">
        <v>0</v>
      </c>
      <c r="DL14" s="67">
        <v>9.9999999999999995E-7</v>
      </c>
      <c r="DM14" s="67">
        <v>3.8999999999999999E-5</v>
      </c>
      <c r="DN14" s="67">
        <v>1.2999999999999999E-5</v>
      </c>
      <c r="DO14" s="67">
        <v>9.9999999999999995E-7</v>
      </c>
      <c r="DP14" s="67">
        <v>1.0000000000000001E-5</v>
      </c>
      <c r="DQ14" s="67">
        <v>0</v>
      </c>
      <c r="DR14" s="67">
        <v>0</v>
      </c>
      <c r="DS14" s="67">
        <v>9.9999999999999995E-7</v>
      </c>
      <c r="DT14" s="67">
        <v>3.0000000000000001E-6</v>
      </c>
      <c r="DU14" s="67">
        <v>0</v>
      </c>
      <c r="DV14" s="67">
        <v>0</v>
      </c>
      <c r="DW14" s="67">
        <v>0</v>
      </c>
      <c r="DX14" s="67">
        <v>1.9999999999999999E-6</v>
      </c>
      <c r="DY14" s="67">
        <v>0</v>
      </c>
      <c r="DZ14" s="67">
        <v>0</v>
      </c>
      <c r="EA14" s="67">
        <v>0</v>
      </c>
      <c r="EB14" s="67">
        <v>0</v>
      </c>
      <c r="EC14" s="67">
        <v>0</v>
      </c>
      <c r="ED14" s="67">
        <v>0</v>
      </c>
      <c r="EE14" s="67">
        <v>0</v>
      </c>
      <c r="EF14" s="67">
        <v>0</v>
      </c>
      <c r="EG14" s="67">
        <v>0</v>
      </c>
      <c r="EH14" s="67">
        <v>0</v>
      </c>
      <c r="EI14" s="67">
        <v>0</v>
      </c>
      <c r="EJ14" s="67">
        <v>0</v>
      </c>
      <c r="EK14" s="67">
        <v>0</v>
      </c>
      <c r="EL14" s="67">
        <v>0</v>
      </c>
      <c r="EM14" s="67">
        <v>0</v>
      </c>
      <c r="EN14" s="67">
        <v>0</v>
      </c>
      <c r="EO14" s="67">
        <v>0</v>
      </c>
      <c r="EP14" s="67">
        <v>0</v>
      </c>
      <c r="EQ14" s="67">
        <v>0</v>
      </c>
      <c r="ER14" s="67">
        <v>0</v>
      </c>
      <c r="ES14" s="67">
        <v>0</v>
      </c>
      <c r="ET14" s="67">
        <v>0</v>
      </c>
      <c r="EU14" s="67">
        <v>0</v>
      </c>
      <c r="EV14" s="67">
        <v>0</v>
      </c>
      <c r="EW14" s="67">
        <v>9.9999999999999995E-7</v>
      </c>
      <c r="EX14" s="67">
        <v>9.9999999999999995E-7</v>
      </c>
      <c r="EY14" s="67">
        <v>9.9999999999999995E-7</v>
      </c>
      <c r="EZ14" s="67">
        <v>0</v>
      </c>
      <c r="FA14" s="67">
        <v>0</v>
      </c>
      <c r="FB14" s="67">
        <v>9.9999999999999995E-7</v>
      </c>
      <c r="FC14" s="67">
        <v>0</v>
      </c>
      <c r="FD14" s="67">
        <v>3.0000000000000001E-6</v>
      </c>
      <c r="FE14" s="67">
        <v>0</v>
      </c>
      <c r="FF14" s="67">
        <v>0</v>
      </c>
      <c r="FG14" s="67">
        <v>0</v>
      </c>
      <c r="FH14" s="67">
        <v>9.9999999999999995E-7</v>
      </c>
      <c r="FI14" s="67">
        <v>0</v>
      </c>
      <c r="FJ14" s="67">
        <v>0</v>
      </c>
      <c r="FK14" s="67">
        <v>0</v>
      </c>
      <c r="FL14" s="67">
        <v>0</v>
      </c>
      <c r="FM14" s="67">
        <v>0</v>
      </c>
      <c r="FN14" s="67">
        <v>0</v>
      </c>
      <c r="FO14" s="67">
        <v>0</v>
      </c>
      <c r="FP14" s="67">
        <v>0</v>
      </c>
      <c r="FQ14" s="67">
        <v>9.9999999999999995E-7</v>
      </c>
      <c r="FR14" s="67">
        <v>1.9999999999999999E-6</v>
      </c>
      <c r="FS14" s="67">
        <v>0</v>
      </c>
      <c r="FT14" s="67">
        <v>9.9999999999999995E-7</v>
      </c>
      <c r="FU14" s="67">
        <v>9.9999999999999995E-7</v>
      </c>
      <c r="FV14" s="67">
        <v>1.9999999999999999E-6</v>
      </c>
      <c r="FW14" s="67">
        <v>0</v>
      </c>
      <c r="FX14" s="67">
        <v>2.1999999999999999E-5</v>
      </c>
      <c r="FY14" s="67">
        <v>1.26E-4</v>
      </c>
      <c r="FZ14" s="67">
        <v>0</v>
      </c>
      <c r="GA14" s="67">
        <v>0</v>
      </c>
      <c r="GB14" s="67">
        <v>5.0000000000000004E-6</v>
      </c>
      <c r="GC14" s="67">
        <v>3.0000000000000001E-6</v>
      </c>
      <c r="GD14" s="67">
        <v>6.0000000000000002E-6</v>
      </c>
      <c r="GE14" s="67">
        <v>3.6000000000000001E-5</v>
      </c>
      <c r="GF14" s="67">
        <v>9.9999999999999995E-7</v>
      </c>
      <c r="GG14" s="67">
        <v>0</v>
      </c>
      <c r="GH14" s="67">
        <v>0</v>
      </c>
      <c r="GI14" s="67">
        <v>9.9999999999999995E-7</v>
      </c>
      <c r="GJ14" s="67">
        <v>0</v>
      </c>
      <c r="GK14" s="67">
        <v>0</v>
      </c>
      <c r="GL14" s="67">
        <v>0</v>
      </c>
      <c r="GM14" s="67">
        <v>0</v>
      </c>
      <c r="GN14" s="67">
        <v>0</v>
      </c>
      <c r="GO14" s="67">
        <v>0</v>
      </c>
      <c r="GP14" s="67">
        <v>0</v>
      </c>
      <c r="GQ14" s="67">
        <v>0</v>
      </c>
      <c r="GR14" s="67">
        <v>0</v>
      </c>
      <c r="GS14" s="67">
        <v>0</v>
      </c>
      <c r="GT14" s="67">
        <v>0</v>
      </c>
      <c r="GU14" s="67">
        <v>0</v>
      </c>
      <c r="GV14" s="67">
        <v>0</v>
      </c>
      <c r="GW14" s="67">
        <v>0</v>
      </c>
      <c r="GX14" s="67">
        <v>0</v>
      </c>
      <c r="GY14" s="67">
        <v>0</v>
      </c>
      <c r="GZ14" s="67">
        <v>0</v>
      </c>
      <c r="HA14" s="67">
        <v>0</v>
      </c>
      <c r="HB14" s="67">
        <v>0</v>
      </c>
      <c r="HC14" s="67">
        <v>0</v>
      </c>
      <c r="HD14" s="67">
        <v>0</v>
      </c>
      <c r="HE14" s="67">
        <v>0</v>
      </c>
      <c r="HF14" s="67">
        <v>0</v>
      </c>
      <c r="HG14" s="67">
        <v>0</v>
      </c>
      <c r="HH14" s="67">
        <v>0</v>
      </c>
      <c r="HI14" s="67">
        <v>0</v>
      </c>
      <c r="HJ14" s="67">
        <v>0</v>
      </c>
      <c r="HK14" s="67">
        <v>0</v>
      </c>
      <c r="HL14" s="67">
        <v>0</v>
      </c>
      <c r="HM14" s="67">
        <v>0</v>
      </c>
      <c r="HN14" s="67">
        <v>0</v>
      </c>
      <c r="HO14" s="67">
        <v>0</v>
      </c>
      <c r="HP14" s="67">
        <v>0</v>
      </c>
      <c r="HQ14" s="67">
        <v>0</v>
      </c>
      <c r="HR14" s="67">
        <v>0</v>
      </c>
      <c r="HS14" s="67">
        <v>0</v>
      </c>
      <c r="HT14" s="67">
        <v>0</v>
      </c>
      <c r="HU14" s="67">
        <v>0</v>
      </c>
      <c r="HV14" s="67">
        <v>0</v>
      </c>
      <c r="HW14" s="67">
        <v>0</v>
      </c>
      <c r="HX14" s="67">
        <v>0</v>
      </c>
      <c r="HY14" s="67">
        <v>0</v>
      </c>
      <c r="HZ14" s="67"/>
      <c r="IA14" s="67"/>
      <c r="IB14" s="67"/>
      <c r="IC14" s="67"/>
      <c r="ID14" s="67"/>
      <c r="IE14" s="67"/>
      <c r="IF14" s="67"/>
      <c r="IG14" s="67"/>
      <c r="IH14" s="67"/>
      <c r="II14" s="67"/>
      <c r="IJ14" s="67"/>
      <c r="IK14" s="67"/>
      <c r="IL14" s="67"/>
      <c r="IM14" s="67"/>
      <c r="IN14" s="67"/>
      <c r="IO14" s="67"/>
      <c r="IP14" s="67"/>
      <c r="IQ14" s="67"/>
      <c r="IR14" s="67"/>
      <c r="IS14" s="67"/>
      <c r="IT14" s="67"/>
      <c r="IU14" s="67"/>
      <c r="IV14" s="67"/>
      <c r="IW14" s="67"/>
      <c r="IX14" s="67"/>
      <c r="IY14" s="67"/>
      <c r="IZ14" s="67"/>
      <c r="JA14" s="67"/>
      <c r="JB14" s="67"/>
      <c r="JC14" s="67"/>
      <c r="JD14" s="67"/>
      <c r="JE14" s="67"/>
      <c r="JF14" s="67"/>
      <c r="JG14" s="67"/>
      <c r="JH14" s="67"/>
      <c r="JI14" s="67"/>
      <c r="JJ14" s="67"/>
      <c r="JK14" s="67"/>
      <c r="JL14" s="67"/>
      <c r="JM14" s="67"/>
      <c r="JN14" s="67"/>
      <c r="JO14" s="67"/>
      <c r="JP14" s="67"/>
      <c r="JQ14" s="67"/>
    </row>
    <row r="15" spans="1:277">
      <c r="A15" s="68" t="s">
        <v>107</v>
      </c>
      <c r="B15" s="69" t="s">
        <v>21</v>
      </c>
      <c r="C15" s="70">
        <v>2.7000000000000001E-3</v>
      </c>
      <c r="D15" s="70">
        <v>0</v>
      </c>
      <c r="E15" s="70">
        <v>6.7479999999999997E-3</v>
      </c>
      <c r="F15" s="70">
        <v>1.3162999999999999E-2</v>
      </c>
      <c r="G15" s="70">
        <v>1.2127000000000001E-2</v>
      </c>
      <c r="H15" s="70">
        <v>2.6610000000000002E-2</v>
      </c>
      <c r="I15" s="70">
        <v>2.0580000000000001E-2</v>
      </c>
      <c r="J15" s="70">
        <v>8.5170000000000003E-3</v>
      </c>
      <c r="K15" s="70">
        <v>1.4955E-2</v>
      </c>
      <c r="L15" s="70">
        <v>3.0668000000000001E-2</v>
      </c>
      <c r="M15" s="70">
        <v>2.1410999999999999E-2</v>
      </c>
      <c r="N15" s="70">
        <v>8.7554999999999994E-2</v>
      </c>
      <c r="O15" s="70">
        <v>1.0349999999999999E-3</v>
      </c>
      <c r="P15" s="70">
        <v>2.7743E-2</v>
      </c>
      <c r="Q15" s="70">
        <v>1.0703000000000001E-2</v>
      </c>
      <c r="R15" s="70">
        <v>4.3207000000000002E-2</v>
      </c>
      <c r="S15" s="70">
        <v>1.2049000000000001E-2</v>
      </c>
      <c r="T15" s="70">
        <v>7.1219999999999999E-3</v>
      </c>
      <c r="U15" s="70">
        <v>1.8127000000000001E-2</v>
      </c>
      <c r="V15" s="70">
        <v>1.3180000000000001E-2</v>
      </c>
      <c r="W15" s="70">
        <v>2.7890999999999999E-2</v>
      </c>
      <c r="X15" s="70">
        <v>3.9999999999999998E-6</v>
      </c>
      <c r="Y15" s="70">
        <v>0</v>
      </c>
      <c r="Z15" s="70">
        <v>9.9999999999999995E-7</v>
      </c>
      <c r="AA15" s="70">
        <v>1.9999999999999999E-6</v>
      </c>
      <c r="AB15" s="70">
        <v>3.9999999999999998E-6</v>
      </c>
      <c r="AC15" s="70">
        <v>6.9999999999999999E-6</v>
      </c>
      <c r="AD15" s="70">
        <v>6.0000000000000002E-6</v>
      </c>
      <c r="AE15" s="70">
        <v>3.9999999999999998E-6</v>
      </c>
      <c r="AF15" s="70">
        <v>1.9999999999999999E-6</v>
      </c>
      <c r="AG15" s="70">
        <v>1.9999999999999999E-6</v>
      </c>
      <c r="AH15" s="70">
        <v>1.9999999999999999E-6</v>
      </c>
      <c r="AI15" s="70">
        <v>2.9E-5</v>
      </c>
      <c r="AJ15" s="70">
        <v>0</v>
      </c>
      <c r="AK15" s="70">
        <v>9.9999999999999995E-7</v>
      </c>
      <c r="AL15" s="70">
        <v>9.9999999999999995E-7</v>
      </c>
      <c r="AM15" s="70">
        <v>1.9999999999999999E-6</v>
      </c>
      <c r="AN15" s="70">
        <v>3.0000000000000001E-6</v>
      </c>
      <c r="AO15" s="70">
        <v>9.9999999999999995E-7</v>
      </c>
      <c r="AP15" s="70">
        <v>0</v>
      </c>
      <c r="AQ15" s="70">
        <v>0</v>
      </c>
      <c r="AR15" s="70">
        <v>1.9999999999999999E-6</v>
      </c>
      <c r="AS15" s="70">
        <v>0</v>
      </c>
      <c r="AT15" s="70">
        <v>0</v>
      </c>
      <c r="AU15" s="70">
        <v>0</v>
      </c>
      <c r="AV15" s="70">
        <v>0</v>
      </c>
      <c r="AW15" s="70">
        <v>0</v>
      </c>
      <c r="AX15" s="70">
        <v>9.9999999999999995E-7</v>
      </c>
      <c r="AY15" s="70">
        <v>0</v>
      </c>
      <c r="AZ15" s="70">
        <v>3.0000000000000001E-6</v>
      </c>
      <c r="BA15" s="70">
        <v>0</v>
      </c>
      <c r="BB15" s="70">
        <v>0</v>
      </c>
      <c r="BC15" s="70">
        <v>0</v>
      </c>
      <c r="BD15" s="70">
        <v>9.9999999999999995E-7</v>
      </c>
      <c r="BE15" s="70">
        <v>0</v>
      </c>
      <c r="BF15" s="70">
        <v>0</v>
      </c>
      <c r="BG15" s="70">
        <v>0</v>
      </c>
      <c r="BH15" s="70">
        <v>0</v>
      </c>
      <c r="BI15" s="70">
        <v>0</v>
      </c>
      <c r="BJ15" s="70">
        <v>0</v>
      </c>
      <c r="BK15" s="70">
        <v>0</v>
      </c>
      <c r="BL15" s="70">
        <v>0</v>
      </c>
      <c r="BM15" s="70">
        <v>0</v>
      </c>
      <c r="BN15" s="70">
        <v>0</v>
      </c>
      <c r="BO15" s="70">
        <v>0</v>
      </c>
      <c r="BP15" s="70">
        <v>0</v>
      </c>
      <c r="BQ15" s="70">
        <v>0</v>
      </c>
      <c r="BR15" s="70">
        <v>0</v>
      </c>
      <c r="BS15" s="70">
        <v>0</v>
      </c>
      <c r="BT15" s="70">
        <v>0</v>
      </c>
      <c r="BU15" s="70">
        <v>0</v>
      </c>
      <c r="BV15" s="70">
        <v>0</v>
      </c>
      <c r="BW15" s="70">
        <v>0</v>
      </c>
      <c r="BX15" s="70">
        <v>0</v>
      </c>
      <c r="BY15" s="70">
        <v>0</v>
      </c>
      <c r="BZ15" s="70">
        <v>0</v>
      </c>
      <c r="CA15" s="70">
        <v>0</v>
      </c>
      <c r="CB15" s="70">
        <v>0</v>
      </c>
      <c r="CC15" s="70">
        <v>0</v>
      </c>
      <c r="CD15" s="70">
        <v>9.9999999999999995E-7</v>
      </c>
      <c r="CE15" s="70">
        <v>0</v>
      </c>
      <c r="CF15" s="70">
        <v>0</v>
      </c>
      <c r="CG15" s="70">
        <v>0</v>
      </c>
      <c r="CH15" s="70">
        <v>0</v>
      </c>
      <c r="CI15" s="70">
        <v>0</v>
      </c>
      <c r="CJ15" s="70">
        <v>0</v>
      </c>
      <c r="CK15" s="70">
        <v>0</v>
      </c>
      <c r="CL15" s="70">
        <v>0</v>
      </c>
      <c r="CM15" s="70">
        <v>0</v>
      </c>
      <c r="CN15" s="70">
        <v>0</v>
      </c>
      <c r="CO15" s="70">
        <v>0</v>
      </c>
      <c r="CP15" s="70">
        <v>0</v>
      </c>
      <c r="CQ15" s="70">
        <v>0</v>
      </c>
      <c r="CR15" s="70">
        <v>0</v>
      </c>
      <c r="CS15" s="70">
        <v>0</v>
      </c>
      <c r="CT15" s="70">
        <v>0</v>
      </c>
      <c r="CU15" s="70">
        <v>0</v>
      </c>
      <c r="CV15" s="70">
        <v>0</v>
      </c>
      <c r="CW15" s="70">
        <v>0</v>
      </c>
      <c r="CX15" s="70">
        <v>0</v>
      </c>
      <c r="CY15" s="70">
        <v>0</v>
      </c>
      <c r="CZ15" s="70">
        <v>0</v>
      </c>
      <c r="DA15" s="70">
        <v>0</v>
      </c>
      <c r="DB15" s="70">
        <v>0</v>
      </c>
      <c r="DC15" s="70">
        <v>0</v>
      </c>
      <c r="DD15" s="70">
        <v>9.9999999999999995E-7</v>
      </c>
      <c r="DE15" s="70">
        <v>0</v>
      </c>
      <c r="DF15" s="70">
        <v>1.9999999999999999E-6</v>
      </c>
      <c r="DG15" s="70">
        <v>3.0000000000000001E-6</v>
      </c>
      <c r="DH15" s="70">
        <v>3.0000000000000001E-6</v>
      </c>
      <c r="DI15" s="70">
        <v>6.9999999999999999E-6</v>
      </c>
      <c r="DJ15" s="70">
        <v>7.9999999999999996E-6</v>
      </c>
      <c r="DK15" s="70">
        <v>6.9999999999999999E-6</v>
      </c>
      <c r="DL15" s="70">
        <v>1.9999999999999999E-6</v>
      </c>
      <c r="DM15" s="70">
        <v>3.0000000000000001E-6</v>
      </c>
      <c r="DN15" s="70">
        <v>3.0000000000000001E-6</v>
      </c>
      <c r="DO15" s="70">
        <v>3.4999999999999997E-5</v>
      </c>
      <c r="DP15" s="70">
        <v>1.9999999999999999E-6</v>
      </c>
      <c r="DQ15" s="70">
        <v>3.0000000000000001E-6</v>
      </c>
      <c r="DR15" s="70">
        <v>3.0000000000000001E-6</v>
      </c>
      <c r="DS15" s="70">
        <v>3.0000000000000001E-6</v>
      </c>
      <c r="DT15" s="70">
        <v>5.0000000000000004E-6</v>
      </c>
      <c r="DU15" s="70">
        <v>9.9999999999999995E-7</v>
      </c>
      <c r="DV15" s="70">
        <v>0</v>
      </c>
      <c r="DW15" s="70">
        <v>0</v>
      </c>
      <c r="DX15" s="70">
        <v>1.9999999999999999E-6</v>
      </c>
      <c r="DY15" s="70">
        <v>0</v>
      </c>
      <c r="DZ15" s="70">
        <v>0</v>
      </c>
      <c r="EA15" s="70">
        <v>0</v>
      </c>
      <c r="EB15" s="70">
        <v>0</v>
      </c>
      <c r="EC15" s="70">
        <v>0</v>
      </c>
      <c r="ED15" s="70">
        <v>0</v>
      </c>
      <c r="EE15" s="70">
        <v>0</v>
      </c>
      <c r="EF15" s="70">
        <v>0</v>
      </c>
      <c r="EG15" s="70">
        <v>0</v>
      </c>
      <c r="EH15" s="70">
        <v>0</v>
      </c>
      <c r="EI15" s="70">
        <v>9.9999999999999995E-7</v>
      </c>
      <c r="EJ15" s="70">
        <v>0</v>
      </c>
      <c r="EK15" s="70">
        <v>0</v>
      </c>
      <c r="EL15" s="70">
        <v>0</v>
      </c>
      <c r="EM15" s="70">
        <v>0</v>
      </c>
      <c r="EN15" s="70">
        <v>0</v>
      </c>
      <c r="EO15" s="70">
        <v>9.9999999999999995E-7</v>
      </c>
      <c r="EP15" s="70">
        <v>0</v>
      </c>
      <c r="EQ15" s="70">
        <v>0</v>
      </c>
      <c r="ER15" s="70">
        <v>0</v>
      </c>
      <c r="ES15" s="70">
        <v>0</v>
      </c>
      <c r="ET15" s="70">
        <v>0</v>
      </c>
      <c r="EU15" s="70">
        <v>0</v>
      </c>
      <c r="EV15" s="70">
        <v>0</v>
      </c>
      <c r="EW15" s="70">
        <v>0</v>
      </c>
      <c r="EX15" s="70">
        <v>0</v>
      </c>
      <c r="EY15" s="70">
        <v>9.9999999999999995E-7</v>
      </c>
      <c r="EZ15" s="70">
        <v>0</v>
      </c>
      <c r="FA15" s="70">
        <v>0</v>
      </c>
      <c r="FB15" s="70">
        <v>0</v>
      </c>
      <c r="FC15" s="70">
        <v>0</v>
      </c>
      <c r="FD15" s="70">
        <v>0</v>
      </c>
      <c r="FE15" s="70">
        <v>0</v>
      </c>
      <c r="FF15" s="70">
        <v>0</v>
      </c>
      <c r="FG15" s="70">
        <v>0</v>
      </c>
      <c r="FH15" s="70">
        <v>0</v>
      </c>
      <c r="FI15" s="70">
        <v>0</v>
      </c>
      <c r="FJ15" s="70">
        <v>9.9999999999999995E-7</v>
      </c>
      <c r="FK15" s="70">
        <v>9.9999999999999995E-7</v>
      </c>
      <c r="FL15" s="70">
        <v>0</v>
      </c>
      <c r="FM15" s="70">
        <v>0</v>
      </c>
      <c r="FN15" s="70">
        <v>0</v>
      </c>
      <c r="FO15" s="70">
        <v>6.9999999999999999E-6</v>
      </c>
      <c r="FP15" s="70">
        <v>0</v>
      </c>
      <c r="FQ15" s="70">
        <v>2.0999999999999999E-5</v>
      </c>
      <c r="FR15" s="70">
        <v>1.2999999999999999E-5</v>
      </c>
      <c r="FS15" s="70">
        <v>5.0000000000000004E-6</v>
      </c>
      <c r="FT15" s="70">
        <v>6.3E-5</v>
      </c>
      <c r="FU15" s="70">
        <v>0</v>
      </c>
      <c r="FV15" s="70">
        <v>1.4E-5</v>
      </c>
      <c r="FW15" s="70">
        <v>9.9999999999999995E-7</v>
      </c>
      <c r="FX15" s="70">
        <v>9.0000000000000002E-6</v>
      </c>
      <c r="FY15" s="70">
        <v>2.0999999999999999E-5</v>
      </c>
      <c r="FZ15" s="70">
        <v>5.04E-4</v>
      </c>
      <c r="GA15" s="70">
        <v>0</v>
      </c>
      <c r="GB15" s="70">
        <v>1.9999999999999999E-6</v>
      </c>
      <c r="GC15" s="70">
        <v>1.9999999999999999E-6</v>
      </c>
      <c r="GD15" s="70">
        <v>1.1E-5</v>
      </c>
      <c r="GE15" s="70">
        <v>5.0000000000000004E-6</v>
      </c>
      <c r="GF15" s="70">
        <v>3.0000000000000001E-6</v>
      </c>
      <c r="GG15" s="70">
        <v>0</v>
      </c>
      <c r="GH15" s="70">
        <v>0</v>
      </c>
      <c r="GI15" s="70">
        <v>1.9999999999999999E-6</v>
      </c>
      <c r="GJ15" s="70">
        <v>0</v>
      </c>
      <c r="GK15" s="70">
        <v>0</v>
      </c>
      <c r="GL15" s="70">
        <v>0</v>
      </c>
      <c r="GM15" s="70">
        <v>0</v>
      </c>
      <c r="GN15" s="70">
        <v>0</v>
      </c>
      <c r="GO15" s="70">
        <v>0</v>
      </c>
      <c r="GP15" s="70">
        <v>0</v>
      </c>
      <c r="GQ15" s="70">
        <v>0</v>
      </c>
      <c r="GR15" s="70">
        <v>0</v>
      </c>
      <c r="GS15" s="70">
        <v>0</v>
      </c>
      <c r="GT15" s="70">
        <v>0</v>
      </c>
      <c r="GU15" s="70">
        <v>9.9999999999999995E-7</v>
      </c>
      <c r="GV15" s="70">
        <v>0</v>
      </c>
      <c r="GW15" s="70">
        <v>0</v>
      </c>
      <c r="GX15" s="70">
        <v>0</v>
      </c>
      <c r="GY15" s="70">
        <v>0</v>
      </c>
      <c r="GZ15" s="70">
        <v>0</v>
      </c>
      <c r="HA15" s="70">
        <v>0</v>
      </c>
      <c r="HB15" s="70">
        <v>0</v>
      </c>
      <c r="HC15" s="70">
        <v>0</v>
      </c>
      <c r="HD15" s="70">
        <v>0</v>
      </c>
      <c r="HE15" s="70">
        <v>0</v>
      </c>
      <c r="HF15" s="70">
        <v>0</v>
      </c>
      <c r="HG15" s="70">
        <v>0</v>
      </c>
      <c r="HH15" s="70">
        <v>0</v>
      </c>
      <c r="HI15" s="70">
        <v>0</v>
      </c>
      <c r="HJ15" s="70">
        <v>9.9999999999999995E-7</v>
      </c>
      <c r="HK15" s="70">
        <v>0</v>
      </c>
      <c r="HL15" s="70">
        <v>5.0000000000000004E-6</v>
      </c>
      <c r="HM15" s="70">
        <v>0</v>
      </c>
      <c r="HN15" s="70">
        <v>0</v>
      </c>
      <c r="HO15" s="70">
        <v>0</v>
      </c>
      <c r="HP15" s="70">
        <v>9.9999999999999995E-7</v>
      </c>
      <c r="HQ15" s="70">
        <v>0</v>
      </c>
      <c r="HR15" s="70">
        <v>0</v>
      </c>
      <c r="HS15" s="70">
        <v>0</v>
      </c>
      <c r="HT15" s="70">
        <v>0</v>
      </c>
      <c r="HU15" s="70">
        <v>0</v>
      </c>
      <c r="HV15" s="70">
        <v>0</v>
      </c>
      <c r="HW15" s="70">
        <v>0</v>
      </c>
      <c r="HX15" s="70">
        <v>0</v>
      </c>
      <c r="HY15" s="70">
        <v>0</v>
      </c>
      <c r="HZ15" s="70"/>
      <c r="IA15" s="70"/>
      <c r="IB15" s="70"/>
      <c r="IC15" s="70"/>
      <c r="ID15" s="70"/>
      <c r="IE15" s="70"/>
      <c r="IF15" s="70"/>
      <c r="IG15" s="70"/>
      <c r="IH15" s="70"/>
      <c r="II15" s="70"/>
      <c r="IJ15" s="70"/>
      <c r="IK15" s="70"/>
      <c r="IL15" s="70"/>
      <c r="IM15" s="70"/>
      <c r="IN15" s="70"/>
      <c r="IO15" s="70"/>
      <c r="IP15" s="70"/>
      <c r="IQ15" s="70"/>
      <c r="IR15" s="70"/>
      <c r="IS15" s="70"/>
      <c r="IT15" s="70"/>
      <c r="IU15" s="70"/>
      <c r="IV15" s="70"/>
      <c r="IW15" s="70"/>
      <c r="IX15" s="70"/>
      <c r="IY15" s="70"/>
      <c r="IZ15" s="70"/>
      <c r="JA15" s="70"/>
      <c r="JB15" s="70"/>
      <c r="JC15" s="70"/>
      <c r="JD15" s="70"/>
      <c r="JE15" s="70"/>
      <c r="JF15" s="70"/>
      <c r="JG15" s="70"/>
      <c r="JH15" s="70"/>
      <c r="JI15" s="70"/>
      <c r="JJ15" s="70"/>
      <c r="JK15" s="70"/>
      <c r="JL15" s="70"/>
      <c r="JM15" s="70"/>
      <c r="JN15" s="70"/>
      <c r="JO15" s="70"/>
      <c r="JP15" s="70"/>
      <c r="JQ15" s="70"/>
    </row>
    <row r="16" spans="1:277">
      <c r="A16" s="65" t="s">
        <v>108</v>
      </c>
      <c r="B16" s="66" t="s">
        <v>22</v>
      </c>
      <c r="C16" s="67">
        <v>9.9999999999999995E-7</v>
      </c>
      <c r="D16" s="67">
        <v>0</v>
      </c>
      <c r="E16" s="67">
        <v>0</v>
      </c>
      <c r="F16" s="67">
        <v>0</v>
      </c>
      <c r="G16" s="67">
        <v>1.2799999999999999E-4</v>
      </c>
      <c r="H16" s="67">
        <v>0</v>
      </c>
      <c r="I16" s="67">
        <v>0</v>
      </c>
      <c r="J16" s="67">
        <v>0</v>
      </c>
      <c r="K16" s="67">
        <v>1.8977000000000001E-2</v>
      </c>
      <c r="L16" s="67">
        <v>2.1663000000000002E-2</v>
      </c>
      <c r="M16" s="67">
        <v>7.26E-3</v>
      </c>
      <c r="N16" s="67">
        <v>0</v>
      </c>
      <c r="O16" s="67">
        <v>3.0117999999999999E-2</v>
      </c>
      <c r="P16" s="67">
        <v>6.87E-4</v>
      </c>
      <c r="Q16" s="67">
        <v>2.5000000000000001E-4</v>
      </c>
      <c r="R16" s="67">
        <v>3.0000000000000001E-6</v>
      </c>
      <c r="S16" s="67">
        <v>0.14771400000000001</v>
      </c>
      <c r="T16" s="67">
        <v>1.6069999999999999E-3</v>
      </c>
      <c r="U16" s="67">
        <v>2.9840000000000001E-3</v>
      </c>
      <c r="V16" s="67">
        <v>2.1689999999999999E-3</v>
      </c>
      <c r="W16" s="67">
        <v>1.255E-3</v>
      </c>
      <c r="X16" s="67">
        <v>0</v>
      </c>
      <c r="Y16" s="67">
        <v>0</v>
      </c>
      <c r="Z16" s="67">
        <v>0</v>
      </c>
      <c r="AA16" s="67">
        <v>0</v>
      </c>
      <c r="AB16" s="67">
        <v>0</v>
      </c>
      <c r="AC16" s="67">
        <v>0</v>
      </c>
      <c r="AD16" s="67">
        <v>0</v>
      </c>
      <c r="AE16" s="67">
        <v>0</v>
      </c>
      <c r="AF16" s="67">
        <v>0</v>
      </c>
      <c r="AG16" s="67">
        <v>0</v>
      </c>
      <c r="AH16" s="67">
        <v>0</v>
      </c>
      <c r="AI16" s="67">
        <v>0</v>
      </c>
      <c r="AJ16" s="67">
        <v>0</v>
      </c>
      <c r="AK16" s="67">
        <v>0</v>
      </c>
      <c r="AL16" s="67">
        <v>0</v>
      </c>
      <c r="AM16" s="67">
        <v>0</v>
      </c>
      <c r="AN16" s="67">
        <v>0</v>
      </c>
      <c r="AO16" s="67">
        <v>0</v>
      </c>
      <c r="AP16" s="67">
        <v>0</v>
      </c>
      <c r="AQ16" s="67">
        <v>0</v>
      </c>
      <c r="AR16" s="67">
        <v>0</v>
      </c>
      <c r="AS16" s="67">
        <v>0</v>
      </c>
      <c r="AT16" s="67">
        <v>0</v>
      </c>
      <c r="AU16" s="67">
        <v>0</v>
      </c>
      <c r="AV16" s="67">
        <v>0</v>
      </c>
      <c r="AW16" s="67">
        <v>0</v>
      </c>
      <c r="AX16" s="67">
        <v>0</v>
      </c>
      <c r="AY16" s="67">
        <v>0</v>
      </c>
      <c r="AZ16" s="67">
        <v>0</v>
      </c>
      <c r="BA16" s="67">
        <v>0</v>
      </c>
      <c r="BB16" s="67">
        <v>0</v>
      </c>
      <c r="BC16" s="67">
        <v>9.9999999999999995E-7</v>
      </c>
      <c r="BD16" s="67">
        <v>0</v>
      </c>
      <c r="BE16" s="67">
        <v>0</v>
      </c>
      <c r="BF16" s="67">
        <v>0</v>
      </c>
      <c r="BG16" s="67">
        <v>0</v>
      </c>
      <c r="BH16" s="67">
        <v>0</v>
      </c>
      <c r="BI16" s="67">
        <v>0</v>
      </c>
      <c r="BJ16" s="67">
        <v>0</v>
      </c>
      <c r="BK16" s="67">
        <v>0</v>
      </c>
      <c r="BL16" s="67">
        <v>0</v>
      </c>
      <c r="BM16" s="67">
        <v>0</v>
      </c>
      <c r="BN16" s="67">
        <v>0</v>
      </c>
      <c r="BO16" s="67">
        <v>0</v>
      </c>
      <c r="BP16" s="67">
        <v>0</v>
      </c>
      <c r="BQ16" s="67">
        <v>0</v>
      </c>
      <c r="BR16" s="67">
        <v>0</v>
      </c>
      <c r="BS16" s="67">
        <v>0</v>
      </c>
      <c r="BT16" s="67">
        <v>0</v>
      </c>
      <c r="BU16" s="67">
        <v>0</v>
      </c>
      <c r="BV16" s="67">
        <v>0</v>
      </c>
      <c r="BW16" s="67">
        <v>0</v>
      </c>
      <c r="BX16" s="67">
        <v>0</v>
      </c>
      <c r="BY16" s="67">
        <v>0</v>
      </c>
      <c r="BZ16" s="67">
        <v>0</v>
      </c>
      <c r="CA16" s="67">
        <v>0</v>
      </c>
      <c r="CB16" s="67">
        <v>0</v>
      </c>
      <c r="CC16" s="67">
        <v>0</v>
      </c>
      <c r="CD16" s="67">
        <v>0</v>
      </c>
      <c r="CE16" s="67">
        <v>0</v>
      </c>
      <c r="CF16" s="67">
        <v>0</v>
      </c>
      <c r="CG16" s="67">
        <v>0</v>
      </c>
      <c r="CH16" s="67">
        <v>0</v>
      </c>
      <c r="CI16" s="67">
        <v>0</v>
      </c>
      <c r="CJ16" s="67">
        <v>0</v>
      </c>
      <c r="CK16" s="67">
        <v>0</v>
      </c>
      <c r="CL16" s="67">
        <v>0</v>
      </c>
      <c r="CM16" s="67">
        <v>0</v>
      </c>
      <c r="CN16" s="67">
        <v>0</v>
      </c>
      <c r="CO16" s="67">
        <v>0</v>
      </c>
      <c r="CP16" s="67">
        <v>0</v>
      </c>
      <c r="CQ16" s="67">
        <v>0</v>
      </c>
      <c r="CR16" s="67">
        <v>0</v>
      </c>
      <c r="CS16" s="67">
        <v>0</v>
      </c>
      <c r="CT16" s="67">
        <v>0</v>
      </c>
      <c r="CU16" s="67">
        <v>0</v>
      </c>
      <c r="CV16" s="67">
        <v>0</v>
      </c>
      <c r="CW16" s="67">
        <v>0</v>
      </c>
      <c r="CX16" s="67">
        <v>0</v>
      </c>
      <c r="CY16" s="67">
        <v>0</v>
      </c>
      <c r="CZ16" s="67">
        <v>0</v>
      </c>
      <c r="DA16" s="67">
        <v>0</v>
      </c>
      <c r="DB16" s="67">
        <v>0</v>
      </c>
      <c r="DC16" s="67">
        <v>0</v>
      </c>
      <c r="DD16" s="67">
        <v>0</v>
      </c>
      <c r="DE16" s="67">
        <v>0</v>
      </c>
      <c r="DF16" s="67">
        <v>0</v>
      </c>
      <c r="DG16" s="67">
        <v>0</v>
      </c>
      <c r="DH16" s="67">
        <v>0</v>
      </c>
      <c r="DI16" s="67">
        <v>0</v>
      </c>
      <c r="DJ16" s="67">
        <v>0</v>
      </c>
      <c r="DK16" s="67">
        <v>0</v>
      </c>
      <c r="DL16" s="67">
        <v>0</v>
      </c>
      <c r="DM16" s="67">
        <v>9.9999999999999995E-7</v>
      </c>
      <c r="DN16" s="67">
        <v>0</v>
      </c>
      <c r="DO16" s="67">
        <v>0</v>
      </c>
      <c r="DP16" s="67">
        <v>0</v>
      </c>
      <c r="DQ16" s="67">
        <v>0</v>
      </c>
      <c r="DR16" s="67">
        <v>0</v>
      </c>
      <c r="DS16" s="67">
        <v>0</v>
      </c>
      <c r="DT16" s="67">
        <v>0</v>
      </c>
      <c r="DU16" s="67">
        <v>0</v>
      </c>
      <c r="DV16" s="67">
        <v>0</v>
      </c>
      <c r="DW16" s="67">
        <v>0</v>
      </c>
      <c r="DX16" s="67">
        <v>0</v>
      </c>
      <c r="DY16" s="67">
        <v>0</v>
      </c>
      <c r="DZ16" s="67">
        <v>0</v>
      </c>
      <c r="EA16" s="67">
        <v>0</v>
      </c>
      <c r="EB16" s="67">
        <v>0</v>
      </c>
      <c r="EC16" s="67">
        <v>0</v>
      </c>
      <c r="ED16" s="67">
        <v>0</v>
      </c>
      <c r="EE16" s="67">
        <v>0</v>
      </c>
      <c r="EF16" s="67">
        <v>0</v>
      </c>
      <c r="EG16" s="67">
        <v>0</v>
      </c>
      <c r="EH16" s="67">
        <v>0</v>
      </c>
      <c r="EI16" s="67">
        <v>9.9999999999999995E-7</v>
      </c>
      <c r="EJ16" s="67">
        <v>0</v>
      </c>
      <c r="EK16" s="67">
        <v>0</v>
      </c>
      <c r="EL16" s="67">
        <v>0</v>
      </c>
      <c r="EM16" s="67">
        <v>0</v>
      </c>
      <c r="EN16" s="67">
        <v>0</v>
      </c>
      <c r="EO16" s="67">
        <v>0</v>
      </c>
      <c r="EP16" s="67">
        <v>0</v>
      </c>
      <c r="EQ16" s="67">
        <v>0</v>
      </c>
      <c r="ER16" s="67">
        <v>0</v>
      </c>
      <c r="ES16" s="67">
        <v>0</v>
      </c>
      <c r="ET16" s="67">
        <v>0</v>
      </c>
      <c r="EU16" s="67">
        <v>0</v>
      </c>
      <c r="EV16" s="67">
        <v>0</v>
      </c>
      <c r="EW16" s="67">
        <v>0</v>
      </c>
      <c r="EX16" s="67">
        <v>0</v>
      </c>
      <c r="EY16" s="67">
        <v>0</v>
      </c>
      <c r="EZ16" s="67">
        <v>0</v>
      </c>
      <c r="FA16" s="67">
        <v>0</v>
      </c>
      <c r="FB16" s="67">
        <v>0</v>
      </c>
      <c r="FC16" s="67">
        <v>0</v>
      </c>
      <c r="FD16" s="67">
        <v>0</v>
      </c>
      <c r="FE16" s="67">
        <v>0</v>
      </c>
      <c r="FF16" s="67">
        <v>0</v>
      </c>
      <c r="FG16" s="67">
        <v>0</v>
      </c>
      <c r="FH16" s="67">
        <v>0</v>
      </c>
      <c r="FI16" s="67">
        <v>0</v>
      </c>
      <c r="FJ16" s="67">
        <v>0</v>
      </c>
      <c r="FK16" s="67">
        <v>0</v>
      </c>
      <c r="FL16" s="67">
        <v>0</v>
      </c>
      <c r="FM16" s="67">
        <v>0</v>
      </c>
      <c r="FN16" s="67">
        <v>0</v>
      </c>
      <c r="FO16" s="67">
        <v>0</v>
      </c>
      <c r="FP16" s="67">
        <v>0</v>
      </c>
      <c r="FQ16" s="67">
        <v>0</v>
      </c>
      <c r="FR16" s="67">
        <v>0</v>
      </c>
      <c r="FS16" s="67">
        <v>0</v>
      </c>
      <c r="FT16" s="67">
        <v>0</v>
      </c>
      <c r="FU16" s="67">
        <v>0</v>
      </c>
      <c r="FV16" s="67">
        <v>0</v>
      </c>
      <c r="FW16" s="67">
        <v>0</v>
      </c>
      <c r="FX16" s="67">
        <v>0</v>
      </c>
      <c r="FY16" s="67">
        <v>0</v>
      </c>
      <c r="FZ16" s="67">
        <v>0</v>
      </c>
      <c r="GA16" s="67">
        <v>0</v>
      </c>
      <c r="GB16" s="67">
        <v>0</v>
      </c>
      <c r="GC16" s="67">
        <v>0</v>
      </c>
      <c r="GD16" s="67">
        <v>0</v>
      </c>
      <c r="GE16" s="67">
        <v>0</v>
      </c>
      <c r="GF16" s="67">
        <v>0</v>
      </c>
      <c r="GG16" s="67">
        <v>0</v>
      </c>
      <c r="GH16" s="67">
        <v>0</v>
      </c>
      <c r="GI16" s="67">
        <v>0</v>
      </c>
      <c r="GJ16" s="67">
        <v>0</v>
      </c>
      <c r="GK16" s="67">
        <v>0</v>
      </c>
      <c r="GL16" s="67">
        <v>0</v>
      </c>
      <c r="GM16" s="67">
        <v>0</v>
      </c>
      <c r="GN16" s="67">
        <v>0</v>
      </c>
      <c r="GO16" s="67">
        <v>9.9999999999999995E-7</v>
      </c>
      <c r="GP16" s="67">
        <v>0</v>
      </c>
      <c r="GQ16" s="67">
        <v>0</v>
      </c>
      <c r="GR16" s="67">
        <v>0</v>
      </c>
      <c r="GS16" s="67">
        <v>9.9999999999999995E-7</v>
      </c>
      <c r="GT16" s="67">
        <v>9.9999999999999995E-7</v>
      </c>
      <c r="GU16" s="67">
        <v>0</v>
      </c>
      <c r="GV16" s="67">
        <v>0</v>
      </c>
      <c r="GW16" s="67">
        <v>0</v>
      </c>
      <c r="GX16" s="67">
        <v>0</v>
      </c>
      <c r="GY16" s="67">
        <v>0</v>
      </c>
      <c r="GZ16" s="67">
        <v>9.9999999999999995E-7</v>
      </c>
      <c r="HA16" s="67">
        <v>0</v>
      </c>
      <c r="HB16" s="67">
        <v>0</v>
      </c>
      <c r="HC16" s="67">
        <v>0</v>
      </c>
      <c r="HD16" s="67">
        <v>0</v>
      </c>
      <c r="HE16" s="67">
        <v>0</v>
      </c>
      <c r="HF16" s="67">
        <v>0</v>
      </c>
      <c r="HG16" s="67">
        <v>0</v>
      </c>
      <c r="HH16" s="67">
        <v>0</v>
      </c>
      <c r="HI16" s="67">
        <v>0</v>
      </c>
      <c r="HJ16" s="67">
        <v>0</v>
      </c>
      <c r="HK16" s="67">
        <v>0</v>
      </c>
      <c r="HL16" s="67">
        <v>0</v>
      </c>
      <c r="HM16" s="67">
        <v>0</v>
      </c>
      <c r="HN16" s="67">
        <v>0</v>
      </c>
      <c r="HO16" s="67">
        <v>9.9999999999999995E-7</v>
      </c>
      <c r="HP16" s="67">
        <v>0</v>
      </c>
      <c r="HQ16" s="67">
        <v>0</v>
      </c>
      <c r="HR16" s="67">
        <v>0</v>
      </c>
      <c r="HS16" s="67">
        <v>0</v>
      </c>
      <c r="HT16" s="67">
        <v>0</v>
      </c>
      <c r="HU16" s="67">
        <v>0</v>
      </c>
      <c r="HV16" s="67">
        <v>0</v>
      </c>
      <c r="HW16" s="67">
        <v>0</v>
      </c>
      <c r="HX16" s="67">
        <v>0</v>
      </c>
      <c r="HY16" s="67">
        <v>0</v>
      </c>
      <c r="HZ16" s="67"/>
      <c r="IA16" s="67"/>
      <c r="IB16" s="67"/>
      <c r="IC16" s="67"/>
      <c r="ID16" s="67"/>
      <c r="IE16" s="67"/>
      <c r="IF16" s="67"/>
      <c r="IG16" s="67"/>
      <c r="IH16" s="67"/>
      <c r="II16" s="67"/>
      <c r="IJ16" s="67"/>
      <c r="IK16" s="67"/>
      <c r="IL16" s="67"/>
      <c r="IM16" s="67"/>
      <c r="IN16" s="67"/>
      <c r="IO16" s="67"/>
      <c r="IP16" s="67"/>
      <c r="IQ16" s="67"/>
      <c r="IR16" s="67"/>
      <c r="IS16" s="67"/>
      <c r="IT16" s="67"/>
      <c r="IU16" s="67"/>
      <c r="IV16" s="67"/>
      <c r="IW16" s="67"/>
      <c r="IX16" s="67"/>
      <c r="IY16" s="67"/>
      <c r="IZ16" s="67"/>
      <c r="JA16" s="67"/>
      <c r="JB16" s="67"/>
      <c r="JC16" s="67"/>
      <c r="JD16" s="67"/>
      <c r="JE16" s="67"/>
      <c r="JF16" s="67"/>
      <c r="JG16" s="67"/>
      <c r="JH16" s="67"/>
      <c r="JI16" s="67"/>
      <c r="JJ16" s="67"/>
      <c r="JK16" s="67"/>
      <c r="JL16" s="67"/>
      <c r="JM16" s="67"/>
      <c r="JN16" s="67"/>
      <c r="JO16" s="67"/>
      <c r="JP16" s="67"/>
      <c r="JQ16" s="67"/>
    </row>
    <row r="17" spans="1:277">
      <c r="A17" s="68" t="s">
        <v>109</v>
      </c>
      <c r="B17" s="69" t="s">
        <v>23</v>
      </c>
      <c r="C17" s="70">
        <v>0</v>
      </c>
      <c r="D17" s="70">
        <v>0</v>
      </c>
      <c r="E17" s="70">
        <v>0</v>
      </c>
      <c r="F17" s="70">
        <v>0</v>
      </c>
      <c r="G17" s="70">
        <v>0</v>
      </c>
      <c r="H17" s="70">
        <v>0</v>
      </c>
      <c r="I17" s="70">
        <v>0</v>
      </c>
      <c r="J17" s="70">
        <v>0</v>
      </c>
      <c r="K17" s="70">
        <v>5.5500000000000005E-4</v>
      </c>
      <c r="L17" s="70">
        <v>8.7262000000000006E-2</v>
      </c>
      <c r="M17" s="70">
        <v>4.7800000000000002E-4</v>
      </c>
      <c r="N17" s="70">
        <v>4.6620000000000003E-3</v>
      </c>
      <c r="O17" s="70">
        <v>1.761E-3</v>
      </c>
      <c r="P17" s="70">
        <v>0.31762099999999999</v>
      </c>
      <c r="Q17" s="70">
        <v>0.66163799999999995</v>
      </c>
      <c r="R17" s="70">
        <v>4.4174999999999999E-2</v>
      </c>
      <c r="S17" s="70">
        <v>0.240844</v>
      </c>
      <c r="T17" s="70">
        <v>6.0280000000000004E-3</v>
      </c>
      <c r="U17" s="70">
        <v>1.9335000000000001E-2</v>
      </c>
      <c r="V17" s="70">
        <v>1.4057999999999999E-2</v>
      </c>
      <c r="W17" s="70">
        <v>6.5572000000000005E-2</v>
      </c>
      <c r="X17" s="70">
        <v>9.9999999999999995E-7</v>
      </c>
      <c r="Y17" s="70">
        <v>0</v>
      </c>
      <c r="Z17" s="70">
        <v>0</v>
      </c>
      <c r="AA17" s="70">
        <v>9.9999999999999995E-7</v>
      </c>
      <c r="AB17" s="70">
        <v>9.9999999999999995E-7</v>
      </c>
      <c r="AC17" s="70">
        <v>1.9999999999999999E-6</v>
      </c>
      <c r="AD17" s="70">
        <v>9.9999999999999995E-7</v>
      </c>
      <c r="AE17" s="70">
        <v>0</v>
      </c>
      <c r="AF17" s="70">
        <v>9.9999999999999995E-7</v>
      </c>
      <c r="AG17" s="70">
        <v>1.9999999999999999E-6</v>
      </c>
      <c r="AH17" s="70">
        <v>1.9999999999999999E-6</v>
      </c>
      <c r="AI17" s="70">
        <v>0</v>
      </c>
      <c r="AJ17" s="70">
        <v>0</v>
      </c>
      <c r="AK17" s="70">
        <v>9.9999999999999995E-7</v>
      </c>
      <c r="AL17" s="70">
        <v>9.9999999999999995E-7</v>
      </c>
      <c r="AM17" s="70">
        <v>9.9999999999999995E-7</v>
      </c>
      <c r="AN17" s="70">
        <v>1.9999999999999999E-6</v>
      </c>
      <c r="AO17" s="70">
        <v>0</v>
      </c>
      <c r="AP17" s="70">
        <v>0</v>
      </c>
      <c r="AQ17" s="70">
        <v>0</v>
      </c>
      <c r="AR17" s="70">
        <v>0</v>
      </c>
      <c r="AS17" s="70">
        <v>1.9999999999999999E-6</v>
      </c>
      <c r="AT17" s="70">
        <v>0</v>
      </c>
      <c r="AU17" s="70">
        <v>9.9999999999999995E-7</v>
      </c>
      <c r="AV17" s="70">
        <v>3.0000000000000001E-6</v>
      </c>
      <c r="AW17" s="70">
        <v>3.0000000000000001E-6</v>
      </c>
      <c r="AX17" s="70">
        <v>5.0000000000000004E-6</v>
      </c>
      <c r="AY17" s="70">
        <v>3.0000000000000001E-6</v>
      </c>
      <c r="AZ17" s="70">
        <v>1.9999999999999999E-6</v>
      </c>
      <c r="BA17" s="70">
        <v>9.9999999999999995E-7</v>
      </c>
      <c r="BB17" s="70">
        <v>3.0000000000000001E-6</v>
      </c>
      <c r="BC17" s="70">
        <v>3.9999999999999998E-6</v>
      </c>
      <c r="BD17" s="70">
        <v>9.9999999999999995E-7</v>
      </c>
      <c r="BE17" s="70">
        <v>9.9999999999999995E-7</v>
      </c>
      <c r="BF17" s="70">
        <v>3.0000000000000001E-6</v>
      </c>
      <c r="BG17" s="70">
        <v>3.0000000000000001E-6</v>
      </c>
      <c r="BH17" s="70">
        <v>9.9999999999999995E-7</v>
      </c>
      <c r="BI17" s="70">
        <v>3.9999999999999998E-6</v>
      </c>
      <c r="BJ17" s="70">
        <v>9.9999999999999995E-7</v>
      </c>
      <c r="BK17" s="70">
        <v>0</v>
      </c>
      <c r="BL17" s="70">
        <v>0</v>
      </c>
      <c r="BM17" s="70">
        <v>9.9999999999999995E-7</v>
      </c>
      <c r="BN17" s="70">
        <v>0</v>
      </c>
      <c r="BO17" s="70">
        <v>0</v>
      </c>
      <c r="BP17" s="70">
        <v>0</v>
      </c>
      <c r="BQ17" s="70">
        <v>0</v>
      </c>
      <c r="BR17" s="70">
        <v>0</v>
      </c>
      <c r="BS17" s="70">
        <v>0</v>
      </c>
      <c r="BT17" s="70">
        <v>0</v>
      </c>
      <c r="BU17" s="70">
        <v>0</v>
      </c>
      <c r="BV17" s="70">
        <v>0</v>
      </c>
      <c r="BW17" s="70">
        <v>9.9999999999999995E-7</v>
      </c>
      <c r="BX17" s="70">
        <v>0</v>
      </c>
      <c r="BY17" s="70">
        <v>0</v>
      </c>
      <c r="BZ17" s="70">
        <v>0</v>
      </c>
      <c r="CA17" s="70">
        <v>0</v>
      </c>
      <c r="CB17" s="70">
        <v>0</v>
      </c>
      <c r="CC17" s="70">
        <v>0</v>
      </c>
      <c r="CD17" s="70">
        <v>0</v>
      </c>
      <c r="CE17" s="70">
        <v>0</v>
      </c>
      <c r="CF17" s="70">
        <v>0</v>
      </c>
      <c r="CG17" s="70">
        <v>0</v>
      </c>
      <c r="CH17" s="70">
        <v>0</v>
      </c>
      <c r="CI17" s="70">
        <v>0</v>
      </c>
      <c r="CJ17" s="70">
        <v>0</v>
      </c>
      <c r="CK17" s="70">
        <v>0</v>
      </c>
      <c r="CL17" s="70">
        <v>0</v>
      </c>
      <c r="CM17" s="70">
        <v>0</v>
      </c>
      <c r="CN17" s="70">
        <v>0</v>
      </c>
      <c r="CO17" s="70">
        <v>0</v>
      </c>
      <c r="CP17" s="70">
        <v>0</v>
      </c>
      <c r="CQ17" s="70">
        <v>0</v>
      </c>
      <c r="CR17" s="70">
        <v>0</v>
      </c>
      <c r="CS17" s="70">
        <v>0</v>
      </c>
      <c r="CT17" s="70">
        <v>0</v>
      </c>
      <c r="CU17" s="70">
        <v>0</v>
      </c>
      <c r="CV17" s="70">
        <v>0</v>
      </c>
      <c r="CW17" s="70">
        <v>0</v>
      </c>
      <c r="CX17" s="70">
        <v>0</v>
      </c>
      <c r="CY17" s="70">
        <v>0</v>
      </c>
      <c r="CZ17" s="70">
        <v>0</v>
      </c>
      <c r="DA17" s="70">
        <v>0</v>
      </c>
      <c r="DB17" s="70">
        <v>0</v>
      </c>
      <c r="DC17" s="70">
        <v>0</v>
      </c>
      <c r="DD17" s="70">
        <v>1.9999999999999999E-6</v>
      </c>
      <c r="DE17" s="70">
        <v>0</v>
      </c>
      <c r="DF17" s="70">
        <v>1.9999999999999999E-6</v>
      </c>
      <c r="DG17" s="70">
        <v>3.0000000000000001E-6</v>
      </c>
      <c r="DH17" s="70">
        <v>3.9999999999999998E-6</v>
      </c>
      <c r="DI17" s="70">
        <v>6.9999999999999999E-6</v>
      </c>
      <c r="DJ17" s="70">
        <v>1.9999999999999999E-6</v>
      </c>
      <c r="DK17" s="70">
        <v>1.9999999999999999E-6</v>
      </c>
      <c r="DL17" s="70">
        <v>3.0000000000000001E-6</v>
      </c>
      <c r="DM17" s="70">
        <v>9.0000000000000002E-6</v>
      </c>
      <c r="DN17" s="70">
        <v>1.0000000000000001E-5</v>
      </c>
      <c r="DO17" s="70">
        <v>9.9999999999999995E-7</v>
      </c>
      <c r="DP17" s="70">
        <v>1.9999999999999999E-6</v>
      </c>
      <c r="DQ17" s="70">
        <v>9.9999999999999995E-7</v>
      </c>
      <c r="DR17" s="70">
        <v>9.9999999999999995E-7</v>
      </c>
      <c r="DS17" s="70">
        <v>1.9999999999999999E-6</v>
      </c>
      <c r="DT17" s="70">
        <v>9.0000000000000002E-6</v>
      </c>
      <c r="DU17" s="70">
        <v>9.9999999999999995E-7</v>
      </c>
      <c r="DV17" s="70">
        <v>0</v>
      </c>
      <c r="DW17" s="70">
        <v>0</v>
      </c>
      <c r="DX17" s="70">
        <v>9.9999999999999995E-7</v>
      </c>
      <c r="DY17" s="70">
        <v>0</v>
      </c>
      <c r="DZ17" s="70">
        <v>0</v>
      </c>
      <c r="EA17" s="70">
        <v>0</v>
      </c>
      <c r="EB17" s="70">
        <v>9.9999999999999995E-7</v>
      </c>
      <c r="EC17" s="70">
        <v>0</v>
      </c>
      <c r="ED17" s="70">
        <v>9.9999999999999995E-7</v>
      </c>
      <c r="EE17" s="70">
        <v>0</v>
      </c>
      <c r="EF17" s="70">
        <v>0</v>
      </c>
      <c r="EG17" s="70">
        <v>0</v>
      </c>
      <c r="EH17" s="70">
        <v>3.0000000000000001E-6</v>
      </c>
      <c r="EI17" s="70">
        <v>1.9999999999999999E-6</v>
      </c>
      <c r="EJ17" s="70">
        <v>0</v>
      </c>
      <c r="EK17" s="70">
        <v>0</v>
      </c>
      <c r="EL17" s="70">
        <v>9.9999999999999995E-7</v>
      </c>
      <c r="EM17" s="70">
        <v>0</v>
      </c>
      <c r="EN17" s="70">
        <v>0</v>
      </c>
      <c r="EO17" s="70">
        <v>9.9999999999999995E-7</v>
      </c>
      <c r="EP17" s="70">
        <v>0</v>
      </c>
      <c r="EQ17" s="70">
        <v>0</v>
      </c>
      <c r="ER17" s="70">
        <v>0</v>
      </c>
      <c r="ES17" s="70">
        <v>0</v>
      </c>
      <c r="ET17" s="70">
        <v>1.2999999999999999E-5</v>
      </c>
      <c r="EU17" s="70">
        <v>0</v>
      </c>
      <c r="EV17" s="70">
        <v>1.1E-5</v>
      </c>
      <c r="EW17" s="70">
        <v>1.9000000000000001E-5</v>
      </c>
      <c r="EX17" s="70">
        <v>2.6999999999999999E-5</v>
      </c>
      <c r="EY17" s="70">
        <v>3.8999999999999999E-5</v>
      </c>
      <c r="EZ17" s="70">
        <v>1.2E-5</v>
      </c>
      <c r="FA17" s="70">
        <v>3.0000000000000001E-6</v>
      </c>
      <c r="FB17" s="70">
        <v>1.9000000000000001E-5</v>
      </c>
      <c r="FC17" s="70">
        <v>1.2E-5</v>
      </c>
      <c r="FD17" s="70">
        <v>3.8000000000000002E-5</v>
      </c>
      <c r="FE17" s="70">
        <v>3.9999999999999998E-6</v>
      </c>
      <c r="FF17" s="70">
        <v>2.3E-5</v>
      </c>
      <c r="FG17" s="70">
        <v>1.0000000000000001E-5</v>
      </c>
      <c r="FH17" s="70">
        <v>2.0000000000000002E-5</v>
      </c>
      <c r="FI17" s="70">
        <v>3.0000000000000001E-6</v>
      </c>
      <c r="FJ17" s="70">
        <v>1.8E-5</v>
      </c>
      <c r="FK17" s="70">
        <v>5.0000000000000004E-6</v>
      </c>
      <c r="FL17" s="70">
        <v>0</v>
      </c>
      <c r="FM17" s="70">
        <v>0</v>
      </c>
      <c r="FN17" s="70">
        <v>7.9999999999999996E-6</v>
      </c>
      <c r="FO17" s="70">
        <v>0</v>
      </c>
      <c r="FP17" s="70">
        <v>0</v>
      </c>
      <c r="FQ17" s="70">
        <v>3.0000000000000001E-6</v>
      </c>
      <c r="FR17" s="70">
        <v>0</v>
      </c>
      <c r="FS17" s="70">
        <v>3.9999999999999998E-6</v>
      </c>
      <c r="FT17" s="70">
        <v>7.6000000000000004E-5</v>
      </c>
      <c r="FU17" s="70">
        <v>1.9999999999999999E-6</v>
      </c>
      <c r="FV17" s="70">
        <v>6.0999999999999999E-5</v>
      </c>
      <c r="FW17" s="70">
        <v>2.7E-4</v>
      </c>
      <c r="FX17" s="70">
        <v>1.2400000000000001E-4</v>
      </c>
      <c r="FY17" s="70">
        <v>1.2999999999999999E-5</v>
      </c>
      <c r="FZ17" s="70">
        <v>1.9999999999999999E-6</v>
      </c>
      <c r="GA17" s="70">
        <v>6.0000000000000002E-6</v>
      </c>
      <c r="GB17" s="70">
        <v>1.5E-5</v>
      </c>
      <c r="GC17" s="70">
        <v>1.1E-5</v>
      </c>
      <c r="GD17" s="70">
        <v>0</v>
      </c>
      <c r="GE17" s="70">
        <v>1.3300000000000001E-4</v>
      </c>
      <c r="GF17" s="70">
        <v>0</v>
      </c>
      <c r="GG17" s="70">
        <v>0</v>
      </c>
      <c r="GH17" s="70">
        <v>0</v>
      </c>
      <c r="GI17" s="70">
        <v>3.0000000000000001E-6</v>
      </c>
      <c r="GJ17" s="70">
        <v>0</v>
      </c>
      <c r="GK17" s="70">
        <v>0</v>
      </c>
      <c r="GL17" s="70">
        <v>0</v>
      </c>
      <c r="GM17" s="70">
        <v>9.9999999999999995E-7</v>
      </c>
      <c r="GN17" s="70">
        <v>9.9999999999999995E-7</v>
      </c>
      <c r="GO17" s="70">
        <v>1.9999999999999999E-6</v>
      </c>
      <c r="GP17" s="70">
        <v>0</v>
      </c>
      <c r="GQ17" s="70">
        <v>0</v>
      </c>
      <c r="GR17" s="70">
        <v>0</v>
      </c>
      <c r="GS17" s="70">
        <v>9.9999999999999995E-7</v>
      </c>
      <c r="GT17" s="70">
        <v>9.9999999999999995E-7</v>
      </c>
      <c r="GU17" s="70">
        <v>0</v>
      </c>
      <c r="GV17" s="70">
        <v>0</v>
      </c>
      <c r="GW17" s="70">
        <v>9.9999999999999995E-7</v>
      </c>
      <c r="GX17" s="70">
        <v>9.9999999999999995E-7</v>
      </c>
      <c r="GY17" s="70">
        <v>9.9999999999999995E-7</v>
      </c>
      <c r="GZ17" s="70">
        <v>9.9999999999999995E-7</v>
      </c>
      <c r="HA17" s="70">
        <v>0</v>
      </c>
      <c r="HB17" s="70">
        <v>0</v>
      </c>
      <c r="HC17" s="70">
        <v>0</v>
      </c>
      <c r="HD17" s="70">
        <v>0</v>
      </c>
      <c r="HE17" s="70">
        <v>9.9999999999999995E-7</v>
      </c>
      <c r="HF17" s="70">
        <v>0</v>
      </c>
      <c r="HG17" s="70">
        <v>9.9999999999999995E-7</v>
      </c>
      <c r="HH17" s="70">
        <v>1.9999999999999999E-6</v>
      </c>
      <c r="HI17" s="70">
        <v>1.9999999999999999E-6</v>
      </c>
      <c r="HJ17" s="70">
        <v>5.0000000000000004E-6</v>
      </c>
      <c r="HK17" s="70">
        <v>1.9999999999999999E-6</v>
      </c>
      <c r="HL17" s="70">
        <v>9.9999999999999995E-7</v>
      </c>
      <c r="HM17" s="70">
        <v>1.9999999999999999E-6</v>
      </c>
      <c r="HN17" s="70">
        <v>3.9999999999999998E-6</v>
      </c>
      <c r="HO17" s="70">
        <v>5.0000000000000004E-6</v>
      </c>
      <c r="HP17" s="70">
        <v>9.9999999999999995E-7</v>
      </c>
      <c r="HQ17" s="70">
        <v>9.9999999999999995E-7</v>
      </c>
      <c r="HR17" s="70">
        <v>1.9999999999999999E-6</v>
      </c>
      <c r="HS17" s="70">
        <v>9.9999999999999995E-7</v>
      </c>
      <c r="HT17" s="70">
        <v>9.9999999999999995E-7</v>
      </c>
      <c r="HU17" s="70">
        <v>3.9999999999999998E-6</v>
      </c>
      <c r="HV17" s="70">
        <v>9.9999999999999995E-7</v>
      </c>
      <c r="HW17" s="70">
        <v>0</v>
      </c>
      <c r="HX17" s="70">
        <v>0</v>
      </c>
      <c r="HY17" s="70">
        <v>9.9999999999999995E-7</v>
      </c>
      <c r="HZ17" s="70"/>
      <c r="IA17" s="70"/>
      <c r="IB17" s="70"/>
      <c r="IC17" s="70"/>
      <c r="ID17" s="70"/>
      <c r="IE17" s="70"/>
      <c r="IF17" s="70"/>
      <c r="IG17" s="70"/>
      <c r="IH17" s="70"/>
      <c r="II17" s="70"/>
      <c r="IJ17" s="70"/>
      <c r="IK17" s="70"/>
      <c r="IL17" s="70"/>
      <c r="IM17" s="70"/>
      <c r="IN17" s="70"/>
      <c r="IO17" s="70"/>
      <c r="IP17" s="70"/>
      <c r="IQ17" s="70"/>
      <c r="IR17" s="70"/>
      <c r="IS17" s="70"/>
      <c r="IT17" s="70"/>
      <c r="IU17" s="70"/>
      <c r="IV17" s="70"/>
      <c r="IW17" s="70"/>
      <c r="IX17" s="70"/>
      <c r="IY17" s="70"/>
      <c r="IZ17" s="70"/>
      <c r="JA17" s="70"/>
      <c r="JB17" s="70"/>
      <c r="JC17" s="70"/>
      <c r="JD17" s="70"/>
      <c r="JE17" s="70"/>
      <c r="JF17" s="70"/>
      <c r="JG17" s="70"/>
      <c r="JH17" s="70"/>
      <c r="JI17" s="70"/>
      <c r="JJ17" s="70"/>
      <c r="JK17" s="70"/>
      <c r="JL17" s="70"/>
      <c r="JM17" s="70"/>
      <c r="JN17" s="70"/>
      <c r="JO17" s="70"/>
      <c r="JP17" s="70"/>
      <c r="JQ17" s="70"/>
    </row>
    <row r="18" spans="1:277">
      <c r="A18" s="65" t="s">
        <v>110</v>
      </c>
      <c r="B18" s="66" t="s">
        <v>24</v>
      </c>
      <c r="C18" s="67">
        <v>0</v>
      </c>
      <c r="D18" s="67">
        <v>0</v>
      </c>
      <c r="E18" s="67">
        <v>0</v>
      </c>
      <c r="F18" s="67">
        <v>0</v>
      </c>
      <c r="G18" s="67">
        <v>0</v>
      </c>
      <c r="H18" s="67">
        <v>0</v>
      </c>
      <c r="I18" s="67">
        <v>0</v>
      </c>
      <c r="J18" s="67">
        <v>2.3779999999999999E-3</v>
      </c>
      <c r="K18" s="67">
        <v>2.6800000000000001E-4</v>
      </c>
      <c r="L18" s="67">
        <v>3.8635999999999997E-2</v>
      </c>
      <c r="M18" s="67">
        <v>1.1653E-2</v>
      </c>
      <c r="N18" s="67">
        <v>3.1300000000000002E-4</v>
      </c>
      <c r="O18" s="67">
        <v>3.6319999999999998E-3</v>
      </c>
      <c r="P18" s="67">
        <v>3.2636999999999999E-2</v>
      </c>
      <c r="Q18" s="67">
        <v>0.105671</v>
      </c>
      <c r="R18" s="67">
        <v>3.738E-3</v>
      </c>
      <c r="S18" s="67">
        <v>4.8899999999999996E-4</v>
      </c>
      <c r="T18" s="67">
        <v>3.0109999999999998E-3</v>
      </c>
      <c r="U18" s="67">
        <v>4.104E-3</v>
      </c>
      <c r="V18" s="67">
        <v>2.9840000000000001E-3</v>
      </c>
      <c r="W18" s="67">
        <v>5.4799999999999996E-3</v>
      </c>
      <c r="X18" s="67">
        <v>9.9999999999999995E-7</v>
      </c>
      <c r="Y18" s="67">
        <v>0</v>
      </c>
      <c r="Z18" s="67">
        <v>9.9999999999999995E-7</v>
      </c>
      <c r="AA18" s="67">
        <v>9.9999999999999995E-7</v>
      </c>
      <c r="AB18" s="67">
        <v>3.0000000000000001E-6</v>
      </c>
      <c r="AC18" s="67">
        <v>3.9999999999999998E-6</v>
      </c>
      <c r="AD18" s="67">
        <v>1.9999999999999999E-6</v>
      </c>
      <c r="AE18" s="67">
        <v>3.0000000000000001E-6</v>
      </c>
      <c r="AF18" s="67">
        <v>9.9999999999999995E-7</v>
      </c>
      <c r="AG18" s="67">
        <v>3.9999999999999998E-6</v>
      </c>
      <c r="AH18" s="67">
        <v>1.9999999999999999E-6</v>
      </c>
      <c r="AI18" s="67">
        <v>0</v>
      </c>
      <c r="AJ18" s="67">
        <v>9.9999999999999995E-7</v>
      </c>
      <c r="AK18" s="67">
        <v>0</v>
      </c>
      <c r="AL18" s="67">
        <v>5.0000000000000004E-6</v>
      </c>
      <c r="AM18" s="67">
        <v>0</v>
      </c>
      <c r="AN18" s="67">
        <v>9.9999999999999995E-7</v>
      </c>
      <c r="AO18" s="67">
        <v>0</v>
      </c>
      <c r="AP18" s="67">
        <v>0</v>
      </c>
      <c r="AQ18" s="67">
        <v>0</v>
      </c>
      <c r="AR18" s="67">
        <v>9.9999999999999995E-7</v>
      </c>
      <c r="AS18" s="67">
        <v>1.9999999999999999E-6</v>
      </c>
      <c r="AT18" s="67">
        <v>0</v>
      </c>
      <c r="AU18" s="67">
        <v>3.0000000000000001E-6</v>
      </c>
      <c r="AV18" s="67">
        <v>3.9999999999999998E-6</v>
      </c>
      <c r="AW18" s="67">
        <v>3.0000000000000001E-6</v>
      </c>
      <c r="AX18" s="67">
        <v>6.0000000000000002E-6</v>
      </c>
      <c r="AY18" s="67">
        <v>3.9999999999999998E-6</v>
      </c>
      <c r="AZ18" s="67">
        <v>5.0000000000000004E-6</v>
      </c>
      <c r="BA18" s="67">
        <v>1.9999999999999999E-6</v>
      </c>
      <c r="BB18" s="67">
        <v>3.9999999999999998E-6</v>
      </c>
      <c r="BC18" s="67">
        <v>3.9999999999999998E-6</v>
      </c>
      <c r="BD18" s="67">
        <v>3.0000000000000001E-6</v>
      </c>
      <c r="BE18" s="67">
        <v>9.9999999999999995E-7</v>
      </c>
      <c r="BF18" s="67">
        <v>1.9999999999999999E-6</v>
      </c>
      <c r="BG18" s="67">
        <v>1.8E-5</v>
      </c>
      <c r="BH18" s="67">
        <v>9.9999999999999995E-7</v>
      </c>
      <c r="BI18" s="67">
        <v>3.9999999999999998E-6</v>
      </c>
      <c r="BJ18" s="67">
        <v>9.9999999999999995E-7</v>
      </c>
      <c r="BK18" s="67">
        <v>0</v>
      </c>
      <c r="BL18" s="67">
        <v>0</v>
      </c>
      <c r="BM18" s="67">
        <v>9.9999999999999995E-7</v>
      </c>
      <c r="BN18" s="67">
        <v>0</v>
      </c>
      <c r="BO18" s="67">
        <v>0</v>
      </c>
      <c r="BP18" s="67">
        <v>0</v>
      </c>
      <c r="BQ18" s="67">
        <v>0</v>
      </c>
      <c r="BR18" s="67">
        <v>0</v>
      </c>
      <c r="BS18" s="67">
        <v>0</v>
      </c>
      <c r="BT18" s="67">
        <v>0</v>
      </c>
      <c r="BU18" s="67">
        <v>0</v>
      </c>
      <c r="BV18" s="67">
        <v>0</v>
      </c>
      <c r="BW18" s="67">
        <v>0</v>
      </c>
      <c r="BX18" s="67">
        <v>0</v>
      </c>
      <c r="BY18" s="67">
        <v>0</v>
      </c>
      <c r="BZ18" s="67">
        <v>0</v>
      </c>
      <c r="CA18" s="67">
        <v>0</v>
      </c>
      <c r="CB18" s="67">
        <v>0</v>
      </c>
      <c r="CC18" s="67">
        <v>0</v>
      </c>
      <c r="CD18" s="67">
        <v>0</v>
      </c>
      <c r="CE18" s="67">
        <v>0</v>
      </c>
      <c r="CF18" s="67">
        <v>0</v>
      </c>
      <c r="CG18" s="67">
        <v>0</v>
      </c>
      <c r="CH18" s="67">
        <v>0</v>
      </c>
      <c r="CI18" s="67">
        <v>0</v>
      </c>
      <c r="CJ18" s="67">
        <v>0</v>
      </c>
      <c r="CK18" s="67">
        <v>0</v>
      </c>
      <c r="CL18" s="67">
        <v>9.9999999999999995E-7</v>
      </c>
      <c r="CM18" s="67">
        <v>0</v>
      </c>
      <c r="CN18" s="67">
        <v>9.9999999999999995E-7</v>
      </c>
      <c r="CO18" s="67">
        <v>0</v>
      </c>
      <c r="CP18" s="67">
        <v>0</v>
      </c>
      <c r="CQ18" s="67">
        <v>0</v>
      </c>
      <c r="CR18" s="67">
        <v>0</v>
      </c>
      <c r="CS18" s="67">
        <v>9.9999999999999995E-7</v>
      </c>
      <c r="CT18" s="67">
        <v>0</v>
      </c>
      <c r="CU18" s="67">
        <v>0</v>
      </c>
      <c r="CV18" s="67">
        <v>0</v>
      </c>
      <c r="CW18" s="67">
        <v>0</v>
      </c>
      <c r="CX18" s="67">
        <v>0</v>
      </c>
      <c r="CY18" s="67">
        <v>0</v>
      </c>
      <c r="CZ18" s="67">
        <v>0</v>
      </c>
      <c r="DA18" s="67">
        <v>0</v>
      </c>
      <c r="DB18" s="67">
        <v>0</v>
      </c>
      <c r="DC18" s="67">
        <v>0</v>
      </c>
      <c r="DD18" s="67">
        <v>5.0000000000000004E-6</v>
      </c>
      <c r="DE18" s="67">
        <v>0</v>
      </c>
      <c r="DF18" s="67">
        <v>3.9999999999999998E-6</v>
      </c>
      <c r="DG18" s="67">
        <v>3.0000000000000001E-6</v>
      </c>
      <c r="DH18" s="67">
        <v>3.9999999999999998E-6</v>
      </c>
      <c r="DI18" s="67">
        <v>9.0000000000000002E-6</v>
      </c>
      <c r="DJ18" s="67">
        <v>3.9999999999999998E-6</v>
      </c>
      <c r="DK18" s="67">
        <v>3.9999999999999998E-6</v>
      </c>
      <c r="DL18" s="67">
        <v>3.0000000000000001E-6</v>
      </c>
      <c r="DM18" s="67">
        <v>6.9999999999999999E-6</v>
      </c>
      <c r="DN18" s="67">
        <v>3.0000000000000001E-6</v>
      </c>
      <c r="DO18" s="67">
        <v>3.9999999999999998E-6</v>
      </c>
      <c r="DP18" s="67">
        <v>9.9999999999999995E-7</v>
      </c>
      <c r="DQ18" s="67">
        <v>3.0000000000000001E-6</v>
      </c>
      <c r="DR18" s="67">
        <v>3.0000000000000001E-5</v>
      </c>
      <c r="DS18" s="67">
        <v>1.9999999999999999E-6</v>
      </c>
      <c r="DT18" s="67">
        <v>2.3E-5</v>
      </c>
      <c r="DU18" s="67">
        <v>0</v>
      </c>
      <c r="DV18" s="67">
        <v>0</v>
      </c>
      <c r="DW18" s="67">
        <v>0</v>
      </c>
      <c r="DX18" s="67">
        <v>1.9999999999999999E-6</v>
      </c>
      <c r="DY18" s="67">
        <v>0</v>
      </c>
      <c r="DZ18" s="67">
        <v>0</v>
      </c>
      <c r="EA18" s="67">
        <v>9.9999999999999995E-7</v>
      </c>
      <c r="EB18" s="67">
        <v>1.9999999999999999E-6</v>
      </c>
      <c r="EC18" s="67">
        <v>9.9999999999999995E-7</v>
      </c>
      <c r="ED18" s="67">
        <v>1.9999999999999999E-6</v>
      </c>
      <c r="EE18" s="67">
        <v>9.9999999999999995E-7</v>
      </c>
      <c r="EF18" s="67">
        <v>1.9999999999999999E-6</v>
      </c>
      <c r="EG18" s="67">
        <v>9.9999999999999995E-7</v>
      </c>
      <c r="EH18" s="67">
        <v>9.9999999999999995E-7</v>
      </c>
      <c r="EI18" s="67">
        <v>3.0000000000000001E-6</v>
      </c>
      <c r="EJ18" s="67">
        <v>9.9999999999999995E-7</v>
      </c>
      <c r="EK18" s="67">
        <v>9.9999999999999995E-7</v>
      </c>
      <c r="EL18" s="67">
        <v>9.9999999999999995E-7</v>
      </c>
      <c r="EM18" s="67">
        <v>6.0000000000000002E-6</v>
      </c>
      <c r="EN18" s="67">
        <v>0</v>
      </c>
      <c r="EO18" s="67">
        <v>9.9999999999999995E-7</v>
      </c>
      <c r="EP18" s="67">
        <v>0</v>
      </c>
      <c r="EQ18" s="67">
        <v>0</v>
      </c>
      <c r="ER18" s="67">
        <v>0</v>
      </c>
      <c r="ES18" s="67">
        <v>0</v>
      </c>
      <c r="ET18" s="67">
        <v>1.9999999999999999E-6</v>
      </c>
      <c r="EU18" s="67">
        <v>0</v>
      </c>
      <c r="EV18" s="67">
        <v>1.9999999999999999E-6</v>
      </c>
      <c r="EW18" s="67">
        <v>3.0000000000000001E-6</v>
      </c>
      <c r="EX18" s="67">
        <v>1.9999999999999999E-6</v>
      </c>
      <c r="EY18" s="67">
        <v>3.9999999999999998E-6</v>
      </c>
      <c r="EZ18" s="67">
        <v>6.9999999999999999E-6</v>
      </c>
      <c r="FA18" s="67">
        <v>9.9999999999999995E-7</v>
      </c>
      <c r="FB18" s="67">
        <v>9.9999999999999995E-7</v>
      </c>
      <c r="FC18" s="67">
        <v>7.9999999999999996E-6</v>
      </c>
      <c r="FD18" s="67">
        <v>6.0000000000000002E-6</v>
      </c>
      <c r="FE18" s="67">
        <v>1.9999999999999999E-6</v>
      </c>
      <c r="FF18" s="67">
        <v>1.9999999999999999E-6</v>
      </c>
      <c r="FG18" s="67">
        <v>1.5999999999999999E-5</v>
      </c>
      <c r="FH18" s="67">
        <v>3.0000000000000001E-5</v>
      </c>
      <c r="FI18" s="67">
        <v>9.9999999999999995E-7</v>
      </c>
      <c r="FJ18" s="67">
        <v>1.0000000000000001E-5</v>
      </c>
      <c r="FK18" s="67">
        <v>1.9999999999999999E-6</v>
      </c>
      <c r="FL18" s="67">
        <v>0</v>
      </c>
      <c r="FM18" s="67">
        <v>0</v>
      </c>
      <c r="FN18" s="67">
        <v>3.0000000000000001E-6</v>
      </c>
      <c r="FO18" s="67">
        <v>1.25E-4</v>
      </c>
      <c r="FP18" s="67">
        <v>0</v>
      </c>
      <c r="FQ18" s="67">
        <v>1.5699999999999999E-4</v>
      </c>
      <c r="FR18" s="67">
        <v>4.3999999999999999E-5</v>
      </c>
      <c r="FS18" s="67">
        <v>1.4300000000000001E-4</v>
      </c>
      <c r="FT18" s="67">
        <v>9.2999999999999997E-5</v>
      </c>
      <c r="FU18" s="67">
        <v>4.5000000000000003E-5</v>
      </c>
      <c r="FV18" s="67">
        <v>1.08E-4</v>
      </c>
      <c r="FW18" s="67">
        <v>5.3000000000000001E-5</v>
      </c>
      <c r="FX18" s="67">
        <v>4.8000000000000001E-5</v>
      </c>
      <c r="FY18" s="67">
        <v>5.0000000000000004E-6</v>
      </c>
      <c r="FZ18" s="67">
        <v>3.1999999999999999E-5</v>
      </c>
      <c r="GA18" s="67">
        <v>3.1999999999999999E-5</v>
      </c>
      <c r="GB18" s="67">
        <v>1.139E-3</v>
      </c>
      <c r="GC18" s="67">
        <v>2.1000000000000001E-4</v>
      </c>
      <c r="GD18" s="67">
        <v>2.9E-5</v>
      </c>
      <c r="GE18" s="67">
        <v>2.6999999999999999E-5</v>
      </c>
      <c r="GF18" s="67">
        <v>3.3000000000000003E-5</v>
      </c>
      <c r="GG18" s="67">
        <v>3.0000000000000001E-6</v>
      </c>
      <c r="GH18" s="67">
        <v>1.9999999999999999E-6</v>
      </c>
      <c r="GI18" s="67">
        <v>3.4E-5</v>
      </c>
      <c r="GJ18" s="67">
        <v>0</v>
      </c>
      <c r="GK18" s="67">
        <v>0</v>
      </c>
      <c r="GL18" s="67">
        <v>9.9999999999999995E-7</v>
      </c>
      <c r="GM18" s="67">
        <v>9.9999999999999995E-7</v>
      </c>
      <c r="GN18" s="67">
        <v>9.9999999999999995E-7</v>
      </c>
      <c r="GO18" s="67">
        <v>1.9999999999999999E-6</v>
      </c>
      <c r="GP18" s="67">
        <v>1.9999999999999999E-6</v>
      </c>
      <c r="GQ18" s="67">
        <v>1.9999999999999999E-6</v>
      </c>
      <c r="GR18" s="67">
        <v>9.9999999999999995E-7</v>
      </c>
      <c r="GS18" s="67">
        <v>1.9999999999999999E-6</v>
      </c>
      <c r="GT18" s="67">
        <v>1.9999999999999999E-6</v>
      </c>
      <c r="GU18" s="67">
        <v>9.9999999999999995E-7</v>
      </c>
      <c r="GV18" s="67">
        <v>0</v>
      </c>
      <c r="GW18" s="67">
        <v>9.9999999999999995E-7</v>
      </c>
      <c r="GX18" s="67">
        <v>5.0000000000000004E-6</v>
      </c>
      <c r="GY18" s="67">
        <v>0</v>
      </c>
      <c r="GZ18" s="67">
        <v>9.9999999999999995E-7</v>
      </c>
      <c r="HA18" s="67">
        <v>0</v>
      </c>
      <c r="HB18" s="67">
        <v>0</v>
      </c>
      <c r="HC18" s="67">
        <v>0</v>
      </c>
      <c r="HD18" s="67">
        <v>9.9999999999999995E-7</v>
      </c>
      <c r="HE18" s="67">
        <v>1.9999999999999999E-6</v>
      </c>
      <c r="HF18" s="67">
        <v>0</v>
      </c>
      <c r="HG18" s="67">
        <v>3.0000000000000001E-6</v>
      </c>
      <c r="HH18" s="67">
        <v>3.0000000000000001E-6</v>
      </c>
      <c r="HI18" s="67">
        <v>3.0000000000000001E-6</v>
      </c>
      <c r="HJ18" s="67">
        <v>6.0000000000000002E-6</v>
      </c>
      <c r="HK18" s="67">
        <v>1.9999999999999999E-6</v>
      </c>
      <c r="HL18" s="67">
        <v>3.0000000000000001E-6</v>
      </c>
      <c r="HM18" s="67">
        <v>3.0000000000000001E-6</v>
      </c>
      <c r="HN18" s="67">
        <v>6.0000000000000002E-6</v>
      </c>
      <c r="HO18" s="67">
        <v>5.0000000000000004E-6</v>
      </c>
      <c r="HP18" s="67">
        <v>1.9999999999999999E-6</v>
      </c>
      <c r="HQ18" s="67">
        <v>9.9999999999999995E-7</v>
      </c>
      <c r="HR18" s="67">
        <v>1.9999999999999999E-6</v>
      </c>
      <c r="HS18" s="67">
        <v>1.2999999999999999E-5</v>
      </c>
      <c r="HT18" s="67">
        <v>9.9999999999999995E-7</v>
      </c>
      <c r="HU18" s="67">
        <v>5.0000000000000004E-6</v>
      </c>
      <c r="HV18" s="67">
        <v>9.9999999999999995E-7</v>
      </c>
      <c r="HW18" s="67">
        <v>0</v>
      </c>
      <c r="HX18" s="67">
        <v>0</v>
      </c>
      <c r="HY18" s="67">
        <v>1.9999999999999999E-6</v>
      </c>
      <c r="HZ18" s="67"/>
      <c r="IA18" s="67"/>
      <c r="IB18" s="67"/>
      <c r="IC18" s="67"/>
      <c r="ID18" s="67"/>
      <c r="IE18" s="67"/>
      <c r="IF18" s="67"/>
      <c r="IG18" s="67"/>
      <c r="IH18" s="67"/>
      <c r="II18" s="67"/>
      <c r="IJ18" s="67"/>
      <c r="IK18" s="67"/>
      <c r="IL18" s="67"/>
      <c r="IM18" s="67"/>
      <c r="IN18" s="67"/>
      <c r="IO18" s="67"/>
      <c r="IP18" s="67"/>
      <c r="IQ18" s="67"/>
      <c r="IR18" s="67"/>
      <c r="IS18" s="67"/>
      <c r="IT18" s="67"/>
      <c r="IU18" s="67"/>
      <c r="IV18" s="67"/>
      <c r="IW18" s="67"/>
      <c r="IX18" s="67"/>
      <c r="IY18" s="67"/>
      <c r="IZ18" s="67"/>
      <c r="JA18" s="67"/>
      <c r="JB18" s="67"/>
      <c r="JC18" s="67"/>
      <c r="JD18" s="67"/>
      <c r="JE18" s="67"/>
      <c r="JF18" s="67"/>
      <c r="JG18" s="67"/>
      <c r="JH18" s="67"/>
      <c r="JI18" s="67"/>
      <c r="JJ18" s="67"/>
      <c r="JK18" s="67"/>
      <c r="JL18" s="67"/>
      <c r="JM18" s="67"/>
      <c r="JN18" s="67"/>
      <c r="JO18" s="67"/>
      <c r="JP18" s="67"/>
      <c r="JQ18" s="67"/>
    </row>
    <row r="19" spans="1:277">
      <c r="A19" s="68" t="s">
        <v>111</v>
      </c>
      <c r="B19" s="69" t="s">
        <v>25</v>
      </c>
      <c r="C19" s="70">
        <v>3.0000000000000001E-6</v>
      </c>
      <c r="D19" s="70">
        <v>0</v>
      </c>
      <c r="E19" s="70">
        <v>0</v>
      </c>
      <c r="F19" s="70">
        <v>2.5999999999999998E-5</v>
      </c>
      <c r="G19" s="70">
        <v>4.7899999999999999E-4</v>
      </c>
      <c r="H19" s="70">
        <v>2.5850000000000001E-3</v>
      </c>
      <c r="I19" s="70">
        <v>5.1500000000000005E-4</v>
      </c>
      <c r="J19" s="70">
        <v>2.7300000000000002E-4</v>
      </c>
      <c r="K19" s="70">
        <v>5.9680000000000002E-3</v>
      </c>
      <c r="L19" s="70">
        <v>3.215E-3</v>
      </c>
      <c r="M19" s="70">
        <v>1.1050000000000001E-3</v>
      </c>
      <c r="N19" s="70">
        <v>1.926E-3</v>
      </c>
      <c r="O19" s="70">
        <v>2.0999999999999999E-5</v>
      </c>
      <c r="P19" s="70">
        <v>3.4999999999999997E-5</v>
      </c>
      <c r="Q19" s="70">
        <v>8.3999999999999995E-5</v>
      </c>
      <c r="R19" s="70">
        <v>6.2399999999999999E-4</v>
      </c>
      <c r="S19" s="70">
        <v>6.7000000000000002E-5</v>
      </c>
      <c r="T19" s="70">
        <v>5.4799999999999998E-4</v>
      </c>
      <c r="U19" s="70">
        <v>2.7E-4</v>
      </c>
      <c r="V19" s="70">
        <v>1.9599999999999999E-4</v>
      </c>
      <c r="W19" s="70">
        <v>2.9870000000000001E-3</v>
      </c>
      <c r="X19" s="70">
        <v>0</v>
      </c>
      <c r="Y19" s="70">
        <v>0</v>
      </c>
      <c r="Z19" s="70">
        <v>0</v>
      </c>
      <c r="AA19" s="70">
        <v>0</v>
      </c>
      <c r="AB19" s="70">
        <v>0</v>
      </c>
      <c r="AC19" s="70">
        <v>0</v>
      </c>
      <c r="AD19" s="70">
        <v>0</v>
      </c>
      <c r="AE19" s="70">
        <v>0</v>
      </c>
      <c r="AF19" s="70">
        <v>0</v>
      </c>
      <c r="AG19" s="70">
        <v>9.9999999999999995E-7</v>
      </c>
      <c r="AH19" s="70">
        <v>9.9999999999999995E-7</v>
      </c>
      <c r="AI19" s="70">
        <v>0</v>
      </c>
      <c r="AJ19" s="70">
        <v>0</v>
      </c>
      <c r="AK19" s="70">
        <v>0</v>
      </c>
      <c r="AL19" s="70">
        <v>0</v>
      </c>
      <c r="AM19" s="70">
        <v>9.9999999999999995E-7</v>
      </c>
      <c r="AN19" s="70">
        <v>3.0000000000000001E-6</v>
      </c>
      <c r="AO19" s="70">
        <v>9.9999999999999995E-7</v>
      </c>
      <c r="AP19" s="70">
        <v>0</v>
      </c>
      <c r="AQ19" s="70">
        <v>0</v>
      </c>
      <c r="AR19" s="70">
        <v>9.9999999999999995E-7</v>
      </c>
      <c r="AS19" s="70">
        <v>0</v>
      </c>
      <c r="AT19" s="70">
        <v>0</v>
      </c>
      <c r="AU19" s="70">
        <v>0</v>
      </c>
      <c r="AV19" s="70">
        <v>9.9999999999999995E-7</v>
      </c>
      <c r="AW19" s="70">
        <v>9.9999999999999995E-7</v>
      </c>
      <c r="AX19" s="70">
        <v>9.9999999999999995E-7</v>
      </c>
      <c r="AY19" s="70">
        <v>9.9999999999999995E-7</v>
      </c>
      <c r="AZ19" s="70">
        <v>0</v>
      </c>
      <c r="BA19" s="70">
        <v>0</v>
      </c>
      <c r="BB19" s="70">
        <v>9.9999999999999995E-7</v>
      </c>
      <c r="BC19" s="70">
        <v>9.9999999999999995E-7</v>
      </c>
      <c r="BD19" s="70">
        <v>0</v>
      </c>
      <c r="BE19" s="70">
        <v>0</v>
      </c>
      <c r="BF19" s="70">
        <v>0</v>
      </c>
      <c r="BG19" s="70">
        <v>9.9999999999999995E-7</v>
      </c>
      <c r="BH19" s="70">
        <v>6.0000000000000002E-6</v>
      </c>
      <c r="BI19" s="70">
        <v>9.0000000000000002E-6</v>
      </c>
      <c r="BJ19" s="70">
        <v>0</v>
      </c>
      <c r="BK19" s="70">
        <v>0</v>
      </c>
      <c r="BL19" s="70">
        <v>0</v>
      </c>
      <c r="BM19" s="70">
        <v>3.0000000000000001E-6</v>
      </c>
      <c r="BN19" s="70">
        <v>0</v>
      </c>
      <c r="BO19" s="70">
        <v>0</v>
      </c>
      <c r="BP19" s="70">
        <v>0</v>
      </c>
      <c r="BQ19" s="70">
        <v>0</v>
      </c>
      <c r="BR19" s="70">
        <v>0</v>
      </c>
      <c r="BS19" s="70">
        <v>0</v>
      </c>
      <c r="BT19" s="70">
        <v>0</v>
      </c>
      <c r="BU19" s="70">
        <v>0</v>
      </c>
      <c r="BV19" s="70">
        <v>0</v>
      </c>
      <c r="BW19" s="70">
        <v>0</v>
      </c>
      <c r="BX19" s="70">
        <v>0</v>
      </c>
      <c r="BY19" s="70">
        <v>0</v>
      </c>
      <c r="BZ19" s="70">
        <v>0</v>
      </c>
      <c r="CA19" s="70">
        <v>0</v>
      </c>
      <c r="CB19" s="70">
        <v>0</v>
      </c>
      <c r="CC19" s="70">
        <v>0</v>
      </c>
      <c r="CD19" s="70">
        <v>0</v>
      </c>
      <c r="CE19" s="70">
        <v>0</v>
      </c>
      <c r="CF19" s="70">
        <v>0</v>
      </c>
      <c r="CG19" s="70">
        <v>0</v>
      </c>
      <c r="CH19" s="70">
        <v>0</v>
      </c>
      <c r="CI19" s="70">
        <v>0</v>
      </c>
      <c r="CJ19" s="70">
        <v>0</v>
      </c>
      <c r="CK19" s="70">
        <v>0</v>
      </c>
      <c r="CL19" s="70">
        <v>0</v>
      </c>
      <c r="CM19" s="70">
        <v>0</v>
      </c>
      <c r="CN19" s="70">
        <v>0</v>
      </c>
      <c r="CO19" s="70">
        <v>0</v>
      </c>
      <c r="CP19" s="70">
        <v>0</v>
      </c>
      <c r="CQ19" s="70">
        <v>0</v>
      </c>
      <c r="CR19" s="70">
        <v>0</v>
      </c>
      <c r="CS19" s="70">
        <v>0</v>
      </c>
      <c r="CT19" s="70">
        <v>0</v>
      </c>
      <c r="CU19" s="70">
        <v>0</v>
      </c>
      <c r="CV19" s="70">
        <v>0</v>
      </c>
      <c r="CW19" s="70">
        <v>0</v>
      </c>
      <c r="CX19" s="70">
        <v>0</v>
      </c>
      <c r="CY19" s="70">
        <v>0</v>
      </c>
      <c r="CZ19" s="70">
        <v>0</v>
      </c>
      <c r="DA19" s="70">
        <v>0</v>
      </c>
      <c r="DB19" s="70">
        <v>0</v>
      </c>
      <c r="DC19" s="70">
        <v>0</v>
      </c>
      <c r="DD19" s="70">
        <v>1.9999999999999999E-6</v>
      </c>
      <c r="DE19" s="70">
        <v>0</v>
      </c>
      <c r="DF19" s="70">
        <v>1.9999999999999999E-6</v>
      </c>
      <c r="DG19" s="70">
        <v>5.0000000000000004E-6</v>
      </c>
      <c r="DH19" s="70">
        <v>1.2999999999999999E-5</v>
      </c>
      <c r="DI19" s="70">
        <v>1.4E-5</v>
      </c>
      <c r="DJ19" s="70">
        <v>6.9999999999999999E-6</v>
      </c>
      <c r="DK19" s="70">
        <v>3.9999999999999998E-6</v>
      </c>
      <c r="DL19" s="70">
        <v>7.9999999999999996E-6</v>
      </c>
      <c r="DM19" s="70">
        <v>1.8E-5</v>
      </c>
      <c r="DN19" s="70">
        <v>4.6E-5</v>
      </c>
      <c r="DO19" s="70">
        <v>3.9999999999999998E-6</v>
      </c>
      <c r="DP19" s="70">
        <v>9.9999999999999995E-7</v>
      </c>
      <c r="DQ19" s="70">
        <v>9.9999999999999995E-7</v>
      </c>
      <c r="DR19" s="70">
        <v>3.0000000000000001E-6</v>
      </c>
      <c r="DS19" s="70">
        <v>1.2E-5</v>
      </c>
      <c r="DT19" s="70">
        <v>3.4E-5</v>
      </c>
      <c r="DU19" s="70">
        <v>3.0000000000000001E-6</v>
      </c>
      <c r="DV19" s="70">
        <v>9.9999999999999995E-7</v>
      </c>
      <c r="DW19" s="70">
        <v>9.9999999999999995E-7</v>
      </c>
      <c r="DX19" s="70">
        <v>6.0000000000000002E-6</v>
      </c>
      <c r="DY19" s="70">
        <v>0</v>
      </c>
      <c r="DZ19" s="70">
        <v>0</v>
      </c>
      <c r="EA19" s="70">
        <v>0</v>
      </c>
      <c r="EB19" s="70">
        <v>0</v>
      </c>
      <c r="EC19" s="70">
        <v>0</v>
      </c>
      <c r="ED19" s="70">
        <v>0</v>
      </c>
      <c r="EE19" s="70">
        <v>0</v>
      </c>
      <c r="EF19" s="70">
        <v>0</v>
      </c>
      <c r="EG19" s="70">
        <v>0</v>
      </c>
      <c r="EH19" s="70">
        <v>0</v>
      </c>
      <c r="EI19" s="70">
        <v>0</v>
      </c>
      <c r="EJ19" s="70">
        <v>0</v>
      </c>
      <c r="EK19" s="70">
        <v>0</v>
      </c>
      <c r="EL19" s="70">
        <v>0</v>
      </c>
      <c r="EM19" s="70">
        <v>0</v>
      </c>
      <c r="EN19" s="70">
        <v>9.9999999999999995E-7</v>
      </c>
      <c r="EO19" s="70">
        <v>9.9999999999999995E-7</v>
      </c>
      <c r="EP19" s="70">
        <v>0</v>
      </c>
      <c r="EQ19" s="70">
        <v>0</v>
      </c>
      <c r="ER19" s="70">
        <v>0</v>
      </c>
      <c r="ES19" s="70">
        <v>0</v>
      </c>
      <c r="ET19" s="70">
        <v>0</v>
      </c>
      <c r="EU19" s="70">
        <v>0</v>
      </c>
      <c r="EV19" s="70">
        <v>0</v>
      </c>
      <c r="EW19" s="70">
        <v>0</v>
      </c>
      <c r="EX19" s="70">
        <v>0</v>
      </c>
      <c r="EY19" s="70">
        <v>0</v>
      </c>
      <c r="EZ19" s="70">
        <v>0</v>
      </c>
      <c r="FA19" s="70">
        <v>0</v>
      </c>
      <c r="FB19" s="70">
        <v>0</v>
      </c>
      <c r="FC19" s="70">
        <v>0</v>
      </c>
      <c r="FD19" s="70">
        <v>0</v>
      </c>
      <c r="FE19" s="70">
        <v>0</v>
      </c>
      <c r="FF19" s="70">
        <v>0</v>
      </c>
      <c r="FG19" s="70">
        <v>0</v>
      </c>
      <c r="FH19" s="70">
        <v>9.9999999999999995E-7</v>
      </c>
      <c r="FI19" s="70">
        <v>1.9999999999999999E-6</v>
      </c>
      <c r="FJ19" s="70">
        <v>1.9999999999999999E-6</v>
      </c>
      <c r="FK19" s="70">
        <v>0</v>
      </c>
      <c r="FL19" s="70">
        <v>0</v>
      </c>
      <c r="FM19" s="70">
        <v>0</v>
      </c>
      <c r="FN19" s="70">
        <v>9.9999999999999995E-7</v>
      </c>
      <c r="FO19" s="70">
        <v>0</v>
      </c>
      <c r="FP19" s="70">
        <v>0</v>
      </c>
      <c r="FQ19" s="70">
        <v>9.9999999999999995E-7</v>
      </c>
      <c r="FR19" s="70">
        <v>0</v>
      </c>
      <c r="FS19" s="70">
        <v>9.9999999999999995E-7</v>
      </c>
      <c r="FT19" s="70">
        <v>3.9999999999999998E-6</v>
      </c>
      <c r="FU19" s="70">
        <v>9.9999999999999995E-7</v>
      </c>
      <c r="FV19" s="70">
        <v>0</v>
      </c>
      <c r="FW19" s="70">
        <v>9.9999999999999995E-7</v>
      </c>
      <c r="FX19" s="70">
        <v>9.9999999999999995E-7</v>
      </c>
      <c r="FY19" s="70">
        <v>0</v>
      </c>
      <c r="FZ19" s="70">
        <v>9.9999999999999995E-7</v>
      </c>
      <c r="GA19" s="70">
        <v>0</v>
      </c>
      <c r="GB19" s="70">
        <v>0</v>
      </c>
      <c r="GC19" s="70">
        <v>1.2E-5</v>
      </c>
      <c r="GD19" s="70">
        <v>0</v>
      </c>
      <c r="GE19" s="70">
        <v>1.9999999999999999E-6</v>
      </c>
      <c r="GF19" s="70">
        <v>3.0000000000000001E-6</v>
      </c>
      <c r="GG19" s="70">
        <v>0</v>
      </c>
      <c r="GH19" s="70">
        <v>0</v>
      </c>
      <c r="GI19" s="70">
        <v>3.0000000000000001E-6</v>
      </c>
      <c r="GJ19" s="70">
        <v>0</v>
      </c>
      <c r="GK19" s="70">
        <v>0</v>
      </c>
      <c r="GL19" s="70">
        <v>0</v>
      </c>
      <c r="GM19" s="70">
        <v>0</v>
      </c>
      <c r="GN19" s="70">
        <v>0</v>
      </c>
      <c r="GO19" s="70">
        <v>0</v>
      </c>
      <c r="GP19" s="70">
        <v>0</v>
      </c>
      <c r="GQ19" s="70">
        <v>0</v>
      </c>
      <c r="GR19" s="70">
        <v>0</v>
      </c>
      <c r="GS19" s="70">
        <v>0</v>
      </c>
      <c r="GT19" s="70">
        <v>0</v>
      </c>
      <c r="GU19" s="70">
        <v>0</v>
      </c>
      <c r="GV19" s="70">
        <v>0</v>
      </c>
      <c r="GW19" s="70">
        <v>0</v>
      </c>
      <c r="GX19" s="70">
        <v>0</v>
      </c>
      <c r="GY19" s="70">
        <v>1.7E-5</v>
      </c>
      <c r="GZ19" s="70">
        <v>9.9999999999999995E-7</v>
      </c>
      <c r="HA19" s="70">
        <v>0</v>
      </c>
      <c r="HB19" s="70">
        <v>0</v>
      </c>
      <c r="HC19" s="70">
        <v>0</v>
      </c>
      <c r="HD19" s="70">
        <v>1.9999999999999999E-6</v>
      </c>
      <c r="HE19" s="70">
        <v>0</v>
      </c>
      <c r="HF19" s="70">
        <v>0</v>
      </c>
      <c r="HG19" s="70">
        <v>0</v>
      </c>
      <c r="HH19" s="70">
        <v>9.9999999999999995E-7</v>
      </c>
      <c r="HI19" s="70">
        <v>9.9999999999999995E-7</v>
      </c>
      <c r="HJ19" s="70">
        <v>1.9999999999999999E-6</v>
      </c>
      <c r="HK19" s="70">
        <v>9.9999999999999995E-7</v>
      </c>
      <c r="HL19" s="70">
        <v>0</v>
      </c>
      <c r="HM19" s="70">
        <v>9.9999999999999995E-7</v>
      </c>
      <c r="HN19" s="70">
        <v>1.9999999999999999E-6</v>
      </c>
      <c r="HO19" s="70">
        <v>3.0000000000000001E-6</v>
      </c>
      <c r="HP19" s="70">
        <v>9.9999999999999995E-7</v>
      </c>
      <c r="HQ19" s="70">
        <v>0</v>
      </c>
      <c r="HR19" s="70">
        <v>9.9999999999999995E-7</v>
      </c>
      <c r="HS19" s="70">
        <v>9.9999999999999995E-7</v>
      </c>
      <c r="HT19" s="70">
        <v>2.5999999999999998E-5</v>
      </c>
      <c r="HU19" s="70">
        <v>2.5000000000000001E-5</v>
      </c>
      <c r="HV19" s="70">
        <v>1.9999999999999999E-6</v>
      </c>
      <c r="HW19" s="70">
        <v>9.9999999999999995E-7</v>
      </c>
      <c r="HX19" s="70">
        <v>9.9999999999999995E-7</v>
      </c>
      <c r="HY19" s="70">
        <v>3.0000000000000001E-6</v>
      </c>
      <c r="HZ19" s="70"/>
      <c r="IA19" s="70"/>
      <c r="IB19" s="70"/>
      <c r="IC19" s="70"/>
      <c r="ID19" s="70"/>
      <c r="IE19" s="70"/>
      <c r="IF19" s="70"/>
      <c r="IG19" s="70"/>
      <c r="IH19" s="70"/>
      <c r="II19" s="70"/>
      <c r="IJ19" s="70"/>
      <c r="IK19" s="70"/>
      <c r="IL19" s="70"/>
      <c r="IM19" s="70"/>
      <c r="IN19" s="70"/>
      <c r="IO19" s="70"/>
      <c r="IP19" s="70"/>
      <c r="IQ19" s="70"/>
      <c r="IR19" s="70"/>
      <c r="IS19" s="70"/>
      <c r="IT19" s="70"/>
      <c r="IU19" s="70"/>
      <c r="IV19" s="70"/>
      <c r="IW19" s="70"/>
      <c r="IX19" s="70"/>
      <c r="IY19" s="70"/>
      <c r="IZ19" s="70"/>
      <c r="JA19" s="70"/>
      <c r="JB19" s="70"/>
      <c r="JC19" s="70"/>
      <c r="JD19" s="70"/>
      <c r="JE19" s="70"/>
      <c r="JF19" s="70"/>
      <c r="JG19" s="70"/>
      <c r="JH19" s="70"/>
      <c r="JI19" s="70"/>
      <c r="JJ19" s="70"/>
      <c r="JK19" s="70"/>
      <c r="JL19" s="70"/>
      <c r="JM19" s="70"/>
      <c r="JN19" s="70"/>
      <c r="JO19" s="70"/>
      <c r="JP19" s="70"/>
      <c r="JQ19" s="70"/>
    </row>
    <row r="20" spans="1:277">
      <c r="A20" s="65" t="s">
        <v>112</v>
      </c>
      <c r="B20" s="66" t="s">
        <v>26</v>
      </c>
      <c r="C20" s="67">
        <v>9.9999999999999995E-7</v>
      </c>
      <c r="D20" s="67">
        <v>0</v>
      </c>
      <c r="E20" s="67">
        <v>5.1E-5</v>
      </c>
      <c r="F20" s="67">
        <v>2.7500000000000002E-4</v>
      </c>
      <c r="G20" s="67">
        <v>6.7199999999999996E-4</v>
      </c>
      <c r="H20" s="67">
        <v>0</v>
      </c>
      <c r="I20" s="67">
        <v>0</v>
      </c>
      <c r="J20" s="67">
        <v>1.8588E-2</v>
      </c>
      <c r="K20" s="67">
        <v>9.2689999999999995E-3</v>
      </c>
      <c r="L20" s="67">
        <v>2.794E-2</v>
      </c>
      <c r="M20" s="67">
        <v>1.7195999999999999E-2</v>
      </c>
      <c r="N20" s="67">
        <v>8.8739999999999999E-3</v>
      </c>
      <c r="O20" s="67">
        <v>1.1069999999999999E-3</v>
      </c>
      <c r="P20" s="67">
        <v>6.0392000000000001E-2</v>
      </c>
      <c r="Q20" s="67">
        <v>8.8269999999999998E-3</v>
      </c>
      <c r="R20" s="67">
        <v>2.0042000000000001E-2</v>
      </c>
      <c r="S20" s="67">
        <v>4.3034999999999997E-2</v>
      </c>
      <c r="T20" s="67">
        <v>2.0077000000000001E-2</v>
      </c>
      <c r="U20" s="67">
        <v>8.9350000000000002E-3</v>
      </c>
      <c r="V20" s="67">
        <v>6.496E-3</v>
      </c>
      <c r="W20" s="67">
        <v>2.307E-2</v>
      </c>
      <c r="X20" s="67">
        <v>0</v>
      </c>
      <c r="Y20" s="67">
        <v>0</v>
      </c>
      <c r="Z20" s="67">
        <v>0</v>
      </c>
      <c r="AA20" s="67">
        <v>0</v>
      </c>
      <c r="AB20" s="67">
        <v>9.9999999999999995E-7</v>
      </c>
      <c r="AC20" s="67">
        <v>9.9999999999999995E-7</v>
      </c>
      <c r="AD20" s="67">
        <v>0</v>
      </c>
      <c r="AE20" s="67">
        <v>0</v>
      </c>
      <c r="AF20" s="67">
        <v>0</v>
      </c>
      <c r="AG20" s="67">
        <v>9.9999999999999995E-7</v>
      </c>
      <c r="AH20" s="67">
        <v>9.9999999999999995E-7</v>
      </c>
      <c r="AI20" s="67">
        <v>0</v>
      </c>
      <c r="AJ20" s="67">
        <v>0</v>
      </c>
      <c r="AK20" s="67">
        <v>9.9999999999999995E-7</v>
      </c>
      <c r="AL20" s="67">
        <v>9.9999999999999995E-7</v>
      </c>
      <c r="AM20" s="67">
        <v>9.9999999999999995E-7</v>
      </c>
      <c r="AN20" s="67">
        <v>1.4E-5</v>
      </c>
      <c r="AO20" s="67">
        <v>1.9999999999999999E-6</v>
      </c>
      <c r="AP20" s="67">
        <v>0</v>
      </c>
      <c r="AQ20" s="67">
        <v>0</v>
      </c>
      <c r="AR20" s="67">
        <v>9.9999999999999995E-7</v>
      </c>
      <c r="AS20" s="67">
        <v>9.9999999999999995E-7</v>
      </c>
      <c r="AT20" s="67">
        <v>0</v>
      </c>
      <c r="AU20" s="67">
        <v>9.9999999999999995E-7</v>
      </c>
      <c r="AV20" s="67">
        <v>9.9999999999999995E-7</v>
      </c>
      <c r="AW20" s="67">
        <v>1.9999999999999999E-6</v>
      </c>
      <c r="AX20" s="67">
        <v>3.0000000000000001E-6</v>
      </c>
      <c r="AY20" s="67">
        <v>9.9999999999999995E-7</v>
      </c>
      <c r="AZ20" s="67">
        <v>9.9999999999999995E-7</v>
      </c>
      <c r="BA20" s="67">
        <v>9.9999999999999995E-7</v>
      </c>
      <c r="BB20" s="67">
        <v>1.9999999999999999E-6</v>
      </c>
      <c r="BC20" s="67">
        <v>1.9999999999999999E-6</v>
      </c>
      <c r="BD20" s="67">
        <v>1.9999999999999999E-6</v>
      </c>
      <c r="BE20" s="67">
        <v>9.9999999999999995E-7</v>
      </c>
      <c r="BF20" s="67">
        <v>3.0000000000000001E-6</v>
      </c>
      <c r="BG20" s="67">
        <v>1.9999999999999999E-6</v>
      </c>
      <c r="BH20" s="67">
        <v>3.9999999999999998E-6</v>
      </c>
      <c r="BI20" s="67">
        <v>4.8000000000000001E-5</v>
      </c>
      <c r="BJ20" s="67">
        <v>3.9999999999999998E-6</v>
      </c>
      <c r="BK20" s="67">
        <v>0</v>
      </c>
      <c r="BL20" s="67">
        <v>0</v>
      </c>
      <c r="BM20" s="67">
        <v>3.0000000000000001E-6</v>
      </c>
      <c r="BN20" s="67">
        <v>0</v>
      </c>
      <c r="BO20" s="67">
        <v>0</v>
      </c>
      <c r="BP20" s="67">
        <v>0</v>
      </c>
      <c r="BQ20" s="67">
        <v>0</v>
      </c>
      <c r="BR20" s="67">
        <v>0</v>
      </c>
      <c r="BS20" s="67">
        <v>0</v>
      </c>
      <c r="BT20" s="67">
        <v>0</v>
      </c>
      <c r="BU20" s="67">
        <v>0</v>
      </c>
      <c r="BV20" s="67">
        <v>0</v>
      </c>
      <c r="BW20" s="67">
        <v>0</v>
      </c>
      <c r="BX20" s="67">
        <v>0</v>
      </c>
      <c r="BY20" s="67">
        <v>0</v>
      </c>
      <c r="BZ20" s="67">
        <v>0</v>
      </c>
      <c r="CA20" s="67">
        <v>0</v>
      </c>
      <c r="CB20" s="67">
        <v>0</v>
      </c>
      <c r="CC20" s="67">
        <v>0</v>
      </c>
      <c r="CD20" s="67">
        <v>3.9999999999999998E-6</v>
      </c>
      <c r="CE20" s="67">
        <v>0</v>
      </c>
      <c r="CF20" s="67">
        <v>0</v>
      </c>
      <c r="CG20" s="67">
        <v>0</v>
      </c>
      <c r="CH20" s="67">
        <v>0</v>
      </c>
      <c r="CI20" s="67">
        <v>0</v>
      </c>
      <c r="CJ20" s="67">
        <v>0</v>
      </c>
      <c r="CK20" s="67">
        <v>0</v>
      </c>
      <c r="CL20" s="67">
        <v>0</v>
      </c>
      <c r="CM20" s="67">
        <v>0</v>
      </c>
      <c r="CN20" s="67">
        <v>0</v>
      </c>
      <c r="CO20" s="67">
        <v>0</v>
      </c>
      <c r="CP20" s="67">
        <v>0</v>
      </c>
      <c r="CQ20" s="67">
        <v>0</v>
      </c>
      <c r="CR20" s="67">
        <v>0</v>
      </c>
      <c r="CS20" s="67">
        <v>0</v>
      </c>
      <c r="CT20" s="67">
        <v>0</v>
      </c>
      <c r="CU20" s="67">
        <v>0</v>
      </c>
      <c r="CV20" s="67">
        <v>0</v>
      </c>
      <c r="CW20" s="67">
        <v>0</v>
      </c>
      <c r="CX20" s="67">
        <v>0</v>
      </c>
      <c r="CY20" s="67">
        <v>9.9999999999999995E-7</v>
      </c>
      <c r="CZ20" s="67">
        <v>0</v>
      </c>
      <c r="DA20" s="67">
        <v>0</v>
      </c>
      <c r="DB20" s="67">
        <v>0</v>
      </c>
      <c r="DC20" s="67">
        <v>0</v>
      </c>
      <c r="DD20" s="67">
        <v>9.9999999999999995E-7</v>
      </c>
      <c r="DE20" s="67">
        <v>0</v>
      </c>
      <c r="DF20" s="67">
        <v>9.9999999999999995E-7</v>
      </c>
      <c r="DG20" s="67">
        <v>9.9999999999999995E-7</v>
      </c>
      <c r="DH20" s="67">
        <v>1.9999999999999999E-6</v>
      </c>
      <c r="DI20" s="67">
        <v>3.9999999999999998E-6</v>
      </c>
      <c r="DJ20" s="67">
        <v>9.9999999999999995E-7</v>
      </c>
      <c r="DK20" s="67">
        <v>9.9999999999999995E-7</v>
      </c>
      <c r="DL20" s="67">
        <v>9.9999999999999995E-7</v>
      </c>
      <c r="DM20" s="67">
        <v>1.9999999999999999E-6</v>
      </c>
      <c r="DN20" s="67">
        <v>1.9999999999999999E-6</v>
      </c>
      <c r="DO20" s="67">
        <v>9.9999999999999995E-7</v>
      </c>
      <c r="DP20" s="67">
        <v>0</v>
      </c>
      <c r="DQ20" s="67">
        <v>3.9999999999999998E-6</v>
      </c>
      <c r="DR20" s="67">
        <v>3.0000000000000001E-6</v>
      </c>
      <c r="DS20" s="67">
        <v>7.9999999999999996E-6</v>
      </c>
      <c r="DT20" s="67">
        <v>3.8999999999999999E-5</v>
      </c>
      <c r="DU20" s="67">
        <v>7.9999999999999996E-6</v>
      </c>
      <c r="DV20" s="67">
        <v>0</v>
      </c>
      <c r="DW20" s="67">
        <v>0</v>
      </c>
      <c r="DX20" s="67">
        <v>3.0000000000000001E-6</v>
      </c>
      <c r="DY20" s="67">
        <v>0</v>
      </c>
      <c r="DZ20" s="67">
        <v>0</v>
      </c>
      <c r="EA20" s="67">
        <v>0</v>
      </c>
      <c r="EB20" s="67">
        <v>0</v>
      </c>
      <c r="EC20" s="67">
        <v>9.9999999999999995E-7</v>
      </c>
      <c r="ED20" s="67">
        <v>9.9999999999999995E-7</v>
      </c>
      <c r="EE20" s="67">
        <v>0</v>
      </c>
      <c r="EF20" s="67">
        <v>0</v>
      </c>
      <c r="EG20" s="67">
        <v>0</v>
      </c>
      <c r="EH20" s="67">
        <v>0</v>
      </c>
      <c r="EI20" s="67">
        <v>9.9999999999999995E-7</v>
      </c>
      <c r="EJ20" s="67">
        <v>0</v>
      </c>
      <c r="EK20" s="67">
        <v>0</v>
      </c>
      <c r="EL20" s="67">
        <v>9.9999999999999995E-7</v>
      </c>
      <c r="EM20" s="67">
        <v>9.9999999999999995E-7</v>
      </c>
      <c r="EN20" s="67">
        <v>9.9999999999999995E-7</v>
      </c>
      <c r="EO20" s="67">
        <v>2.0000000000000002E-5</v>
      </c>
      <c r="EP20" s="67">
        <v>1.9999999999999999E-6</v>
      </c>
      <c r="EQ20" s="67">
        <v>0</v>
      </c>
      <c r="ER20" s="67">
        <v>0</v>
      </c>
      <c r="ES20" s="67">
        <v>9.9999999999999995E-7</v>
      </c>
      <c r="ET20" s="67">
        <v>0</v>
      </c>
      <c r="EU20" s="67">
        <v>0</v>
      </c>
      <c r="EV20" s="67">
        <v>9.9999999999999995E-7</v>
      </c>
      <c r="EW20" s="67">
        <v>9.9999999999999995E-7</v>
      </c>
      <c r="EX20" s="67">
        <v>9.9999999999999995E-7</v>
      </c>
      <c r="EY20" s="67">
        <v>1.9999999999999999E-6</v>
      </c>
      <c r="EZ20" s="67">
        <v>9.9999999999999995E-7</v>
      </c>
      <c r="FA20" s="67">
        <v>0</v>
      </c>
      <c r="FB20" s="67">
        <v>9.9999999999999995E-7</v>
      </c>
      <c r="FC20" s="67">
        <v>1.9999999999999999E-6</v>
      </c>
      <c r="FD20" s="67">
        <v>9.9999999999999995E-7</v>
      </c>
      <c r="FE20" s="67">
        <v>9.9999999999999995E-7</v>
      </c>
      <c r="FF20" s="67">
        <v>0</v>
      </c>
      <c r="FG20" s="67">
        <v>1.9999999999999999E-6</v>
      </c>
      <c r="FH20" s="67">
        <v>1.9999999999999999E-6</v>
      </c>
      <c r="FI20" s="67">
        <v>1.9999999999999999E-6</v>
      </c>
      <c r="FJ20" s="67">
        <v>1.4999999999999999E-4</v>
      </c>
      <c r="FK20" s="67">
        <v>5.0000000000000004E-6</v>
      </c>
      <c r="FL20" s="67">
        <v>0</v>
      </c>
      <c r="FM20" s="67">
        <v>0</v>
      </c>
      <c r="FN20" s="67">
        <v>3.0000000000000001E-6</v>
      </c>
      <c r="FO20" s="67">
        <v>2.5999999999999998E-5</v>
      </c>
      <c r="FP20" s="67">
        <v>0</v>
      </c>
      <c r="FQ20" s="67">
        <v>8.3999999999999995E-5</v>
      </c>
      <c r="FR20" s="67">
        <v>5.3000000000000001E-5</v>
      </c>
      <c r="FS20" s="67">
        <v>9.7999999999999997E-5</v>
      </c>
      <c r="FT20" s="67">
        <v>1.8000000000000001E-4</v>
      </c>
      <c r="FU20" s="67">
        <v>9.2E-5</v>
      </c>
      <c r="FV20" s="67">
        <v>1.5E-5</v>
      </c>
      <c r="FW20" s="67">
        <v>3.0000000000000001E-5</v>
      </c>
      <c r="FX20" s="67">
        <v>6.3000000000000003E-4</v>
      </c>
      <c r="FY20" s="67">
        <v>1.9599999999999999E-4</v>
      </c>
      <c r="FZ20" s="67">
        <v>4.3000000000000002E-5</v>
      </c>
      <c r="GA20" s="67">
        <v>3.8999999999999999E-5</v>
      </c>
      <c r="GB20" s="67">
        <v>1.4799999999999999E-4</v>
      </c>
      <c r="GC20" s="67">
        <v>6.6000000000000005E-5</v>
      </c>
      <c r="GD20" s="67">
        <v>7.4999999999999993E-5</v>
      </c>
      <c r="GE20" s="67">
        <v>1.634E-3</v>
      </c>
      <c r="GF20" s="67">
        <v>2.7300000000000002E-4</v>
      </c>
      <c r="GG20" s="67">
        <v>2.2599999999999999E-4</v>
      </c>
      <c r="GH20" s="67">
        <v>1.64E-4</v>
      </c>
      <c r="GI20" s="67">
        <v>1E-4</v>
      </c>
      <c r="GJ20" s="67">
        <v>0</v>
      </c>
      <c r="GK20" s="67">
        <v>0</v>
      </c>
      <c r="GL20" s="67">
        <v>0</v>
      </c>
      <c r="GM20" s="67">
        <v>9.9999999999999995E-7</v>
      </c>
      <c r="GN20" s="67">
        <v>9.9999999999999995E-7</v>
      </c>
      <c r="GO20" s="67">
        <v>9.9999999999999995E-7</v>
      </c>
      <c r="GP20" s="67">
        <v>0</v>
      </c>
      <c r="GQ20" s="67">
        <v>0</v>
      </c>
      <c r="GR20" s="67">
        <v>0</v>
      </c>
      <c r="GS20" s="67">
        <v>9.9999999999999995E-7</v>
      </c>
      <c r="GT20" s="67">
        <v>9.9999999999999995E-7</v>
      </c>
      <c r="GU20" s="67">
        <v>0</v>
      </c>
      <c r="GV20" s="67">
        <v>0</v>
      </c>
      <c r="GW20" s="67">
        <v>9.9999999999999995E-7</v>
      </c>
      <c r="GX20" s="67">
        <v>0</v>
      </c>
      <c r="GY20" s="67">
        <v>0</v>
      </c>
      <c r="GZ20" s="67">
        <v>1.7E-5</v>
      </c>
      <c r="HA20" s="67">
        <v>1.9999999999999999E-6</v>
      </c>
      <c r="HB20" s="67">
        <v>0</v>
      </c>
      <c r="HC20" s="67">
        <v>0</v>
      </c>
      <c r="HD20" s="67">
        <v>0</v>
      </c>
      <c r="HE20" s="67">
        <v>9.9999999999999995E-7</v>
      </c>
      <c r="HF20" s="67">
        <v>0</v>
      </c>
      <c r="HG20" s="67">
        <v>9.9999999999999995E-7</v>
      </c>
      <c r="HH20" s="67">
        <v>9.9999999999999995E-7</v>
      </c>
      <c r="HI20" s="67">
        <v>1.9999999999999999E-6</v>
      </c>
      <c r="HJ20" s="67">
        <v>1.9999999999999999E-6</v>
      </c>
      <c r="HK20" s="67">
        <v>9.9999999999999995E-7</v>
      </c>
      <c r="HL20" s="67">
        <v>9.9999999999999995E-7</v>
      </c>
      <c r="HM20" s="67">
        <v>9.9999999999999995E-7</v>
      </c>
      <c r="HN20" s="67">
        <v>1.9999999999999999E-6</v>
      </c>
      <c r="HO20" s="67">
        <v>3.0000000000000001E-6</v>
      </c>
      <c r="HP20" s="67">
        <v>9.9999999999999995E-7</v>
      </c>
      <c r="HQ20" s="67">
        <v>9.9999999999999995E-7</v>
      </c>
      <c r="HR20" s="67">
        <v>1.9999999999999999E-6</v>
      </c>
      <c r="HS20" s="67">
        <v>1.9999999999999999E-6</v>
      </c>
      <c r="HT20" s="67">
        <v>1.9999999999999999E-6</v>
      </c>
      <c r="HU20" s="67">
        <v>3.8000000000000002E-5</v>
      </c>
      <c r="HV20" s="67">
        <v>3.0000000000000001E-6</v>
      </c>
      <c r="HW20" s="67">
        <v>0</v>
      </c>
      <c r="HX20" s="67">
        <v>0</v>
      </c>
      <c r="HY20" s="67">
        <v>3.0000000000000001E-6</v>
      </c>
      <c r="HZ20" s="67"/>
      <c r="IA20" s="67"/>
      <c r="IB20" s="67"/>
      <c r="IC20" s="67"/>
      <c r="ID20" s="67"/>
      <c r="IE20" s="67"/>
      <c r="IF20" s="67"/>
      <c r="IG20" s="67"/>
      <c r="IH20" s="67"/>
      <c r="II20" s="67"/>
      <c r="IJ20" s="67"/>
      <c r="IK20" s="67"/>
      <c r="IL20" s="67"/>
      <c r="IM20" s="67"/>
      <c r="IN20" s="67"/>
      <c r="IO20" s="67"/>
      <c r="IP20" s="67"/>
      <c r="IQ20" s="67"/>
      <c r="IR20" s="67"/>
      <c r="IS20" s="67"/>
      <c r="IT20" s="67"/>
      <c r="IU20" s="67"/>
      <c r="IV20" s="67"/>
      <c r="IW20" s="67"/>
      <c r="IX20" s="67"/>
      <c r="IY20" s="67"/>
      <c r="IZ20" s="67"/>
      <c r="JA20" s="67"/>
      <c r="JB20" s="67"/>
      <c r="JC20" s="67"/>
      <c r="JD20" s="67"/>
      <c r="JE20" s="67"/>
      <c r="JF20" s="67"/>
      <c r="JG20" s="67"/>
      <c r="JH20" s="67"/>
      <c r="JI20" s="67"/>
      <c r="JJ20" s="67"/>
      <c r="JK20" s="67"/>
      <c r="JL20" s="67"/>
      <c r="JM20" s="67"/>
      <c r="JN20" s="67"/>
      <c r="JO20" s="67"/>
      <c r="JP20" s="67"/>
      <c r="JQ20" s="67"/>
    </row>
    <row r="21" spans="1:277">
      <c r="A21" s="68" t="s">
        <v>113</v>
      </c>
      <c r="B21" s="69" t="s">
        <v>27</v>
      </c>
      <c r="C21" s="70">
        <v>5.8526000000000002E-2</v>
      </c>
      <c r="D21" s="70">
        <v>0</v>
      </c>
      <c r="E21" s="70">
        <v>1.2182E-2</v>
      </c>
      <c r="F21" s="70">
        <v>1.6650999999999999E-2</v>
      </c>
      <c r="G21" s="70">
        <v>1.6445999999999999E-2</v>
      </c>
      <c r="H21" s="70">
        <v>7.1396000000000001E-2</v>
      </c>
      <c r="I21" s="70">
        <v>3.1570000000000001E-3</v>
      </c>
      <c r="J21" s="70">
        <v>9.8158999999999996E-2</v>
      </c>
      <c r="K21" s="70">
        <v>1.3159000000000001E-2</v>
      </c>
      <c r="L21" s="70">
        <v>0.110615</v>
      </c>
      <c r="M21" s="70">
        <v>0.125583</v>
      </c>
      <c r="N21" s="70">
        <v>1.343E-3</v>
      </c>
      <c r="O21" s="70">
        <v>1.2226000000000001E-2</v>
      </c>
      <c r="P21" s="70">
        <v>7.1710999999999997E-2</v>
      </c>
      <c r="Q21" s="70">
        <v>2.0469999999999999E-2</v>
      </c>
      <c r="R21" s="70">
        <v>1.7108999999999999E-2</v>
      </c>
      <c r="S21" s="70">
        <v>1.2097E-2</v>
      </c>
      <c r="T21" s="70">
        <v>6.4976999999999993E-2</v>
      </c>
      <c r="U21" s="70">
        <v>5.1489999999999999E-3</v>
      </c>
      <c r="V21" s="70">
        <v>3.7439999999999999E-3</v>
      </c>
      <c r="W21" s="70">
        <v>1.8162999999999999E-2</v>
      </c>
      <c r="X21" s="70">
        <v>9.9999999999999995E-7</v>
      </c>
      <c r="Y21" s="70">
        <v>0</v>
      </c>
      <c r="Z21" s="70">
        <v>0</v>
      </c>
      <c r="AA21" s="70">
        <v>0</v>
      </c>
      <c r="AB21" s="70">
        <v>0</v>
      </c>
      <c r="AC21" s="70">
        <v>9.9999999999999995E-7</v>
      </c>
      <c r="AD21" s="70">
        <v>0</v>
      </c>
      <c r="AE21" s="70">
        <v>0</v>
      </c>
      <c r="AF21" s="70">
        <v>0</v>
      </c>
      <c r="AG21" s="70">
        <v>9.9999999999999995E-7</v>
      </c>
      <c r="AH21" s="70">
        <v>9.9999999999999995E-7</v>
      </c>
      <c r="AI21" s="70">
        <v>0</v>
      </c>
      <c r="AJ21" s="70">
        <v>0</v>
      </c>
      <c r="AK21" s="70">
        <v>0</v>
      </c>
      <c r="AL21" s="70">
        <v>9.9999999999999995E-7</v>
      </c>
      <c r="AM21" s="70">
        <v>0</v>
      </c>
      <c r="AN21" s="70">
        <v>9.9999999999999995E-7</v>
      </c>
      <c r="AO21" s="70">
        <v>3.0000000000000001E-6</v>
      </c>
      <c r="AP21" s="70">
        <v>0</v>
      </c>
      <c r="AQ21" s="70">
        <v>0</v>
      </c>
      <c r="AR21" s="70">
        <v>0</v>
      </c>
      <c r="AS21" s="70">
        <v>1.9999999999999999E-6</v>
      </c>
      <c r="AT21" s="70">
        <v>0</v>
      </c>
      <c r="AU21" s="70">
        <v>9.9999999999999995E-7</v>
      </c>
      <c r="AV21" s="70">
        <v>1.9999999999999999E-6</v>
      </c>
      <c r="AW21" s="70">
        <v>9.9999999999999995E-7</v>
      </c>
      <c r="AX21" s="70">
        <v>1.9999999999999999E-6</v>
      </c>
      <c r="AY21" s="70">
        <v>9.9999999999999995E-7</v>
      </c>
      <c r="AZ21" s="70">
        <v>9.9999999999999995E-7</v>
      </c>
      <c r="BA21" s="70">
        <v>9.9999999999999995E-7</v>
      </c>
      <c r="BB21" s="70">
        <v>1.9999999999999999E-6</v>
      </c>
      <c r="BC21" s="70">
        <v>1.9999999999999999E-6</v>
      </c>
      <c r="BD21" s="70">
        <v>1.9999999999999999E-6</v>
      </c>
      <c r="BE21" s="70">
        <v>9.9999999999999995E-7</v>
      </c>
      <c r="BF21" s="70">
        <v>9.9999999999999995E-7</v>
      </c>
      <c r="BG21" s="70">
        <v>1.9999999999999999E-6</v>
      </c>
      <c r="BH21" s="70">
        <v>9.9999999999999995E-7</v>
      </c>
      <c r="BI21" s="70">
        <v>1.9999999999999999E-6</v>
      </c>
      <c r="BJ21" s="70">
        <v>1.1E-5</v>
      </c>
      <c r="BK21" s="70">
        <v>9.9999999999999995E-7</v>
      </c>
      <c r="BL21" s="70">
        <v>9.9999999999999995E-7</v>
      </c>
      <c r="BM21" s="70">
        <v>9.9999999999999995E-7</v>
      </c>
      <c r="BN21" s="70">
        <v>0</v>
      </c>
      <c r="BO21" s="70">
        <v>0</v>
      </c>
      <c r="BP21" s="70">
        <v>0</v>
      </c>
      <c r="BQ21" s="70">
        <v>0</v>
      </c>
      <c r="BR21" s="70">
        <v>0</v>
      </c>
      <c r="BS21" s="70">
        <v>0</v>
      </c>
      <c r="BT21" s="70">
        <v>0</v>
      </c>
      <c r="BU21" s="70">
        <v>0</v>
      </c>
      <c r="BV21" s="70">
        <v>0</v>
      </c>
      <c r="BW21" s="70">
        <v>0</v>
      </c>
      <c r="BX21" s="70">
        <v>0</v>
      </c>
      <c r="BY21" s="70">
        <v>0</v>
      </c>
      <c r="BZ21" s="70">
        <v>0</v>
      </c>
      <c r="CA21" s="70">
        <v>0</v>
      </c>
      <c r="CB21" s="70">
        <v>0</v>
      </c>
      <c r="CC21" s="70">
        <v>0</v>
      </c>
      <c r="CD21" s="70">
        <v>0</v>
      </c>
      <c r="CE21" s="70">
        <v>0</v>
      </c>
      <c r="CF21" s="70">
        <v>0</v>
      </c>
      <c r="CG21" s="70">
        <v>0</v>
      </c>
      <c r="CH21" s="70">
        <v>0</v>
      </c>
      <c r="CI21" s="70">
        <v>0</v>
      </c>
      <c r="CJ21" s="70">
        <v>0</v>
      </c>
      <c r="CK21" s="70">
        <v>0</v>
      </c>
      <c r="CL21" s="70">
        <v>0</v>
      </c>
      <c r="CM21" s="70">
        <v>0</v>
      </c>
      <c r="CN21" s="70">
        <v>0</v>
      </c>
      <c r="CO21" s="70">
        <v>0</v>
      </c>
      <c r="CP21" s="70">
        <v>0</v>
      </c>
      <c r="CQ21" s="70">
        <v>0</v>
      </c>
      <c r="CR21" s="70">
        <v>0</v>
      </c>
      <c r="CS21" s="70">
        <v>0</v>
      </c>
      <c r="CT21" s="70">
        <v>0</v>
      </c>
      <c r="CU21" s="70">
        <v>0</v>
      </c>
      <c r="CV21" s="70">
        <v>0</v>
      </c>
      <c r="CW21" s="70">
        <v>0</v>
      </c>
      <c r="CX21" s="70">
        <v>0</v>
      </c>
      <c r="CY21" s="70">
        <v>0</v>
      </c>
      <c r="CZ21" s="70">
        <v>0</v>
      </c>
      <c r="DA21" s="70">
        <v>0</v>
      </c>
      <c r="DB21" s="70">
        <v>0</v>
      </c>
      <c r="DC21" s="70">
        <v>0</v>
      </c>
      <c r="DD21" s="70">
        <v>9.9999999999999995E-7</v>
      </c>
      <c r="DE21" s="70">
        <v>0</v>
      </c>
      <c r="DF21" s="70">
        <v>0</v>
      </c>
      <c r="DG21" s="70">
        <v>9.9999999999999995E-7</v>
      </c>
      <c r="DH21" s="70">
        <v>9.9999999999999995E-7</v>
      </c>
      <c r="DI21" s="70">
        <v>9.9999999999999995E-7</v>
      </c>
      <c r="DJ21" s="70">
        <v>9.9999999999999995E-7</v>
      </c>
      <c r="DK21" s="70">
        <v>9.9999999999999995E-7</v>
      </c>
      <c r="DL21" s="70">
        <v>9.9999999999999995E-7</v>
      </c>
      <c r="DM21" s="70">
        <v>9.9999999999999995E-7</v>
      </c>
      <c r="DN21" s="70">
        <v>9.9999999999999995E-7</v>
      </c>
      <c r="DO21" s="70">
        <v>9.9999999999999995E-7</v>
      </c>
      <c r="DP21" s="70">
        <v>1.9999999999999999E-6</v>
      </c>
      <c r="DQ21" s="70">
        <v>9.9999999999999995E-7</v>
      </c>
      <c r="DR21" s="70">
        <v>1.9999999999999999E-6</v>
      </c>
      <c r="DS21" s="70">
        <v>9.9999999999999995E-7</v>
      </c>
      <c r="DT21" s="70">
        <v>1.9999999999999999E-6</v>
      </c>
      <c r="DU21" s="70">
        <v>1.9000000000000001E-5</v>
      </c>
      <c r="DV21" s="70">
        <v>0</v>
      </c>
      <c r="DW21" s="70">
        <v>0</v>
      </c>
      <c r="DX21" s="70">
        <v>1.9999999999999999E-6</v>
      </c>
      <c r="DY21" s="70">
        <v>0</v>
      </c>
      <c r="DZ21" s="70">
        <v>0</v>
      </c>
      <c r="EA21" s="70">
        <v>0</v>
      </c>
      <c r="EB21" s="70">
        <v>0</v>
      </c>
      <c r="EC21" s="70">
        <v>0</v>
      </c>
      <c r="ED21" s="70">
        <v>0</v>
      </c>
      <c r="EE21" s="70">
        <v>0</v>
      </c>
      <c r="EF21" s="70">
        <v>0</v>
      </c>
      <c r="EG21" s="70">
        <v>0</v>
      </c>
      <c r="EH21" s="70">
        <v>0</v>
      </c>
      <c r="EI21" s="70">
        <v>9.9999999999999995E-7</v>
      </c>
      <c r="EJ21" s="70">
        <v>0</v>
      </c>
      <c r="EK21" s="70">
        <v>0</v>
      </c>
      <c r="EL21" s="70">
        <v>0</v>
      </c>
      <c r="EM21" s="70">
        <v>0</v>
      </c>
      <c r="EN21" s="70">
        <v>0</v>
      </c>
      <c r="EO21" s="70">
        <v>9.9999999999999995E-7</v>
      </c>
      <c r="EP21" s="70">
        <v>5.0000000000000004E-6</v>
      </c>
      <c r="EQ21" s="70">
        <v>9.9999999999999995E-7</v>
      </c>
      <c r="ER21" s="70">
        <v>0</v>
      </c>
      <c r="ES21" s="70">
        <v>0</v>
      </c>
      <c r="ET21" s="70">
        <v>1.9999999999999999E-6</v>
      </c>
      <c r="EU21" s="70">
        <v>0</v>
      </c>
      <c r="EV21" s="70">
        <v>9.9999999999999995E-7</v>
      </c>
      <c r="EW21" s="70">
        <v>9.9999999999999995E-7</v>
      </c>
      <c r="EX21" s="70">
        <v>1.9999999999999999E-6</v>
      </c>
      <c r="EY21" s="70">
        <v>1.9999999999999999E-6</v>
      </c>
      <c r="EZ21" s="70">
        <v>1.9999999999999999E-6</v>
      </c>
      <c r="FA21" s="70">
        <v>3.0000000000000001E-6</v>
      </c>
      <c r="FB21" s="70">
        <v>9.9999999999999995E-7</v>
      </c>
      <c r="FC21" s="70">
        <v>9.9999999999999995E-7</v>
      </c>
      <c r="FD21" s="70">
        <v>1.9999999999999999E-6</v>
      </c>
      <c r="FE21" s="70">
        <v>1.4E-5</v>
      </c>
      <c r="FF21" s="70">
        <v>1.9999999999999999E-6</v>
      </c>
      <c r="FG21" s="70">
        <v>3.9999999999999998E-6</v>
      </c>
      <c r="FH21" s="70">
        <v>5.0000000000000004E-6</v>
      </c>
      <c r="FI21" s="70">
        <v>1.9999999999999999E-6</v>
      </c>
      <c r="FJ21" s="70">
        <v>6.0000000000000002E-6</v>
      </c>
      <c r="FK21" s="70">
        <v>5.0000000000000002E-5</v>
      </c>
      <c r="FL21" s="70">
        <v>1.9999999999999999E-6</v>
      </c>
      <c r="FM21" s="70">
        <v>1.9999999999999999E-6</v>
      </c>
      <c r="FN21" s="70">
        <v>3.9999999999999998E-6</v>
      </c>
      <c r="FO21" s="70">
        <v>6.0999999999999999E-5</v>
      </c>
      <c r="FP21" s="70">
        <v>0</v>
      </c>
      <c r="FQ21" s="70">
        <v>6.4999999999999994E-5</v>
      </c>
      <c r="FR21" s="70">
        <v>1.1400000000000001E-4</v>
      </c>
      <c r="FS21" s="70">
        <v>2.9E-5</v>
      </c>
      <c r="FT21" s="70">
        <v>1.4300000000000001E-4</v>
      </c>
      <c r="FU21" s="70">
        <v>2.0000000000000002E-5</v>
      </c>
      <c r="FV21" s="70">
        <v>5.0000000000000002E-5</v>
      </c>
      <c r="FW21" s="70">
        <v>4.3999999999999999E-5</v>
      </c>
      <c r="FX21" s="70">
        <v>1.2799999999999999E-4</v>
      </c>
      <c r="FY21" s="70">
        <v>5.5000000000000002E-5</v>
      </c>
      <c r="FZ21" s="70">
        <v>4.1E-5</v>
      </c>
      <c r="GA21" s="70">
        <v>5.3999999999999998E-5</v>
      </c>
      <c r="GB21" s="70">
        <v>9.1000000000000003E-5</v>
      </c>
      <c r="GC21" s="70">
        <v>6.0999999999999999E-5</v>
      </c>
      <c r="GD21" s="70">
        <v>4.1E-5</v>
      </c>
      <c r="GE21" s="70">
        <v>5.8999999999999998E-5</v>
      </c>
      <c r="GF21" s="70">
        <v>6.8300000000000001E-4</v>
      </c>
      <c r="GG21" s="70">
        <v>9.0000000000000002E-6</v>
      </c>
      <c r="GH21" s="70">
        <v>6.9999999999999999E-6</v>
      </c>
      <c r="GI21" s="70">
        <v>7.3999999999999996E-5</v>
      </c>
      <c r="GJ21" s="70">
        <v>0</v>
      </c>
      <c r="GK21" s="70">
        <v>0</v>
      </c>
      <c r="GL21" s="70">
        <v>0</v>
      </c>
      <c r="GM21" s="70">
        <v>0</v>
      </c>
      <c r="GN21" s="70">
        <v>0</v>
      </c>
      <c r="GO21" s="70">
        <v>0</v>
      </c>
      <c r="GP21" s="70">
        <v>0</v>
      </c>
      <c r="GQ21" s="70">
        <v>0</v>
      </c>
      <c r="GR21" s="70">
        <v>0</v>
      </c>
      <c r="GS21" s="70">
        <v>0</v>
      </c>
      <c r="GT21" s="70">
        <v>0</v>
      </c>
      <c r="GU21" s="70">
        <v>0</v>
      </c>
      <c r="GV21" s="70">
        <v>0</v>
      </c>
      <c r="GW21" s="70">
        <v>0</v>
      </c>
      <c r="GX21" s="70">
        <v>0</v>
      </c>
      <c r="GY21" s="70">
        <v>0</v>
      </c>
      <c r="GZ21" s="70">
        <v>0</v>
      </c>
      <c r="HA21" s="70">
        <v>3.0000000000000001E-6</v>
      </c>
      <c r="HB21" s="70">
        <v>0</v>
      </c>
      <c r="HC21" s="70">
        <v>0</v>
      </c>
      <c r="HD21" s="70">
        <v>0</v>
      </c>
      <c r="HE21" s="70">
        <v>9.9999999999999995E-7</v>
      </c>
      <c r="HF21" s="70">
        <v>0</v>
      </c>
      <c r="HG21" s="70">
        <v>9.9999999999999995E-7</v>
      </c>
      <c r="HH21" s="70">
        <v>9.9999999999999995E-7</v>
      </c>
      <c r="HI21" s="70">
        <v>9.9999999999999995E-7</v>
      </c>
      <c r="HJ21" s="70">
        <v>1.9999999999999999E-6</v>
      </c>
      <c r="HK21" s="70">
        <v>9.9999999999999995E-7</v>
      </c>
      <c r="HL21" s="70">
        <v>9.9999999999999995E-7</v>
      </c>
      <c r="HM21" s="70">
        <v>9.9999999999999995E-7</v>
      </c>
      <c r="HN21" s="70">
        <v>9.9999999999999995E-7</v>
      </c>
      <c r="HO21" s="70">
        <v>1.9999999999999999E-6</v>
      </c>
      <c r="HP21" s="70">
        <v>1.9999999999999999E-6</v>
      </c>
      <c r="HQ21" s="70">
        <v>9.9999999999999995E-7</v>
      </c>
      <c r="HR21" s="70">
        <v>9.9999999999999995E-7</v>
      </c>
      <c r="HS21" s="70">
        <v>9.9999999999999995E-7</v>
      </c>
      <c r="HT21" s="70">
        <v>9.9999999999999995E-7</v>
      </c>
      <c r="HU21" s="70">
        <v>1.9999999999999999E-6</v>
      </c>
      <c r="HV21" s="70">
        <v>7.9999999999999996E-6</v>
      </c>
      <c r="HW21" s="70">
        <v>0</v>
      </c>
      <c r="HX21" s="70">
        <v>0</v>
      </c>
      <c r="HY21" s="70">
        <v>9.9999999999999995E-7</v>
      </c>
      <c r="HZ21" s="70"/>
      <c r="IA21" s="70"/>
      <c r="IB21" s="70"/>
      <c r="IC21" s="70"/>
      <c r="ID21" s="70"/>
      <c r="IE21" s="70"/>
      <c r="IF21" s="70"/>
      <c r="IG21" s="70"/>
      <c r="IH21" s="70"/>
      <c r="II21" s="70"/>
      <c r="IJ21" s="70"/>
      <c r="IK21" s="70"/>
      <c r="IL21" s="70"/>
      <c r="IM21" s="70"/>
      <c r="IN21" s="70"/>
      <c r="IO21" s="70"/>
      <c r="IP21" s="70"/>
      <c r="IQ21" s="70"/>
      <c r="IR21" s="70"/>
      <c r="IS21" s="70"/>
      <c r="IT21" s="70"/>
      <c r="IU21" s="70"/>
      <c r="IV21" s="70"/>
      <c r="IW21" s="70"/>
      <c r="IX21" s="70"/>
      <c r="IY21" s="70"/>
      <c r="IZ21" s="70"/>
      <c r="JA21" s="70"/>
      <c r="JB21" s="70"/>
      <c r="JC21" s="70"/>
      <c r="JD21" s="70"/>
      <c r="JE21" s="70"/>
      <c r="JF21" s="70"/>
      <c r="JG21" s="70"/>
      <c r="JH21" s="70"/>
      <c r="JI21" s="70"/>
      <c r="JJ21" s="70"/>
      <c r="JK21" s="70"/>
      <c r="JL21" s="70"/>
      <c r="JM21" s="70"/>
      <c r="JN21" s="70"/>
      <c r="JO21" s="70"/>
      <c r="JP21" s="70"/>
      <c r="JQ21" s="70"/>
    </row>
    <row r="22" spans="1:277">
      <c r="A22" s="65" t="s">
        <v>114</v>
      </c>
      <c r="B22" s="66" t="s">
        <v>28</v>
      </c>
      <c r="C22" s="67">
        <v>6.8279999999999999E-3</v>
      </c>
      <c r="D22" s="67">
        <v>0</v>
      </c>
      <c r="E22" s="67">
        <v>1.4999999999999999E-4</v>
      </c>
      <c r="F22" s="67">
        <v>8.8599999999999996E-4</v>
      </c>
      <c r="G22" s="67">
        <v>4.86E-4</v>
      </c>
      <c r="H22" s="67">
        <v>7.76E-4</v>
      </c>
      <c r="I22" s="67">
        <v>2.8200000000000002E-4</v>
      </c>
      <c r="J22" s="67">
        <v>4.9899999999999999E-4</v>
      </c>
      <c r="K22" s="67">
        <v>9.9999999999999995E-7</v>
      </c>
      <c r="L22" s="67">
        <v>1.456E-3</v>
      </c>
      <c r="M22" s="67">
        <v>2.1870000000000001E-3</v>
      </c>
      <c r="N22" s="67">
        <v>6.3E-5</v>
      </c>
      <c r="O22" s="67">
        <v>4.0700000000000003E-4</v>
      </c>
      <c r="P22" s="67">
        <v>4.1720000000000004E-3</v>
      </c>
      <c r="Q22" s="67">
        <v>1.7979999999999999E-3</v>
      </c>
      <c r="R22" s="67">
        <v>2.2889999999999998E-3</v>
      </c>
      <c r="S22" s="67">
        <v>1.923E-3</v>
      </c>
      <c r="T22" s="67">
        <v>1.3979999999999999E-3</v>
      </c>
      <c r="U22" s="67">
        <v>3.3399999999999999E-4</v>
      </c>
      <c r="V22" s="67">
        <v>2.43E-4</v>
      </c>
      <c r="W22" s="67">
        <v>1.384E-3</v>
      </c>
      <c r="X22" s="67">
        <v>0</v>
      </c>
      <c r="Y22" s="67">
        <v>0</v>
      </c>
      <c r="Z22" s="67">
        <v>0</v>
      </c>
      <c r="AA22" s="67">
        <v>0</v>
      </c>
      <c r="AB22" s="67">
        <v>0</v>
      </c>
      <c r="AC22" s="67">
        <v>0</v>
      </c>
      <c r="AD22" s="67">
        <v>0</v>
      </c>
      <c r="AE22" s="67">
        <v>0</v>
      </c>
      <c r="AF22" s="67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7">
        <v>0</v>
      </c>
      <c r="AT22" s="67">
        <v>0</v>
      </c>
      <c r="AU22" s="67">
        <v>0</v>
      </c>
      <c r="AV22" s="67">
        <v>0</v>
      </c>
      <c r="AW22" s="67">
        <v>0</v>
      </c>
      <c r="AX22" s="67">
        <v>0</v>
      </c>
      <c r="AY22" s="67">
        <v>0</v>
      </c>
      <c r="AZ22" s="67">
        <v>0</v>
      </c>
      <c r="BA22" s="67">
        <v>0</v>
      </c>
      <c r="BB22" s="67">
        <v>0</v>
      </c>
      <c r="BC22" s="67">
        <v>0</v>
      </c>
      <c r="BD22" s="67">
        <v>0</v>
      </c>
      <c r="BE22" s="67">
        <v>0</v>
      </c>
      <c r="BF22" s="67">
        <v>0</v>
      </c>
      <c r="BG22" s="67">
        <v>0</v>
      </c>
      <c r="BH22" s="67">
        <v>0</v>
      </c>
      <c r="BI22" s="67">
        <v>0</v>
      </c>
      <c r="BJ22" s="67">
        <v>0</v>
      </c>
      <c r="BK22" s="67">
        <v>0</v>
      </c>
      <c r="BL22" s="67">
        <v>0</v>
      </c>
      <c r="BM22" s="67">
        <v>0</v>
      </c>
      <c r="BN22" s="67">
        <v>0</v>
      </c>
      <c r="BO22" s="67">
        <v>0</v>
      </c>
      <c r="BP22" s="67">
        <v>0</v>
      </c>
      <c r="BQ22" s="67">
        <v>0</v>
      </c>
      <c r="BR22" s="67">
        <v>0</v>
      </c>
      <c r="BS22" s="67">
        <v>0</v>
      </c>
      <c r="BT22" s="67">
        <v>0</v>
      </c>
      <c r="BU22" s="67">
        <v>0</v>
      </c>
      <c r="BV22" s="67">
        <v>0</v>
      </c>
      <c r="BW22" s="67">
        <v>0</v>
      </c>
      <c r="BX22" s="67">
        <v>0</v>
      </c>
      <c r="BY22" s="67">
        <v>0</v>
      </c>
      <c r="BZ22" s="67">
        <v>0</v>
      </c>
      <c r="CA22" s="67">
        <v>0</v>
      </c>
      <c r="CB22" s="67">
        <v>0</v>
      </c>
      <c r="CC22" s="67">
        <v>0</v>
      </c>
      <c r="CD22" s="67">
        <v>0</v>
      </c>
      <c r="CE22" s="67">
        <v>0</v>
      </c>
      <c r="CF22" s="67">
        <v>0</v>
      </c>
      <c r="CG22" s="67">
        <v>0</v>
      </c>
      <c r="CH22" s="67">
        <v>0</v>
      </c>
      <c r="CI22" s="67">
        <v>0</v>
      </c>
      <c r="CJ22" s="67">
        <v>0</v>
      </c>
      <c r="CK22" s="67">
        <v>0</v>
      </c>
      <c r="CL22" s="67">
        <v>0</v>
      </c>
      <c r="CM22" s="67">
        <v>0</v>
      </c>
      <c r="CN22" s="67">
        <v>0</v>
      </c>
      <c r="CO22" s="67">
        <v>0</v>
      </c>
      <c r="CP22" s="67">
        <v>0</v>
      </c>
      <c r="CQ22" s="67">
        <v>0</v>
      </c>
      <c r="CR22" s="67">
        <v>0</v>
      </c>
      <c r="CS22" s="67">
        <v>0</v>
      </c>
      <c r="CT22" s="67">
        <v>0</v>
      </c>
      <c r="CU22" s="67">
        <v>0</v>
      </c>
      <c r="CV22" s="67">
        <v>0</v>
      </c>
      <c r="CW22" s="67">
        <v>0</v>
      </c>
      <c r="CX22" s="67">
        <v>0</v>
      </c>
      <c r="CY22" s="67">
        <v>0</v>
      </c>
      <c r="CZ22" s="67">
        <v>0</v>
      </c>
      <c r="DA22" s="67">
        <v>0</v>
      </c>
      <c r="DB22" s="67">
        <v>0</v>
      </c>
      <c r="DC22" s="67">
        <v>0</v>
      </c>
      <c r="DD22" s="67">
        <v>0</v>
      </c>
      <c r="DE22" s="67">
        <v>0</v>
      </c>
      <c r="DF22" s="67">
        <v>0</v>
      </c>
      <c r="DG22" s="67">
        <v>0</v>
      </c>
      <c r="DH22" s="67">
        <v>0</v>
      </c>
      <c r="DI22" s="67">
        <v>0</v>
      </c>
      <c r="DJ22" s="67">
        <v>0</v>
      </c>
      <c r="DK22" s="67">
        <v>0</v>
      </c>
      <c r="DL22" s="67">
        <v>0</v>
      </c>
      <c r="DM22" s="67">
        <v>0</v>
      </c>
      <c r="DN22" s="67">
        <v>0</v>
      </c>
      <c r="DO22" s="67">
        <v>0</v>
      </c>
      <c r="DP22" s="67">
        <v>0</v>
      </c>
      <c r="DQ22" s="67">
        <v>0</v>
      </c>
      <c r="DR22" s="67">
        <v>0</v>
      </c>
      <c r="DS22" s="67">
        <v>0</v>
      </c>
      <c r="DT22" s="67">
        <v>0</v>
      </c>
      <c r="DU22" s="67">
        <v>0</v>
      </c>
      <c r="DV22" s="67">
        <v>0</v>
      </c>
      <c r="DW22" s="67">
        <v>0</v>
      </c>
      <c r="DX22" s="67">
        <v>0</v>
      </c>
      <c r="DY22" s="67">
        <v>0</v>
      </c>
      <c r="DZ22" s="67">
        <v>0</v>
      </c>
      <c r="EA22" s="67">
        <v>0</v>
      </c>
      <c r="EB22" s="67">
        <v>0</v>
      </c>
      <c r="EC22" s="67">
        <v>0</v>
      </c>
      <c r="ED22" s="67">
        <v>0</v>
      </c>
      <c r="EE22" s="67">
        <v>0</v>
      </c>
      <c r="EF22" s="67">
        <v>0</v>
      </c>
      <c r="EG22" s="67">
        <v>0</v>
      </c>
      <c r="EH22" s="67">
        <v>0</v>
      </c>
      <c r="EI22" s="67">
        <v>0</v>
      </c>
      <c r="EJ22" s="67">
        <v>0</v>
      </c>
      <c r="EK22" s="67">
        <v>0</v>
      </c>
      <c r="EL22" s="67">
        <v>0</v>
      </c>
      <c r="EM22" s="67">
        <v>0</v>
      </c>
      <c r="EN22" s="67">
        <v>0</v>
      </c>
      <c r="EO22" s="67">
        <v>0</v>
      </c>
      <c r="EP22" s="67">
        <v>0</v>
      </c>
      <c r="EQ22" s="67">
        <v>0</v>
      </c>
      <c r="ER22" s="67">
        <v>0</v>
      </c>
      <c r="ES22" s="67">
        <v>0</v>
      </c>
      <c r="ET22" s="67">
        <v>0</v>
      </c>
      <c r="EU22" s="67">
        <v>0</v>
      </c>
      <c r="EV22" s="67">
        <v>0</v>
      </c>
      <c r="EW22" s="67">
        <v>0</v>
      </c>
      <c r="EX22" s="67">
        <v>0</v>
      </c>
      <c r="EY22" s="67">
        <v>0</v>
      </c>
      <c r="EZ22" s="67">
        <v>0</v>
      </c>
      <c r="FA22" s="67">
        <v>0</v>
      </c>
      <c r="FB22" s="67">
        <v>0</v>
      </c>
      <c r="FC22" s="67">
        <v>0</v>
      </c>
      <c r="FD22" s="67">
        <v>0</v>
      </c>
      <c r="FE22" s="67">
        <v>0</v>
      </c>
      <c r="FF22" s="67">
        <v>0</v>
      </c>
      <c r="FG22" s="67">
        <v>0</v>
      </c>
      <c r="FH22" s="67">
        <v>0</v>
      </c>
      <c r="FI22" s="67">
        <v>0</v>
      </c>
      <c r="FJ22" s="67">
        <v>0</v>
      </c>
      <c r="FK22" s="67">
        <v>0</v>
      </c>
      <c r="FL22" s="67">
        <v>0</v>
      </c>
      <c r="FM22" s="67">
        <v>0</v>
      </c>
      <c r="FN22" s="67">
        <v>0</v>
      </c>
      <c r="FO22" s="67">
        <v>0</v>
      </c>
      <c r="FP22" s="67">
        <v>0</v>
      </c>
      <c r="FQ22" s="67">
        <v>0</v>
      </c>
      <c r="FR22" s="67">
        <v>0</v>
      </c>
      <c r="FS22" s="67">
        <v>0</v>
      </c>
      <c r="FT22" s="67">
        <v>0</v>
      </c>
      <c r="FU22" s="67">
        <v>0</v>
      </c>
      <c r="FV22" s="67">
        <v>0</v>
      </c>
      <c r="FW22" s="67">
        <v>0</v>
      </c>
      <c r="FX22" s="67">
        <v>0</v>
      </c>
      <c r="FY22" s="67">
        <v>0</v>
      </c>
      <c r="FZ22" s="67">
        <v>0</v>
      </c>
      <c r="GA22" s="67">
        <v>0</v>
      </c>
      <c r="GB22" s="67">
        <v>0</v>
      </c>
      <c r="GC22" s="67">
        <v>0</v>
      </c>
      <c r="GD22" s="67">
        <v>0</v>
      </c>
      <c r="GE22" s="67">
        <v>0</v>
      </c>
      <c r="GF22" s="67">
        <v>0</v>
      </c>
      <c r="GG22" s="67">
        <v>1E-4</v>
      </c>
      <c r="GH22" s="67">
        <v>7.2999999999999999E-5</v>
      </c>
      <c r="GI22" s="67">
        <v>0</v>
      </c>
      <c r="GJ22" s="67">
        <v>0</v>
      </c>
      <c r="GK22" s="67">
        <v>0</v>
      </c>
      <c r="GL22" s="67">
        <v>0</v>
      </c>
      <c r="GM22" s="67">
        <v>0</v>
      </c>
      <c r="GN22" s="67">
        <v>0</v>
      </c>
      <c r="GO22" s="67">
        <v>0</v>
      </c>
      <c r="GP22" s="67">
        <v>0</v>
      </c>
      <c r="GQ22" s="67">
        <v>0</v>
      </c>
      <c r="GR22" s="67">
        <v>0</v>
      </c>
      <c r="GS22" s="67">
        <v>0</v>
      </c>
      <c r="GT22" s="67">
        <v>0</v>
      </c>
      <c r="GU22" s="67">
        <v>0</v>
      </c>
      <c r="GV22" s="67">
        <v>0</v>
      </c>
      <c r="GW22" s="67">
        <v>0</v>
      </c>
      <c r="GX22" s="67">
        <v>0</v>
      </c>
      <c r="GY22" s="67">
        <v>0</v>
      </c>
      <c r="GZ22" s="67">
        <v>0</v>
      </c>
      <c r="HA22" s="67">
        <v>0</v>
      </c>
      <c r="HB22" s="67">
        <v>0</v>
      </c>
      <c r="HC22" s="67">
        <v>0</v>
      </c>
      <c r="HD22" s="67">
        <v>0</v>
      </c>
      <c r="HE22" s="67">
        <v>0</v>
      </c>
      <c r="HF22" s="67">
        <v>0</v>
      </c>
      <c r="HG22" s="67">
        <v>0</v>
      </c>
      <c r="HH22" s="67">
        <v>0</v>
      </c>
      <c r="HI22" s="67">
        <v>0</v>
      </c>
      <c r="HJ22" s="67">
        <v>0</v>
      </c>
      <c r="HK22" s="67">
        <v>0</v>
      </c>
      <c r="HL22" s="67">
        <v>0</v>
      </c>
      <c r="HM22" s="67">
        <v>0</v>
      </c>
      <c r="HN22" s="67">
        <v>0</v>
      </c>
      <c r="HO22" s="67">
        <v>0</v>
      </c>
      <c r="HP22" s="67">
        <v>0</v>
      </c>
      <c r="HQ22" s="67">
        <v>0</v>
      </c>
      <c r="HR22" s="67">
        <v>0</v>
      </c>
      <c r="HS22" s="67">
        <v>0</v>
      </c>
      <c r="HT22" s="67">
        <v>0</v>
      </c>
      <c r="HU22" s="67">
        <v>0</v>
      </c>
      <c r="HV22" s="67">
        <v>0</v>
      </c>
      <c r="HW22" s="67">
        <v>0</v>
      </c>
      <c r="HX22" s="67">
        <v>0</v>
      </c>
      <c r="HY22" s="67">
        <v>0</v>
      </c>
      <c r="HZ22" s="67"/>
      <c r="IA22" s="67"/>
      <c r="IB22" s="67"/>
      <c r="IC22" s="67"/>
      <c r="ID22" s="67"/>
      <c r="IE22" s="67"/>
      <c r="IF22" s="67"/>
      <c r="IG22" s="67"/>
      <c r="IH22" s="67"/>
      <c r="II22" s="67"/>
      <c r="IJ22" s="67"/>
      <c r="IK22" s="67"/>
      <c r="IL22" s="67"/>
      <c r="IM22" s="67"/>
      <c r="IN22" s="67"/>
      <c r="IO22" s="67"/>
      <c r="IP22" s="67"/>
      <c r="IQ22" s="67"/>
      <c r="IR22" s="67"/>
      <c r="IS22" s="67"/>
      <c r="IT22" s="67"/>
      <c r="IU22" s="67"/>
      <c r="IV22" s="67"/>
      <c r="IW22" s="67"/>
      <c r="IX22" s="67"/>
      <c r="IY22" s="67"/>
      <c r="IZ22" s="67"/>
      <c r="JA22" s="67"/>
      <c r="JB22" s="67"/>
      <c r="JC22" s="67"/>
      <c r="JD22" s="67"/>
      <c r="JE22" s="67"/>
      <c r="JF22" s="67"/>
      <c r="JG22" s="67"/>
      <c r="JH22" s="67"/>
      <c r="JI22" s="67"/>
      <c r="JJ22" s="67"/>
      <c r="JK22" s="67"/>
      <c r="JL22" s="67"/>
      <c r="JM22" s="67"/>
      <c r="JN22" s="67"/>
      <c r="JO22" s="67"/>
      <c r="JP22" s="67"/>
      <c r="JQ22" s="67"/>
    </row>
    <row r="23" spans="1:277">
      <c r="A23" s="68" t="s">
        <v>115</v>
      </c>
      <c r="B23" s="69" t="s">
        <v>29</v>
      </c>
      <c r="C23" s="70">
        <v>5.3133E-2</v>
      </c>
      <c r="D23" s="70">
        <v>0</v>
      </c>
      <c r="E23" s="70">
        <v>1.1640000000000001E-3</v>
      </c>
      <c r="F23" s="70">
        <v>6.8979999999999996E-3</v>
      </c>
      <c r="G23" s="70">
        <v>3.7780000000000001E-3</v>
      </c>
      <c r="H23" s="70">
        <v>6.0350000000000004E-3</v>
      </c>
      <c r="I23" s="70">
        <v>2.1979999999999999E-3</v>
      </c>
      <c r="J23" s="70">
        <v>3.885E-3</v>
      </c>
      <c r="K23" s="70">
        <v>6.0000000000000002E-6</v>
      </c>
      <c r="L23" s="70">
        <v>1.133E-2</v>
      </c>
      <c r="M23" s="70">
        <v>1.7014999999999999E-2</v>
      </c>
      <c r="N23" s="70">
        <v>4.9399999999999997E-4</v>
      </c>
      <c r="O23" s="70">
        <v>3.166E-3</v>
      </c>
      <c r="P23" s="70">
        <v>3.2464E-2</v>
      </c>
      <c r="Q23" s="70">
        <v>1.3990000000000001E-2</v>
      </c>
      <c r="R23" s="70">
        <v>1.7812999999999999E-2</v>
      </c>
      <c r="S23" s="70">
        <v>1.4962E-2</v>
      </c>
      <c r="T23" s="70">
        <v>1.0876E-2</v>
      </c>
      <c r="U23" s="70">
        <v>2.5959999999999998E-3</v>
      </c>
      <c r="V23" s="70">
        <v>1.8879999999999999E-3</v>
      </c>
      <c r="W23" s="70">
        <v>1.0773E-2</v>
      </c>
      <c r="X23" s="70">
        <v>0</v>
      </c>
      <c r="Y23" s="70">
        <v>0</v>
      </c>
      <c r="Z23" s="70">
        <v>0</v>
      </c>
      <c r="AA23" s="70">
        <v>0</v>
      </c>
      <c r="AB23" s="70">
        <v>0</v>
      </c>
      <c r="AC23" s="70">
        <v>0</v>
      </c>
      <c r="AD23" s="70">
        <v>0</v>
      </c>
      <c r="AE23" s="70">
        <v>0</v>
      </c>
      <c r="AF23" s="70">
        <v>0</v>
      </c>
      <c r="AG23" s="70">
        <v>0</v>
      </c>
      <c r="AH23" s="70">
        <v>0</v>
      </c>
      <c r="AI23" s="70">
        <v>0</v>
      </c>
      <c r="AJ23" s="70">
        <v>0</v>
      </c>
      <c r="AK23" s="70">
        <v>9.9999999999999995E-7</v>
      </c>
      <c r="AL23" s="70">
        <v>0</v>
      </c>
      <c r="AM23" s="70">
        <v>9.9999999999999995E-7</v>
      </c>
      <c r="AN23" s="70">
        <v>9.9999999999999995E-7</v>
      </c>
      <c r="AO23" s="70">
        <v>0</v>
      </c>
      <c r="AP23" s="70">
        <v>0</v>
      </c>
      <c r="AQ23" s="70">
        <v>0</v>
      </c>
      <c r="AR23" s="70">
        <v>0</v>
      </c>
      <c r="AS23" s="70">
        <v>0</v>
      </c>
      <c r="AT23" s="70">
        <v>0</v>
      </c>
      <c r="AU23" s="70">
        <v>0</v>
      </c>
      <c r="AV23" s="70">
        <v>0</v>
      </c>
      <c r="AW23" s="70">
        <v>9.9999999999999995E-7</v>
      </c>
      <c r="AX23" s="70">
        <v>9.9999999999999995E-7</v>
      </c>
      <c r="AY23" s="70">
        <v>9.9999999999999995E-7</v>
      </c>
      <c r="AZ23" s="70">
        <v>0</v>
      </c>
      <c r="BA23" s="70">
        <v>0</v>
      </c>
      <c r="BB23" s="70">
        <v>9.9999999999999995E-7</v>
      </c>
      <c r="BC23" s="70">
        <v>9.9999999999999995E-7</v>
      </c>
      <c r="BD23" s="70">
        <v>0</v>
      </c>
      <c r="BE23" s="70">
        <v>0</v>
      </c>
      <c r="BF23" s="70">
        <v>0</v>
      </c>
      <c r="BG23" s="70">
        <v>9.9999999999999995E-7</v>
      </c>
      <c r="BH23" s="70">
        <v>9.9999999999999995E-7</v>
      </c>
      <c r="BI23" s="70">
        <v>9.9999999999999995E-7</v>
      </c>
      <c r="BJ23" s="70">
        <v>9.9999999999999995E-7</v>
      </c>
      <c r="BK23" s="70">
        <v>0</v>
      </c>
      <c r="BL23" s="70">
        <v>0</v>
      </c>
      <c r="BM23" s="70">
        <v>0</v>
      </c>
      <c r="BN23" s="70">
        <v>0</v>
      </c>
      <c r="BO23" s="70">
        <v>0</v>
      </c>
      <c r="BP23" s="70">
        <v>0</v>
      </c>
      <c r="BQ23" s="70">
        <v>0</v>
      </c>
      <c r="BR23" s="70">
        <v>0</v>
      </c>
      <c r="BS23" s="70">
        <v>0</v>
      </c>
      <c r="BT23" s="70">
        <v>0</v>
      </c>
      <c r="BU23" s="70">
        <v>0</v>
      </c>
      <c r="BV23" s="70">
        <v>0</v>
      </c>
      <c r="BW23" s="70">
        <v>0</v>
      </c>
      <c r="BX23" s="70">
        <v>0</v>
      </c>
      <c r="BY23" s="70">
        <v>0</v>
      </c>
      <c r="BZ23" s="70">
        <v>0</v>
      </c>
      <c r="CA23" s="70">
        <v>0</v>
      </c>
      <c r="CB23" s="70">
        <v>0</v>
      </c>
      <c r="CC23" s="70">
        <v>0</v>
      </c>
      <c r="CD23" s="70">
        <v>0</v>
      </c>
      <c r="CE23" s="70">
        <v>0</v>
      </c>
      <c r="CF23" s="70">
        <v>0</v>
      </c>
      <c r="CG23" s="70">
        <v>0</v>
      </c>
      <c r="CH23" s="70">
        <v>0</v>
      </c>
      <c r="CI23" s="70">
        <v>0</v>
      </c>
      <c r="CJ23" s="70">
        <v>0</v>
      </c>
      <c r="CK23" s="70">
        <v>0</v>
      </c>
      <c r="CL23" s="70">
        <v>0</v>
      </c>
      <c r="CM23" s="70">
        <v>0</v>
      </c>
      <c r="CN23" s="70">
        <v>0</v>
      </c>
      <c r="CO23" s="70">
        <v>0</v>
      </c>
      <c r="CP23" s="70">
        <v>0</v>
      </c>
      <c r="CQ23" s="70">
        <v>0</v>
      </c>
      <c r="CR23" s="70">
        <v>0</v>
      </c>
      <c r="CS23" s="70">
        <v>0</v>
      </c>
      <c r="CT23" s="70">
        <v>0</v>
      </c>
      <c r="CU23" s="70">
        <v>0</v>
      </c>
      <c r="CV23" s="70">
        <v>0</v>
      </c>
      <c r="CW23" s="70">
        <v>0</v>
      </c>
      <c r="CX23" s="70">
        <v>0</v>
      </c>
      <c r="CY23" s="70">
        <v>0</v>
      </c>
      <c r="CZ23" s="70">
        <v>0</v>
      </c>
      <c r="DA23" s="70">
        <v>0</v>
      </c>
      <c r="DB23" s="70">
        <v>0</v>
      </c>
      <c r="DC23" s="70">
        <v>0</v>
      </c>
      <c r="DD23" s="70">
        <v>0</v>
      </c>
      <c r="DE23" s="70">
        <v>0</v>
      </c>
      <c r="DF23" s="70">
        <v>0</v>
      </c>
      <c r="DG23" s="70">
        <v>0</v>
      </c>
      <c r="DH23" s="70">
        <v>0</v>
      </c>
      <c r="DI23" s="70">
        <v>9.9999999999999995E-7</v>
      </c>
      <c r="DJ23" s="70">
        <v>0</v>
      </c>
      <c r="DK23" s="70">
        <v>0</v>
      </c>
      <c r="DL23" s="70">
        <v>0</v>
      </c>
      <c r="DM23" s="70">
        <v>0</v>
      </c>
      <c r="DN23" s="70">
        <v>9.9999999999999995E-7</v>
      </c>
      <c r="DO23" s="70">
        <v>0</v>
      </c>
      <c r="DP23" s="70">
        <v>0</v>
      </c>
      <c r="DQ23" s="70">
        <v>1.9999999999999999E-6</v>
      </c>
      <c r="DR23" s="70">
        <v>9.9999999999999995E-7</v>
      </c>
      <c r="DS23" s="70">
        <v>9.9999999999999995E-7</v>
      </c>
      <c r="DT23" s="70">
        <v>1.9999999999999999E-6</v>
      </c>
      <c r="DU23" s="70">
        <v>9.9999999999999995E-7</v>
      </c>
      <c r="DV23" s="70">
        <v>0</v>
      </c>
      <c r="DW23" s="70">
        <v>0</v>
      </c>
      <c r="DX23" s="70">
        <v>9.9999999999999995E-7</v>
      </c>
      <c r="DY23" s="70">
        <v>0</v>
      </c>
      <c r="DZ23" s="70">
        <v>0</v>
      </c>
      <c r="EA23" s="70">
        <v>0</v>
      </c>
      <c r="EB23" s="70">
        <v>0</v>
      </c>
      <c r="EC23" s="70">
        <v>0</v>
      </c>
      <c r="ED23" s="70">
        <v>0</v>
      </c>
      <c r="EE23" s="70">
        <v>0</v>
      </c>
      <c r="EF23" s="70">
        <v>0</v>
      </c>
      <c r="EG23" s="70">
        <v>0</v>
      </c>
      <c r="EH23" s="70">
        <v>0</v>
      </c>
      <c r="EI23" s="70">
        <v>0</v>
      </c>
      <c r="EJ23" s="70">
        <v>0</v>
      </c>
      <c r="EK23" s="70">
        <v>0</v>
      </c>
      <c r="EL23" s="70">
        <v>9.9999999999999995E-7</v>
      </c>
      <c r="EM23" s="70">
        <v>0</v>
      </c>
      <c r="EN23" s="70">
        <v>0</v>
      </c>
      <c r="EO23" s="70">
        <v>9.9999999999999995E-7</v>
      </c>
      <c r="EP23" s="70">
        <v>0</v>
      </c>
      <c r="EQ23" s="70">
        <v>0</v>
      </c>
      <c r="ER23" s="70">
        <v>0</v>
      </c>
      <c r="ES23" s="70">
        <v>0</v>
      </c>
      <c r="ET23" s="70">
        <v>0</v>
      </c>
      <c r="EU23" s="70">
        <v>0</v>
      </c>
      <c r="EV23" s="70">
        <v>0</v>
      </c>
      <c r="EW23" s="70">
        <v>0</v>
      </c>
      <c r="EX23" s="70">
        <v>0</v>
      </c>
      <c r="EY23" s="70">
        <v>0</v>
      </c>
      <c r="EZ23" s="70">
        <v>0</v>
      </c>
      <c r="FA23" s="70">
        <v>0</v>
      </c>
      <c r="FB23" s="70">
        <v>0</v>
      </c>
      <c r="FC23" s="70">
        <v>9.9999999999999995E-7</v>
      </c>
      <c r="FD23" s="70">
        <v>0</v>
      </c>
      <c r="FE23" s="70">
        <v>0</v>
      </c>
      <c r="FF23" s="70">
        <v>0</v>
      </c>
      <c r="FG23" s="70">
        <v>0</v>
      </c>
      <c r="FH23" s="70">
        <v>0</v>
      </c>
      <c r="FI23" s="70">
        <v>0</v>
      </c>
      <c r="FJ23" s="70">
        <v>0</v>
      </c>
      <c r="FK23" s="70">
        <v>0</v>
      </c>
      <c r="FL23" s="70">
        <v>0</v>
      </c>
      <c r="FM23" s="70">
        <v>0</v>
      </c>
      <c r="FN23" s="70">
        <v>0</v>
      </c>
      <c r="FO23" s="70">
        <v>0</v>
      </c>
      <c r="FP23" s="70">
        <v>0</v>
      </c>
      <c r="FQ23" s="70">
        <v>0</v>
      </c>
      <c r="FR23" s="70">
        <v>0</v>
      </c>
      <c r="FS23" s="70">
        <v>0</v>
      </c>
      <c r="FT23" s="70">
        <v>0</v>
      </c>
      <c r="FU23" s="70">
        <v>0</v>
      </c>
      <c r="FV23" s="70">
        <v>0</v>
      </c>
      <c r="FW23" s="70">
        <v>0</v>
      </c>
      <c r="FX23" s="70">
        <v>0</v>
      </c>
      <c r="FY23" s="70">
        <v>0</v>
      </c>
      <c r="FZ23" s="70">
        <v>0</v>
      </c>
      <c r="GA23" s="70">
        <v>0</v>
      </c>
      <c r="GB23" s="70">
        <v>0</v>
      </c>
      <c r="GC23" s="70">
        <v>0</v>
      </c>
      <c r="GD23" s="70">
        <v>0</v>
      </c>
      <c r="GE23" s="70">
        <v>0</v>
      </c>
      <c r="GF23" s="70">
        <v>0</v>
      </c>
      <c r="GG23" s="70">
        <v>7.8200000000000003E-4</v>
      </c>
      <c r="GH23" s="70">
        <v>5.6899999999999995E-4</v>
      </c>
      <c r="GI23" s="70">
        <v>0</v>
      </c>
      <c r="GJ23" s="70">
        <v>0</v>
      </c>
      <c r="GK23" s="70">
        <v>0</v>
      </c>
      <c r="GL23" s="70">
        <v>0</v>
      </c>
      <c r="GM23" s="70">
        <v>0</v>
      </c>
      <c r="GN23" s="70">
        <v>0</v>
      </c>
      <c r="GO23" s="70">
        <v>0</v>
      </c>
      <c r="GP23" s="70">
        <v>0</v>
      </c>
      <c r="GQ23" s="70">
        <v>0</v>
      </c>
      <c r="GR23" s="70">
        <v>0</v>
      </c>
      <c r="GS23" s="70">
        <v>0</v>
      </c>
      <c r="GT23" s="70">
        <v>0</v>
      </c>
      <c r="GU23" s="70">
        <v>0</v>
      </c>
      <c r="GV23" s="70">
        <v>0</v>
      </c>
      <c r="GW23" s="70">
        <v>0</v>
      </c>
      <c r="GX23" s="70">
        <v>0</v>
      </c>
      <c r="GY23" s="70">
        <v>0</v>
      </c>
      <c r="GZ23" s="70">
        <v>0</v>
      </c>
      <c r="HA23" s="70">
        <v>9.9999999999999995E-7</v>
      </c>
      <c r="HB23" s="70">
        <v>0</v>
      </c>
      <c r="HC23" s="70">
        <v>0</v>
      </c>
      <c r="HD23" s="70">
        <v>0</v>
      </c>
      <c r="HE23" s="70">
        <v>0</v>
      </c>
      <c r="HF23" s="70">
        <v>0</v>
      </c>
      <c r="HG23" s="70">
        <v>0</v>
      </c>
      <c r="HH23" s="70">
        <v>0</v>
      </c>
      <c r="HI23" s="70">
        <v>9.9999999999999995E-7</v>
      </c>
      <c r="HJ23" s="70">
        <v>9.9999999999999995E-7</v>
      </c>
      <c r="HK23" s="70">
        <v>0</v>
      </c>
      <c r="HL23" s="70">
        <v>0</v>
      </c>
      <c r="HM23" s="70">
        <v>0</v>
      </c>
      <c r="HN23" s="70">
        <v>9.9999999999999995E-7</v>
      </c>
      <c r="HO23" s="70">
        <v>9.9999999999999995E-7</v>
      </c>
      <c r="HP23" s="70">
        <v>1.9999999999999999E-6</v>
      </c>
      <c r="HQ23" s="70">
        <v>0</v>
      </c>
      <c r="HR23" s="70">
        <v>9.9999999999999995E-7</v>
      </c>
      <c r="HS23" s="70">
        <v>0</v>
      </c>
      <c r="HT23" s="70">
        <v>9.9999999999999995E-7</v>
      </c>
      <c r="HU23" s="70">
        <v>1.9999999999999999E-6</v>
      </c>
      <c r="HV23" s="70">
        <v>0</v>
      </c>
      <c r="HW23" s="70">
        <v>0</v>
      </c>
      <c r="HX23" s="70">
        <v>0</v>
      </c>
      <c r="HY23" s="70">
        <v>9.9999999999999995E-7</v>
      </c>
      <c r="HZ23" s="70"/>
      <c r="IA23" s="70"/>
      <c r="IB23" s="70"/>
      <c r="IC23" s="70"/>
      <c r="ID23" s="70"/>
      <c r="IE23" s="70"/>
      <c r="IF23" s="70"/>
      <c r="IG23" s="70"/>
      <c r="IH23" s="70"/>
      <c r="II23" s="70"/>
      <c r="IJ23" s="70"/>
      <c r="IK23" s="70"/>
      <c r="IL23" s="70"/>
      <c r="IM23" s="70"/>
      <c r="IN23" s="70"/>
      <c r="IO23" s="70"/>
      <c r="IP23" s="70"/>
      <c r="IQ23" s="70"/>
      <c r="IR23" s="70"/>
      <c r="IS23" s="70"/>
      <c r="IT23" s="70"/>
      <c r="IU23" s="70"/>
      <c r="IV23" s="70"/>
      <c r="IW23" s="70"/>
      <c r="IX23" s="70"/>
      <c r="IY23" s="70"/>
      <c r="IZ23" s="70"/>
      <c r="JA23" s="70"/>
      <c r="JB23" s="70"/>
      <c r="JC23" s="70"/>
      <c r="JD23" s="70"/>
      <c r="JE23" s="70"/>
      <c r="JF23" s="70"/>
      <c r="JG23" s="70"/>
      <c r="JH23" s="70"/>
      <c r="JI23" s="70"/>
      <c r="JJ23" s="70"/>
      <c r="JK23" s="70"/>
      <c r="JL23" s="70"/>
      <c r="JM23" s="70"/>
      <c r="JN23" s="70"/>
      <c r="JO23" s="70"/>
      <c r="JP23" s="70"/>
      <c r="JQ23" s="70"/>
    </row>
    <row r="24" spans="1:277">
      <c r="A24" s="65" t="s">
        <v>116</v>
      </c>
      <c r="B24" s="66" t="s">
        <v>30</v>
      </c>
      <c r="C24" s="67">
        <v>3.9999999999999998E-6</v>
      </c>
      <c r="D24" s="67">
        <v>0</v>
      </c>
      <c r="E24" s="67">
        <v>4.06E-4</v>
      </c>
      <c r="F24" s="67">
        <v>2.1930000000000001E-3</v>
      </c>
      <c r="G24" s="67">
        <v>4.9899999999999999E-4</v>
      </c>
      <c r="H24" s="67">
        <v>0</v>
      </c>
      <c r="I24" s="67">
        <v>0</v>
      </c>
      <c r="J24" s="67">
        <v>5.1628E-2</v>
      </c>
      <c r="K24" s="67">
        <v>2.1651E-2</v>
      </c>
      <c r="L24" s="67">
        <v>8.3582000000000004E-2</v>
      </c>
      <c r="M24" s="67">
        <v>4.1293000000000003E-2</v>
      </c>
      <c r="N24" s="67">
        <v>2.5103E-2</v>
      </c>
      <c r="O24" s="67">
        <v>1.0867E-2</v>
      </c>
      <c r="P24" s="67">
        <v>3.3966999999999997E-2</v>
      </c>
      <c r="Q24" s="67">
        <v>3.9198999999999998E-2</v>
      </c>
      <c r="R24" s="67">
        <v>4.9196999999999998E-2</v>
      </c>
      <c r="S24" s="67">
        <v>0.14930499999999999</v>
      </c>
      <c r="T24" s="67">
        <v>6.5393999999999994E-2</v>
      </c>
      <c r="U24" s="67">
        <v>9.7079999999999996E-3</v>
      </c>
      <c r="V24" s="67">
        <v>7.0590000000000002E-3</v>
      </c>
      <c r="W24" s="67">
        <v>0.103934</v>
      </c>
      <c r="X24" s="67">
        <v>2.0000000000000002E-5</v>
      </c>
      <c r="Y24" s="67">
        <v>0</v>
      </c>
      <c r="Z24" s="67">
        <v>1.9000000000000001E-5</v>
      </c>
      <c r="AA24" s="67">
        <v>2.8E-5</v>
      </c>
      <c r="AB24" s="67">
        <v>2.0000000000000002E-5</v>
      </c>
      <c r="AC24" s="67">
        <v>6.0999999999999999E-5</v>
      </c>
      <c r="AD24" s="67">
        <v>2.3E-5</v>
      </c>
      <c r="AE24" s="67">
        <v>1.2E-5</v>
      </c>
      <c r="AF24" s="67">
        <v>1.5999999999999999E-5</v>
      </c>
      <c r="AG24" s="67">
        <v>5.5999999999999999E-5</v>
      </c>
      <c r="AH24" s="67">
        <v>2.9E-5</v>
      </c>
      <c r="AI24" s="67">
        <v>1.5E-5</v>
      </c>
      <c r="AJ24" s="67">
        <v>2.1999999999999999E-5</v>
      </c>
      <c r="AK24" s="67">
        <v>1.8E-5</v>
      </c>
      <c r="AL24" s="67">
        <v>1.5999999999999999E-5</v>
      </c>
      <c r="AM24" s="67">
        <v>9.0000000000000002E-6</v>
      </c>
      <c r="AN24" s="67">
        <v>5.8999999999999998E-5</v>
      </c>
      <c r="AO24" s="67">
        <v>2.1999999999999999E-5</v>
      </c>
      <c r="AP24" s="67">
        <v>9.9999999999999995E-7</v>
      </c>
      <c r="AQ24" s="67">
        <v>9.9999999999999995E-7</v>
      </c>
      <c r="AR24" s="67">
        <v>2.4000000000000001E-5</v>
      </c>
      <c r="AS24" s="67">
        <v>7.9999999999999996E-6</v>
      </c>
      <c r="AT24" s="67">
        <v>0</v>
      </c>
      <c r="AU24" s="67">
        <v>3.1999999999999999E-5</v>
      </c>
      <c r="AV24" s="67">
        <v>1.8E-5</v>
      </c>
      <c r="AW24" s="67">
        <v>1.7E-5</v>
      </c>
      <c r="AX24" s="67">
        <v>1.5799999999999999E-4</v>
      </c>
      <c r="AY24" s="67">
        <v>2.5000000000000001E-5</v>
      </c>
      <c r="AZ24" s="67">
        <v>1.9000000000000001E-5</v>
      </c>
      <c r="BA24" s="67">
        <v>1.5999999999999999E-5</v>
      </c>
      <c r="BB24" s="67">
        <v>8.7000000000000001E-5</v>
      </c>
      <c r="BC24" s="67">
        <v>5.7000000000000003E-5</v>
      </c>
      <c r="BD24" s="67">
        <v>1.8E-5</v>
      </c>
      <c r="BE24" s="67">
        <v>2.1999999999999999E-5</v>
      </c>
      <c r="BF24" s="67">
        <v>3.1000000000000001E-5</v>
      </c>
      <c r="BG24" s="67">
        <v>2.4000000000000001E-5</v>
      </c>
      <c r="BH24" s="67">
        <v>3.1999999999999999E-5</v>
      </c>
      <c r="BI24" s="67">
        <v>1.83E-4</v>
      </c>
      <c r="BJ24" s="67">
        <v>4.6999999999999997E-5</v>
      </c>
      <c r="BK24" s="67">
        <v>5.0000000000000004E-6</v>
      </c>
      <c r="BL24" s="67">
        <v>3.9999999999999998E-6</v>
      </c>
      <c r="BM24" s="67">
        <v>5.3000000000000001E-5</v>
      </c>
      <c r="BN24" s="67">
        <v>5.0000000000000004E-6</v>
      </c>
      <c r="BO24" s="67">
        <v>0</v>
      </c>
      <c r="BP24" s="67">
        <v>1.4E-5</v>
      </c>
      <c r="BQ24" s="67">
        <v>1.7E-5</v>
      </c>
      <c r="BR24" s="67">
        <v>1.8E-5</v>
      </c>
      <c r="BS24" s="67">
        <v>5.0000000000000002E-5</v>
      </c>
      <c r="BT24" s="67">
        <v>2.1999999999999999E-5</v>
      </c>
      <c r="BU24" s="67">
        <v>1.0000000000000001E-5</v>
      </c>
      <c r="BV24" s="67">
        <v>2.0000000000000002E-5</v>
      </c>
      <c r="BW24" s="67">
        <v>5.0000000000000002E-5</v>
      </c>
      <c r="BX24" s="67">
        <v>3.4999999999999997E-5</v>
      </c>
      <c r="BY24" s="67">
        <v>1.7E-5</v>
      </c>
      <c r="BZ24" s="67">
        <v>5.7000000000000003E-5</v>
      </c>
      <c r="CA24" s="67">
        <v>5.7000000000000003E-5</v>
      </c>
      <c r="CB24" s="67">
        <v>1.9000000000000001E-5</v>
      </c>
      <c r="CC24" s="67">
        <v>1.8E-5</v>
      </c>
      <c r="CD24" s="67">
        <v>8.6000000000000003E-5</v>
      </c>
      <c r="CE24" s="67">
        <v>1.0000000000000001E-5</v>
      </c>
      <c r="CF24" s="67">
        <v>6.0000000000000002E-6</v>
      </c>
      <c r="CG24" s="67">
        <v>3.9999999999999998E-6</v>
      </c>
      <c r="CH24" s="67">
        <v>4.8999999999999998E-5</v>
      </c>
      <c r="CI24" s="67">
        <v>1.9999999999999999E-6</v>
      </c>
      <c r="CJ24" s="67">
        <v>0</v>
      </c>
      <c r="CK24" s="67">
        <v>9.0000000000000002E-6</v>
      </c>
      <c r="CL24" s="67">
        <v>1.2E-5</v>
      </c>
      <c r="CM24" s="67">
        <v>1.2E-5</v>
      </c>
      <c r="CN24" s="67">
        <v>3.4999999999999997E-5</v>
      </c>
      <c r="CO24" s="67">
        <v>1.0000000000000001E-5</v>
      </c>
      <c r="CP24" s="67">
        <v>1.4E-5</v>
      </c>
      <c r="CQ24" s="67">
        <v>1.2999999999999999E-5</v>
      </c>
      <c r="CR24" s="67">
        <v>2.6999999999999999E-5</v>
      </c>
      <c r="CS24" s="67">
        <v>3.1999999999999999E-5</v>
      </c>
      <c r="CT24" s="67">
        <v>1.0000000000000001E-5</v>
      </c>
      <c r="CU24" s="67">
        <v>2.0999999999999999E-5</v>
      </c>
      <c r="CV24" s="67">
        <v>3.3000000000000003E-5</v>
      </c>
      <c r="CW24" s="67">
        <v>7.9999999999999996E-6</v>
      </c>
      <c r="CX24" s="67">
        <v>2.0000000000000002E-5</v>
      </c>
      <c r="CY24" s="67">
        <v>6.7999999999999999E-5</v>
      </c>
      <c r="CZ24" s="67">
        <v>3.8000000000000002E-5</v>
      </c>
      <c r="DA24" s="67">
        <v>7.9999999999999996E-6</v>
      </c>
      <c r="DB24" s="67">
        <v>6.0000000000000002E-6</v>
      </c>
      <c r="DC24" s="67">
        <v>3.8999999999999999E-5</v>
      </c>
      <c r="DD24" s="67">
        <v>1.9999999999999999E-6</v>
      </c>
      <c r="DE24" s="67">
        <v>0</v>
      </c>
      <c r="DF24" s="67">
        <v>9.9999999999999995E-7</v>
      </c>
      <c r="DG24" s="67">
        <v>3.9999999999999998E-6</v>
      </c>
      <c r="DH24" s="67">
        <v>1.0000000000000001E-5</v>
      </c>
      <c r="DI24" s="67">
        <v>1.1E-5</v>
      </c>
      <c r="DJ24" s="67">
        <v>6.0000000000000002E-6</v>
      </c>
      <c r="DK24" s="67">
        <v>3.9999999999999998E-6</v>
      </c>
      <c r="DL24" s="67">
        <v>6.0000000000000002E-6</v>
      </c>
      <c r="DM24" s="67">
        <v>1.4E-5</v>
      </c>
      <c r="DN24" s="67">
        <v>3.8000000000000002E-5</v>
      </c>
      <c r="DO24" s="67">
        <v>5.0000000000000004E-6</v>
      </c>
      <c r="DP24" s="67">
        <v>3.0000000000000001E-6</v>
      </c>
      <c r="DQ24" s="67">
        <v>3.0000000000000001E-6</v>
      </c>
      <c r="DR24" s="67">
        <v>6.0000000000000002E-6</v>
      </c>
      <c r="DS24" s="67">
        <v>6.9999999999999999E-6</v>
      </c>
      <c r="DT24" s="67">
        <v>3.4E-5</v>
      </c>
      <c r="DU24" s="67">
        <v>3.9999999999999998E-6</v>
      </c>
      <c r="DV24" s="67">
        <v>9.9999999999999995E-7</v>
      </c>
      <c r="DW24" s="67">
        <v>9.9999999999999995E-7</v>
      </c>
      <c r="DX24" s="67">
        <v>3.9999999999999998E-6</v>
      </c>
      <c r="DY24" s="67">
        <v>6.0000000000000002E-6</v>
      </c>
      <c r="DZ24" s="67">
        <v>0</v>
      </c>
      <c r="EA24" s="67">
        <v>1.5999999999999999E-5</v>
      </c>
      <c r="EB24" s="67">
        <v>1.9000000000000001E-5</v>
      </c>
      <c r="EC24" s="67">
        <v>1.7E-5</v>
      </c>
      <c r="ED24" s="67">
        <v>4.6E-5</v>
      </c>
      <c r="EE24" s="67">
        <v>1.8E-5</v>
      </c>
      <c r="EF24" s="67">
        <v>1.5E-5</v>
      </c>
      <c r="EG24" s="67">
        <v>1.8E-5</v>
      </c>
      <c r="EH24" s="67">
        <v>5.1E-5</v>
      </c>
      <c r="EI24" s="67">
        <v>6.2000000000000003E-5</v>
      </c>
      <c r="EJ24" s="67">
        <v>2.0000000000000002E-5</v>
      </c>
      <c r="EK24" s="67">
        <v>6.4999999999999994E-5</v>
      </c>
      <c r="EL24" s="67">
        <v>5.8E-5</v>
      </c>
      <c r="EM24" s="67">
        <v>2.6999999999999999E-5</v>
      </c>
      <c r="EN24" s="67">
        <v>3.8000000000000002E-5</v>
      </c>
      <c r="EO24" s="67">
        <v>1.44E-4</v>
      </c>
      <c r="EP24" s="67">
        <v>6.3E-5</v>
      </c>
      <c r="EQ24" s="67">
        <v>7.9999999999999996E-6</v>
      </c>
      <c r="ER24" s="67">
        <v>6.0000000000000002E-6</v>
      </c>
      <c r="ES24" s="67">
        <v>4.5000000000000003E-5</v>
      </c>
      <c r="ET24" s="67">
        <v>9.9999999999999995E-7</v>
      </c>
      <c r="EU24" s="67">
        <v>0</v>
      </c>
      <c r="EV24" s="67">
        <v>5.0000000000000004E-6</v>
      </c>
      <c r="EW24" s="67">
        <v>3.9999999999999998E-6</v>
      </c>
      <c r="EX24" s="67">
        <v>1.0000000000000001E-5</v>
      </c>
      <c r="EY24" s="67">
        <v>1.9000000000000001E-5</v>
      </c>
      <c r="EZ24" s="67">
        <v>3.8999999999999999E-5</v>
      </c>
      <c r="FA24" s="67">
        <v>1.9999999999999999E-6</v>
      </c>
      <c r="FB24" s="67">
        <v>1.0000000000000001E-5</v>
      </c>
      <c r="FC24" s="67">
        <v>3.0000000000000001E-6</v>
      </c>
      <c r="FD24" s="67">
        <v>7.9999999999999996E-6</v>
      </c>
      <c r="FE24" s="67">
        <v>1.4E-5</v>
      </c>
      <c r="FF24" s="67">
        <v>2.5999999999999998E-5</v>
      </c>
      <c r="FG24" s="67">
        <v>2.0000000000000002E-5</v>
      </c>
      <c r="FH24" s="67">
        <v>5.5999999999999999E-5</v>
      </c>
      <c r="FI24" s="67">
        <v>9.0000000000000002E-6</v>
      </c>
      <c r="FJ24" s="67">
        <v>1.1400000000000001E-4</v>
      </c>
      <c r="FK24" s="67">
        <v>3.8000000000000002E-5</v>
      </c>
      <c r="FL24" s="67">
        <v>3.0000000000000001E-6</v>
      </c>
      <c r="FM24" s="67">
        <v>1.9999999999999999E-6</v>
      </c>
      <c r="FN24" s="67">
        <v>1.9000000000000001E-5</v>
      </c>
      <c r="FO24" s="67">
        <v>1.7200000000000001E-4</v>
      </c>
      <c r="FP24" s="67">
        <v>0</v>
      </c>
      <c r="FQ24" s="67">
        <v>2.9399999999999999E-4</v>
      </c>
      <c r="FR24" s="67">
        <v>2.3000000000000001E-4</v>
      </c>
      <c r="FS24" s="67">
        <v>1.15E-4</v>
      </c>
      <c r="FT24" s="67">
        <v>2.5799999999999998E-4</v>
      </c>
      <c r="FU24" s="67">
        <v>9.3999999999999994E-5</v>
      </c>
      <c r="FV24" s="67">
        <v>9.5000000000000005E-5</v>
      </c>
      <c r="FW24" s="67">
        <v>1.3300000000000001E-4</v>
      </c>
      <c r="FX24" s="67">
        <v>1.47E-4</v>
      </c>
      <c r="FY24" s="67">
        <v>1.93E-4</v>
      </c>
      <c r="FZ24" s="67">
        <v>1.2999999999999999E-4</v>
      </c>
      <c r="GA24" s="67">
        <v>2.31E-4</v>
      </c>
      <c r="GB24" s="67">
        <v>5.8900000000000001E-4</v>
      </c>
      <c r="GC24" s="67">
        <v>6.5399999999999996E-4</v>
      </c>
      <c r="GD24" s="67">
        <v>1.02E-4</v>
      </c>
      <c r="GE24" s="67">
        <v>2.5920000000000001E-3</v>
      </c>
      <c r="GF24" s="67">
        <v>9.7199999999999999E-4</v>
      </c>
      <c r="GG24" s="67">
        <v>1.5809999999999999E-3</v>
      </c>
      <c r="GH24" s="67">
        <v>1.1490000000000001E-3</v>
      </c>
      <c r="GI24" s="67">
        <v>4.0999999999999999E-4</v>
      </c>
      <c r="GJ24" s="67">
        <v>3.9999999999999998E-6</v>
      </c>
      <c r="GK24" s="67">
        <v>0</v>
      </c>
      <c r="GL24" s="67">
        <v>4.3999999999999999E-5</v>
      </c>
      <c r="GM24" s="67">
        <v>2.1999999999999999E-5</v>
      </c>
      <c r="GN24" s="67">
        <v>2.5000000000000001E-5</v>
      </c>
      <c r="GO24" s="67">
        <v>1.2E-4</v>
      </c>
      <c r="GP24" s="67">
        <v>2.3E-5</v>
      </c>
      <c r="GQ24" s="67">
        <v>1.9000000000000001E-5</v>
      </c>
      <c r="GR24" s="67">
        <v>1.4E-5</v>
      </c>
      <c r="GS24" s="67">
        <v>1.1400000000000001E-4</v>
      </c>
      <c r="GT24" s="67">
        <v>6.0999999999999999E-5</v>
      </c>
      <c r="GU24" s="67">
        <v>7.1000000000000005E-5</v>
      </c>
      <c r="GV24" s="67">
        <v>6.9999999999999999E-6</v>
      </c>
      <c r="GW24" s="67">
        <v>7.7999999999999999E-5</v>
      </c>
      <c r="GX24" s="67">
        <v>1.8E-5</v>
      </c>
      <c r="GY24" s="67">
        <v>3.4E-5</v>
      </c>
      <c r="GZ24" s="67">
        <v>6.3599999999999996E-4</v>
      </c>
      <c r="HA24" s="67">
        <v>8.1000000000000004E-5</v>
      </c>
      <c r="HB24" s="67">
        <v>1.9999999999999999E-6</v>
      </c>
      <c r="HC24" s="67">
        <v>1.9999999999999999E-6</v>
      </c>
      <c r="HD24" s="67">
        <v>1.06E-4</v>
      </c>
      <c r="HE24" s="67">
        <v>1.8E-5</v>
      </c>
      <c r="HF24" s="67">
        <v>0</v>
      </c>
      <c r="HG24" s="67">
        <v>3.8999999999999999E-5</v>
      </c>
      <c r="HH24" s="67">
        <v>1.2E-5</v>
      </c>
      <c r="HI24" s="67">
        <v>2.4000000000000001E-5</v>
      </c>
      <c r="HJ24" s="67">
        <v>1.5799999999999999E-4</v>
      </c>
      <c r="HK24" s="67">
        <v>2.4000000000000001E-5</v>
      </c>
      <c r="HL24" s="67">
        <v>1.5E-5</v>
      </c>
      <c r="HM24" s="67">
        <v>2.4000000000000001E-5</v>
      </c>
      <c r="HN24" s="67">
        <v>7.3999999999999996E-5</v>
      </c>
      <c r="HO24" s="67">
        <v>7.3999999999999996E-5</v>
      </c>
      <c r="HP24" s="67">
        <v>3.6000000000000001E-5</v>
      </c>
      <c r="HQ24" s="67">
        <v>5.1999999999999997E-5</v>
      </c>
      <c r="HR24" s="67">
        <v>5.8E-5</v>
      </c>
      <c r="HS24" s="67">
        <v>3.4E-5</v>
      </c>
      <c r="HT24" s="67">
        <v>4.3999999999999999E-5</v>
      </c>
      <c r="HU24" s="67">
        <v>1.34E-4</v>
      </c>
      <c r="HV24" s="67">
        <v>7.4999999999999993E-5</v>
      </c>
      <c r="HW24" s="67">
        <v>1.0000000000000001E-5</v>
      </c>
      <c r="HX24" s="67">
        <v>6.9999999999999999E-6</v>
      </c>
      <c r="HY24" s="67">
        <v>6.7000000000000002E-5</v>
      </c>
      <c r="HZ24" s="67"/>
      <c r="IA24" s="67"/>
      <c r="IB24" s="67"/>
      <c r="IC24" s="67"/>
      <c r="ID24" s="67"/>
      <c r="IE24" s="67"/>
      <c r="IF24" s="67"/>
      <c r="IG24" s="67"/>
      <c r="IH24" s="67"/>
      <c r="II24" s="67"/>
      <c r="IJ24" s="67"/>
      <c r="IK24" s="67"/>
      <c r="IL24" s="67"/>
      <c r="IM24" s="67"/>
      <c r="IN24" s="67"/>
      <c r="IO24" s="67"/>
      <c r="IP24" s="67"/>
      <c r="IQ24" s="67"/>
      <c r="IR24" s="67"/>
      <c r="IS24" s="67"/>
      <c r="IT24" s="67"/>
      <c r="IU24" s="67"/>
      <c r="IV24" s="67"/>
      <c r="IW24" s="67"/>
      <c r="IX24" s="67"/>
      <c r="IY24" s="67"/>
      <c r="IZ24" s="67"/>
      <c r="JA24" s="67"/>
      <c r="JB24" s="67"/>
      <c r="JC24" s="67"/>
      <c r="JD24" s="67"/>
      <c r="JE24" s="67"/>
      <c r="JF24" s="67"/>
      <c r="JG24" s="67"/>
      <c r="JH24" s="67"/>
      <c r="JI24" s="67"/>
      <c r="JJ24" s="67"/>
      <c r="JK24" s="67"/>
      <c r="JL24" s="67"/>
      <c r="JM24" s="67"/>
      <c r="JN24" s="67"/>
      <c r="JO24" s="67"/>
      <c r="JP24" s="67"/>
      <c r="JQ24" s="67"/>
    </row>
    <row r="25" spans="1:277" s="230" customFormat="1">
      <c r="A25" s="330"/>
      <c r="B25" s="331"/>
      <c r="C25" s="332"/>
      <c r="D25" s="332"/>
      <c r="E25" s="332"/>
      <c r="F25" s="332"/>
      <c r="G25" s="332"/>
      <c r="H25" s="332"/>
      <c r="I25" s="332"/>
      <c r="J25" s="332"/>
      <c r="K25" s="332"/>
      <c r="L25" s="332"/>
      <c r="M25" s="332"/>
      <c r="N25" s="332"/>
      <c r="O25" s="332"/>
      <c r="P25" s="332"/>
      <c r="Q25" s="332"/>
      <c r="R25" s="332"/>
      <c r="S25" s="332"/>
      <c r="T25" s="332"/>
      <c r="U25" s="332"/>
      <c r="V25" s="332"/>
      <c r="W25" s="332"/>
      <c r="X25" s="332"/>
      <c r="Y25" s="332"/>
      <c r="Z25" s="332"/>
      <c r="AA25" s="332"/>
      <c r="AB25" s="332"/>
      <c r="AC25" s="332"/>
      <c r="AD25" s="332"/>
      <c r="AE25" s="332"/>
      <c r="AF25" s="332"/>
      <c r="AG25" s="332"/>
      <c r="AH25" s="332"/>
      <c r="AI25" s="332"/>
      <c r="AJ25" s="332"/>
      <c r="AK25" s="332"/>
      <c r="AL25" s="332"/>
      <c r="AM25" s="332"/>
      <c r="AN25" s="332"/>
      <c r="AO25" s="332"/>
      <c r="AP25" s="332"/>
      <c r="AQ25" s="332"/>
      <c r="AR25" s="332"/>
      <c r="AS25" s="332"/>
      <c r="AT25" s="332"/>
      <c r="AU25" s="332"/>
      <c r="AV25" s="332"/>
      <c r="AW25" s="332"/>
      <c r="AX25" s="332"/>
      <c r="AY25" s="332"/>
      <c r="AZ25" s="332"/>
      <c r="BA25" s="332"/>
      <c r="BB25" s="332"/>
      <c r="BC25" s="332"/>
      <c r="BD25" s="332"/>
      <c r="BE25" s="332"/>
      <c r="BF25" s="332"/>
      <c r="BG25" s="332"/>
      <c r="BH25" s="332"/>
      <c r="BI25" s="332"/>
      <c r="BJ25" s="332"/>
      <c r="BK25" s="332"/>
      <c r="BL25" s="332"/>
      <c r="BM25" s="332"/>
      <c r="BN25" s="332"/>
      <c r="BO25" s="332"/>
      <c r="BP25" s="332"/>
      <c r="BQ25" s="332"/>
      <c r="BR25" s="332"/>
      <c r="BS25" s="332"/>
      <c r="BT25" s="332"/>
      <c r="BU25" s="332"/>
      <c r="BV25" s="332"/>
      <c r="BW25" s="332"/>
      <c r="BX25" s="332"/>
      <c r="BY25" s="332"/>
      <c r="BZ25" s="332"/>
      <c r="CA25" s="332"/>
      <c r="CB25" s="332"/>
      <c r="CC25" s="332"/>
      <c r="CD25" s="332"/>
      <c r="CE25" s="332"/>
      <c r="CF25" s="332"/>
      <c r="CG25" s="332"/>
      <c r="CH25" s="332"/>
      <c r="CI25" s="332"/>
      <c r="CJ25" s="332"/>
      <c r="CK25" s="332"/>
      <c r="CL25" s="332"/>
      <c r="CM25" s="332"/>
      <c r="CN25" s="332"/>
      <c r="CO25" s="332"/>
      <c r="CP25" s="332"/>
      <c r="CQ25" s="332"/>
      <c r="CR25" s="332"/>
      <c r="CS25" s="332"/>
      <c r="CT25" s="332"/>
      <c r="CU25" s="332"/>
      <c r="CV25" s="332"/>
      <c r="CW25" s="332"/>
      <c r="CX25" s="332"/>
      <c r="CY25" s="332"/>
      <c r="CZ25" s="332"/>
      <c r="DA25" s="332"/>
      <c r="DB25" s="332"/>
      <c r="DC25" s="332"/>
      <c r="DD25" s="332"/>
      <c r="DE25" s="332"/>
      <c r="DF25" s="332"/>
      <c r="DG25" s="332"/>
      <c r="DH25" s="332"/>
      <c r="DI25" s="332"/>
      <c r="DJ25" s="332"/>
      <c r="DK25" s="332"/>
      <c r="DL25" s="332"/>
      <c r="DM25" s="332"/>
      <c r="DN25" s="332"/>
      <c r="DO25" s="332"/>
      <c r="DP25" s="332"/>
      <c r="DQ25" s="332"/>
      <c r="DR25" s="332"/>
      <c r="DS25" s="332"/>
      <c r="DT25" s="332"/>
      <c r="DU25" s="332"/>
      <c r="DV25" s="332"/>
      <c r="DW25" s="332"/>
      <c r="DX25" s="332"/>
      <c r="DY25" s="332"/>
      <c r="DZ25" s="332"/>
      <c r="EA25" s="332"/>
      <c r="EB25" s="332"/>
      <c r="EC25" s="332"/>
      <c r="ED25" s="332"/>
      <c r="EE25" s="332"/>
      <c r="EF25" s="332"/>
      <c r="EG25" s="332"/>
      <c r="EH25" s="332"/>
      <c r="EI25" s="332"/>
      <c r="EJ25" s="332"/>
      <c r="EK25" s="332"/>
      <c r="EL25" s="332"/>
      <c r="EM25" s="332"/>
      <c r="EN25" s="332"/>
      <c r="EO25" s="332"/>
      <c r="EP25" s="332"/>
      <c r="EQ25" s="332"/>
      <c r="ER25" s="332"/>
      <c r="ES25" s="332"/>
      <c r="ET25" s="332"/>
      <c r="EU25" s="332"/>
      <c r="EV25" s="332"/>
      <c r="EW25" s="332"/>
      <c r="EX25" s="332"/>
      <c r="EY25" s="332"/>
      <c r="EZ25" s="332"/>
      <c r="FA25" s="332"/>
      <c r="FB25" s="332"/>
      <c r="FC25" s="332"/>
      <c r="FD25" s="332"/>
      <c r="FE25" s="332"/>
      <c r="FF25" s="332"/>
      <c r="FG25" s="332"/>
      <c r="FH25" s="332"/>
      <c r="FI25" s="332"/>
      <c r="FJ25" s="332"/>
      <c r="FK25" s="332"/>
      <c r="FL25" s="332"/>
      <c r="FM25" s="332"/>
      <c r="FN25" s="332"/>
      <c r="FO25" s="332"/>
      <c r="FP25" s="332"/>
      <c r="FQ25" s="332"/>
      <c r="FR25" s="332"/>
      <c r="FS25" s="332"/>
      <c r="FT25" s="332"/>
      <c r="FU25" s="332"/>
      <c r="FV25" s="332"/>
      <c r="FW25" s="332"/>
      <c r="FX25" s="332"/>
      <c r="FY25" s="332"/>
      <c r="FZ25" s="332"/>
      <c r="GA25" s="332"/>
      <c r="GB25" s="332"/>
      <c r="GC25" s="332"/>
      <c r="GD25" s="332"/>
      <c r="GE25" s="332"/>
      <c r="GF25" s="332"/>
      <c r="GG25" s="332"/>
      <c r="GH25" s="332"/>
      <c r="GI25" s="332"/>
      <c r="GJ25" s="332"/>
      <c r="GK25" s="332"/>
      <c r="GL25" s="332"/>
      <c r="GM25" s="332"/>
      <c r="GN25" s="332"/>
      <c r="GO25" s="332"/>
      <c r="GP25" s="332"/>
      <c r="GQ25" s="332"/>
      <c r="GR25" s="332"/>
      <c r="GS25" s="332"/>
      <c r="GT25" s="332"/>
      <c r="GU25" s="332"/>
      <c r="GV25" s="332"/>
      <c r="GW25" s="332"/>
      <c r="GX25" s="332"/>
      <c r="GY25" s="332"/>
      <c r="GZ25" s="332"/>
      <c r="HA25" s="332"/>
      <c r="HB25" s="332"/>
      <c r="HC25" s="332"/>
      <c r="HD25" s="332"/>
      <c r="HE25" s="332"/>
      <c r="HF25" s="332"/>
      <c r="HG25" s="332"/>
      <c r="HH25" s="332"/>
      <c r="HI25" s="332"/>
      <c r="HJ25" s="332"/>
      <c r="HK25" s="332"/>
      <c r="HL25" s="332"/>
      <c r="HM25" s="332"/>
      <c r="HN25" s="332"/>
      <c r="HO25" s="332"/>
      <c r="HP25" s="332"/>
      <c r="HQ25" s="332"/>
      <c r="HR25" s="332"/>
      <c r="HS25" s="332"/>
      <c r="HT25" s="332"/>
      <c r="HU25" s="332"/>
      <c r="HV25" s="332"/>
      <c r="HW25" s="332"/>
      <c r="HX25" s="332"/>
      <c r="HY25" s="332"/>
      <c r="HZ25" s="332"/>
      <c r="IA25" s="332"/>
      <c r="IB25" s="332"/>
      <c r="IC25" s="332"/>
      <c r="ID25" s="332"/>
      <c r="IE25" s="332"/>
      <c r="IF25" s="332"/>
      <c r="IG25" s="332"/>
      <c r="IH25" s="332"/>
      <c r="II25" s="332"/>
      <c r="IJ25" s="332"/>
      <c r="IK25" s="332"/>
      <c r="IL25" s="332"/>
      <c r="IM25" s="332"/>
      <c r="IN25" s="332"/>
      <c r="IO25" s="332"/>
      <c r="IP25" s="332"/>
      <c r="IQ25" s="332"/>
      <c r="IR25" s="332"/>
      <c r="IS25" s="332"/>
      <c r="IT25" s="332"/>
      <c r="IU25" s="332"/>
      <c r="IV25" s="332"/>
      <c r="IW25" s="332"/>
      <c r="IX25" s="332"/>
      <c r="IY25" s="332"/>
      <c r="IZ25" s="332"/>
      <c r="JA25" s="332"/>
      <c r="JB25" s="332"/>
      <c r="JC25" s="332"/>
      <c r="JD25" s="332"/>
      <c r="JE25" s="332"/>
      <c r="JF25" s="332"/>
      <c r="JG25" s="332"/>
      <c r="JH25" s="332"/>
      <c r="JI25" s="332"/>
      <c r="JJ25" s="332"/>
      <c r="JK25" s="332"/>
      <c r="JL25" s="332"/>
      <c r="JM25" s="332"/>
      <c r="JN25" s="332"/>
      <c r="JO25" s="332"/>
      <c r="JP25" s="332"/>
      <c r="JQ25" s="332"/>
    </row>
    <row r="26" spans="1:277" s="230" customFormat="1">
      <c r="A26" s="330"/>
      <c r="B26" s="331"/>
      <c r="C26" s="332"/>
      <c r="D26" s="332"/>
      <c r="E26" s="332"/>
      <c r="F26" s="332"/>
      <c r="G26" s="332"/>
      <c r="H26" s="332"/>
      <c r="I26" s="332"/>
      <c r="J26" s="332"/>
      <c r="K26" s="332"/>
      <c r="L26" s="332"/>
      <c r="M26" s="332"/>
      <c r="N26" s="332"/>
      <c r="O26" s="332"/>
      <c r="P26" s="332"/>
      <c r="Q26" s="332"/>
      <c r="R26" s="332"/>
      <c r="S26" s="332"/>
      <c r="T26" s="332"/>
      <c r="U26" s="332"/>
      <c r="V26" s="332"/>
      <c r="W26" s="332"/>
      <c r="X26" s="332"/>
      <c r="Y26" s="332"/>
      <c r="Z26" s="332"/>
      <c r="AA26" s="332"/>
      <c r="AB26" s="332"/>
      <c r="AC26" s="332"/>
      <c r="AD26" s="332"/>
      <c r="AE26" s="332"/>
      <c r="AF26" s="332"/>
      <c r="AG26" s="332"/>
      <c r="AH26" s="332"/>
      <c r="AI26" s="332"/>
      <c r="AJ26" s="332"/>
      <c r="AK26" s="332"/>
      <c r="AL26" s="332"/>
      <c r="AM26" s="332"/>
      <c r="AN26" s="332"/>
      <c r="AO26" s="332"/>
      <c r="AP26" s="332"/>
      <c r="AQ26" s="332"/>
      <c r="AR26" s="332"/>
      <c r="AS26" s="332"/>
      <c r="AT26" s="332"/>
      <c r="AU26" s="332"/>
      <c r="AV26" s="332"/>
      <c r="AW26" s="332"/>
      <c r="AX26" s="332"/>
      <c r="AY26" s="332"/>
      <c r="AZ26" s="332"/>
      <c r="BA26" s="332"/>
      <c r="BB26" s="332"/>
      <c r="BC26" s="332"/>
      <c r="BD26" s="332"/>
      <c r="BE26" s="332"/>
      <c r="BF26" s="332"/>
      <c r="BG26" s="332"/>
      <c r="BH26" s="332"/>
      <c r="BI26" s="332"/>
      <c r="BJ26" s="332"/>
      <c r="BK26" s="332"/>
      <c r="BL26" s="332"/>
      <c r="BM26" s="332"/>
      <c r="BN26" s="332"/>
      <c r="BO26" s="332"/>
      <c r="BP26" s="332"/>
      <c r="BQ26" s="332"/>
      <c r="BR26" s="332"/>
      <c r="BS26" s="332"/>
      <c r="BT26" s="332"/>
      <c r="BU26" s="332"/>
      <c r="BV26" s="332"/>
      <c r="BW26" s="332"/>
      <c r="BX26" s="332"/>
      <c r="BY26" s="332"/>
      <c r="BZ26" s="332"/>
      <c r="CA26" s="332"/>
      <c r="CB26" s="332"/>
      <c r="CC26" s="332"/>
      <c r="CD26" s="332"/>
      <c r="CE26" s="332"/>
      <c r="CF26" s="332"/>
      <c r="CG26" s="332"/>
      <c r="CH26" s="332"/>
      <c r="CI26" s="332"/>
      <c r="CJ26" s="332"/>
      <c r="CK26" s="332"/>
      <c r="CL26" s="332"/>
      <c r="CM26" s="332"/>
      <c r="CN26" s="332"/>
      <c r="CO26" s="332"/>
      <c r="CP26" s="332"/>
      <c r="CQ26" s="332"/>
      <c r="CR26" s="332"/>
      <c r="CS26" s="332"/>
      <c r="CT26" s="332"/>
      <c r="CU26" s="332"/>
      <c r="CV26" s="332"/>
      <c r="CW26" s="332"/>
      <c r="CX26" s="332"/>
      <c r="CY26" s="332"/>
      <c r="CZ26" s="332"/>
      <c r="DA26" s="332"/>
      <c r="DB26" s="332"/>
      <c r="DC26" s="332"/>
      <c r="DD26" s="332"/>
      <c r="DE26" s="332"/>
      <c r="DF26" s="332"/>
      <c r="DG26" s="332"/>
      <c r="DH26" s="332"/>
      <c r="DI26" s="332"/>
      <c r="DJ26" s="332"/>
      <c r="DK26" s="332"/>
      <c r="DL26" s="332"/>
      <c r="DM26" s="332"/>
      <c r="DN26" s="332"/>
      <c r="DO26" s="332"/>
      <c r="DP26" s="332"/>
      <c r="DQ26" s="332"/>
      <c r="DR26" s="332"/>
      <c r="DS26" s="332"/>
      <c r="DT26" s="332"/>
      <c r="DU26" s="332"/>
      <c r="DV26" s="332"/>
      <c r="DW26" s="332"/>
      <c r="DX26" s="332"/>
      <c r="DY26" s="332"/>
      <c r="DZ26" s="332"/>
      <c r="EA26" s="332"/>
      <c r="EB26" s="332"/>
      <c r="EC26" s="332"/>
      <c r="ED26" s="332"/>
      <c r="EE26" s="332"/>
      <c r="EF26" s="332"/>
      <c r="EG26" s="332"/>
      <c r="EH26" s="332"/>
      <c r="EI26" s="332"/>
      <c r="EJ26" s="332"/>
      <c r="EK26" s="332"/>
      <c r="EL26" s="332"/>
      <c r="EM26" s="332"/>
      <c r="EN26" s="332"/>
      <c r="EO26" s="332"/>
      <c r="EP26" s="332"/>
      <c r="EQ26" s="332"/>
      <c r="ER26" s="332"/>
      <c r="ES26" s="332"/>
      <c r="ET26" s="332"/>
      <c r="EU26" s="332"/>
      <c r="EV26" s="332"/>
      <c r="EW26" s="332"/>
      <c r="EX26" s="332"/>
      <c r="EY26" s="332"/>
      <c r="EZ26" s="332"/>
      <c r="FA26" s="332"/>
      <c r="FB26" s="332"/>
      <c r="FC26" s="332"/>
      <c r="FD26" s="332"/>
      <c r="FE26" s="332"/>
      <c r="FF26" s="332"/>
      <c r="FG26" s="332"/>
      <c r="FH26" s="332"/>
      <c r="FI26" s="332"/>
      <c r="FJ26" s="332"/>
      <c r="FK26" s="332"/>
      <c r="FL26" s="332"/>
      <c r="FM26" s="332"/>
      <c r="FN26" s="332"/>
      <c r="FO26" s="332"/>
      <c r="FP26" s="332"/>
      <c r="FQ26" s="332"/>
      <c r="FR26" s="332"/>
      <c r="FS26" s="332"/>
      <c r="FT26" s="332"/>
      <c r="FU26" s="332"/>
      <c r="FV26" s="332"/>
      <c r="FW26" s="332"/>
      <c r="FX26" s="332"/>
      <c r="FY26" s="332"/>
      <c r="FZ26" s="332"/>
      <c r="GA26" s="332"/>
      <c r="GB26" s="332"/>
      <c r="GC26" s="332"/>
      <c r="GD26" s="332"/>
      <c r="GE26" s="332"/>
      <c r="GF26" s="332"/>
      <c r="GG26" s="332"/>
      <c r="GH26" s="332"/>
      <c r="GI26" s="332"/>
      <c r="GJ26" s="332"/>
      <c r="GK26" s="332"/>
      <c r="GL26" s="332"/>
      <c r="GM26" s="332"/>
      <c r="GN26" s="332"/>
      <c r="GO26" s="332"/>
      <c r="GP26" s="332"/>
      <c r="GQ26" s="332"/>
      <c r="GR26" s="332"/>
      <c r="GS26" s="332"/>
      <c r="GT26" s="332"/>
      <c r="GU26" s="332"/>
      <c r="GV26" s="332"/>
      <c r="GW26" s="332"/>
      <c r="GX26" s="332"/>
      <c r="GY26" s="332"/>
      <c r="GZ26" s="332"/>
      <c r="HA26" s="332"/>
      <c r="HB26" s="332"/>
      <c r="HC26" s="332"/>
      <c r="HD26" s="332"/>
      <c r="HE26" s="332"/>
      <c r="HF26" s="332"/>
      <c r="HG26" s="332"/>
      <c r="HH26" s="332"/>
      <c r="HI26" s="332"/>
      <c r="HJ26" s="332"/>
      <c r="HK26" s="332"/>
      <c r="HL26" s="332"/>
      <c r="HM26" s="332"/>
      <c r="HN26" s="332"/>
      <c r="HO26" s="332"/>
      <c r="HP26" s="332"/>
      <c r="HQ26" s="332"/>
      <c r="HR26" s="332"/>
      <c r="HS26" s="332"/>
      <c r="HT26" s="332"/>
      <c r="HU26" s="332"/>
      <c r="HV26" s="332"/>
      <c r="HW26" s="332"/>
      <c r="HX26" s="332"/>
      <c r="HY26" s="332"/>
      <c r="HZ26" s="332"/>
      <c r="IA26" s="332"/>
      <c r="IB26" s="332"/>
      <c r="IC26" s="332"/>
      <c r="ID26" s="332"/>
      <c r="IE26" s="332"/>
      <c r="IF26" s="332"/>
      <c r="IG26" s="332"/>
      <c r="IH26" s="332"/>
      <c r="II26" s="332"/>
      <c r="IJ26" s="332"/>
      <c r="IK26" s="332"/>
      <c r="IL26" s="332"/>
      <c r="IM26" s="332"/>
      <c r="IN26" s="332"/>
      <c r="IO26" s="332"/>
      <c r="IP26" s="332"/>
      <c r="IQ26" s="332"/>
      <c r="IR26" s="332"/>
      <c r="IS26" s="332"/>
      <c r="IT26" s="332"/>
      <c r="IU26" s="332"/>
      <c r="IV26" s="332"/>
      <c r="IW26" s="332"/>
      <c r="IX26" s="332"/>
      <c r="IY26" s="332"/>
      <c r="IZ26" s="332"/>
      <c r="JA26" s="332"/>
      <c r="JB26" s="332"/>
      <c r="JC26" s="332"/>
      <c r="JD26" s="332"/>
      <c r="JE26" s="332"/>
      <c r="JF26" s="332"/>
      <c r="JG26" s="332"/>
      <c r="JH26" s="332"/>
      <c r="JI26" s="332"/>
      <c r="JJ26" s="332"/>
      <c r="JK26" s="332"/>
      <c r="JL26" s="332"/>
      <c r="JM26" s="332"/>
      <c r="JN26" s="332"/>
      <c r="JO26" s="332"/>
      <c r="JP26" s="332"/>
      <c r="JQ26" s="332"/>
    </row>
    <row r="27" spans="1:277" s="230" customFormat="1">
      <c r="A27" s="333" t="s">
        <v>525</v>
      </c>
      <c r="B27" s="334"/>
      <c r="C27" s="334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34"/>
      <c r="AB27" s="334"/>
      <c r="AC27" s="334"/>
      <c r="AD27" s="334"/>
      <c r="AE27" s="334"/>
      <c r="AF27" s="334"/>
      <c r="AG27" s="334"/>
      <c r="AH27" s="334"/>
      <c r="AI27" s="334"/>
      <c r="AJ27" s="334"/>
      <c r="AK27" s="334"/>
      <c r="AL27" s="334"/>
      <c r="AM27" s="334"/>
      <c r="AN27" s="334"/>
      <c r="AO27" s="334"/>
      <c r="AP27" s="334"/>
      <c r="AQ27" s="334"/>
      <c r="AR27" s="334"/>
      <c r="AS27" s="334"/>
      <c r="AT27" s="334"/>
      <c r="AU27" s="334"/>
      <c r="AV27" s="334"/>
      <c r="AW27" s="334"/>
      <c r="AX27" s="334"/>
      <c r="AY27" s="334"/>
      <c r="AZ27" s="334"/>
      <c r="BA27" s="334"/>
      <c r="BB27" s="334"/>
      <c r="BC27" s="334"/>
      <c r="BD27" s="334"/>
      <c r="BE27" s="334"/>
      <c r="BF27" s="334"/>
      <c r="BG27" s="334"/>
      <c r="BH27" s="334"/>
      <c r="BI27" s="334"/>
      <c r="BJ27" s="334"/>
      <c r="BK27" s="334"/>
      <c r="BL27" s="334"/>
      <c r="BM27" s="334"/>
      <c r="BN27" s="334"/>
      <c r="BO27" s="334"/>
      <c r="BP27" s="334"/>
      <c r="BQ27" s="334"/>
      <c r="BR27" s="334"/>
      <c r="BS27" s="334"/>
      <c r="BT27" s="334"/>
      <c r="BU27" s="334"/>
      <c r="BV27" s="334"/>
      <c r="BW27" s="334"/>
      <c r="BX27" s="334"/>
      <c r="BY27" s="334"/>
      <c r="BZ27" s="334"/>
      <c r="CA27" s="334"/>
      <c r="CB27" s="334"/>
      <c r="CC27" s="334"/>
      <c r="CD27" s="334"/>
      <c r="CE27" s="334"/>
      <c r="CF27" s="334"/>
      <c r="CG27" s="334"/>
      <c r="CH27" s="334"/>
      <c r="CI27" s="334"/>
      <c r="CJ27" s="334"/>
      <c r="CK27" s="334"/>
      <c r="CL27" s="334"/>
      <c r="CM27" s="334"/>
      <c r="CN27" s="334"/>
      <c r="CO27" s="334"/>
      <c r="CP27" s="334"/>
      <c r="CQ27" s="334"/>
      <c r="CR27" s="334"/>
      <c r="CS27" s="334"/>
      <c r="CT27" s="334"/>
      <c r="CU27" s="334"/>
      <c r="CV27" s="334"/>
      <c r="CW27" s="334"/>
      <c r="CX27" s="334"/>
      <c r="CY27" s="334"/>
      <c r="CZ27" s="334"/>
      <c r="DA27" s="334"/>
      <c r="DB27" s="334"/>
      <c r="DC27" s="334"/>
      <c r="DD27" s="334"/>
      <c r="DE27" s="334"/>
      <c r="DF27" s="334"/>
      <c r="DG27" s="334"/>
      <c r="DH27" s="334"/>
      <c r="DI27" s="334"/>
      <c r="DJ27" s="334"/>
      <c r="DK27" s="334"/>
      <c r="DL27" s="334"/>
      <c r="DM27" s="334"/>
      <c r="DN27" s="334"/>
      <c r="DO27" s="334"/>
      <c r="DP27" s="334"/>
      <c r="DQ27" s="334"/>
      <c r="DR27" s="334"/>
      <c r="DS27" s="334"/>
      <c r="DT27" s="334"/>
      <c r="DU27" s="334"/>
      <c r="DV27" s="334"/>
      <c r="DW27" s="334"/>
      <c r="DX27" s="334"/>
      <c r="DY27" s="334"/>
      <c r="DZ27" s="334"/>
      <c r="EA27" s="334"/>
      <c r="EB27" s="334"/>
      <c r="EC27" s="334"/>
      <c r="ED27" s="334"/>
      <c r="EE27" s="334"/>
      <c r="EF27" s="334"/>
      <c r="EG27" s="334"/>
      <c r="EH27" s="334"/>
      <c r="EI27" s="334"/>
      <c r="EJ27" s="334"/>
      <c r="EK27" s="334"/>
      <c r="EL27" s="334"/>
      <c r="EM27" s="334"/>
      <c r="EN27" s="334"/>
      <c r="EO27" s="334"/>
      <c r="EP27" s="334"/>
      <c r="EQ27" s="334"/>
      <c r="ER27" s="334"/>
      <c r="ES27" s="334"/>
      <c r="ET27" s="334"/>
      <c r="EU27" s="334"/>
      <c r="EV27" s="334"/>
      <c r="EW27" s="334"/>
      <c r="EX27" s="334"/>
      <c r="EY27" s="334"/>
      <c r="EZ27" s="334"/>
      <c r="FA27" s="334"/>
      <c r="FB27" s="334"/>
      <c r="FC27" s="334"/>
      <c r="FD27" s="334"/>
      <c r="FE27" s="334"/>
      <c r="FF27" s="334"/>
      <c r="FG27" s="334"/>
      <c r="FH27" s="334"/>
      <c r="FI27" s="334"/>
      <c r="FJ27" s="334"/>
      <c r="FK27" s="334"/>
      <c r="FL27" s="334"/>
      <c r="FM27" s="334"/>
      <c r="FN27" s="334"/>
      <c r="FO27" s="334"/>
      <c r="FP27" s="334"/>
      <c r="FQ27" s="334"/>
      <c r="FR27" s="334"/>
      <c r="FS27" s="334"/>
      <c r="FT27" s="334"/>
      <c r="FU27" s="334"/>
      <c r="FV27" s="334"/>
      <c r="FW27" s="334"/>
      <c r="FX27" s="334"/>
      <c r="FY27" s="334"/>
      <c r="FZ27" s="334"/>
      <c r="GA27" s="334"/>
      <c r="GB27" s="334"/>
      <c r="GC27" s="334"/>
      <c r="GD27" s="334"/>
      <c r="GE27" s="334"/>
      <c r="GF27" s="334"/>
      <c r="GG27" s="334"/>
      <c r="GH27" s="334"/>
      <c r="GI27" s="334"/>
      <c r="GJ27" s="334"/>
      <c r="GK27" s="334"/>
      <c r="GL27" s="334"/>
      <c r="GM27" s="334"/>
      <c r="GN27" s="334"/>
      <c r="GO27" s="334"/>
      <c r="GP27" s="334"/>
      <c r="GQ27" s="334"/>
      <c r="GR27" s="334"/>
      <c r="GS27" s="334"/>
      <c r="GT27" s="334"/>
      <c r="GU27" s="334"/>
      <c r="GV27" s="334"/>
      <c r="GW27" s="334"/>
      <c r="GX27" s="334"/>
      <c r="GY27" s="334"/>
      <c r="GZ27" s="334"/>
      <c r="HA27" s="334"/>
      <c r="HB27" s="334"/>
      <c r="HC27" s="334"/>
      <c r="HD27" s="334"/>
      <c r="HE27" s="334"/>
      <c r="HF27" s="334"/>
      <c r="HG27" s="334"/>
      <c r="HH27" s="334"/>
      <c r="HI27" s="334"/>
      <c r="HJ27" s="334"/>
      <c r="HK27" s="334"/>
      <c r="HL27" s="334"/>
      <c r="HM27" s="334"/>
      <c r="HN27" s="334"/>
      <c r="HO27" s="334"/>
      <c r="HP27" s="334"/>
      <c r="HQ27" s="334"/>
      <c r="HR27" s="334"/>
      <c r="HS27" s="334"/>
      <c r="HT27" s="334"/>
      <c r="HU27" s="334"/>
      <c r="HV27" s="334"/>
      <c r="HW27" s="334"/>
      <c r="HX27" s="334"/>
      <c r="HY27" s="334"/>
      <c r="HZ27" s="334"/>
      <c r="IA27" s="334"/>
      <c r="IB27" s="334"/>
      <c r="IC27" s="334"/>
      <c r="ID27" s="334"/>
      <c r="IE27" s="334"/>
      <c r="IF27" s="334"/>
      <c r="IG27" s="334"/>
      <c r="IH27" s="334"/>
      <c r="II27" s="334"/>
      <c r="IJ27" s="334"/>
      <c r="IK27" s="334"/>
      <c r="IL27" s="334"/>
      <c r="IM27" s="334"/>
      <c r="IN27" s="334"/>
      <c r="IO27" s="334"/>
      <c r="IP27" s="334"/>
      <c r="IQ27" s="334"/>
      <c r="IR27" s="334"/>
      <c r="IS27" s="334"/>
      <c r="IT27" s="334"/>
      <c r="IU27" s="334"/>
      <c r="IV27" s="334"/>
      <c r="IW27" s="334"/>
      <c r="IX27" s="334"/>
      <c r="IY27" s="334"/>
      <c r="IZ27" s="334"/>
      <c r="JA27" s="334"/>
      <c r="JB27" s="334"/>
      <c r="JC27" s="334"/>
      <c r="JD27" s="334"/>
      <c r="JE27" s="335"/>
      <c r="JF27" s="335"/>
      <c r="JG27" s="335"/>
      <c r="JH27" s="335"/>
      <c r="JI27" s="335"/>
      <c r="JJ27" s="335"/>
      <c r="JK27" s="335"/>
      <c r="JL27" s="335"/>
      <c r="JM27" s="335"/>
      <c r="JN27" s="335"/>
      <c r="JO27" s="335"/>
      <c r="JP27" s="335"/>
      <c r="JQ27" s="335"/>
    </row>
    <row r="28" spans="1:277" ht="31" customHeight="1">
      <c r="A28" s="543" t="s">
        <v>526</v>
      </c>
      <c r="B28" s="543"/>
      <c r="C28" s="543"/>
      <c r="D28" s="543"/>
      <c r="E28" s="543"/>
      <c r="F28" s="543"/>
      <c r="G28" s="543"/>
      <c r="H28" s="543"/>
      <c r="I28" s="543"/>
      <c r="J28" s="543"/>
      <c r="K28" s="543"/>
      <c r="L28" s="543"/>
      <c r="M28" s="543"/>
      <c r="N28" s="543"/>
      <c r="O28" s="543"/>
      <c r="P28" s="543"/>
      <c r="Q28" s="543"/>
      <c r="R28" s="543"/>
      <c r="S28" s="543"/>
      <c r="T28" s="543"/>
      <c r="U28" s="543"/>
      <c r="V28" s="543"/>
      <c r="W28" s="543"/>
      <c r="AC28" s="335"/>
      <c r="AD28" s="335"/>
      <c r="AE28" s="335"/>
      <c r="AF28" s="335"/>
      <c r="AG28" s="335"/>
      <c r="AH28" s="335"/>
      <c r="AI28" s="335"/>
      <c r="AJ28" s="335"/>
      <c r="AK28" s="335"/>
      <c r="AL28" s="335"/>
      <c r="AM28" s="335"/>
      <c r="AN28" s="335"/>
      <c r="AO28" s="335"/>
      <c r="AP28" s="335"/>
      <c r="AQ28" s="335"/>
      <c r="AR28" s="335"/>
      <c r="AS28" s="335"/>
      <c r="AT28" s="335"/>
      <c r="AU28" s="335"/>
      <c r="AV28" s="335"/>
      <c r="AW28" s="335"/>
      <c r="AX28" s="335"/>
      <c r="AY28" s="335"/>
      <c r="AZ28" s="335"/>
      <c r="BA28" s="335"/>
      <c r="BB28" s="335"/>
      <c r="BC28" s="335"/>
      <c r="BD28" s="335"/>
      <c r="BE28" s="335"/>
      <c r="BF28" s="335"/>
      <c r="BG28" s="335"/>
      <c r="BH28" s="335"/>
      <c r="BI28" s="335"/>
      <c r="BJ28" s="335"/>
      <c r="BK28" s="335"/>
      <c r="BL28" s="335"/>
      <c r="BM28" s="335"/>
      <c r="BN28" s="335"/>
      <c r="BO28" s="335"/>
      <c r="BP28" s="335"/>
      <c r="BQ28" s="335"/>
      <c r="BR28" s="335"/>
      <c r="BS28" s="335"/>
      <c r="BT28" s="335"/>
      <c r="BU28" s="335"/>
      <c r="BV28" s="335"/>
      <c r="BW28" s="335"/>
      <c r="BX28" s="335"/>
      <c r="BY28" s="335"/>
      <c r="BZ28" s="335"/>
      <c r="CA28" s="335"/>
      <c r="CB28" s="335"/>
      <c r="CC28" s="335"/>
      <c r="CD28" s="335"/>
      <c r="CE28" s="335"/>
      <c r="CF28" s="335"/>
      <c r="CG28" s="335"/>
      <c r="CH28" s="335"/>
      <c r="CI28" s="335"/>
      <c r="CJ28" s="335"/>
      <c r="CK28" s="335"/>
      <c r="CL28" s="335"/>
      <c r="CM28" s="335"/>
      <c r="CN28" s="335"/>
      <c r="CO28" s="335"/>
      <c r="CP28" s="335"/>
      <c r="CQ28" s="335"/>
      <c r="CR28" s="335"/>
      <c r="CS28" s="335"/>
      <c r="CT28" s="335"/>
      <c r="CU28" s="335"/>
      <c r="CV28" s="335"/>
      <c r="CW28" s="335"/>
      <c r="CX28" s="335"/>
      <c r="CY28" s="335"/>
      <c r="CZ28" s="335"/>
      <c r="DA28" s="335"/>
      <c r="DB28" s="335"/>
      <c r="DC28" s="335"/>
      <c r="DD28" s="335"/>
      <c r="DE28" s="335"/>
      <c r="DF28" s="335"/>
      <c r="DG28" s="335"/>
      <c r="DH28" s="335"/>
      <c r="DI28" s="335"/>
      <c r="DJ28" s="335"/>
      <c r="DK28" s="335"/>
      <c r="DL28" s="335"/>
      <c r="DM28" s="335"/>
      <c r="DN28" s="335"/>
      <c r="DO28" s="335"/>
      <c r="DP28" s="335"/>
      <c r="DQ28" s="335"/>
      <c r="DR28" s="335"/>
      <c r="DS28" s="335"/>
      <c r="DT28" s="335"/>
      <c r="DU28" s="335"/>
      <c r="DV28" s="335"/>
      <c r="DW28" s="335"/>
      <c r="DX28" s="335"/>
      <c r="DY28" s="335"/>
      <c r="DZ28" s="335"/>
      <c r="EA28" s="335"/>
      <c r="EB28" s="335"/>
      <c r="EC28" s="335"/>
      <c r="ED28" s="335"/>
      <c r="EE28" s="335"/>
      <c r="EF28" s="335"/>
      <c r="EG28" s="335"/>
      <c r="EH28" s="335"/>
      <c r="EI28" s="335"/>
      <c r="EJ28" s="335"/>
      <c r="EK28" s="335"/>
      <c r="EL28" s="335"/>
      <c r="EM28" s="335"/>
      <c r="EN28" s="335"/>
      <c r="EO28" s="335"/>
      <c r="EP28" s="335"/>
      <c r="EQ28" s="335"/>
      <c r="ER28" s="335"/>
      <c r="ES28" s="335"/>
      <c r="ET28" s="335"/>
      <c r="EU28" s="335"/>
      <c r="EV28" s="335"/>
      <c r="EW28" s="335"/>
      <c r="EX28" s="335"/>
      <c r="EY28" s="335"/>
      <c r="EZ28" s="335"/>
      <c r="FA28" s="335"/>
      <c r="FB28" s="335"/>
      <c r="FC28" s="335"/>
      <c r="FD28" s="335"/>
      <c r="FE28" s="335"/>
      <c r="FF28" s="335"/>
      <c r="FG28" s="335"/>
      <c r="FH28" s="335"/>
      <c r="FI28" s="335"/>
      <c r="FJ28" s="335"/>
      <c r="FK28" s="335"/>
      <c r="FL28" s="335"/>
      <c r="FM28" s="335"/>
      <c r="FN28" s="335"/>
      <c r="FO28" s="335"/>
      <c r="FP28" s="335"/>
      <c r="FQ28" s="335"/>
      <c r="FR28" s="335"/>
      <c r="FS28" s="335"/>
      <c r="FT28" s="335"/>
      <c r="FU28" s="335"/>
      <c r="FV28" s="335"/>
      <c r="FW28" s="335"/>
      <c r="FX28" s="335"/>
      <c r="FY28" s="335"/>
      <c r="FZ28" s="335"/>
      <c r="GA28" s="335"/>
      <c r="GB28" s="335"/>
      <c r="GC28" s="335"/>
      <c r="GD28" s="335"/>
      <c r="GE28" s="335"/>
      <c r="GF28" s="335"/>
      <c r="GG28" s="335"/>
      <c r="GH28" s="335"/>
      <c r="GI28" s="335"/>
      <c r="GJ28" s="335"/>
      <c r="GK28" s="335"/>
      <c r="GL28" s="335"/>
      <c r="GM28" s="335"/>
      <c r="GN28" s="335"/>
      <c r="GO28" s="335"/>
      <c r="GP28" s="335"/>
      <c r="GQ28" s="335"/>
      <c r="GR28" s="335"/>
      <c r="GS28" s="335"/>
      <c r="GT28" s="335"/>
      <c r="GU28" s="335"/>
      <c r="GV28" s="335"/>
      <c r="GW28" s="335"/>
      <c r="GX28" s="335"/>
      <c r="GY28" s="335"/>
      <c r="GZ28" s="335"/>
      <c r="HA28" s="335"/>
      <c r="HB28" s="335"/>
      <c r="HC28" s="335"/>
      <c r="HD28" s="335"/>
      <c r="HE28" s="335"/>
      <c r="HF28" s="335"/>
      <c r="HG28" s="335"/>
      <c r="HH28" s="335"/>
      <c r="HI28" s="335"/>
      <c r="HJ28" s="335"/>
      <c r="HK28" s="335"/>
      <c r="HL28" s="335"/>
      <c r="HM28" s="335"/>
      <c r="HN28" s="335"/>
      <c r="HO28" s="335"/>
      <c r="HP28" s="335"/>
      <c r="HQ28" s="335"/>
      <c r="HR28" s="335"/>
      <c r="HS28" s="335"/>
      <c r="HT28" s="335"/>
      <c r="HU28" s="335"/>
      <c r="HV28" s="335"/>
      <c r="HW28" s="335"/>
      <c r="HX28" s="335"/>
      <c r="HY28" s="335"/>
      <c r="HZ28" s="335"/>
      <c r="IA28" s="335"/>
      <c r="IB28" s="335"/>
      <c r="IC28" s="335"/>
      <c r="ID28" s="335"/>
      <c r="IE28" s="335"/>
      <c r="IF28" s="335"/>
      <c r="IG28" s="335"/>
      <c r="IH28" s="335"/>
      <c r="II28" s="335"/>
      <c r="IJ28" s="335"/>
      <c r="IK28" s="335"/>
      <c r="IL28" s="335"/>
      <c r="IM28" s="335"/>
      <c r="IN28" s="335"/>
      <c r="IO28" s="335"/>
      <c r="IP28" s="335"/>
      <c r="IQ28" s="335"/>
      <c r="IR28" s="335"/>
      <c r="IS28" s="335"/>
      <c r="IT28" s="335"/>
      <c r="IU28" s="335"/>
      <c r="IV28" s="335"/>
      <c r="IW28" s="335"/>
      <c r="IX28" s="335"/>
      <c r="IY28" s="335"/>
      <c r="IZ28" s="335"/>
      <c r="JA28" s="335"/>
      <c r="JB28" s="335"/>
      <c r="JC28" s="335"/>
      <c r="JD28" s="335"/>
      <c r="JE28" s="335"/>
      <c r="JF28" s="335"/>
      <c r="JG28" s="335"/>
      <c r="JH28" s="335"/>
      <c r="JI28" s="335"/>
      <c r="JJ28" s="335"/>
      <c r="JK28" s="335"/>
      <c r="JL28" s="335"/>
      <c r="JM28" s="335"/>
      <c r="JN28" s="335"/>
      <c r="JO28" s="335"/>
      <c r="JP28" s="335"/>
      <c r="JQ28" s="335"/>
    </row>
    <row r="29" spans="1:277">
      <c r="A29" s="65" t="s">
        <v>96</v>
      </c>
      <c r="B29" s="66" t="s">
        <v>10</v>
      </c>
      <c r="C29" s="67">
        <v>1.0349189999999999</v>
      </c>
      <c r="D29" s="67">
        <v>0</v>
      </c>
      <c r="E29" s="67">
        <v>0.20686199999999999</v>
      </c>
      <c r="F29" s="67">
        <v>9.7739999999999997E-3</v>
      </c>
      <c r="G29" s="67">
        <v>0.113317</v>
      </c>
      <c r="H29" s="67">
        <v>2.4607E-2</v>
      </c>
      <c r="I29" s="67">
        <v>4.8960000000000002E-3</v>
      </c>
      <c r="J29" s="67">
        <v>1.555E-3</v>
      </c>
      <c r="K29" s="67">
        <v>1.4430000000000001E-3</v>
      </c>
      <c r="L29" s="67">
        <v>2.2213E-2</v>
      </c>
      <c r="M29" s="67">
        <v>2.3307000000000001E-2</v>
      </c>
      <c r="N29" s="67">
        <v>6.9399999999999996E-4</v>
      </c>
      <c r="O29" s="67">
        <v>9.7750000000000007E-3</v>
      </c>
      <c r="P29" s="67">
        <v>1.0477999999999999E-2</v>
      </c>
      <c r="Q29" s="67">
        <v>2.0642000000000001E-2</v>
      </c>
      <c r="R29" s="67">
        <v>2.2558999999999999E-2</v>
      </c>
      <c r="S29" s="67">
        <v>7.9799999999999992E-3</v>
      </c>
      <c r="T29" s="67">
        <v>1.688E-3</v>
      </c>
      <c r="U29" s="67">
        <v>3.1129999999999999E-3</v>
      </c>
      <c r="V29" s="67">
        <v>2.2629999999999998E-3</v>
      </c>
      <c r="W29" s="67">
        <v>1.1783999999999999E-2</v>
      </c>
      <c r="X29" s="67">
        <v>1.8900000000000001E-4</v>
      </c>
      <c r="Y29" s="67">
        <v>0</v>
      </c>
      <c r="Z29" s="67">
        <v>6.5600000000000001E-4</v>
      </c>
      <c r="AA29" s="67">
        <v>1.45E-4</v>
      </c>
      <c r="AB29" s="67">
        <v>5.5000000000000002E-5</v>
      </c>
      <c r="AC29" s="67">
        <v>3.7500000000000001E-4</v>
      </c>
      <c r="AD29" s="67">
        <v>4.1E-5</v>
      </c>
      <c r="AE29" s="67">
        <v>2.6999999999999999E-5</v>
      </c>
      <c r="AF29" s="67">
        <v>2.9E-5</v>
      </c>
      <c r="AG29" s="67">
        <v>5.5999999999999999E-5</v>
      </c>
      <c r="AH29" s="67">
        <v>5.8999999999999998E-5</v>
      </c>
      <c r="AI29" s="67">
        <v>1.0000000000000001E-5</v>
      </c>
      <c r="AJ29" s="67">
        <v>2.5000000000000001E-5</v>
      </c>
      <c r="AK29" s="67">
        <v>1.4E-5</v>
      </c>
      <c r="AL29" s="67">
        <v>1.8E-5</v>
      </c>
      <c r="AM29" s="67">
        <v>1.9799999999999999E-4</v>
      </c>
      <c r="AN29" s="67">
        <v>2.0999999999999999E-5</v>
      </c>
      <c r="AO29" s="67">
        <v>6.9999999999999999E-6</v>
      </c>
      <c r="AP29" s="67">
        <v>9.9999999999999995E-7</v>
      </c>
      <c r="AQ29" s="67">
        <v>9.9999999999999995E-7</v>
      </c>
      <c r="AR29" s="67">
        <v>1.5E-5</v>
      </c>
      <c r="AS29" s="67">
        <v>6.3E-5</v>
      </c>
      <c r="AT29" s="67">
        <v>0</v>
      </c>
      <c r="AU29" s="67">
        <v>1.37E-4</v>
      </c>
      <c r="AV29" s="67">
        <v>4.6E-5</v>
      </c>
      <c r="AW29" s="67">
        <v>1.1E-5</v>
      </c>
      <c r="AX29" s="67">
        <v>3.6000000000000001E-5</v>
      </c>
      <c r="AY29" s="67">
        <v>5.0000000000000004E-6</v>
      </c>
      <c r="AZ29" s="67">
        <v>6.0000000000000002E-6</v>
      </c>
      <c r="BA29" s="67">
        <v>3.9999999999999998E-6</v>
      </c>
      <c r="BB29" s="67">
        <v>1.1E-5</v>
      </c>
      <c r="BC29" s="67">
        <v>1.2E-5</v>
      </c>
      <c r="BD29" s="67">
        <v>3.9999999999999998E-6</v>
      </c>
      <c r="BE29" s="67">
        <v>3.9999999999999998E-6</v>
      </c>
      <c r="BF29" s="67">
        <v>3.9999999999999998E-6</v>
      </c>
      <c r="BG29" s="67">
        <v>5.0000000000000004E-6</v>
      </c>
      <c r="BH29" s="67">
        <v>2.4000000000000001E-5</v>
      </c>
      <c r="BI29" s="67">
        <v>1.0000000000000001E-5</v>
      </c>
      <c r="BJ29" s="67">
        <v>3.0000000000000001E-6</v>
      </c>
      <c r="BK29" s="67">
        <v>9.9999999999999995E-7</v>
      </c>
      <c r="BL29" s="67">
        <v>0</v>
      </c>
      <c r="BM29" s="67">
        <v>3.9999999999999998E-6</v>
      </c>
      <c r="BN29" s="67">
        <v>5.0000000000000004E-6</v>
      </c>
      <c r="BO29" s="67">
        <v>0</v>
      </c>
      <c r="BP29" s="67">
        <v>9.0000000000000002E-6</v>
      </c>
      <c r="BQ29" s="67">
        <v>7.9999999999999996E-6</v>
      </c>
      <c r="BR29" s="67">
        <v>3.9999999999999998E-6</v>
      </c>
      <c r="BS29" s="67">
        <v>1.0000000000000001E-5</v>
      </c>
      <c r="BT29" s="67">
        <v>3.0000000000000001E-6</v>
      </c>
      <c r="BU29" s="67">
        <v>1.9999999999999999E-6</v>
      </c>
      <c r="BV29" s="67">
        <v>3.0000000000000001E-6</v>
      </c>
      <c r="BW29" s="67">
        <v>6.0000000000000002E-6</v>
      </c>
      <c r="BX29" s="67">
        <v>5.0000000000000004E-6</v>
      </c>
      <c r="BY29" s="67">
        <v>1.9999999999999999E-6</v>
      </c>
      <c r="BZ29" s="67">
        <v>3.0000000000000001E-6</v>
      </c>
      <c r="CA29" s="67">
        <v>1.9999999999999999E-6</v>
      </c>
      <c r="CB29" s="67">
        <v>1.9999999999999999E-6</v>
      </c>
      <c r="CC29" s="67">
        <v>6.0000000000000002E-6</v>
      </c>
      <c r="CD29" s="67">
        <v>3.0000000000000001E-6</v>
      </c>
      <c r="CE29" s="67">
        <v>0</v>
      </c>
      <c r="CF29" s="67">
        <v>0</v>
      </c>
      <c r="CG29" s="67">
        <v>0</v>
      </c>
      <c r="CH29" s="67">
        <v>1.9999999999999999E-6</v>
      </c>
      <c r="CI29" s="67">
        <v>7.9999999999999996E-6</v>
      </c>
      <c r="CJ29" s="67">
        <v>0</v>
      </c>
      <c r="CK29" s="67">
        <v>3.1000000000000001E-5</v>
      </c>
      <c r="CL29" s="67">
        <v>5.0000000000000004E-6</v>
      </c>
      <c r="CM29" s="67">
        <v>3.9999999999999998E-6</v>
      </c>
      <c r="CN29" s="67">
        <v>1.0000000000000001E-5</v>
      </c>
      <c r="CO29" s="67">
        <v>1.9999999999999999E-6</v>
      </c>
      <c r="CP29" s="67">
        <v>3.0000000000000001E-6</v>
      </c>
      <c r="CQ29" s="67">
        <v>1.9999999999999999E-6</v>
      </c>
      <c r="CR29" s="67">
        <v>5.0000000000000004E-6</v>
      </c>
      <c r="CS29" s="67">
        <v>5.0000000000000004E-6</v>
      </c>
      <c r="CT29" s="67">
        <v>9.9999999999999995E-7</v>
      </c>
      <c r="CU29" s="67">
        <v>1.9999999999999999E-6</v>
      </c>
      <c r="CV29" s="67">
        <v>1.9999999999999999E-6</v>
      </c>
      <c r="CW29" s="67">
        <v>9.9999999999999995E-7</v>
      </c>
      <c r="CX29" s="67">
        <v>5.0000000000000004E-6</v>
      </c>
      <c r="CY29" s="67">
        <v>3.0000000000000001E-6</v>
      </c>
      <c r="CZ29" s="67">
        <v>9.9999999999999995E-7</v>
      </c>
      <c r="DA29" s="67">
        <v>0</v>
      </c>
      <c r="DB29" s="67">
        <v>0</v>
      </c>
      <c r="DC29" s="67">
        <v>1.9999999999999999E-6</v>
      </c>
      <c r="DD29" s="67">
        <v>5.9090000000000002E-3</v>
      </c>
      <c r="DE29" s="67">
        <v>0</v>
      </c>
      <c r="DF29" s="67">
        <v>1.3195999999999999E-2</v>
      </c>
      <c r="DG29" s="67">
        <v>5.4010000000000004E-3</v>
      </c>
      <c r="DH29" s="67">
        <v>4.8500000000000003E-4</v>
      </c>
      <c r="DI29" s="67">
        <v>1.073E-3</v>
      </c>
      <c r="DJ29" s="67">
        <v>2.0100000000000001E-4</v>
      </c>
      <c r="DK29" s="67">
        <v>2.7900000000000001E-4</v>
      </c>
      <c r="DL29" s="67">
        <v>2.5799999999999998E-4</v>
      </c>
      <c r="DM29" s="67">
        <v>5.5900000000000004E-4</v>
      </c>
      <c r="DN29" s="67">
        <v>6.4499999999999996E-4</v>
      </c>
      <c r="DO29" s="67">
        <v>1.3300000000000001E-4</v>
      </c>
      <c r="DP29" s="67">
        <v>1.21E-4</v>
      </c>
      <c r="DQ29" s="67">
        <v>1.21E-4</v>
      </c>
      <c r="DR29" s="67">
        <v>1.64E-4</v>
      </c>
      <c r="DS29" s="67">
        <v>4.4799999999999996E-3</v>
      </c>
      <c r="DT29" s="67">
        <v>5.5599999999999996E-4</v>
      </c>
      <c r="DU29" s="67">
        <v>1.4300000000000001E-4</v>
      </c>
      <c r="DV29" s="67">
        <v>3.3000000000000003E-5</v>
      </c>
      <c r="DW29" s="67">
        <v>2.4000000000000001E-5</v>
      </c>
      <c r="DX29" s="67">
        <v>2.8800000000000001E-4</v>
      </c>
      <c r="DY29" s="67">
        <v>1.0000000000000001E-5</v>
      </c>
      <c r="DZ29" s="67">
        <v>0</v>
      </c>
      <c r="EA29" s="67">
        <v>6.2000000000000003E-5</v>
      </c>
      <c r="EB29" s="67">
        <v>3.4999999999999997E-5</v>
      </c>
      <c r="EC29" s="67">
        <v>5.0000000000000004E-6</v>
      </c>
      <c r="ED29" s="67">
        <v>2.5000000000000001E-5</v>
      </c>
      <c r="EE29" s="67">
        <v>3.0000000000000001E-6</v>
      </c>
      <c r="EF29" s="67">
        <v>3.0000000000000001E-6</v>
      </c>
      <c r="EG29" s="67">
        <v>3.0000000000000001E-6</v>
      </c>
      <c r="EH29" s="67">
        <v>6.9999999999999999E-6</v>
      </c>
      <c r="EI29" s="67">
        <v>9.0000000000000002E-6</v>
      </c>
      <c r="EJ29" s="67">
        <v>1.9999999999999999E-6</v>
      </c>
      <c r="EK29" s="67">
        <v>3.0000000000000001E-6</v>
      </c>
      <c r="EL29" s="67">
        <v>3.9999999999999998E-6</v>
      </c>
      <c r="EM29" s="67">
        <v>1.9999999999999999E-6</v>
      </c>
      <c r="EN29" s="67">
        <v>1.8E-5</v>
      </c>
      <c r="EO29" s="67">
        <v>6.0000000000000002E-6</v>
      </c>
      <c r="EP29" s="67">
        <v>1.9999999999999999E-6</v>
      </c>
      <c r="EQ29" s="67">
        <v>0</v>
      </c>
      <c r="ER29" s="67">
        <v>0</v>
      </c>
      <c r="ES29" s="67">
        <v>3.0000000000000001E-6</v>
      </c>
      <c r="ET29" s="67">
        <v>1.93E-4</v>
      </c>
      <c r="EU29" s="67">
        <v>0</v>
      </c>
      <c r="EV29" s="67">
        <v>4.6999999999999999E-4</v>
      </c>
      <c r="EW29" s="67">
        <v>6.7000000000000002E-5</v>
      </c>
      <c r="EX29" s="67">
        <v>6.0999999999999999E-5</v>
      </c>
      <c r="EY29" s="67">
        <v>7.1000000000000005E-5</v>
      </c>
      <c r="EZ29" s="67">
        <v>1.2999999999999999E-5</v>
      </c>
      <c r="FA29" s="67">
        <v>9.0000000000000002E-6</v>
      </c>
      <c r="FB29" s="67">
        <v>1.1E-5</v>
      </c>
      <c r="FC29" s="67">
        <v>1.7E-5</v>
      </c>
      <c r="FD29" s="67">
        <v>4.3999999999999999E-5</v>
      </c>
      <c r="FE29" s="67">
        <v>7.9999999999999996E-6</v>
      </c>
      <c r="FF29" s="67">
        <v>1.2E-5</v>
      </c>
      <c r="FG29" s="67">
        <v>1.2E-5</v>
      </c>
      <c r="FH29" s="67">
        <v>1.1E-5</v>
      </c>
      <c r="FI29" s="67">
        <v>7.6000000000000004E-5</v>
      </c>
      <c r="FJ29" s="67">
        <v>2.6999999999999999E-5</v>
      </c>
      <c r="FK29" s="67">
        <v>7.9999999999999996E-6</v>
      </c>
      <c r="FL29" s="67">
        <v>1.9999999999999999E-6</v>
      </c>
      <c r="FM29" s="67">
        <v>9.9999999999999995E-7</v>
      </c>
      <c r="FN29" s="67">
        <v>3.1000000000000001E-5</v>
      </c>
      <c r="FO29" s="67">
        <v>1.1640000000000001E-3</v>
      </c>
      <c r="FP29" s="67">
        <v>0</v>
      </c>
      <c r="FQ29" s="67">
        <v>2.709E-3</v>
      </c>
      <c r="FR29" s="67">
        <v>1.1502E-2</v>
      </c>
      <c r="FS29" s="67">
        <v>5.0699999999999996E-4</v>
      </c>
      <c r="FT29" s="67">
        <v>2.8479999999999998E-3</v>
      </c>
      <c r="FU29" s="67">
        <v>1.21E-4</v>
      </c>
      <c r="FV29" s="67">
        <v>2.72E-4</v>
      </c>
      <c r="FW29" s="67">
        <v>2.99E-4</v>
      </c>
      <c r="FX29" s="67">
        <v>5.9800000000000001E-4</v>
      </c>
      <c r="FY29" s="67">
        <v>8.4199999999999998E-4</v>
      </c>
      <c r="FZ29" s="67">
        <v>1.08E-4</v>
      </c>
      <c r="GA29" s="67">
        <v>1.84E-4</v>
      </c>
      <c r="GB29" s="67">
        <v>1.3300000000000001E-4</v>
      </c>
      <c r="GC29" s="67">
        <v>1.2E-4</v>
      </c>
      <c r="GD29" s="67">
        <v>1.065E-3</v>
      </c>
      <c r="GE29" s="67">
        <v>3.0299999999999999E-4</v>
      </c>
      <c r="GF29" s="67">
        <v>1.01E-4</v>
      </c>
      <c r="GG29" s="67">
        <v>5.3999999999999998E-5</v>
      </c>
      <c r="GH29" s="67">
        <v>3.8999999999999999E-5</v>
      </c>
      <c r="GI29" s="67">
        <v>3.3599999999999998E-4</v>
      </c>
      <c r="GJ29" s="67">
        <v>6.0000000000000002E-6</v>
      </c>
      <c r="GK29" s="67">
        <v>0</v>
      </c>
      <c r="GL29" s="67">
        <v>1.5E-5</v>
      </c>
      <c r="GM29" s="67">
        <v>6.0000000000000002E-6</v>
      </c>
      <c r="GN29" s="67">
        <v>3.9999999999999998E-6</v>
      </c>
      <c r="GO29" s="67">
        <v>1.2E-5</v>
      </c>
      <c r="GP29" s="67">
        <v>3.0000000000000001E-6</v>
      </c>
      <c r="GQ29" s="67">
        <v>3.9999999999999998E-6</v>
      </c>
      <c r="GR29" s="67">
        <v>1.9999999999999999E-6</v>
      </c>
      <c r="GS29" s="67">
        <v>6.9999999999999999E-6</v>
      </c>
      <c r="GT29" s="67">
        <v>6.0000000000000002E-6</v>
      </c>
      <c r="GU29" s="67">
        <v>3.9999999999999998E-6</v>
      </c>
      <c r="GV29" s="67">
        <v>1.9999999999999999E-6</v>
      </c>
      <c r="GW29" s="67">
        <v>3.0000000000000001E-6</v>
      </c>
      <c r="GX29" s="67">
        <v>3.0000000000000001E-6</v>
      </c>
      <c r="GY29" s="67">
        <v>9.0000000000000002E-6</v>
      </c>
      <c r="GZ29" s="67">
        <v>1.2999999999999999E-5</v>
      </c>
      <c r="HA29" s="67">
        <v>3.0000000000000001E-6</v>
      </c>
      <c r="HB29" s="67">
        <v>0</v>
      </c>
      <c r="HC29" s="67">
        <v>0</v>
      </c>
      <c r="HD29" s="67">
        <v>3.0000000000000001E-6</v>
      </c>
      <c r="HE29" s="67">
        <v>1.9900000000000001E-4</v>
      </c>
      <c r="HF29" s="67">
        <v>0</v>
      </c>
      <c r="HG29" s="67">
        <v>7.2000000000000005E-4</v>
      </c>
      <c r="HH29" s="67">
        <v>2.6899999999999998E-4</v>
      </c>
      <c r="HI29" s="67">
        <v>3.4E-5</v>
      </c>
      <c r="HJ29" s="67">
        <v>1.7000000000000001E-4</v>
      </c>
      <c r="HK29" s="67">
        <v>1.1E-5</v>
      </c>
      <c r="HL29" s="67">
        <v>7.9999999999999996E-6</v>
      </c>
      <c r="HM29" s="67">
        <v>1.0000000000000001E-5</v>
      </c>
      <c r="HN29" s="67">
        <v>2.0999999999999999E-5</v>
      </c>
      <c r="HO29" s="67">
        <v>3.3000000000000003E-5</v>
      </c>
      <c r="HP29" s="67">
        <v>9.0000000000000002E-6</v>
      </c>
      <c r="HQ29" s="67">
        <v>1.2999999999999999E-5</v>
      </c>
      <c r="HR29" s="67">
        <v>1.2E-5</v>
      </c>
      <c r="HS29" s="67">
        <v>9.0000000000000002E-6</v>
      </c>
      <c r="HT29" s="67">
        <v>1.4999999999999999E-4</v>
      </c>
      <c r="HU29" s="67">
        <v>2.1999999999999999E-5</v>
      </c>
      <c r="HV29" s="67">
        <v>6.0000000000000002E-6</v>
      </c>
      <c r="HW29" s="67">
        <v>3.0000000000000001E-6</v>
      </c>
      <c r="HX29" s="67">
        <v>1.9999999999999999E-6</v>
      </c>
      <c r="HY29" s="67">
        <v>1.7E-5</v>
      </c>
      <c r="HZ29" s="67"/>
      <c r="IA29" s="67"/>
      <c r="IB29" s="67"/>
      <c r="IC29" s="67"/>
      <c r="ID29" s="67"/>
      <c r="IE29" s="67"/>
      <c r="IF29" s="67"/>
      <c r="IG29" s="67"/>
      <c r="IH29" s="67"/>
      <c r="II29" s="67"/>
      <c r="IJ29" s="67"/>
      <c r="IK29" s="67"/>
      <c r="IL29" s="67"/>
      <c r="IM29" s="67"/>
      <c r="IN29" s="67"/>
      <c r="IO29" s="67"/>
      <c r="IP29" s="67"/>
      <c r="IQ29" s="67"/>
      <c r="IR29" s="67"/>
      <c r="IS29" s="67"/>
      <c r="IT29" s="67"/>
      <c r="IU29" s="67"/>
      <c r="IV29" s="67"/>
      <c r="IW29" s="67"/>
      <c r="IX29" s="67"/>
      <c r="IY29" s="67"/>
      <c r="IZ29" s="67"/>
      <c r="JA29" s="67"/>
      <c r="JB29" s="67"/>
      <c r="JC29" s="67"/>
      <c r="JD29" s="67"/>
      <c r="JE29" s="67"/>
      <c r="JF29" s="67"/>
      <c r="JG29" s="67"/>
      <c r="JH29" s="67"/>
      <c r="JI29" s="67"/>
      <c r="JJ29" s="67"/>
      <c r="JK29" s="67"/>
      <c r="JL29" s="67"/>
      <c r="JM29" s="67"/>
      <c r="JN29" s="67"/>
      <c r="JO29" s="67"/>
      <c r="JP29" s="67"/>
      <c r="JQ29" s="67"/>
    </row>
    <row r="30" spans="1:277">
      <c r="A30" s="68" t="s">
        <v>97</v>
      </c>
      <c r="B30" s="69" t="s">
        <v>11</v>
      </c>
      <c r="C30" s="70">
        <v>0</v>
      </c>
      <c r="D30" s="70">
        <v>1</v>
      </c>
      <c r="E30" s="70">
        <v>0</v>
      </c>
      <c r="F30" s="70">
        <v>0</v>
      </c>
      <c r="G30" s="70">
        <v>0</v>
      </c>
      <c r="H30" s="70">
        <v>0</v>
      </c>
      <c r="I30" s="70">
        <v>0</v>
      </c>
      <c r="J30" s="70">
        <v>0</v>
      </c>
      <c r="K30" s="70">
        <v>0</v>
      </c>
      <c r="L30" s="70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0">
        <v>0</v>
      </c>
      <c r="S30" s="70">
        <v>0</v>
      </c>
      <c r="T30" s="70">
        <v>0</v>
      </c>
      <c r="U30" s="70">
        <v>0</v>
      </c>
      <c r="V30" s="70">
        <v>0</v>
      </c>
      <c r="W30" s="70">
        <v>0</v>
      </c>
      <c r="X30" s="70">
        <v>0</v>
      </c>
      <c r="Y30" s="70">
        <v>0</v>
      </c>
      <c r="Z30" s="70">
        <v>0</v>
      </c>
      <c r="AA30" s="70">
        <v>0</v>
      </c>
      <c r="AB30" s="70">
        <v>0</v>
      </c>
      <c r="AC30" s="70">
        <v>0</v>
      </c>
      <c r="AD30" s="70">
        <v>0</v>
      </c>
      <c r="AE30" s="70">
        <v>0</v>
      </c>
      <c r="AF30" s="70">
        <v>0</v>
      </c>
      <c r="AG30" s="70">
        <v>0</v>
      </c>
      <c r="AH30" s="70">
        <v>0</v>
      </c>
      <c r="AI30" s="70">
        <v>0</v>
      </c>
      <c r="AJ30" s="70">
        <v>0</v>
      </c>
      <c r="AK30" s="70">
        <v>0</v>
      </c>
      <c r="AL30" s="70">
        <v>0</v>
      </c>
      <c r="AM30" s="70">
        <v>0</v>
      </c>
      <c r="AN30" s="70">
        <v>0</v>
      </c>
      <c r="AO30" s="70">
        <v>0</v>
      </c>
      <c r="AP30" s="70">
        <v>0</v>
      </c>
      <c r="AQ30" s="70">
        <v>0</v>
      </c>
      <c r="AR30" s="70">
        <v>0</v>
      </c>
      <c r="AS30" s="70">
        <v>0</v>
      </c>
      <c r="AT30" s="70">
        <v>0</v>
      </c>
      <c r="AU30" s="70">
        <v>0</v>
      </c>
      <c r="AV30" s="70">
        <v>0</v>
      </c>
      <c r="AW30" s="70">
        <v>0</v>
      </c>
      <c r="AX30" s="70">
        <v>0</v>
      </c>
      <c r="AY30" s="70">
        <v>0</v>
      </c>
      <c r="AZ30" s="70">
        <v>0</v>
      </c>
      <c r="BA30" s="70">
        <v>0</v>
      </c>
      <c r="BB30" s="70">
        <v>0</v>
      </c>
      <c r="BC30" s="70">
        <v>0</v>
      </c>
      <c r="BD30" s="70">
        <v>0</v>
      </c>
      <c r="BE30" s="70">
        <v>0</v>
      </c>
      <c r="BF30" s="70">
        <v>0</v>
      </c>
      <c r="BG30" s="70">
        <v>0</v>
      </c>
      <c r="BH30" s="70">
        <v>0</v>
      </c>
      <c r="BI30" s="70">
        <v>0</v>
      </c>
      <c r="BJ30" s="70">
        <v>0</v>
      </c>
      <c r="BK30" s="70">
        <v>0</v>
      </c>
      <c r="BL30" s="70">
        <v>0</v>
      </c>
      <c r="BM30" s="70">
        <v>0</v>
      </c>
      <c r="BN30" s="70">
        <v>0</v>
      </c>
      <c r="BO30" s="70">
        <v>0</v>
      </c>
      <c r="BP30" s="70">
        <v>0</v>
      </c>
      <c r="BQ30" s="70">
        <v>0</v>
      </c>
      <c r="BR30" s="70">
        <v>0</v>
      </c>
      <c r="BS30" s="70">
        <v>0</v>
      </c>
      <c r="BT30" s="70">
        <v>0</v>
      </c>
      <c r="BU30" s="70">
        <v>0</v>
      </c>
      <c r="BV30" s="70">
        <v>0</v>
      </c>
      <c r="BW30" s="70">
        <v>0</v>
      </c>
      <c r="BX30" s="70">
        <v>0</v>
      </c>
      <c r="BY30" s="70">
        <v>0</v>
      </c>
      <c r="BZ30" s="70">
        <v>0</v>
      </c>
      <c r="CA30" s="70">
        <v>0</v>
      </c>
      <c r="CB30" s="70">
        <v>0</v>
      </c>
      <c r="CC30" s="70">
        <v>0</v>
      </c>
      <c r="CD30" s="70">
        <v>0</v>
      </c>
      <c r="CE30" s="70">
        <v>0</v>
      </c>
      <c r="CF30" s="70">
        <v>0</v>
      </c>
      <c r="CG30" s="70">
        <v>0</v>
      </c>
      <c r="CH30" s="70">
        <v>0</v>
      </c>
      <c r="CI30" s="70">
        <v>0</v>
      </c>
      <c r="CJ30" s="70">
        <v>0</v>
      </c>
      <c r="CK30" s="70">
        <v>0</v>
      </c>
      <c r="CL30" s="70">
        <v>0</v>
      </c>
      <c r="CM30" s="70">
        <v>0</v>
      </c>
      <c r="CN30" s="70">
        <v>0</v>
      </c>
      <c r="CO30" s="70">
        <v>0</v>
      </c>
      <c r="CP30" s="70">
        <v>0</v>
      </c>
      <c r="CQ30" s="70">
        <v>0</v>
      </c>
      <c r="CR30" s="70">
        <v>0</v>
      </c>
      <c r="CS30" s="70">
        <v>0</v>
      </c>
      <c r="CT30" s="70">
        <v>0</v>
      </c>
      <c r="CU30" s="70">
        <v>0</v>
      </c>
      <c r="CV30" s="70">
        <v>0</v>
      </c>
      <c r="CW30" s="70">
        <v>0</v>
      </c>
      <c r="CX30" s="70">
        <v>0</v>
      </c>
      <c r="CY30" s="70">
        <v>0</v>
      </c>
      <c r="CZ30" s="70">
        <v>0</v>
      </c>
      <c r="DA30" s="70">
        <v>0</v>
      </c>
      <c r="DB30" s="70">
        <v>0</v>
      </c>
      <c r="DC30" s="70">
        <v>0</v>
      </c>
      <c r="DD30" s="70">
        <v>0</v>
      </c>
      <c r="DE30" s="70">
        <v>0</v>
      </c>
      <c r="DF30" s="70">
        <v>0</v>
      </c>
      <c r="DG30" s="70">
        <v>0</v>
      </c>
      <c r="DH30" s="70">
        <v>0</v>
      </c>
      <c r="DI30" s="70">
        <v>0</v>
      </c>
      <c r="DJ30" s="70">
        <v>0</v>
      </c>
      <c r="DK30" s="70">
        <v>0</v>
      </c>
      <c r="DL30" s="70">
        <v>0</v>
      </c>
      <c r="DM30" s="70">
        <v>0</v>
      </c>
      <c r="DN30" s="70">
        <v>0</v>
      </c>
      <c r="DO30" s="70">
        <v>0</v>
      </c>
      <c r="DP30" s="70">
        <v>0</v>
      </c>
      <c r="DQ30" s="70">
        <v>0</v>
      </c>
      <c r="DR30" s="70">
        <v>0</v>
      </c>
      <c r="DS30" s="70">
        <v>0</v>
      </c>
      <c r="DT30" s="70">
        <v>0</v>
      </c>
      <c r="DU30" s="70">
        <v>0</v>
      </c>
      <c r="DV30" s="70">
        <v>0</v>
      </c>
      <c r="DW30" s="70">
        <v>0</v>
      </c>
      <c r="DX30" s="70">
        <v>0</v>
      </c>
      <c r="DY30" s="70">
        <v>0</v>
      </c>
      <c r="DZ30" s="70">
        <v>0</v>
      </c>
      <c r="EA30" s="70">
        <v>0</v>
      </c>
      <c r="EB30" s="70">
        <v>0</v>
      </c>
      <c r="EC30" s="70">
        <v>0</v>
      </c>
      <c r="ED30" s="70">
        <v>0</v>
      </c>
      <c r="EE30" s="70">
        <v>0</v>
      </c>
      <c r="EF30" s="70">
        <v>0</v>
      </c>
      <c r="EG30" s="70">
        <v>0</v>
      </c>
      <c r="EH30" s="70">
        <v>0</v>
      </c>
      <c r="EI30" s="70">
        <v>0</v>
      </c>
      <c r="EJ30" s="70">
        <v>0</v>
      </c>
      <c r="EK30" s="70">
        <v>0</v>
      </c>
      <c r="EL30" s="70">
        <v>0</v>
      </c>
      <c r="EM30" s="70">
        <v>0</v>
      </c>
      <c r="EN30" s="70">
        <v>0</v>
      </c>
      <c r="EO30" s="70">
        <v>0</v>
      </c>
      <c r="EP30" s="70">
        <v>0</v>
      </c>
      <c r="EQ30" s="70">
        <v>0</v>
      </c>
      <c r="ER30" s="70">
        <v>0</v>
      </c>
      <c r="ES30" s="70">
        <v>0</v>
      </c>
      <c r="ET30" s="70">
        <v>0</v>
      </c>
      <c r="EU30" s="70">
        <v>0</v>
      </c>
      <c r="EV30" s="70">
        <v>0</v>
      </c>
      <c r="EW30" s="70">
        <v>0</v>
      </c>
      <c r="EX30" s="70">
        <v>0</v>
      </c>
      <c r="EY30" s="70">
        <v>0</v>
      </c>
      <c r="EZ30" s="70">
        <v>0</v>
      </c>
      <c r="FA30" s="70">
        <v>0</v>
      </c>
      <c r="FB30" s="70">
        <v>0</v>
      </c>
      <c r="FC30" s="70">
        <v>0</v>
      </c>
      <c r="FD30" s="70">
        <v>0</v>
      </c>
      <c r="FE30" s="70">
        <v>0</v>
      </c>
      <c r="FF30" s="70">
        <v>0</v>
      </c>
      <c r="FG30" s="70">
        <v>0</v>
      </c>
      <c r="FH30" s="70">
        <v>0</v>
      </c>
      <c r="FI30" s="70">
        <v>0</v>
      </c>
      <c r="FJ30" s="70">
        <v>0</v>
      </c>
      <c r="FK30" s="70">
        <v>0</v>
      </c>
      <c r="FL30" s="70">
        <v>0</v>
      </c>
      <c r="FM30" s="70">
        <v>0</v>
      </c>
      <c r="FN30" s="70">
        <v>0</v>
      </c>
      <c r="FO30" s="70">
        <v>0</v>
      </c>
      <c r="FP30" s="70">
        <v>0</v>
      </c>
      <c r="FQ30" s="70">
        <v>0</v>
      </c>
      <c r="FR30" s="70">
        <v>0</v>
      </c>
      <c r="FS30" s="70">
        <v>0</v>
      </c>
      <c r="FT30" s="70">
        <v>0</v>
      </c>
      <c r="FU30" s="70">
        <v>0</v>
      </c>
      <c r="FV30" s="70">
        <v>0</v>
      </c>
      <c r="FW30" s="70">
        <v>0</v>
      </c>
      <c r="FX30" s="70">
        <v>0</v>
      </c>
      <c r="FY30" s="70">
        <v>0</v>
      </c>
      <c r="FZ30" s="70">
        <v>0</v>
      </c>
      <c r="GA30" s="70">
        <v>0</v>
      </c>
      <c r="GB30" s="70">
        <v>0</v>
      </c>
      <c r="GC30" s="70">
        <v>0</v>
      </c>
      <c r="GD30" s="70">
        <v>0</v>
      </c>
      <c r="GE30" s="70">
        <v>0</v>
      </c>
      <c r="GF30" s="70">
        <v>0</v>
      </c>
      <c r="GG30" s="70">
        <v>0</v>
      </c>
      <c r="GH30" s="70">
        <v>0</v>
      </c>
      <c r="GI30" s="70">
        <v>0</v>
      </c>
      <c r="GJ30" s="70">
        <v>0</v>
      </c>
      <c r="GK30" s="70">
        <v>0</v>
      </c>
      <c r="GL30" s="70">
        <v>0</v>
      </c>
      <c r="GM30" s="70">
        <v>0</v>
      </c>
      <c r="GN30" s="70">
        <v>0</v>
      </c>
      <c r="GO30" s="70">
        <v>0</v>
      </c>
      <c r="GP30" s="70">
        <v>0</v>
      </c>
      <c r="GQ30" s="70">
        <v>0</v>
      </c>
      <c r="GR30" s="70">
        <v>0</v>
      </c>
      <c r="GS30" s="70">
        <v>0</v>
      </c>
      <c r="GT30" s="70">
        <v>0</v>
      </c>
      <c r="GU30" s="70">
        <v>0</v>
      </c>
      <c r="GV30" s="70">
        <v>0</v>
      </c>
      <c r="GW30" s="70">
        <v>0</v>
      </c>
      <c r="GX30" s="70">
        <v>0</v>
      </c>
      <c r="GY30" s="70">
        <v>0</v>
      </c>
      <c r="GZ30" s="70">
        <v>0</v>
      </c>
      <c r="HA30" s="70">
        <v>0</v>
      </c>
      <c r="HB30" s="70">
        <v>0</v>
      </c>
      <c r="HC30" s="70">
        <v>0</v>
      </c>
      <c r="HD30" s="70">
        <v>0</v>
      </c>
      <c r="HE30" s="70">
        <v>0</v>
      </c>
      <c r="HF30" s="70">
        <v>0</v>
      </c>
      <c r="HG30" s="70">
        <v>0</v>
      </c>
      <c r="HH30" s="70">
        <v>0</v>
      </c>
      <c r="HI30" s="70">
        <v>0</v>
      </c>
      <c r="HJ30" s="70">
        <v>0</v>
      </c>
      <c r="HK30" s="70">
        <v>0</v>
      </c>
      <c r="HL30" s="70">
        <v>0</v>
      </c>
      <c r="HM30" s="70">
        <v>0</v>
      </c>
      <c r="HN30" s="70">
        <v>0</v>
      </c>
      <c r="HO30" s="70">
        <v>0</v>
      </c>
      <c r="HP30" s="70">
        <v>0</v>
      </c>
      <c r="HQ30" s="70">
        <v>0</v>
      </c>
      <c r="HR30" s="70">
        <v>0</v>
      </c>
      <c r="HS30" s="70">
        <v>0</v>
      </c>
      <c r="HT30" s="70">
        <v>0</v>
      </c>
      <c r="HU30" s="70">
        <v>0</v>
      </c>
      <c r="HV30" s="70">
        <v>0</v>
      </c>
      <c r="HW30" s="70">
        <v>0</v>
      </c>
      <c r="HX30" s="70">
        <v>0</v>
      </c>
      <c r="HY30" s="70">
        <v>0</v>
      </c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</row>
    <row r="31" spans="1:277">
      <c r="A31" s="65" t="s">
        <v>98</v>
      </c>
      <c r="B31" s="66" t="s">
        <v>12</v>
      </c>
      <c r="C31" s="67">
        <v>6.5950000000000002E-3</v>
      </c>
      <c r="D31" s="67">
        <v>0</v>
      </c>
      <c r="E31" s="67">
        <v>1.0339370000000001</v>
      </c>
      <c r="F31" s="67">
        <v>1.3386E-2</v>
      </c>
      <c r="G31" s="67">
        <v>2.0579999999999999E-3</v>
      </c>
      <c r="H31" s="67">
        <v>2.2499000000000002E-2</v>
      </c>
      <c r="I31" s="67">
        <v>5.8799999999999998E-4</v>
      </c>
      <c r="J31" s="67">
        <v>2.114E-3</v>
      </c>
      <c r="K31" s="67">
        <v>1.7650000000000001E-3</v>
      </c>
      <c r="L31" s="67">
        <v>9.6950000000000005E-3</v>
      </c>
      <c r="M31" s="67">
        <v>5.8459999999999996E-3</v>
      </c>
      <c r="N31" s="67">
        <v>1.0219999999999999E-3</v>
      </c>
      <c r="O31" s="67">
        <v>1.323E-3</v>
      </c>
      <c r="P31" s="67">
        <v>4.5370000000000002E-3</v>
      </c>
      <c r="Q31" s="67">
        <v>7.3569999999999998E-3</v>
      </c>
      <c r="R31" s="67">
        <v>6.4277000000000001E-2</v>
      </c>
      <c r="S31" s="67">
        <v>6.4520000000000003E-3</v>
      </c>
      <c r="T31" s="67">
        <v>2.2260000000000001E-3</v>
      </c>
      <c r="U31" s="67">
        <v>8.7200000000000005E-4</v>
      </c>
      <c r="V31" s="67">
        <v>6.3400000000000001E-4</v>
      </c>
      <c r="W31" s="67">
        <v>2.8660999999999999E-2</v>
      </c>
      <c r="X31" s="67">
        <v>2.8E-5</v>
      </c>
      <c r="Y31" s="67">
        <v>0</v>
      </c>
      <c r="Z31" s="67">
        <v>2.0000000000000002E-5</v>
      </c>
      <c r="AA31" s="67">
        <v>2.0000000000000002E-5</v>
      </c>
      <c r="AB31" s="67">
        <v>1.7E-5</v>
      </c>
      <c r="AC31" s="67">
        <v>9.0000000000000006E-5</v>
      </c>
      <c r="AD31" s="67">
        <v>1.4E-5</v>
      </c>
      <c r="AE31" s="67">
        <v>9.0000000000000002E-6</v>
      </c>
      <c r="AF31" s="67">
        <v>1.0000000000000001E-5</v>
      </c>
      <c r="AG31" s="67">
        <v>2.0000000000000002E-5</v>
      </c>
      <c r="AH31" s="67">
        <v>2.0000000000000002E-5</v>
      </c>
      <c r="AI31" s="67">
        <v>3.0000000000000001E-6</v>
      </c>
      <c r="AJ31" s="67">
        <v>9.0000000000000002E-6</v>
      </c>
      <c r="AK31" s="67">
        <v>3.0000000000000001E-6</v>
      </c>
      <c r="AL31" s="67">
        <v>6.0000000000000002E-6</v>
      </c>
      <c r="AM31" s="67">
        <v>9.0000000000000002E-6</v>
      </c>
      <c r="AN31" s="67">
        <v>6.9999999999999999E-6</v>
      </c>
      <c r="AO31" s="67">
        <v>1.9999999999999999E-6</v>
      </c>
      <c r="AP31" s="67">
        <v>0</v>
      </c>
      <c r="AQ31" s="67">
        <v>0</v>
      </c>
      <c r="AR31" s="67">
        <v>3.0000000000000001E-6</v>
      </c>
      <c r="AS31" s="67">
        <v>3.9999999999999998E-6</v>
      </c>
      <c r="AT31" s="67">
        <v>0</v>
      </c>
      <c r="AU31" s="67">
        <v>6.9999999999999999E-6</v>
      </c>
      <c r="AV31" s="67">
        <v>9.0000000000000002E-6</v>
      </c>
      <c r="AW31" s="67">
        <v>3.9999999999999998E-6</v>
      </c>
      <c r="AX31" s="67">
        <v>1.5999999999999999E-5</v>
      </c>
      <c r="AY31" s="67">
        <v>3.0000000000000001E-6</v>
      </c>
      <c r="AZ31" s="67">
        <v>3.9999999999999998E-6</v>
      </c>
      <c r="BA31" s="67">
        <v>3.0000000000000001E-6</v>
      </c>
      <c r="BB31" s="67">
        <v>7.9999999999999996E-6</v>
      </c>
      <c r="BC31" s="67">
        <v>6.9999999999999999E-6</v>
      </c>
      <c r="BD31" s="67">
        <v>3.0000000000000001E-6</v>
      </c>
      <c r="BE31" s="67">
        <v>3.0000000000000001E-6</v>
      </c>
      <c r="BF31" s="67">
        <v>1.9999999999999999E-6</v>
      </c>
      <c r="BG31" s="67">
        <v>3.0000000000000001E-6</v>
      </c>
      <c r="BH31" s="67">
        <v>3.9999999999999998E-6</v>
      </c>
      <c r="BI31" s="67">
        <v>1.1E-5</v>
      </c>
      <c r="BJ31" s="67">
        <v>3.0000000000000001E-6</v>
      </c>
      <c r="BK31" s="67">
        <v>9.9999999999999995E-7</v>
      </c>
      <c r="BL31" s="67">
        <v>0</v>
      </c>
      <c r="BM31" s="67">
        <v>3.0000000000000001E-6</v>
      </c>
      <c r="BN31" s="67">
        <v>1.9999999999999999E-6</v>
      </c>
      <c r="BO31" s="67">
        <v>0</v>
      </c>
      <c r="BP31" s="67">
        <v>3.0000000000000001E-6</v>
      </c>
      <c r="BQ31" s="67">
        <v>3.9999999999999998E-6</v>
      </c>
      <c r="BR31" s="67">
        <v>3.0000000000000001E-6</v>
      </c>
      <c r="BS31" s="67">
        <v>1.0000000000000001E-5</v>
      </c>
      <c r="BT31" s="67">
        <v>3.0000000000000001E-6</v>
      </c>
      <c r="BU31" s="67">
        <v>3.0000000000000001E-6</v>
      </c>
      <c r="BV31" s="67">
        <v>3.0000000000000001E-6</v>
      </c>
      <c r="BW31" s="67">
        <v>6.9999999999999999E-6</v>
      </c>
      <c r="BX31" s="67">
        <v>3.9999999999999998E-6</v>
      </c>
      <c r="BY31" s="67">
        <v>1.9999999999999999E-6</v>
      </c>
      <c r="BZ31" s="67">
        <v>3.9999999999999998E-6</v>
      </c>
      <c r="CA31" s="67">
        <v>3.0000000000000001E-6</v>
      </c>
      <c r="CB31" s="67">
        <v>1.9999999999999999E-6</v>
      </c>
      <c r="CC31" s="67">
        <v>1.9999999999999999E-6</v>
      </c>
      <c r="CD31" s="67">
        <v>5.0000000000000004E-6</v>
      </c>
      <c r="CE31" s="67">
        <v>9.9999999999999995E-7</v>
      </c>
      <c r="CF31" s="67">
        <v>0</v>
      </c>
      <c r="CG31" s="67">
        <v>0</v>
      </c>
      <c r="CH31" s="67">
        <v>3.0000000000000001E-6</v>
      </c>
      <c r="CI31" s="67">
        <v>3.0000000000000001E-6</v>
      </c>
      <c r="CJ31" s="67">
        <v>0</v>
      </c>
      <c r="CK31" s="67">
        <v>1.0000000000000001E-5</v>
      </c>
      <c r="CL31" s="67">
        <v>3.0000000000000001E-6</v>
      </c>
      <c r="CM31" s="67">
        <v>3.0000000000000001E-6</v>
      </c>
      <c r="CN31" s="67">
        <v>6.9999999999999999E-6</v>
      </c>
      <c r="CO31" s="67">
        <v>1.9999999999999999E-6</v>
      </c>
      <c r="CP31" s="67">
        <v>1.9999999999999999E-6</v>
      </c>
      <c r="CQ31" s="67">
        <v>1.9999999999999999E-6</v>
      </c>
      <c r="CR31" s="67">
        <v>3.9999999999999998E-6</v>
      </c>
      <c r="CS31" s="67">
        <v>3.9999999999999998E-6</v>
      </c>
      <c r="CT31" s="67">
        <v>9.9999999999999995E-7</v>
      </c>
      <c r="CU31" s="67">
        <v>1.9999999999999999E-6</v>
      </c>
      <c r="CV31" s="67">
        <v>1.9999999999999999E-6</v>
      </c>
      <c r="CW31" s="67">
        <v>9.9999999999999995E-7</v>
      </c>
      <c r="CX31" s="67">
        <v>3.0000000000000001E-6</v>
      </c>
      <c r="CY31" s="67">
        <v>3.9999999999999998E-6</v>
      </c>
      <c r="CZ31" s="67">
        <v>1.9999999999999999E-6</v>
      </c>
      <c r="DA31" s="67">
        <v>9.9999999999999995E-7</v>
      </c>
      <c r="DB31" s="67">
        <v>0</v>
      </c>
      <c r="DC31" s="67">
        <v>1.9999999999999999E-6</v>
      </c>
      <c r="DD31" s="67">
        <v>4.3999999999999999E-5</v>
      </c>
      <c r="DE31" s="67">
        <v>0</v>
      </c>
      <c r="DF31" s="67">
        <v>9.0000000000000006E-5</v>
      </c>
      <c r="DG31" s="67">
        <v>4.6E-5</v>
      </c>
      <c r="DH31" s="67">
        <v>1.1E-5</v>
      </c>
      <c r="DI31" s="67">
        <v>5.1E-5</v>
      </c>
      <c r="DJ31" s="67">
        <v>6.0000000000000002E-6</v>
      </c>
      <c r="DK31" s="67">
        <v>6.0000000000000002E-6</v>
      </c>
      <c r="DL31" s="67">
        <v>6.9999999999999999E-6</v>
      </c>
      <c r="DM31" s="67">
        <v>2.4000000000000001E-5</v>
      </c>
      <c r="DN31" s="67">
        <v>1.7E-5</v>
      </c>
      <c r="DO31" s="67">
        <v>3.0000000000000001E-6</v>
      </c>
      <c r="DP31" s="67">
        <v>3.9999999999999998E-6</v>
      </c>
      <c r="DQ31" s="67">
        <v>1.9999999999999999E-6</v>
      </c>
      <c r="DR31" s="67">
        <v>3.9999999999999998E-6</v>
      </c>
      <c r="DS31" s="67">
        <v>3.4E-5</v>
      </c>
      <c r="DT31" s="67">
        <v>1.5E-5</v>
      </c>
      <c r="DU31" s="67">
        <v>3.0000000000000001E-6</v>
      </c>
      <c r="DV31" s="67">
        <v>9.9999999999999995E-7</v>
      </c>
      <c r="DW31" s="67">
        <v>9.9999999999999995E-7</v>
      </c>
      <c r="DX31" s="67">
        <v>3.9999999999999998E-6</v>
      </c>
      <c r="DY31" s="67">
        <v>9.9999999999999995E-7</v>
      </c>
      <c r="DZ31" s="67">
        <v>0</v>
      </c>
      <c r="EA31" s="67">
        <v>3.0000000000000001E-6</v>
      </c>
      <c r="EB31" s="67">
        <v>3.9999999999999998E-6</v>
      </c>
      <c r="EC31" s="67">
        <v>1.9999999999999999E-6</v>
      </c>
      <c r="ED31" s="67">
        <v>6.0000000000000002E-6</v>
      </c>
      <c r="EE31" s="67">
        <v>1.9999999999999999E-6</v>
      </c>
      <c r="EF31" s="67">
        <v>1.9999999999999999E-6</v>
      </c>
      <c r="EG31" s="67">
        <v>1.9999999999999999E-6</v>
      </c>
      <c r="EH31" s="67">
        <v>5.0000000000000004E-6</v>
      </c>
      <c r="EI31" s="67">
        <v>5.0000000000000004E-6</v>
      </c>
      <c r="EJ31" s="67">
        <v>1.9999999999999999E-6</v>
      </c>
      <c r="EK31" s="67">
        <v>3.0000000000000001E-6</v>
      </c>
      <c r="EL31" s="67">
        <v>3.0000000000000001E-6</v>
      </c>
      <c r="EM31" s="67">
        <v>1.9999999999999999E-6</v>
      </c>
      <c r="EN31" s="67">
        <v>3.0000000000000001E-6</v>
      </c>
      <c r="EO31" s="67">
        <v>7.9999999999999996E-6</v>
      </c>
      <c r="EP31" s="67">
        <v>3.0000000000000001E-6</v>
      </c>
      <c r="EQ31" s="67">
        <v>9.9999999999999995E-7</v>
      </c>
      <c r="ER31" s="67">
        <v>0</v>
      </c>
      <c r="ES31" s="67">
        <v>1.9999999999999999E-6</v>
      </c>
      <c r="ET31" s="67">
        <v>3.8699999999999997E-4</v>
      </c>
      <c r="EU31" s="67">
        <v>0</v>
      </c>
      <c r="EV31" s="67">
        <v>6.7699999999999998E-4</v>
      </c>
      <c r="EW31" s="67">
        <v>3.6000000000000001E-5</v>
      </c>
      <c r="EX31" s="67">
        <v>1.3999999999999999E-4</v>
      </c>
      <c r="EY31" s="67">
        <v>1.2799999999999999E-4</v>
      </c>
      <c r="EZ31" s="67">
        <v>2.3E-5</v>
      </c>
      <c r="FA31" s="67">
        <v>1.5999999999999999E-5</v>
      </c>
      <c r="FB31" s="67">
        <v>2.0000000000000002E-5</v>
      </c>
      <c r="FC31" s="67">
        <v>2.4000000000000001E-5</v>
      </c>
      <c r="FD31" s="67">
        <v>5.5000000000000002E-5</v>
      </c>
      <c r="FE31" s="67">
        <v>1.4E-5</v>
      </c>
      <c r="FF31" s="67">
        <v>2.1999999999999999E-5</v>
      </c>
      <c r="FG31" s="67">
        <v>2.0999999999999999E-5</v>
      </c>
      <c r="FH31" s="67">
        <v>2.0000000000000002E-5</v>
      </c>
      <c r="FI31" s="67">
        <v>9.7E-5</v>
      </c>
      <c r="FJ31" s="67">
        <v>4.5000000000000003E-5</v>
      </c>
      <c r="FK31" s="67">
        <v>1.5E-5</v>
      </c>
      <c r="FL31" s="67">
        <v>5.0000000000000004E-6</v>
      </c>
      <c r="FM31" s="67">
        <v>3.0000000000000001E-6</v>
      </c>
      <c r="FN31" s="67">
        <v>6.2000000000000003E-5</v>
      </c>
      <c r="FO31" s="67">
        <v>2.6200000000000003E-4</v>
      </c>
      <c r="FP31" s="67">
        <v>0</v>
      </c>
      <c r="FQ31" s="67">
        <v>1.9780000000000002E-3</v>
      </c>
      <c r="FR31" s="67">
        <v>3.8200000000000002E-4</v>
      </c>
      <c r="FS31" s="67">
        <v>1.2799999999999999E-4</v>
      </c>
      <c r="FT31" s="67">
        <v>1.024E-3</v>
      </c>
      <c r="FU31" s="67">
        <v>7.8999999999999996E-5</v>
      </c>
      <c r="FV31" s="67">
        <v>1.4999999999999999E-4</v>
      </c>
      <c r="FW31" s="67">
        <v>1.1900000000000001E-4</v>
      </c>
      <c r="FX31" s="67">
        <v>2.2900000000000001E-4</v>
      </c>
      <c r="FY31" s="67">
        <v>2.4600000000000002E-4</v>
      </c>
      <c r="FZ31" s="67">
        <v>8.2999999999999998E-5</v>
      </c>
      <c r="GA31" s="67">
        <v>9.2E-5</v>
      </c>
      <c r="GB31" s="67">
        <v>1.18E-4</v>
      </c>
      <c r="GC31" s="67">
        <v>9.8999999999999994E-5</v>
      </c>
      <c r="GD31" s="67">
        <v>2.0379999999999999E-3</v>
      </c>
      <c r="GE31" s="67">
        <v>2.8299999999999999E-4</v>
      </c>
      <c r="GF31" s="67">
        <v>1.45E-4</v>
      </c>
      <c r="GG31" s="67">
        <v>8.6000000000000003E-5</v>
      </c>
      <c r="GH31" s="67">
        <v>6.3E-5</v>
      </c>
      <c r="GI31" s="67">
        <v>6.2200000000000005E-4</v>
      </c>
      <c r="GJ31" s="67">
        <v>3.9999999999999998E-6</v>
      </c>
      <c r="GK31" s="67">
        <v>0</v>
      </c>
      <c r="GL31" s="67">
        <v>6.0000000000000002E-6</v>
      </c>
      <c r="GM31" s="67">
        <v>5.0000000000000004E-6</v>
      </c>
      <c r="GN31" s="67">
        <v>3.0000000000000001E-6</v>
      </c>
      <c r="GO31" s="67">
        <v>1.1E-5</v>
      </c>
      <c r="GP31" s="67">
        <v>3.0000000000000001E-6</v>
      </c>
      <c r="GQ31" s="67">
        <v>3.9999999999999998E-6</v>
      </c>
      <c r="GR31" s="67">
        <v>3.0000000000000001E-6</v>
      </c>
      <c r="GS31" s="67">
        <v>9.0000000000000002E-6</v>
      </c>
      <c r="GT31" s="67">
        <v>6.9999999999999999E-6</v>
      </c>
      <c r="GU31" s="67">
        <v>6.0000000000000002E-6</v>
      </c>
      <c r="GV31" s="67">
        <v>1.9999999999999999E-6</v>
      </c>
      <c r="GW31" s="67">
        <v>3.9999999999999998E-6</v>
      </c>
      <c r="GX31" s="67">
        <v>3.0000000000000001E-6</v>
      </c>
      <c r="GY31" s="67">
        <v>3.9999999999999998E-6</v>
      </c>
      <c r="GZ31" s="67">
        <v>2.5999999999999998E-5</v>
      </c>
      <c r="HA31" s="67">
        <v>5.0000000000000004E-6</v>
      </c>
      <c r="HB31" s="67">
        <v>9.9999999999999995E-7</v>
      </c>
      <c r="HC31" s="67">
        <v>0</v>
      </c>
      <c r="HD31" s="67">
        <v>5.0000000000000004E-6</v>
      </c>
      <c r="HE31" s="67">
        <v>5.0000000000000004E-6</v>
      </c>
      <c r="HF31" s="67">
        <v>0</v>
      </c>
      <c r="HG31" s="67">
        <v>1.4E-5</v>
      </c>
      <c r="HH31" s="67">
        <v>1.0000000000000001E-5</v>
      </c>
      <c r="HI31" s="67">
        <v>3.9999999999999998E-6</v>
      </c>
      <c r="HJ31" s="67">
        <v>1.9000000000000001E-5</v>
      </c>
      <c r="HK31" s="67">
        <v>3.9999999999999998E-6</v>
      </c>
      <c r="HL31" s="67">
        <v>3.0000000000000001E-6</v>
      </c>
      <c r="HM31" s="67">
        <v>3.0000000000000001E-6</v>
      </c>
      <c r="HN31" s="67">
        <v>7.9999999999999996E-6</v>
      </c>
      <c r="HO31" s="67">
        <v>7.9999999999999996E-6</v>
      </c>
      <c r="HP31" s="67">
        <v>3.0000000000000001E-6</v>
      </c>
      <c r="HQ31" s="67">
        <v>3.9999999999999998E-6</v>
      </c>
      <c r="HR31" s="67">
        <v>3.9999999999999998E-6</v>
      </c>
      <c r="HS31" s="67">
        <v>3.0000000000000001E-6</v>
      </c>
      <c r="HT31" s="67">
        <v>9.0000000000000002E-6</v>
      </c>
      <c r="HU31" s="67">
        <v>1.0000000000000001E-5</v>
      </c>
      <c r="HV31" s="67">
        <v>3.9999999999999998E-6</v>
      </c>
      <c r="HW31" s="67">
        <v>9.9999999999999995E-7</v>
      </c>
      <c r="HX31" s="67">
        <v>9.9999999999999995E-7</v>
      </c>
      <c r="HY31" s="67">
        <v>3.9999999999999998E-6</v>
      </c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67"/>
      <c r="JO31" s="67"/>
      <c r="JP31" s="67"/>
      <c r="JQ31" s="67"/>
    </row>
    <row r="32" spans="1:277">
      <c r="A32" s="327" t="s">
        <v>99</v>
      </c>
      <c r="B32" s="71" t="s">
        <v>13</v>
      </c>
      <c r="C32" s="70">
        <v>1.253E-3</v>
      </c>
      <c r="D32" s="70">
        <v>0</v>
      </c>
      <c r="E32" s="70">
        <v>1.4744999999999999E-2</v>
      </c>
      <c r="F32" s="70">
        <v>1.1765369999999999</v>
      </c>
      <c r="G32" s="70">
        <v>3.2550000000000001E-3</v>
      </c>
      <c r="H32" s="70">
        <v>4.8500000000000001E-3</v>
      </c>
      <c r="I32" s="70">
        <v>1.1479999999999999E-3</v>
      </c>
      <c r="J32" s="70">
        <v>8.03E-4</v>
      </c>
      <c r="K32" s="70">
        <v>8.4400000000000002E-4</v>
      </c>
      <c r="L32" s="70">
        <v>0.101734</v>
      </c>
      <c r="M32" s="70">
        <v>0.13682800000000001</v>
      </c>
      <c r="N32" s="70">
        <v>3.39E-4</v>
      </c>
      <c r="O32" s="70">
        <v>8.0599999999999997E-4</v>
      </c>
      <c r="P32" s="70">
        <v>2.4580000000000001E-3</v>
      </c>
      <c r="Q32" s="70">
        <v>9.1959999999999993E-3</v>
      </c>
      <c r="R32" s="70">
        <v>5.7780000000000001E-3</v>
      </c>
      <c r="S32" s="70">
        <v>3.9259999999999998E-3</v>
      </c>
      <c r="T32" s="70">
        <v>9.0700000000000004E-4</v>
      </c>
      <c r="U32" s="70">
        <v>6.1899999999999998E-4</v>
      </c>
      <c r="V32" s="70">
        <v>4.4999999999999999E-4</v>
      </c>
      <c r="W32" s="70">
        <v>5.6109999999999997E-3</v>
      </c>
      <c r="X32" s="70">
        <v>1.2E-5</v>
      </c>
      <c r="Y32" s="70">
        <v>0</v>
      </c>
      <c r="Z32" s="70">
        <v>1.0000000000000001E-5</v>
      </c>
      <c r="AA32" s="70">
        <v>5.5699999999999999E-4</v>
      </c>
      <c r="AB32" s="70">
        <v>1.1E-5</v>
      </c>
      <c r="AC32" s="70">
        <v>4.6E-5</v>
      </c>
      <c r="AD32" s="70">
        <v>7.9999999999999996E-6</v>
      </c>
      <c r="AE32" s="70">
        <v>6.0000000000000002E-6</v>
      </c>
      <c r="AF32" s="70">
        <v>9.0000000000000002E-6</v>
      </c>
      <c r="AG32" s="70">
        <v>3.6000000000000001E-5</v>
      </c>
      <c r="AH32" s="70">
        <v>6.2000000000000003E-5</v>
      </c>
      <c r="AI32" s="70">
        <v>5.0000000000000004E-6</v>
      </c>
      <c r="AJ32" s="70">
        <v>9.0000000000000002E-6</v>
      </c>
      <c r="AK32" s="70">
        <v>6.0000000000000002E-6</v>
      </c>
      <c r="AL32" s="70">
        <v>7.9999999999999996E-6</v>
      </c>
      <c r="AM32" s="70">
        <v>1.1E-5</v>
      </c>
      <c r="AN32" s="70">
        <v>1.1E-5</v>
      </c>
      <c r="AO32" s="70">
        <v>1.9999999999999999E-6</v>
      </c>
      <c r="AP32" s="70">
        <v>0</v>
      </c>
      <c r="AQ32" s="70">
        <v>0</v>
      </c>
      <c r="AR32" s="70">
        <v>6.0000000000000002E-6</v>
      </c>
      <c r="AS32" s="70">
        <v>3.9999999999999998E-6</v>
      </c>
      <c r="AT32" s="70">
        <v>0</v>
      </c>
      <c r="AU32" s="70">
        <v>6.0000000000000002E-6</v>
      </c>
      <c r="AV32" s="70">
        <v>3.7599999999999998E-4</v>
      </c>
      <c r="AW32" s="70">
        <v>1.5E-5</v>
      </c>
      <c r="AX32" s="70">
        <v>3.0000000000000001E-5</v>
      </c>
      <c r="AY32" s="70">
        <v>6.0000000000000002E-6</v>
      </c>
      <c r="AZ32" s="70">
        <v>5.0000000000000004E-6</v>
      </c>
      <c r="BA32" s="70">
        <v>6.0000000000000002E-6</v>
      </c>
      <c r="BB32" s="70">
        <v>1.9000000000000001E-5</v>
      </c>
      <c r="BC32" s="70">
        <v>5.1999999999999997E-5</v>
      </c>
      <c r="BD32" s="70">
        <v>3.0000000000000001E-6</v>
      </c>
      <c r="BE32" s="70">
        <v>6.0000000000000002E-6</v>
      </c>
      <c r="BF32" s="70">
        <v>5.0000000000000004E-6</v>
      </c>
      <c r="BG32" s="70">
        <v>3.9999999999999998E-6</v>
      </c>
      <c r="BH32" s="70">
        <v>5.0000000000000004E-6</v>
      </c>
      <c r="BI32" s="70">
        <v>1.0000000000000001E-5</v>
      </c>
      <c r="BJ32" s="70">
        <v>1.9999999999999999E-6</v>
      </c>
      <c r="BK32" s="70">
        <v>9.9999999999999995E-7</v>
      </c>
      <c r="BL32" s="70">
        <v>0</v>
      </c>
      <c r="BM32" s="70">
        <v>3.9999999999999998E-6</v>
      </c>
      <c r="BN32" s="70">
        <v>0</v>
      </c>
      <c r="BO32" s="70">
        <v>0</v>
      </c>
      <c r="BP32" s="70">
        <v>9.9999999999999995E-7</v>
      </c>
      <c r="BQ32" s="70">
        <v>5.0000000000000004E-6</v>
      </c>
      <c r="BR32" s="70">
        <v>9.9999999999999995E-7</v>
      </c>
      <c r="BS32" s="70">
        <v>3.0000000000000001E-6</v>
      </c>
      <c r="BT32" s="70">
        <v>9.9999999999999995E-7</v>
      </c>
      <c r="BU32" s="70">
        <v>9.9999999999999995E-7</v>
      </c>
      <c r="BV32" s="70">
        <v>9.9999999999999995E-7</v>
      </c>
      <c r="BW32" s="70">
        <v>3.0000000000000001E-6</v>
      </c>
      <c r="BX32" s="70">
        <v>1.9999999999999999E-6</v>
      </c>
      <c r="BY32" s="70">
        <v>9.9999999999999995E-7</v>
      </c>
      <c r="BZ32" s="70">
        <v>9.9999999999999995E-7</v>
      </c>
      <c r="CA32" s="70">
        <v>9.9999999999999995E-7</v>
      </c>
      <c r="CB32" s="70">
        <v>9.9999999999999995E-7</v>
      </c>
      <c r="CC32" s="70">
        <v>9.9999999999999995E-7</v>
      </c>
      <c r="CD32" s="70">
        <v>9.9999999999999995E-7</v>
      </c>
      <c r="CE32" s="70">
        <v>0</v>
      </c>
      <c r="CF32" s="70">
        <v>0</v>
      </c>
      <c r="CG32" s="70">
        <v>0</v>
      </c>
      <c r="CH32" s="70">
        <v>9.9999999999999995E-7</v>
      </c>
      <c r="CI32" s="70">
        <v>9.9999999999999995E-7</v>
      </c>
      <c r="CJ32" s="70">
        <v>0</v>
      </c>
      <c r="CK32" s="70">
        <v>9.9999999999999995E-7</v>
      </c>
      <c r="CL32" s="70">
        <v>1.7E-5</v>
      </c>
      <c r="CM32" s="70">
        <v>3.0000000000000001E-6</v>
      </c>
      <c r="CN32" s="70">
        <v>5.0000000000000004E-6</v>
      </c>
      <c r="CO32" s="70">
        <v>9.9999999999999995E-7</v>
      </c>
      <c r="CP32" s="70">
        <v>9.9999999999999995E-7</v>
      </c>
      <c r="CQ32" s="70">
        <v>9.9999999999999995E-7</v>
      </c>
      <c r="CR32" s="70">
        <v>3.9999999999999998E-6</v>
      </c>
      <c r="CS32" s="70">
        <v>5.0000000000000004E-6</v>
      </c>
      <c r="CT32" s="70">
        <v>9.9999999999999995E-7</v>
      </c>
      <c r="CU32" s="70">
        <v>9.9999999999999995E-7</v>
      </c>
      <c r="CV32" s="70">
        <v>9.9999999999999995E-7</v>
      </c>
      <c r="CW32" s="70">
        <v>9.9999999999999995E-7</v>
      </c>
      <c r="CX32" s="70">
        <v>9.9999999999999995E-7</v>
      </c>
      <c r="CY32" s="70">
        <v>1.9999999999999999E-6</v>
      </c>
      <c r="CZ32" s="70">
        <v>9.9999999999999995E-7</v>
      </c>
      <c r="DA32" s="70">
        <v>0</v>
      </c>
      <c r="DB32" s="70">
        <v>0</v>
      </c>
      <c r="DC32" s="70">
        <v>9.9999999999999995E-7</v>
      </c>
      <c r="DD32" s="70">
        <v>1.8E-5</v>
      </c>
      <c r="DE32" s="70">
        <v>0</v>
      </c>
      <c r="DF32" s="70">
        <v>2.6999999999999999E-5</v>
      </c>
      <c r="DG32" s="70">
        <v>3.0200000000000002E-4</v>
      </c>
      <c r="DH32" s="70">
        <v>1.7E-5</v>
      </c>
      <c r="DI32" s="70">
        <v>7.6000000000000004E-5</v>
      </c>
      <c r="DJ32" s="70">
        <v>1.0000000000000001E-5</v>
      </c>
      <c r="DK32" s="70">
        <v>1.2E-5</v>
      </c>
      <c r="DL32" s="70">
        <v>1.2999999999999999E-5</v>
      </c>
      <c r="DM32" s="70">
        <v>4.3000000000000002E-5</v>
      </c>
      <c r="DN32" s="70">
        <v>5.1E-5</v>
      </c>
      <c r="DO32" s="70">
        <v>6.9999999999999999E-6</v>
      </c>
      <c r="DP32" s="70">
        <v>6.9999999999999999E-6</v>
      </c>
      <c r="DQ32" s="70">
        <v>7.9999999999999996E-6</v>
      </c>
      <c r="DR32" s="70">
        <v>9.0000000000000002E-6</v>
      </c>
      <c r="DS32" s="70">
        <v>2.0999999999999999E-5</v>
      </c>
      <c r="DT32" s="70">
        <v>1.8E-5</v>
      </c>
      <c r="DU32" s="70">
        <v>3.0000000000000001E-6</v>
      </c>
      <c r="DV32" s="70">
        <v>3.0000000000000001E-6</v>
      </c>
      <c r="DW32" s="70">
        <v>1.9999999999999999E-6</v>
      </c>
      <c r="DX32" s="70">
        <v>1.1E-5</v>
      </c>
      <c r="DY32" s="70">
        <v>9.9999999999999995E-7</v>
      </c>
      <c r="DZ32" s="70">
        <v>0</v>
      </c>
      <c r="EA32" s="70">
        <v>1.9999999999999999E-6</v>
      </c>
      <c r="EB32" s="70">
        <v>6.8999999999999997E-5</v>
      </c>
      <c r="EC32" s="70">
        <v>3.9999999999999998E-6</v>
      </c>
      <c r="ED32" s="70">
        <v>1.0000000000000001E-5</v>
      </c>
      <c r="EE32" s="70">
        <v>1.9999999999999999E-6</v>
      </c>
      <c r="EF32" s="70">
        <v>1.9999999999999999E-6</v>
      </c>
      <c r="EG32" s="70">
        <v>1.9999999999999999E-6</v>
      </c>
      <c r="EH32" s="70">
        <v>6.9999999999999999E-6</v>
      </c>
      <c r="EI32" s="70">
        <v>1.7E-5</v>
      </c>
      <c r="EJ32" s="70">
        <v>9.9999999999999995E-7</v>
      </c>
      <c r="EK32" s="70">
        <v>1.9999999999999999E-6</v>
      </c>
      <c r="EL32" s="70">
        <v>3.0000000000000001E-6</v>
      </c>
      <c r="EM32" s="70">
        <v>1.9999999999999999E-6</v>
      </c>
      <c r="EN32" s="70">
        <v>3.0000000000000001E-6</v>
      </c>
      <c r="EO32" s="70">
        <v>5.0000000000000004E-6</v>
      </c>
      <c r="EP32" s="70">
        <v>9.9999999999999995E-7</v>
      </c>
      <c r="EQ32" s="70">
        <v>0</v>
      </c>
      <c r="ER32" s="70">
        <v>0</v>
      </c>
      <c r="ES32" s="70">
        <v>3.0000000000000001E-6</v>
      </c>
      <c r="ET32" s="70">
        <v>6.9999999999999999E-6</v>
      </c>
      <c r="EU32" s="70">
        <v>0</v>
      </c>
      <c r="EV32" s="70">
        <v>1.2E-5</v>
      </c>
      <c r="EW32" s="70">
        <v>6.7000000000000002E-5</v>
      </c>
      <c r="EX32" s="70">
        <v>6.0000000000000002E-6</v>
      </c>
      <c r="EY32" s="70">
        <v>1.0000000000000001E-5</v>
      </c>
      <c r="EZ32" s="70">
        <v>1.9999999999999999E-6</v>
      </c>
      <c r="FA32" s="70">
        <v>1.9999999999999999E-6</v>
      </c>
      <c r="FB32" s="70">
        <v>3.0000000000000001E-6</v>
      </c>
      <c r="FC32" s="70">
        <v>6.0000000000000002E-6</v>
      </c>
      <c r="FD32" s="70">
        <v>1.5E-5</v>
      </c>
      <c r="FE32" s="70">
        <v>9.9999999999999995E-7</v>
      </c>
      <c r="FF32" s="70">
        <v>3.9999999999999998E-6</v>
      </c>
      <c r="FG32" s="70">
        <v>1.9999999999999999E-6</v>
      </c>
      <c r="FH32" s="70">
        <v>1.9999999999999999E-6</v>
      </c>
      <c r="FI32" s="70">
        <v>3.0000000000000001E-6</v>
      </c>
      <c r="FJ32" s="70">
        <v>5.0000000000000004E-6</v>
      </c>
      <c r="FK32" s="70">
        <v>9.9999999999999995E-7</v>
      </c>
      <c r="FL32" s="70">
        <v>0</v>
      </c>
      <c r="FM32" s="70">
        <v>0</v>
      </c>
      <c r="FN32" s="70">
        <v>3.0000000000000001E-6</v>
      </c>
      <c r="FO32" s="70">
        <v>2.0000000000000002E-5</v>
      </c>
      <c r="FP32" s="70">
        <v>0</v>
      </c>
      <c r="FQ32" s="70">
        <v>7.6000000000000004E-5</v>
      </c>
      <c r="FR32" s="70">
        <v>1.9810000000000001E-3</v>
      </c>
      <c r="FS32" s="70">
        <v>6.3999999999999997E-5</v>
      </c>
      <c r="FT32" s="70">
        <v>1.26E-4</v>
      </c>
      <c r="FU32" s="70">
        <v>2.5999999999999998E-5</v>
      </c>
      <c r="FV32" s="70">
        <v>4.5000000000000003E-5</v>
      </c>
      <c r="FW32" s="70">
        <v>4.1999999999999998E-5</v>
      </c>
      <c r="FX32" s="70">
        <v>8.7100000000000003E-4</v>
      </c>
      <c r="FY32" s="70">
        <v>1.94E-4</v>
      </c>
      <c r="FZ32" s="70">
        <v>2.0000000000000002E-5</v>
      </c>
      <c r="GA32" s="70">
        <v>2.4000000000000001E-5</v>
      </c>
      <c r="GB32" s="70">
        <v>3.6000000000000001E-5</v>
      </c>
      <c r="GC32" s="70">
        <v>2.8E-5</v>
      </c>
      <c r="GD32" s="70">
        <v>6.9999999999999994E-5</v>
      </c>
      <c r="GE32" s="70">
        <v>5.5999999999999999E-5</v>
      </c>
      <c r="GF32" s="70">
        <v>2.1999999999999999E-5</v>
      </c>
      <c r="GG32" s="70">
        <v>1.4E-5</v>
      </c>
      <c r="GH32" s="70">
        <v>1.0000000000000001E-5</v>
      </c>
      <c r="GI32" s="70">
        <v>4.1999999999999998E-5</v>
      </c>
      <c r="GJ32" s="70">
        <v>1.9999999999999999E-6</v>
      </c>
      <c r="GK32" s="70">
        <v>0</v>
      </c>
      <c r="GL32" s="70">
        <v>3.0000000000000001E-6</v>
      </c>
      <c r="GM32" s="70">
        <v>1.6100000000000001E-4</v>
      </c>
      <c r="GN32" s="70">
        <v>5.0000000000000004E-6</v>
      </c>
      <c r="GO32" s="70">
        <v>1.0000000000000001E-5</v>
      </c>
      <c r="GP32" s="70">
        <v>3.0000000000000001E-6</v>
      </c>
      <c r="GQ32" s="70">
        <v>3.0000000000000001E-6</v>
      </c>
      <c r="GR32" s="70">
        <v>1.9999999999999999E-6</v>
      </c>
      <c r="GS32" s="70">
        <v>1.0000000000000001E-5</v>
      </c>
      <c r="GT32" s="70">
        <v>2.5000000000000001E-5</v>
      </c>
      <c r="GU32" s="70">
        <v>1.9999999999999999E-6</v>
      </c>
      <c r="GV32" s="70">
        <v>1.9999999999999999E-6</v>
      </c>
      <c r="GW32" s="70">
        <v>6.0000000000000002E-6</v>
      </c>
      <c r="GX32" s="70">
        <v>1.9999999999999999E-6</v>
      </c>
      <c r="GY32" s="70">
        <v>1.9999999999999999E-6</v>
      </c>
      <c r="GZ32" s="70">
        <v>6.9999999999999999E-6</v>
      </c>
      <c r="HA32" s="70">
        <v>1.9999999999999999E-6</v>
      </c>
      <c r="HB32" s="70">
        <v>0</v>
      </c>
      <c r="HC32" s="70">
        <v>0</v>
      </c>
      <c r="HD32" s="70">
        <v>1.9999999999999999E-6</v>
      </c>
      <c r="HE32" s="70">
        <v>5.0000000000000004E-6</v>
      </c>
      <c r="HF32" s="70">
        <v>0</v>
      </c>
      <c r="HG32" s="70">
        <v>6.9999999999999999E-6</v>
      </c>
      <c r="HH32" s="70">
        <v>1.8000000000000001E-4</v>
      </c>
      <c r="HI32" s="70">
        <v>9.0000000000000002E-6</v>
      </c>
      <c r="HJ32" s="70">
        <v>4.1999999999999998E-5</v>
      </c>
      <c r="HK32" s="70">
        <v>5.0000000000000004E-6</v>
      </c>
      <c r="HL32" s="70">
        <v>3.9999999999999998E-6</v>
      </c>
      <c r="HM32" s="70">
        <v>5.0000000000000004E-6</v>
      </c>
      <c r="HN32" s="70">
        <v>2.0000000000000002E-5</v>
      </c>
      <c r="HO32" s="70">
        <v>4.3999999999999999E-5</v>
      </c>
      <c r="HP32" s="70">
        <v>3.9999999999999998E-6</v>
      </c>
      <c r="HQ32" s="70">
        <v>6.0000000000000002E-6</v>
      </c>
      <c r="HR32" s="70">
        <v>6.0000000000000002E-6</v>
      </c>
      <c r="HS32" s="70">
        <v>3.9999999999999998E-6</v>
      </c>
      <c r="HT32" s="70">
        <v>9.0000000000000002E-6</v>
      </c>
      <c r="HU32" s="70">
        <v>1.0000000000000001E-5</v>
      </c>
      <c r="HV32" s="70">
        <v>3.0000000000000001E-6</v>
      </c>
      <c r="HW32" s="70">
        <v>9.9999999999999995E-7</v>
      </c>
      <c r="HX32" s="70">
        <v>9.9999999999999995E-7</v>
      </c>
      <c r="HY32" s="70">
        <v>6.0000000000000002E-6</v>
      </c>
      <c r="HZ32" s="70"/>
      <c r="IA32" s="70"/>
      <c r="IB32" s="70"/>
      <c r="IC32" s="70"/>
      <c r="ID32" s="70"/>
      <c r="IE32" s="70"/>
      <c r="IF32" s="70"/>
      <c r="IG32" s="70"/>
      <c r="IH32" s="70"/>
      <c r="II32" s="70"/>
      <c r="IJ32" s="70"/>
      <c r="IK32" s="70"/>
      <c r="IL32" s="70"/>
      <c r="IM32" s="70"/>
      <c r="IN32" s="70"/>
      <c r="IO32" s="70"/>
      <c r="IP32" s="70"/>
      <c r="IQ32" s="70"/>
      <c r="IR32" s="70"/>
      <c r="IS32" s="70"/>
      <c r="IT32" s="70"/>
      <c r="IU32" s="70"/>
      <c r="IV32" s="70"/>
      <c r="IW32" s="70"/>
      <c r="IX32" s="70"/>
      <c r="IY32" s="70"/>
      <c r="IZ32" s="70"/>
      <c r="JA32" s="70"/>
      <c r="JB32" s="70"/>
      <c r="JC32" s="70"/>
      <c r="JD32" s="70"/>
      <c r="JE32" s="70"/>
      <c r="JF32" s="70"/>
      <c r="JG32" s="70"/>
      <c r="JH32" s="70"/>
      <c r="JI32" s="70"/>
      <c r="JJ32" s="70"/>
      <c r="JK32" s="70"/>
      <c r="JL32" s="70"/>
      <c r="JM32" s="70"/>
      <c r="JN32" s="70"/>
      <c r="JO32" s="70"/>
      <c r="JP32" s="70"/>
      <c r="JQ32" s="70"/>
    </row>
    <row r="33" spans="1:277">
      <c r="A33" s="328" t="s">
        <v>100</v>
      </c>
      <c r="B33" s="72" t="s">
        <v>14</v>
      </c>
      <c r="C33" s="67">
        <v>2.4198999999999998E-2</v>
      </c>
      <c r="D33" s="67">
        <v>0</v>
      </c>
      <c r="E33" s="67">
        <v>1.5141999999999999E-2</v>
      </c>
      <c r="F33" s="67">
        <v>5.9959999999999996E-3</v>
      </c>
      <c r="G33" s="67">
        <v>1.1083700000000001</v>
      </c>
      <c r="H33" s="67">
        <v>3.4949999999999998E-3</v>
      </c>
      <c r="I33" s="67">
        <v>4.2679000000000002E-2</v>
      </c>
      <c r="J33" s="67">
        <v>5.2789999999999998E-3</v>
      </c>
      <c r="K33" s="67">
        <v>5.5490000000000001E-3</v>
      </c>
      <c r="L33" s="67">
        <v>0.12840399999999999</v>
      </c>
      <c r="M33" s="67">
        <v>0.15457299999999999</v>
      </c>
      <c r="N33" s="67">
        <v>2.5309999999999998E-3</v>
      </c>
      <c r="O33" s="67">
        <v>6.9539000000000004E-2</v>
      </c>
      <c r="P33" s="67">
        <v>2.5616E-2</v>
      </c>
      <c r="Q33" s="67">
        <v>5.4755999999999999E-2</v>
      </c>
      <c r="R33" s="67">
        <v>1.1868E-2</v>
      </c>
      <c r="S33" s="67">
        <v>3.4951999999999997E-2</v>
      </c>
      <c r="T33" s="67">
        <v>7.1890000000000001E-3</v>
      </c>
      <c r="U33" s="67">
        <v>3.9950000000000003E-3</v>
      </c>
      <c r="V33" s="67">
        <v>2.905E-3</v>
      </c>
      <c r="W33" s="67">
        <v>1.5889E-2</v>
      </c>
      <c r="X33" s="67">
        <v>9.0000000000000002E-6</v>
      </c>
      <c r="Y33" s="67">
        <v>0</v>
      </c>
      <c r="Z33" s="67">
        <v>1.9000000000000001E-5</v>
      </c>
      <c r="AA33" s="67">
        <v>1.1E-5</v>
      </c>
      <c r="AB33" s="67">
        <v>6.0000000000000002E-6</v>
      </c>
      <c r="AC33" s="67">
        <v>2.5999999999999998E-5</v>
      </c>
      <c r="AD33" s="67">
        <v>6.0000000000000002E-6</v>
      </c>
      <c r="AE33" s="67">
        <v>5.0000000000000004E-6</v>
      </c>
      <c r="AF33" s="67">
        <v>5.0000000000000004E-6</v>
      </c>
      <c r="AG33" s="67">
        <v>1.8E-5</v>
      </c>
      <c r="AH33" s="67">
        <v>1.2999999999999999E-5</v>
      </c>
      <c r="AI33" s="67">
        <v>1.9999999999999999E-6</v>
      </c>
      <c r="AJ33" s="67">
        <v>3.9999999999999998E-6</v>
      </c>
      <c r="AK33" s="67">
        <v>1.9999999999999999E-6</v>
      </c>
      <c r="AL33" s="67">
        <v>5.0000000000000004E-6</v>
      </c>
      <c r="AM33" s="67">
        <v>6.9999999999999999E-6</v>
      </c>
      <c r="AN33" s="67">
        <v>6.0000000000000002E-6</v>
      </c>
      <c r="AO33" s="67">
        <v>9.9999999999999995E-7</v>
      </c>
      <c r="AP33" s="67">
        <v>0</v>
      </c>
      <c r="AQ33" s="67">
        <v>0</v>
      </c>
      <c r="AR33" s="67">
        <v>1.9999999999999999E-6</v>
      </c>
      <c r="AS33" s="67">
        <v>3.0000000000000001E-6</v>
      </c>
      <c r="AT33" s="67">
        <v>0</v>
      </c>
      <c r="AU33" s="67">
        <v>6.0000000000000002E-6</v>
      </c>
      <c r="AV33" s="67">
        <v>5.0000000000000004E-6</v>
      </c>
      <c r="AW33" s="67">
        <v>1.9999999999999999E-6</v>
      </c>
      <c r="AX33" s="67">
        <v>7.9999999999999996E-6</v>
      </c>
      <c r="AY33" s="67">
        <v>1.9999999999999999E-6</v>
      </c>
      <c r="AZ33" s="67">
        <v>3.0000000000000001E-6</v>
      </c>
      <c r="BA33" s="67">
        <v>1.9999999999999999E-6</v>
      </c>
      <c r="BB33" s="67">
        <v>5.0000000000000004E-6</v>
      </c>
      <c r="BC33" s="67">
        <v>3.9999999999999998E-6</v>
      </c>
      <c r="BD33" s="67">
        <v>1.9999999999999999E-6</v>
      </c>
      <c r="BE33" s="67">
        <v>1.9999999999999999E-6</v>
      </c>
      <c r="BF33" s="67">
        <v>1.9999999999999999E-6</v>
      </c>
      <c r="BG33" s="67">
        <v>3.0000000000000001E-6</v>
      </c>
      <c r="BH33" s="67">
        <v>1.9999999999999999E-6</v>
      </c>
      <c r="BI33" s="67">
        <v>6.9999999999999999E-6</v>
      </c>
      <c r="BJ33" s="67">
        <v>1.9999999999999999E-6</v>
      </c>
      <c r="BK33" s="67">
        <v>0</v>
      </c>
      <c r="BL33" s="67">
        <v>0</v>
      </c>
      <c r="BM33" s="67">
        <v>1.9999999999999999E-6</v>
      </c>
      <c r="BN33" s="67">
        <v>9.9999999999999995E-7</v>
      </c>
      <c r="BO33" s="67">
        <v>0</v>
      </c>
      <c r="BP33" s="67">
        <v>9.9999999999999995E-7</v>
      </c>
      <c r="BQ33" s="67">
        <v>1.9999999999999999E-6</v>
      </c>
      <c r="BR33" s="67">
        <v>9.9999999999999995E-7</v>
      </c>
      <c r="BS33" s="67">
        <v>3.9999999999999998E-6</v>
      </c>
      <c r="BT33" s="67">
        <v>9.9999999999999995E-7</v>
      </c>
      <c r="BU33" s="67">
        <v>9.9999999999999995E-7</v>
      </c>
      <c r="BV33" s="67">
        <v>9.9999999999999995E-7</v>
      </c>
      <c r="BW33" s="67">
        <v>3.0000000000000001E-6</v>
      </c>
      <c r="BX33" s="67">
        <v>1.9999999999999999E-6</v>
      </c>
      <c r="BY33" s="67">
        <v>9.9999999999999995E-7</v>
      </c>
      <c r="BZ33" s="67">
        <v>1.9999999999999999E-6</v>
      </c>
      <c r="CA33" s="67">
        <v>9.9999999999999995E-7</v>
      </c>
      <c r="CB33" s="67">
        <v>9.9999999999999995E-7</v>
      </c>
      <c r="CC33" s="67">
        <v>9.9999999999999995E-7</v>
      </c>
      <c r="CD33" s="67">
        <v>3.0000000000000001E-6</v>
      </c>
      <c r="CE33" s="67">
        <v>0</v>
      </c>
      <c r="CF33" s="67">
        <v>0</v>
      </c>
      <c r="CG33" s="67">
        <v>0</v>
      </c>
      <c r="CH33" s="67">
        <v>9.9999999999999995E-7</v>
      </c>
      <c r="CI33" s="67">
        <v>9.9999999999999995E-7</v>
      </c>
      <c r="CJ33" s="67">
        <v>0</v>
      </c>
      <c r="CK33" s="67">
        <v>1.9999999999999999E-6</v>
      </c>
      <c r="CL33" s="67">
        <v>9.9999999999999995E-7</v>
      </c>
      <c r="CM33" s="67">
        <v>9.9999999999999995E-7</v>
      </c>
      <c r="CN33" s="67">
        <v>3.0000000000000001E-6</v>
      </c>
      <c r="CO33" s="67">
        <v>9.9999999999999995E-7</v>
      </c>
      <c r="CP33" s="67">
        <v>9.9999999999999995E-7</v>
      </c>
      <c r="CQ33" s="67">
        <v>9.9999999999999995E-7</v>
      </c>
      <c r="CR33" s="67">
        <v>1.9999999999999999E-6</v>
      </c>
      <c r="CS33" s="67">
        <v>1.9999999999999999E-6</v>
      </c>
      <c r="CT33" s="67">
        <v>9.9999999999999995E-7</v>
      </c>
      <c r="CU33" s="67">
        <v>9.9999999999999995E-7</v>
      </c>
      <c r="CV33" s="67">
        <v>9.9999999999999995E-7</v>
      </c>
      <c r="CW33" s="67">
        <v>9.9999999999999995E-7</v>
      </c>
      <c r="CX33" s="67">
        <v>9.9999999999999995E-7</v>
      </c>
      <c r="CY33" s="67">
        <v>1.9999999999999999E-6</v>
      </c>
      <c r="CZ33" s="67">
        <v>9.9999999999999995E-7</v>
      </c>
      <c r="DA33" s="67">
        <v>0</v>
      </c>
      <c r="DB33" s="67">
        <v>0</v>
      </c>
      <c r="DC33" s="67">
        <v>9.9999999999999995E-7</v>
      </c>
      <c r="DD33" s="67">
        <v>1.4100000000000001E-4</v>
      </c>
      <c r="DE33" s="67">
        <v>0</v>
      </c>
      <c r="DF33" s="67">
        <v>3.1199999999999999E-4</v>
      </c>
      <c r="DG33" s="67">
        <v>1.3100000000000001E-4</v>
      </c>
      <c r="DH33" s="67">
        <v>1.8E-5</v>
      </c>
      <c r="DI33" s="67">
        <v>3.6000000000000001E-5</v>
      </c>
      <c r="DJ33" s="67">
        <v>7.9999999999999996E-6</v>
      </c>
      <c r="DK33" s="67">
        <v>1.0000000000000001E-5</v>
      </c>
      <c r="DL33" s="67">
        <v>1.0000000000000001E-5</v>
      </c>
      <c r="DM33" s="67">
        <v>5.1E-5</v>
      </c>
      <c r="DN33" s="67">
        <v>2.4000000000000001E-5</v>
      </c>
      <c r="DO33" s="67">
        <v>6.0000000000000002E-6</v>
      </c>
      <c r="DP33" s="67">
        <v>6.9999999999999999E-6</v>
      </c>
      <c r="DQ33" s="67">
        <v>5.0000000000000004E-6</v>
      </c>
      <c r="DR33" s="67">
        <v>9.0000000000000002E-6</v>
      </c>
      <c r="DS33" s="67">
        <v>1.08E-4</v>
      </c>
      <c r="DT33" s="67">
        <v>3.3000000000000003E-5</v>
      </c>
      <c r="DU33" s="67">
        <v>6.0000000000000002E-6</v>
      </c>
      <c r="DV33" s="67">
        <v>9.9999999999999995E-7</v>
      </c>
      <c r="DW33" s="67">
        <v>9.9999999999999995E-7</v>
      </c>
      <c r="DX33" s="67">
        <v>9.0000000000000002E-6</v>
      </c>
      <c r="DY33" s="67">
        <v>9.9999999999999995E-7</v>
      </c>
      <c r="DZ33" s="67">
        <v>0</v>
      </c>
      <c r="EA33" s="67">
        <v>1.9999999999999999E-6</v>
      </c>
      <c r="EB33" s="67">
        <v>3.0000000000000001E-6</v>
      </c>
      <c r="EC33" s="67">
        <v>9.9999999999999995E-7</v>
      </c>
      <c r="ED33" s="67">
        <v>3.0000000000000001E-6</v>
      </c>
      <c r="EE33" s="67">
        <v>9.9999999999999995E-7</v>
      </c>
      <c r="EF33" s="67">
        <v>9.9999999999999995E-7</v>
      </c>
      <c r="EG33" s="67">
        <v>9.9999999999999995E-7</v>
      </c>
      <c r="EH33" s="67">
        <v>3.0000000000000001E-6</v>
      </c>
      <c r="EI33" s="67">
        <v>3.0000000000000001E-6</v>
      </c>
      <c r="EJ33" s="67">
        <v>9.9999999999999995E-7</v>
      </c>
      <c r="EK33" s="67">
        <v>1.9999999999999999E-6</v>
      </c>
      <c r="EL33" s="67">
        <v>1.9999999999999999E-6</v>
      </c>
      <c r="EM33" s="67">
        <v>1.9999999999999999E-6</v>
      </c>
      <c r="EN33" s="67">
        <v>1.9999999999999999E-6</v>
      </c>
      <c r="EO33" s="67">
        <v>5.0000000000000004E-6</v>
      </c>
      <c r="EP33" s="67">
        <v>1.9999999999999999E-6</v>
      </c>
      <c r="EQ33" s="67">
        <v>0</v>
      </c>
      <c r="ER33" s="67">
        <v>0</v>
      </c>
      <c r="ES33" s="67">
        <v>9.9999999999999995E-7</v>
      </c>
      <c r="ET33" s="67">
        <v>1.2E-5</v>
      </c>
      <c r="EU33" s="67">
        <v>0</v>
      </c>
      <c r="EV33" s="67">
        <v>2.5000000000000001E-5</v>
      </c>
      <c r="EW33" s="67">
        <v>9.0000000000000002E-6</v>
      </c>
      <c r="EX33" s="67">
        <v>1.1900000000000001E-4</v>
      </c>
      <c r="EY33" s="67">
        <v>2.0999999999999999E-5</v>
      </c>
      <c r="EZ33" s="67">
        <v>1.1E-5</v>
      </c>
      <c r="FA33" s="67">
        <v>3.9999999999999998E-6</v>
      </c>
      <c r="FB33" s="67">
        <v>7.9999999999999996E-6</v>
      </c>
      <c r="FC33" s="67">
        <v>7.9999999999999996E-6</v>
      </c>
      <c r="FD33" s="67">
        <v>2.4000000000000001E-5</v>
      </c>
      <c r="FE33" s="67">
        <v>3.9999999999999998E-6</v>
      </c>
      <c r="FF33" s="67">
        <v>1.0000000000000001E-5</v>
      </c>
      <c r="FG33" s="67">
        <v>6.9999999999999999E-6</v>
      </c>
      <c r="FH33" s="67">
        <v>6.0000000000000002E-6</v>
      </c>
      <c r="FI33" s="67">
        <v>6.0000000000000002E-6</v>
      </c>
      <c r="FJ33" s="67">
        <v>3.3000000000000003E-5</v>
      </c>
      <c r="FK33" s="67">
        <v>5.0000000000000004E-6</v>
      </c>
      <c r="FL33" s="67">
        <v>9.9999999999999995E-7</v>
      </c>
      <c r="FM33" s="67">
        <v>9.9999999999999995E-7</v>
      </c>
      <c r="FN33" s="67">
        <v>6.0000000000000002E-6</v>
      </c>
      <c r="FO33" s="67">
        <v>8.5000000000000006E-5</v>
      </c>
      <c r="FP33" s="67">
        <v>0</v>
      </c>
      <c r="FQ33" s="67">
        <v>1.7100000000000001E-4</v>
      </c>
      <c r="FR33" s="67">
        <v>3.4499999999999998E-4</v>
      </c>
      <c r="FS33" s="67">
        <v>5.5900000000000004E-4</v>
      </c>
      <c r="FT33" s="67">
        <v>2.4899999999999998E-4</v>
      </c>
      <c r="FU33" s="67">
        <v>9.1000000000000003E-5</v>
      </c>
      <c r="FV33" s="67">
        <v>1.0900000000000001E-4</v>
      </c>
      <c r="FW33" s="67">
        <v>4.7699999999999999E-4</v>
      </c>
      <c r="FX33" s="67">
        <v>6.1600000000000001E-4</v>
      </c>
      <c r="FY33" s="67">
        <v>1.799E-3</v>
      </c>
      <c r="FZ33" s="67">
        <v>7.2999999999999999E-5</v>
      </c>
      <c r="GA33" s="67">
        <v>5.9800000000000001E-4</v>
      </c>
      <c r="GB33" s="67">
        <v>1.18E-4</v>
      </c>
      <c r="GC33" s="67">
        <v>8.0000000000000007E-5</v>
      </c>
      <c r="GD33" s="67">
        <v>1.2899999999999999E-4</v>
      </c>
      <c r="GE33" s="67">
        <v>1.83E-4</v>
      </c>
      <c r="GF33" s="67">
        <v>9.1000000000000003E-5</v>
      </c>
      <c r="GG33" s="67">
        <v>5.3000000000000001E-5</v>
      </c>
      <c r="GH33" s="67">
        <v>3.8999999999999999E-5</v>
      </c>
      <c r="GI33" s="67">
        <v>8.2999999999999998E-5</v>
      </c>
      <c r="GJ33" s="67">
        <v>1.9999999999999999E-6</v>
      </c>
      <c r="GK33" s="67">
        <v>0</v>
      </c>
      <c r="GL33" s="67">
        <v>3.0000000000000001E-6</v>
      </c>
      <c r="GM33" s="67">
        <v>3.0000000000000001E-6</v>
      </c>
      <c r="GN33" s="67">
        <v>1.9999999999999999E-6</v>
      </c>
      <c r="GO33" s="67">
        <v>6.0000000000000002E-6</v>
      </c>
      <c r="GP33" s="67">
        <v>1.9999999999999999E-6</v>
      </c>
      <c r="GQ33" s="67">
        <v>3.0000000000000001E-6</v>
      </c>
      <c r="GR33" s="67">
        <v>1.9999999999999999E-6</v>
      </c>
      <c r="GS33" s="67">
        <v>5.0000000000000004E-6</v>
      </c>
      <c r="GT33" s="67">
        <v>3.9999999999999998E-6</v>
      </c>
      <c r="GU33" s="67">
        <v>3.0000000000000001E-6</v>
      </c>
      <c r="GV33" s="67">
        <v>9.9999999999999995E-7</v>
      </c>
      <c r="GW33" s="67">
        <v>3.0000000000000001E-6</v>
      </c>
      <c r="GX33" s="67">
        <v>1.9999999999999999E-6</v>
      </c>
      <c r="GY33" s="67">
        <v>1.9999999999999999E-6</v>
      </c>
      <c r="GZ33" s="67">
        <v>1.4E-5</v>
      </c>
      <c r="HA33" s="67">
        <v>3.0000000000000001E-6</v>
      </c>
      <c r="HB33" s="67">
        <v>0</v>
      </c>
      <c r="HC33" s="67">
        <v>0</v>
      </c>
      <c r="HD33" s="67">
        <v>3.0000000000000001E-6</v>
      </c>
      <c r="HE33" s="67">
        <v>6.0000000000000002E-6</v>
      </c>
      <c r="HF33" s="67">
        <v>0</v>
      </c>
      <c r="HG33" s="67">
        <v>1.9000000000000001E-5</v>
      </c>
      <c r="HH33" s="67">
        <v>9.0000000000000002E-6</v>
      </c>
      <c r="HI33" s="67">
        <v>3.0000000000000001E-6</v>
      </c>
      <c r="HJ33" s="67">
        <v>1.1E-5</v>
      </c>
      <c r="HK33" s="67">
        <v>1.9999999999999999E-6</v>
      </c>
      <c r="HL33" s="67">
        <v>1.9999999999999999E-6</v>
      </c>
      <c r="HM33" s="67">
        <v>1.9999999999999999E-6</v>
      </c>
      <c r="HN33" s="67">
        <v>5.0000000000000004E-6</v>
      </c>
      <c r="HO33" s="67">
        <v>5.0000000000000004E-6</v>
      </c>
      <c r="HP33" s="67">
        <v>1.9999999999999999E-6</v>
      </c>
      <c r="HQ33" s="67">
        <v>3.0000000000000001E-6</v>
      </c>
      <c r="HR33" s="67">
        <v>1.9999999999999999E-6</v>
      </c>
      <c r="HS33" s="67">
        <v>3.0000000000000001E-6</v>
      </c>
      <c r="HT33" s="67">
        <v>6.0000000000000002E-6</v>
      </c>
      <c r="HU33" s="67">
        <v>6.0000000000000002E-6</v>
      </c>
      <c r="HV33" s="67">
        <v>1.9999999999999999E-6</v>
      </c>
      <c r="HW33" s="67">
        <v>9.9999999999999995E-7</v>
      </c>
      <c r="HX33" s="67">
        <v>0</v>
      </c>
      <c r="HY33" s="67">
        <v>1.9999999999999999E-6</v>
      </c>
      <c r="HZ33" s="67"/>
      <c r="IA33" s="67"/>
      <c r="IB33" s="67"/>
      <c r="IC33" s="67"/>
      <c r="ID33" s="67"/>
      <c r="IE33" s="67"/>
      <c r="IF33" s="67"/>
      <c r="IG33" s="67"/>
      <c r="IH33" s="67"/>
      <c r="II33" s="67"/>
      <c r="IJ33" s="67"/>
      <c r="IK33" s="67"/>
      <c r="IL33" s="67"/>
      <c r="IM33" s="67"/>
      <c r="IN33" s="67"/>
      <c r="IO33" s="67"/>
      <c r="IP33" s="67"/>
      <c r="IQ33" s="67"/>
      <c r="IR33" s="67"/>
      <c r="IS33" s="67"/>
      <c r="IT33" s="67"/>
      <c r="IU33" s="67"/>
      <c r="IV33" s="67"/>
      <c r="IW33" s="67"/>
      <c r="IX33" s="67"/>
      <c r="IY33" s="67"/>
      <c r="IZ33" s="67"/>
      <c r="JA33" s="67"/>
      <c r="JB33" s="67"/>
      <c r="JC33" s="67"/>
      <c r="JD33" s="67"/>
      <c r="JE33" s="67"/>
      <c r="JF33" s="67"/>
      <c r="JG33" s="67"/>
      <c r="JH33" s="67"/>
      <c r="JI33" s="67"/>
      <c r="JJ33" s="67"/>
      <c r="JK33" s="67"/>
      <c r="JL33" s="67"/>
      <c r="JM33" s="67"/>
      <c r="JN33" s="67"/>
      <c r="JO33" s="67"/>
      <c r="JP33" s="67"/>
      <c r="JQ33" s="67"/>
    </row>
    <row r="34" spans="1:277">
      <c r="A34" s="327" t="s">
        <v>101</v>
      </c>
      <c r="B34" s="71" t="s">
        <v>15</v>
      </c>
      <c r="C34" s="70">
        <v>1.6813999999999999E-2</v>
      </c>
      <c r="D34" s="70">
        <v>0</v>
      </c>
      <c r="E34" s="70">
        <v>2.8115999999999999E-2</v>
      </c>
      <c r="F34" s="70">
        <v>3.1526999999999999E-2</v>
      </c>
      <c r="G34" s="70">
        <v>5.0347999999999997E-2</v>
      </c>
      <c r="H34" s="70">
        <v>2.4937969999999998</v>
      </c>
      <c r="I34" s="70">
        <v>4.7149000000000003E-2</v>
      </c>
      <c r="J34" s="70">
        <v>3.0984999999999999E-2</v>
      </c>
      <c r="K34" s="70">
        <v>1.4507000000000001E-2</v>
      </c>
      <c r="L34" s="70">
        <v>0.10856499999999999</v>
      </c>
      <c r="M34" s="70">
        <v>7.0791999999999994E-2</v>
      </c>
      <c r="N34" s="70">
        <v>4.5950000000000001E-3</v>
      </c>
      <c r="O34" s="70">
        <v>4.4426E-2</v>
      </c>
      <c r="P34" s="70">
        <v>3.6346999999999997E-2</v>
      </c>
      <c r="Q34" s="70">
        <v>3.5986999999999998E-2</v>
      </c>
      <c r="R34" s="70">
        <v>4.3979999999999998E-2</v>
      </c>
      <c r="S34" s="70">
        <v>3.0776000000000001E-2</v>
      </c>
      <c r="T34" s="70">
        <v>4.797E-3</v>
      </c>
      <c r="U34" s="70">
        <v>5.0439999999999999E-3</v>
      </c>
      <c r="V34" s="70">
        <v>3.6670000000000001E-3</v>
      </c>
      <c r="W34" s="70">
        <v>4.4782000000000002E-2</v>
      </c>
      <c r="X34" s="70">
        <v>2.5829999999999998E-3</v>
      </c>
      <c r="Y34" s="70">
        <v>0</v>
      </c>
      <c r="Z34" s="70">
        <v>1.2589999999999999E-3</v>
      </c>
      <c r="AA34" s="70">
        <v>1.1559999999999999E-3</v>
      </c>
      <c r="AB34" s="70">
        <v>1.5709999999999999E-3</v>
      </c>
      <c r="AC34" s="70">
        <v>8.6420000000000004E-3</v>
      </c>
      <c r="AD34" s="70">
        <v>1.237E-3</v>
      </c>
      <c r="AE34" s="70">
        <v>7.1100000000000004E-4</v>
      </c>
      <c r="AF34" s="70">
        <v>8.2899999999999998E-4</v>
      </c>
      <c r="AG34" s="70">
        <v>1.2869999999999999E-3</v>
      </c>
      <c r="AH34" s="70">
        <v>1.5590000000000001E-3</v>
      </c>
      <c r="AI34" s="70">
        <v>1.9900000000000001E-4</v>
      </c>
      <c r="AJ34" s="70">
        <v>6.9099999999999999E-4</v>
      </c>
      <c r="AK34" s="70">
        <v>1.5699999999999999E-4</v>
      </c>
      <c r="AL34" s="70">
        <v>4.1899999999999999E-4</v>
      </c>
      <c r="AM34" s="70">
        <v>4.2700000000000002E-4</v>
      </c>
      <c r="AN34" s="70">
        <v>2.8600000000000001E-4</v>
      </c>
      <c r="AO34" s="70">
        <v>6.3E-5</v>
      </c>
      <c r="AP34" s="70">
        <v>2.6999999999999999E-5</v>
      </c>
      <c r="AQ34" s="70">
        <v>1.9000000000000001E-5</v>
      </c>
      <c r="AR34" s="70">
        <v>1.5300000000000001E-4</v>
      </c>
      <c r="AS34" s="70">
        <v>9.0000000000000002E-6</v>
      </c>
      <c r="AT34" s="70">
        <v>0</v>
      </c>
      <c r="AU34" s="70">
        <v>1.7E-5</v>
      </c>
      <c r="AV34" s="70">
        <v>2.1999999999999999E-5</v>
      </c>
      <c r="AW34" s="70">
        <v>1.4E-5</v>
      </c>
      <c r="AX34" s="70">
        <v>4.3000000000000002E-5</v>
      </c>
      <c r="AY34" s="70">
        <v>9.0000000000000002E-6</v>
      </c>
      <c r="AZ34" s="70">
        <v>1.4E-5</v>
      </c>
      <c r="BA34" s="70">
        <v>7.9999999999999996E-6</v>
      </c>
      <c r="BB34" s="70">
        <v>1.9000000000000001E-5</v>
      </c>
      <c r="BC34" s="70">
        <v>1.8E-5</v>
      </c>
      <c r="BD34" s="70">
        <v>7.9999999999999996E-6</v>
      </c>
      <c r="BE34" s="70">
        <v>6.9999999999999999E-6</v>
      </c>
      <c r="BF34" s="70">
        <v>5.0000000000000004E-6</v>
      </c>
      <c r="BG34" s="70">
        <v>9.0000000000000002E-6</v>
      </c>
      <c r="BH34" s="70">
        <v>6.9999999999999999E-6</v>
      </c>
      <c r="BI34" s="70">
        <v>1.9000000000000001E-5</v>
      </c>
      <c r="BJ34" s="70">
        <v>5.0000000000000004E-6</v>
      </c>
      <c r="BK34" s="70">
        <v>9.9999999999999995E-7</v>
      </c>
      <c r="BL34" s="70">
        <v>9.9999999999999995E-7</v>
      </c>
      <c r="BM34" s="70">
        <v>6.0000000000000002E-6</v>
      </c>
      <c r="BN34" s="70">
        <v>1.5E-5</v>
      </c>
      <c r="BO34" s="70">
        <v>0</v>
      </c>
      <c r="BP34" s="70">
        <v>2.6999999999999999E-5</v>
      </c>
      <c r="BQ34" s="70">
        <v>1.8E-5</v>
      </c>
      <c r="BR34" s="70">
        <v>1.7E-5</v>
      </c>
      <c r="BS34" s="70">
        <v>5.3000000000000001E-5</v>
      </c>
      <c r="BT34" s="70">
        <v>1.2999999999999999E-5</v>
      </c>
      <c r="BU34" s="70">
        <v>1.7E-5</v>
      </c>
      <c r="BV34" s="70">
        <v>1.4E-5</v>
      </c>
      <c r="BW34" s="70">
        <v>2.5000000000000001E-5</v>
      </c>
      <c r="BX34" s="70">
        <v>1.8E-5</v>
      </c>
      <c r="BY34" s="70">
        <v>1.2E-5</v>
      </c>
      <c r="BZ34" s="70">
        <v>1.2999999999999999E-5</v>
      </c>
      <c r="CA34" s="70">
        <v>7.9999999999999996E-6</v>
      </c>
      <c r="CB34" s="70">
        <v>6.9999999999999999E-6</v>
      </c>
      <c r="CC34" s="70">
        <v>1.2E-5</v>
      </c>
      <c r="CD34" s="70">
        <v>1.2999999999999999E-5</v>
      </c>
      <c r="CE34" s="70">
        <v>9.9999999999999995E-7</v>
      </c>
      <c r="CF34" s="70">
        <v>9.9999999999999995E-7</v>
      </c>
      <c r="CG34" s="70">
        <v>9.9999999999999995E-7</v>
      </c>
      <c r="CH34" s="70">
        <v>6.9999999999999999E-6</v>
      </c>
      <c r="CI34" s="70">
        <v>1.2E-5</v>
      </c>
      <c r="CJ34" s="70">
        <v>0</v>
      </c>
      <c r="CK34" s="70">
        <v>1.2999999999999999E-5</v>
      </c>
      <c r="CL34" s="70">
        <v>2.3E-5</v>
      </c>
      <c r="CM34" s="70">
        <v>1.4E-5</v>
      </c>
      <c r="CN34" s="70">
        <v>7.4999999999999993E-5</v>
      </c>
      <c r="CO34" s="70">
        <v>1.0000000000000001E-5</v>
      </c>
      <c r="CP34" s="70">
        <v>1.2E-5</v>
      </c>
      <c r="CQ34" s="70">
        <v>1.0000000000000001E-5</v>
      </c>
      <c r="CR34" s="70">
        <v>1.5999999999999999E-5</v>
      </c>
      <c r="CS34" s="70">
        <v>1.5999999999999999E-5</v>
      </c>
      <c r="CT34" s="70">
        <v>3.9999999999999998E-6</v>
      </c>
      <c r="CU34" s="70">
        <v>6.9999999999999999E-6</v>
      </c>
      <c r="CV34" s="70">
        <v>3.9999999999999998E-6</v>
      </c>
      <c r="CW34" s="70">
        <v>3.9999999999999998E-6</v>
      </c>
      <c r="CX34" s="70">
        <v>3.9999999999999998E-6</v>
      </c>
      <c r="CY34" s="70">
        <v>7.9999999999999996E-6</v>
      </c>
      <c r="CZ34" s="70">
        <v>3.9999999999999998E-6</v>
      </c>
      <c r="DA34" s="70">
        <v>1.9999999999999999E-6</v>
      </c>
      <c r="DB34" s="70">
        <v>9.9999999999999995E-7</v>
      </c>
      <c r="DC34" s="70">
        <v>5.0000000000000004E-6</v>
      </c>
      <c r="DD34" s="70">
        <v>4.5100000000000001E-4</v>
      </c>
      <c r="DE34" s="70">
        <v>0</v>
      </c>
      <c r="DF34" s="70">
        <v>4.4499999999999997E-4</v>
      </c>
      <c r="DG34" s="70">
        <v>5.4900000000000001E-4</v>
      </c>
      <c r="DH34" s="70">
        <v>4.2000000000000002E-4</v>
      </c>
      <c r="DI34" s="70">
        <v>3.153E-3</v>
      </c>
      <c r="DJ34" s="70">
        <v>2.0599999999999999E-4</v>
      </c>
      <c r="DK34" s="70">
        <v>1.6100000000000001E-4</v>
      </c>
      <c r="DL34" s="70">
        <v>2.1800000000000001E-4</v>
      </c>
      <c r="DM34" s="70">
        <v>5.8299999999999997E-4</v>
      </c>
      <c r="DN34" s="70">
        <v>4.6299999999999998E-4</v>
      </c>
      <c r="DO34" s="70">
        <v>8.0000000000000007E-5</v>
      </c>
      <c r="DP34" s="70">
        <v>1.5200000000000001E-4</v>
      </c>
      <c r="DQ34" s="70">
        <v>5.5000000000000002E-5</v>
      </c>
      <c r="DR34" s="70">
        <v>1.15E-4</v>
      </c>
      <c r="DS34" s="70">
        <v>2.0699999999999999E-4</v>
      </c>
      <c r="DT34" s="70">
        <v>1.9599999999999999E-4</v>
      </c>
      <c r="DU34" s="70">
        <v>4.0000000000000003E-5</v>
      </c>
      <c r="DV34" s="70">
        <v>3.6999999999999998E-5</v>
      </c>
      <c r="DW34" s="70">
        <v>2.6999999999999999E-5</v>
      </c>
      <c r="DX34" s="70">
        <v>8.2999999999999998E-5</v>
      </c>
      <c r="DY34" s="70">
        <v>3.0000000000000001E-6</v>
      </c>
      <c r="DZ34" s="70">
        <v>0</v>
      </c>
      <c r="EA34" s="70">
        <v>6.9999999999999999E-6</v>
      </c>
      <c r="EB34" s="70">
        <v>1.1E-5</v>
      </c>
      <c r="EC34" s="70">
        <v>6.9999999999999999E-6</v>
      </c>
      <c r="ED34" s="70">
        <v>1.8E-5</v>
      </c>
      <c r="EE34" s="70">
        <v>5.0000000000000004E-6</v>
      </c>
      <c r="EF34" s="70">
        <v>6.9999999999999999E-6</v>
      </c>
      <c r="EG34" s="70">
        <v>6.0000000000000002E-6</v>
      </c>
      <c r="EH34" s="70">
        <v>1.2999999999999999E-5</v>
      </c>
      <c r="EI34" s="70">
        <v>1.2999999999999999E-5</v>
      </c>
      <c r="EJ34" s="70">
        <v>5.0000000000000004E-6</v>
      </c>
      <c r="EK34" s="70">
        <v>6.9999999999999999E-6</v>
      </c>
      <c r="EL34" s="70">
        <v>5.0000000000000004E-6</v>
      </c>
      <c r="EM34" s="70">
        <v>3.9999999999999998E-6</v>
      </c>
      <c r="EN34" s="70">
        <v>6.0000000000000002E-6</v>
      </c>
      <c r="EO34" s="70">
        <v>1.2999999999999999E-5</v>
      </c>
      <c r="EP34" s="70">
        <v>5.0000000000000004E-6</v>
      </c>
      <c r="EQ34" s="70">
        <v>9.9999999999999995E-7</v>
      </c>
      <c r="ER34" s="70">
        <v>9.9999999999999995E-7</v>
      </c>
      <c r="ES34" s="70">
        <v>3.9999999999999998E-6</v>
      </c>
      <c r="ET34" s="70">
        <v>3.4E-5</v>
      </c>
      <c r="EU34" s="70">
        <v>0</v>
      </c>
      <c r="EV34" s="70">
        <v>5.3000000000000001E-5</v>
      </c>
      <c r="EW34" s="70">
        <v>3.4999999999999997E-5</v>
      </c>
      <c r="EX34" s="70">
        <v>4.8999999999999998E-5</v>
      </c>
      <c r="EY34" s="70">
        <v>1.3899999999999999E-4</v>
      </c>
      <c r="EZ34" s="70">
        <v>2.4000000000000001E-5</v>
      </c>
      <c r="FA34" s="70">
        <v>2.0000000000000002E-5</v>
      </c>
      <c r="FB34" s="70">
        <v>2.4000000000000001E-5</v>
      </c>
      <c r="FC34" s="70">
        <v>3.4E-5</v>
      </c>
      <c r="FD34" s="70">
        <v>4.8000000000000001E-5</v>
      </c>
      <c r="FE34" s="70">
        <v>1.5999999999999999E-5</v>
      </c>
      <c r="FF34" s="70">
        <v>2.0999999999999999E-5</v>
      </c>
      <c r="FG34" s="70">
        <v>1.0000000000000001E-5</v>
      </c>
      <c r="FH34" s="70">
        <v>1.7E-5</v>
      </c>
      <c r="FI34" s="70">
        <v>1.4E-5</v>
      </c>
      <c r="FJ34" s="70">
        <v>3.1999999999999999E-5</v>
      </c>
      <c r="FK34" s="70">
        <v>7.9999999999999996E-6</v>
      </c>
      <c r="FL34" s="70">
        <v>9.9999999999999995E-7</v>
      </c>
      <c r="FM34" s="70">
        <v>9.9999999999999995E-7</v>
      </c>
      <c r="FN34" s="70">
        <v>1.2999999999999999E-5</v>
      </c>
      <c r="FO34" s="70">
        <v>6.1499999999999999E-4</v>
      </c>
      <c r="FP34" s="70">
        <v>0</v>
      </c>
      <c r="FQ34" s="70">
        <v>7.4899999999999999E-4</v>
      </c>
      <c r="FR34" s="70">
        <v>1.1640000000000001E-3</v>
      </c>
      <c r="FS34" s="70">
        <v>5.3300000000000005E-4</v>
      </c>
      <c r="FT34" s="70">
        <v>3.2160000000000001E-3</v>
      </c>
      <c r="FU34" s="70">
        <v>6.3400000000000001E-4</v>
      </c>
      <c r="FV34" s="70">
        <v>1.0870000000000001E-3</v>
      </c>
      <c r="FW34" s="70">
        <v>5.44E-4</v>
      </c>
      <c r="FX34" s="70">
        <v>1.1379999999999999E-3</v>
      </c>
      <c r="FY34" s="70">
        <v>8.3799999999999999E-4</v>
      </c>
      <c r="FZ34" s="70">
        <v>3.0899999999999998E-4</v>
      </c>
      <c r="GA34" s="70">
        <v>5.6499999999999996E-4</v>
      </c>
      <c r="GB34" s="70">
        <v>2.7700000000000001E-4</v>
      </c>
      <c r="GC34" s="70">
        <v>6.7900000000000002E-4</v>
      </c>
      <c r="GD34" s="70">
        <v>4.8700000000000002E-4</v>
      </c>
      <c r="GE34" s="70">
        <v>4.6799999999999999E-4</v>
      </c>
      <c r="GF34" s="70">
        <v>1.37E-4</v>
      </c>
      <c r="GG34" s="70">
        <v>1.15E-4</v>
      </c>
      <c r="GH34" s="70">
        <v>8.3999999999999995E-5</v>
      </c>
      <c r="GI34" s="70">
        <v>2.1900000000000001E-4</v>
      </c>
      <c r="GJ34" s="70">
        <v>6.9999999999999999E-6</v>
      </c>
      <c r="GK34" s="70">
        <v>0</v>
      </c>
      <c r="GL34" s="70">
        <v>1.0000000000000001E-5</v>
      </c>
      <c r="GM34" s="70">
        <v>1.0000000000000001E-5</v>
      </c>
      <c r="GN34" s="70">
        <v>1.1E-5</v>
      </c>
      <c r="GO34" s="70">
        <v>2.5999999999999998E-5</v>
      </c>
      <c r="GP34" s="70">
        <v>6.9999999999999999E-6</v>
      </c>
      <c r="GQ34" s="70">
        <v>1.2999999999999999E-5</v>
      </c>
      <c r="GR34" s="70">
        <v>7.9999999999999996E-6</v>
      </c>
      <c r="GS34" s="70">
        <v>2.0000000000000002E-5</v>
      </c>
      <c r="GT34" s="70">
        <v>1.5E-5</v>
      </c>
      <c r="GU34" s="70">
        <v>1.0000000000000001E-5</v>
      </c>
      <c r="GV34" s="70">
        <v>3.9999999999999998E-6</v>
      </c>
      <c r="GW34" s="70">
        <v>6.9999999999999999E-6</v>
      </c>
      <c r="GX34" s="70">
        <v>6.0000000000000002E-6</v>
      </c>
      <c r="GY34" s="70">
        <v>6.0000000000000002E-6</v>
      </c>
      <c r="GZ34" s="70">
        <v>4.0000000000000003E-5</v>
      </c>
      <c r="HA34" s="70">
        <v>7.9999999999999996E-6</v>
      </c>
      <c r="HB34" s="70">
        <v>9.9999999999999995E-7</v>
      </c>
      <c r="HC34" s="70">
        <v>9.9999999999999995E-7</v>
      </c>
      <c r="HD34" s="70">
        <v>7.9999999999999996E-6</v>
      </c>
      <c r="HE34" s="70">
        <v>3.0000000000000001E-5</v>
      </c>
      <c r="HF34" s="70">
        <v>0</v>
      </c>
      <c r="HG34" s="70">
        <v>4.1999999999999998E-5</v>
      </c>
      <c r="HH34" s="70">
        <v>1.1E-4</v>
      </c>
      <c r="HI34" s="70">
        <v>3.4999999999999997E-5</v>
      </c>
      <c r="HJ34" s="70">
        <v>2.3499999999999999E-4</v>
      </c>
      <c r="HK34" s="70">
        <v>2.9E-5</v>
      </c>
      <c r="HL34" s="70">
        <v>2.6999999999999999E-5</v>
      </c>
      <c r="HM34" s="70">
        <v>2.0999999999999999E-5</v>
      </c>
      <c r="HN34" s="70">
        <v>4.0000000000000003E-5</v>
      </c>
      <c r="HO34" s="70">
        <v>5.3000000000000001E-5</v>
      </c>
      <c r="HP34" s="70">
        <v>1.1E-5</v>
      </c>
      <c r="HQ34" s="70">
        <v>1.7E-5</v>
      </c>
      <c r="HR34" s="70">
        <v>9.0000000000000002E-6</v>
      </c>
      <c r="HS34" s="70">
        <v>9.0000000000000002E-6</v>
      </c>
      <c r="HT34" s="70">
        <v>1.5999999999999999E-5</v>
      </c>
      <c r="HU34" s="70">
        <v>2.0000000000000002E-5</v>
      </c>
      <c r="HV34" s="70">
        <v>6.9999999999999999E-6</v>
      </c>
      <c r="HW34" s="70">
        <v>3.0000000000000001E-6</v>
      </c>
      <c r="HX34" s="70">
        <v>1.9999999999999999E-6</v>
      </c>
      <c r="HY34" s="70">
        <v>9.0000000000000002E-6</v>
      </c>
      <c r="HZ34" s="70"/>
      <c r="IA34" s="70"/>
      <c r="IB34" s="70"/>
      <c r="IC34" s="70"/>
      <c r="ID34" s="70"/>
      <c r="IE34" s="70"/>
      <c r="IF34" s="70"/>
      <c r="IG34" s="70"/>
      <c r="IH34" s="70"/>
      <c r="II34" s="70"/>
      <c r="IJ34" s="70"/>
      <c r="IK34" s="70"/>
      <c r="IL34" s="70"/>
      <c r="IM34" s="70"/>
      <c r="IN34" s="70"/>
      <c r="IO34" s="70"/>
      <c r="IP34" s="70"/>
      <c r="IQ34" s="70"/>
      <c r="IR34" s="70"/>
      <c r="IS34" s="70"/>
      <c r="IT34" s="70"/>
      <c r="IU34" s="70"/>
      <c r="IV34" s="70"/>
      <c r="IW34" s="70"/>
      <c r="IX34" s="70"/>
      <c r="IY34" s="70"/>
      <c r="IZ34" s="70"/>
      <c r="JA34" s="70"/>
      <c r="JB34" s="70"/>
      <c r="JC34" s="70"/>
      <c r="JD34" s="70"/>
      <c r="JE34" s="70"/>
      <c r="JF34" s="70"/>
      <c r="JG34" s="70"/>
      <c r="JH34" s="70"/>
      <c r="JI34" s="70"/>
      <c r="JJ34" s="70"/>
      <c r="JK34" s="70"/>
      <c r="JL34" s="70"/>
      <c r="JM34" s="70"/>
      <c r="JN34" s="70"/>
      <c r="JO34" s="70"/>
      <c r="JP34" s="70"/>
      <c r="JQ34" s="70"/>
    </row>
    <row r="35" spans="1:277">
      <c r="A35" s="328" t="s">
        <v>102</v>
      </c>
      <c r="B35" s="72" t="s">
        <v>16</v>
      </c>
      <c r="C35" s="67">
        <v>7.7800000000000005E-4</v>
      </c>
      <c r="D35" s="67">
        <v>0</v>
      </c>
      <c r="E35" s="67">
        <v>6.3299999999999999E-4</v>
      </c>
      <c r="F35" s="67">
        <v>1.16E-4</v>
      </c>
      <c r="G35" s="67">
        <v>4.6299999999999998E-4</v>
      </c>
      <c r="H35" s="67">
        <v>5.2449999999999997E-3</v>
      </c>
      <c r="I35" s="67">
        <v>1.0190049999999999</v>
      </c>
      <c r="J35" s="67">
        <v>4.8500000000000003E-4</v>
      </c>
      <c r="K35" s="67">
        <v>4.5329999999999997E-3</v>
      </c>
      <c r="L35" s="67">
        <v>1.2014E-2</v>
      </c>
      <c r="M35" s="67">
        <v>4.5129999999999997E-3</v>
      </c>
      <c r="N35" s="67">
        <v>3.9800000000000002E-4</v>
      </c>
      <c r="O35" s="67">
        <v>8.5846000000000006E-2</v>
      </c>
      <c r="P35" s="67">
        <v>1.3829999999999999E-3</v>
      </c>
      <c r="Q35" s="67">
        <v>1.5579999999999999E-3</v>
      </c>
      <c r="R35" s="67">
        <v>1.6429999999999999E-3</v>
      </c>
      <c r="S35" s="67">
        <v>1.4363000000000001E-2</v>
      </c>
      <c r="T35" s="67">
        <v>5.1800000000000001E-4</v>
      </c>
      <c r="U35" s="67">
        <v>4.7199999999999998E-4</v>
      </c>
      <c r="V35" s="67">
        <v>3.4299999999999999E-4</v>
      </c>
      <c r="W35" s="67">
        <v>1.8420000000000001E-3</v>
      </c>
      <c r="X35" s="67">
        <v>6.0000000000000002E-6</v>
      </c>
      <c r="Y35" s="67">
        <v>0</v>
      </c>
      <c r="Z35" s="67">
        <v>3.9999999999999998E-6</v>
      </c>
      <c r="AA35" s="67">
        <v>3.0000000000000001E-6</v>
      </c>
      <c r="AB35" s="67">
        <v>3.9999999999999998E-6</v>
      </c>
      <c r="AC35" s="67">
        <v>2.0000000000000002E-5</v>
      </c>
      <c r="AD35" s="67">
        <v>3.9999999999999998E-6</v>
      </c>
      <c r="AE35" s="67">
        <v>3.0000000000000001E-6</v>
      </c>
      <c r="AF35" s="67">
        <v>3.0000000000000001E-6</v>
      </c>
      <c r="AG35" s="67">
        <v>6.0000000000000002E-6</v>
      </c>
      <c r="AH35" s="67">
        <v>5.0000000000000004E-6</v>
      </c>
      <c r="AI35" s="67">
        <v>9.9999999999999995E-7</v>
      </c>
      <c r="AJ35" s="67">
        <v>1.9999999999999999E-6</v>
      </c>
      <c r="AK35" s="67">
        <v>9.9999999999999995E-7</v>
      </c>
      <c r="AL35" s="67">
        <v>1.9999999999999999E-6</v>
      </c>
      <c r="AM35" s="67">
        <v>9.9999999999999995E-7</v>
      </c>
      <c r="AN35" s="67">
        <v>9.9999999999999995E-7</v>
      </c>
      <c r="AO35" s="67">
        <v>0</v>
      </c>
      <c r="AP35" s="67">
        <v>0</v>
      </c>
      <c r="AQ35" s="67">
        <v>0</v>
      </c>
      <c r="AR35" s="67">
        <v>9.9999999999999995E-7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9.9999999999999995E-7</v>
      </c>
      <c r="AY35" s="67">
        <v>0</v>
      </c>
      <c r="AZ35" s="67">
        <v>0</v>
      </c>
      <c r="BA35" s="67">
        <v>0</v>
      </c>
      <c r="BB35" s="67">
        <v>9.9999999999999995E-7</v>
      </c>
      <c r="BC35" s="67">
        <v>9.9999999999999995E-7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9.9999999999999995E-7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9.9999999999999995E-7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6.0000000000000002E-6</v>
      </c>
      <c r="DE35" s="67">
        <v>0</v>
      </c>
      <c r="DF35" s="67">
        <v>1.1E-5</v>
      </c>
      <c r="DG35" s="67">
        <v>6.0000000000000002E-6</v>
      </c>
      <c r="DH35" s="67">
        <v>1.9999999999999999E-6</v>
      </c>
      <c r="DI35" s="67">
        <v>9.0000000000000002E-6</v>
      </c>
      <c r="DJ35" s="67">
        <v>9.9999999999999995E-7</v>
      </c>
      <c r="DK35" s="67">
        <v>9.9999999999999995E-7</v>
      </c>
      <c r="DL35" s="67">
        <v>1.9999999999999999E-6</v>
      </c>
      <c r="DM35" s="67">
        <v>1.5999999999999999E-5</v>
      </c>
      <c r="DN35" s="67">
        <v>3.0000000000000001E-6</v>
      </c>
      <c r="DO35" s="67">
        <v>9.9999999999999995E-7</v>
      </c>
      <c r="DP35" s="67">
        <v>1.9999999999999999E-6</v>
      </c>
      <c r="DQ35" s="67">
        <v>9.9999999999999995E-7</v>
      </c>
      <c r="DR35" s="67">
        <v>9.9999999999999995E-7</v>
      </c>
      <c r="DS35" s="67">
        <v>3.9999999999999998E-6</v>
      </c>
      <c r="DT35" s="67">
        <v>6.9999999999999999E-6</v>
      </c>
      <c r="DU35" s="67">
        <v>9.9999999999999995E-7</v>
      </c>
      <c r="DV35" s="67">
        <v>0</v>
      </c>
      <c r="DW35" s="67">
        <v>0</v>
      </c>
      <c r="DX35" s="67">
        <v>9.9999999999999995E-7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9.9999999999999995E-7</v>
      </c>
      <c r="EP35" s="67">
        <v>0</v>
      </c>
      <c r="EQ35" s="67">
        <v>0</v>
      </c>
      <c r="ER35" s="67">
        <v>0</v>
      </c>
      <c r="ES35" s="67">
        <v>0</v>
      </c>
      <c r="ET35" s="67">
        <v>9.9999999999999995E-7</v>
      </c>
      <c r="EU35" s="67">
        <v>0</v>
      </c>
      <c r="EV35" s="67">
        <v>9.9999999999999995E-7</v>
      </c>
      <c r="EW35" s="67">
        <v>9.9999999999999995E-7</v>
      </c>
      <c r="EX35" s="67">
        <v>9.9999999999999995E-7</v>
      </c>
      <c r="EY35" s="67">
        <v>1.9999999999999999E-6</v>
      </c>
      <c r="EZ35" s="67">
        <v>6.0000000000000002E-6</v>
      </c>
      <c r="FA35" s="67">
        <v>9.9999999999999995E-7</v>
      </c>
      <c r="FB35" s="67">
        <v>9.9999999999999995E-7</v>
      </c>
      <c r="FC35" s="67">
        <v>9.9999999999999995E-7</v>
      </c>
      <c r="FD35" s="67">
        <v>9.9999999999999995E-7</v>
      </c>
      <c r="FE35" s="67">
        <v>0</v>
      </c>
      <c r="FF35" s="67">
        <v>1.9999999999999999E-6</v>
      </c>
      <c r="FG35" s="67">
        <v>0</v>
      </c>
      <c r="FH35" s="67">
        <v>0</v>
      </c>
      <c r="FI35" s="67">
        <v>0</v>
      </c>
      <c r="FJ35" s="67">
        <v>1.9999999999999999E-6</v>
      </c>
      <c r="FK35" s="67">
        <v>0</v>
      </c>
      <c r="FL35" s="67">
        <v>0</v>
      </c>
      <c r="FM35" s="67">
        <v>0</v>
      </c>
      <c r="FN35" s="67">
        <v>0</v>
      </c>
      <c r="FO35" s="67">
        <v>6.9999999999999999E-6</v>
      </c>
      <c r="FP35" s="67">
        <v>0</v>
      </c>
      <c r="FQ35" s="67">
        <v>1.5999999999999999E-5</v>
      </c>
      <c r="FR35" s="67">
        <v>1.9000000000000001E-5</v>
      </c>
      <c r="FS35" s="67">
        <v>1.5999999999999999E-5</v>
      </c>
      <c r="FT35" s="67">
        <v>4.1E-5</v>
      </c>
      <c r="FU35" s="67">
        <v>3.6999999999999998E-5</v>
      </c>
      <c r="FV35" s="67">
        <v>2.1999999999999999E-5</v>
      </c>
      <c r="FW35" s="67">
        <v>2.0000000000000002E-5</v>
      </c>
      <c r="FX35" s="67">
        <v>7.8999999999999996E-5</v>
      </c>
      <c r="FY35" s="67">
        <v>2.4000000000000001E-5</v>
      </c>
      <c r="FZ35" s="67">
        <v>1.1E-5</v>
      </c>
      <c r="GA35" s="67">
        <v>1.1E-4</v>
      </c>
      <c r="GB35" s="67">
        <v>1.1E-5</v>
      </c>
      <c r="GC35" s="67">
        <v>1.9000000000000001E-5</v>
      </c>
      <c r="GD35" s="67">
        <v>1.8E-5</v>
      </c>
      <c r="GE35" s="67">
        <v>3.1999999999999999E-5</v>
      </c>
      <c r="GF35" s="67">
        <v>7.9999999999999996E-6</v>
      </c>
      <c r="GG35" s="67">
        <v>7.9999999999999996E-6</v>
      </c>
      <c r="GH35" s="67">
        <v>6.0000000000000002E-6</v>
      </c>
      <c r="GI35" s="67">
        <v>7.9999999999999996E-6</v>
      </c>
      <c r="GJ35" s="67">
        <v>0</v>
      </c>
      <c r="GK35" s="67">
        <v>0</v>
      </c>
      <c r="GL35" s="67">
        <v>0</v>
      </c>
      <c r="GM35" s="67">
        <v>0</v>
      </c>
      <c r="GN35" s="67">
        <v>0</v>
      </c>
      <c r="GO35" s="67">
        <v>9.9999999999999995E-7</v>
      </c>
      <c r="GP35" s="67">
        <v>0</v>
      </c>
      <c r="GQ35" s="67">
        <v>0</v>
      </c>
      <c r="GR35" s="67">
        <v>0</v>
      </c>
      <c r="GS35" s="67">
        <v>9.9999999999999995E-7</v>
      </c>
      <c r="GT35" s="67">
        <v>9.9999999999999995E-7</v>
      </c>
      <c r="GU35" s="67">
        <v>0</v>
      </c>
      <c r="GV35" s="67">
        <v>0</v>
      </c>
      <c r="GW35" s="67">
        <v>0</v>
      </c>
      <c r="GX35" s="67">
        <v>0</v>
      </c>
      <c r="GY35" s="67">
        <v>0</v>
      </c>
      <c r="GZ35" s="67">
        <v>1.9999999999999999E-6</v>
      </c>
      <c r="HA35" s="67">
        <v>0</v>
      </c>
      <c r="HB35" s="67">
        <v>0</v>
      </c>
      <c r="HC35" s="67">
        <v>0</v>
      </c>
      <c r="HD35" s="67">
        <v>0</v>
      </c>
      <c r="HE35" s="67">
        <v>0</v>
      </c>
      <c r="HF35" s="67">
        <v>0</v>
      </c>
      <c r="HG35" s="67">
        <v>9.9999999999999995E-7</v>
      </c>
      <c r="HH35" s="67">
        <v>9.9999999999999995E-7</v>
      </c>
      <c r="HI35" s="67">
        <v>0</v>
      </c>
      <c r="HJ35" s="67">
        <v>9.9999999999999995E-7</v>
      </c>
      <c r="HK35" s="67">
        <v>0</v>
      </c>
      <c r="HL35" s="67">
        <v>0</v>
      </c>
      <c r="HM35" s="67">
        <v>0</v>
      </c>
      <c r="HN35" s="67">
        <v>9.9999999999999995E-7</v>
      </c>
      <c r="HO35" s="67">
        <v>9.9999999999999995E-7</v>
      </c>
      <c r="HP35" s="67">
        <v>0</v>
      </c>
      <c r="HQ35" s="67">
        <v>0</v>
      </c>
      <c r="HR35" s="67">
        <v>0</v>
      </c>
      <c r="HS35" s="67">
        <v>0</v>
      </c>
      <c r="HT35" s="67">
        <v>0</v>
      </c>
      <c r="HU35" s="67">
        <v>9.9999999999999995E-7</v>
      </c>
      <c r="HV35" s="67">
        <v>0</v>
      </c>
      <c r="HW35" s="67">
        <v>0</v>
      </c>
      <c r="HX35" s="67">
        <v>0</v>
      </c>
      <c r="HY35" s="67">
        <v>0</v>
      </c>
      <c r="HZ35" s="67"/>
      <c r="IA35" s="67"/>
      <c r="IB35" s="67"/>
      <c r="IC35" s="67"/>
      <c r="ID35" s="67"/>
      <c r="IE35" s="67"/>
      <c r="IF35" s="67"/>
      <c r="IG35" s="67"/>
      <c r="IH35" s="67"/>
      <c r="II35" s="67"/>
      <c r="IJ35" s="67"/>
      <c r="IK35" s="67"/>
      <c r="IL35" s="67"/>
      <c r="IM35" s="67"/>
      <c r="IN35" s="67"/>
      <c r="IO35" s="67"/>
      <c r="IP35" s="67"/>
      <c r="IQ35" s="67"/>
      <c r="IR35" s="67"/>
      <c r="IS35" s="67"/>
      <c r="IT35" s="67"/>
      <c r="IU35" s="67"/>
      <c r="IV35" s="67"/>
      <c r="IW35" s="67"/>
      <c r="IX35" s="67"/>
      <c r="IY35" s="67"/>
      <c r="IZ35" s="67"/>
      <c r="JA35" s="67"/>
      <c r="JB35" s="67"/>
      <c r="JC35" s="67"/>
      <c r="JD35" s="67"/>
      <c r="JE35" s="67"/>
      <c r="JF35" s="67"/>
      <c r="JG35" s="67"/>
      <c r="JH35" s="67"/>
      <c r="JI35" s="67"/>
      <c r="JJ35" s="67"/>
      <c r="JK35" s="67"/>
      <c r="JL35" s="67"/>
      <c r="JM35" s="67"/>
      <c r="JN35" s="67"/>
      <c r="JO35" s="67"/>
      <c r="JP35" s="67"/>
      <c r="JQ35" s="67"/>
    </row>
    <row r="36" spans="1:277">
      <c r="A36" s="327" t="s">
        <v>103</v>
      </c>
      <c r="B36" s="71" t="s">
        <v>17</v>
      </c>
      <c r="C36" s="70">
        <v>6.3699999999999998E-4</v>
      </c>
      <c r="D36" s="70">
        <v>0</v>
      </c>
      <c r="E36" s="70">
        <v>6.29E-4</v>
      </c>
      <c r="F36" s="70">
        <v>2.14E-4</v>
      </c>
      <c r="G36" s="70">
        <v>1.1479999999999999E-3</v>
      </c>
      <c r="H36" s="70">
        <v>1.2331999999999999E-2</v>
      </c>
      <c r="I36" s="70">
        <v>3.4600000000000001E-4</v>
      </c>
      <c r="J36" s="70">
        <v>1.022772</v>
      </c>
      <c r="K36" s="70">
        <v>1.225E-2</v>
      </c>
      <c r="L36" s="70">
        <v>0.178838</v>
      </c>
      <c r="M36" s="70">
        <v>5.3659999999999999E-2</v>
      </c>
      <c r="N36" s="70">
        <v>2.3800000000000001E-4</v>
      </c>
      <c r="O36" s="70">
        <v>9.384E-3</v>
      </c>
      <c r="P36" s="70">
        <v>1.6050000000000001E-3</v>
      </c>
      <c r="Q36" s="70">
        <v>3.5860000000000002E-3</v>
      </c>
      <c r="R36" s="70">
        <v>1.3309999999999999E-3</v>
      </c>
      <c r="S36" s="70">
        <v>1.265E-2</v>
      </c>
      <c r="T36" s="70">
        <v>1.882E-3</v>
      </c>
      <c r="U36" s="70">
        <v>2.5900000000000001E-4</v>
      </c>
      <c r="V36" s="70">
        <v>1.8799999999999999E-4</v>
      </c>
      <c r="W36" s="70">
        <v>1.4630000000000001E-3</v>
      </c>
      <c r="X36" s="70">
        <v>1.5E-5</v>
      </c>
      <c r="Y36" s="70">
        <v>0</v>
      </c>
      <c r="Z36" s="70">
        <v>1.2E-5</v>
      </c>
      <c r="AA36" s="70">
        <v>9.0000000000000002E-6</v>
      </c>
      <c r="AB36" s="70">
        <v>1.5999999999999999E-5</v>
      </c>
      <c r="AC36" s="70">
        <v>5.5000000000000002E-5</v>
      </c>
      <c r="AD36" s="70">
        <v>1.7E-5</v>
      </c>
      <c r="AE36" s="70">
        <v>7.3999999999999996E-5</v>
      </c>
      <c r="AF36" s="70">
        <v>1.3200000000000001E-4</v>
      </c>
      <c r="AG36" s="70">
        <v>1.4799999999999999E-4</v>
      </c>
      <c r="AH36" s="70">
        <v>9.0000000000000006E-5</v>
      </c>
      <c r="AI36" s="70">
        <v>9.0000000000000002E-6</v>
      </c>
      <c r="AJ36" s="70">
        <v>3.1999999999999999E-5</v>
      </c>
      <c r="AK36" s="70">
        <v>3.9999999999999998E-6</v>
      </c>
      <c r="AL36" s="70">
        <v>7.9999999999999996E-6</v>
      </c>
      <c r="AM36" s="70">
        <v>6.0000000000000002E-6</v>
      </c>
      <c r="AN36" s="70">
        <v>9.0000000000000002E-6</v>
      </c>
      <c r="AO36" s="70">
        <v>1.9999999999999999E-6</v>
      </c>
      <c r="AP36" s="70">
        <v>0</v>
      </c>
      <c r="AQ36" s="70">
        <v>0</v>
      </c>
      <c r="AR36" s="70">
        <v>3.0000000000000001E-6</v>
      </c>
      <c r="AS36" s="70">
        <v>9.9999999999999995E-7</v>
      </c>
      <c r="AT36" s="70">
        <v>0</v>
      </c>
      <c r="AU36" s="70">
        <v>9.9999999999999995E-7</v>
      </c>
      <c r="AV36" s="70">
        <v>9.9999999999999995E-7</v>
      </c>
      <c r="AW36" s="70">
        <v>9.9999999999999995E-7</v>
      </c>
      <c r="AX36" s="70">
        <v>3.9999999999999998E-6</v>
      </c>
      <c r="AY36" s="70">
        <v>1.9999999999999999E-6</v>
      </c>
      <c r="AZ36" s="70">
        <v>2.4000000000000001E-5</v>
      </c>
      <c r="BA36" s="70">
        <v>1.1E-5</v>
      </c>
      <c r="BB36" s="70">
        <v>1.0000000000000001E-5</v>
      </c>
      <c r="BC36" s="70">
        <v>6.9999999999999999E-6</v>
      </c>
      <c r="BD36" s="70">
        <v>9.9999999999999995E-7</v>
      </c>
      <c r="BE36" s="70">
        <v>1.9999999999999999E-6</v>
      </c>
      <c r="BF36" s="70">
        <v>9.9999999999999995E-7</v>
      </c>
      <c r="BG36" s="70">
        <v>9.9999999999999995E-7</v>
      </c>
      <c r="BH36" s="70">
        <v>9.9999999999999995E-7</v>
      </c>
      <c r="BI36" s="70">
        <v>1.9999999999999999E-6</v>
      </c>
      <c r="BJ36" s="70">
        <v>0</v>
      </c>
      <c r="BK36" s="70">
        <v>0</v>
      </c>
      <c r="BL36" s="70">
        <v>0</v>
      </c>
      <c r="BM36" s="70">
        <v>0</v>
      </c>
      <c r="BN36" s="70">
        <v>0</v>
      </c>
      <c r="BO36" s="70">
        <v>0</v>
      </c>
      <c r="BP36" s="70">
        <v>0</v>
      </c>
      <c r="BQ36" s="70">
        <v>0</v>
      </c>
      <c r="BR36" s="70">
        <v>0</v>
      </c>
      <c r="BS36" s="70">
        <v>9.9999999999999995E-7</v>
      </c>
      <c r="BT36" s="70">
        <v>0</v>
      </c>
      <c r="BU36" s="70">
        <v>9.9999999999999995E-7</v>
      </c>
      <c r="BV36" s="70">
        <v>9.9999999999999995E-7</v>
      </c>
      <c r="BW36" s="70">
        <v>1.9999999999999999E-6</v>
      </c>
      <c r="BX36" s="70">
        <v>9.9999999999999995E-7</v>
      </c>
      <c r="BY36" s="70">
        <v>0</v>
      </c>
      <c r="BZ36" s="70">
        <v>0</v>
      </c>
      <c r="CA36" s="70">
        <v>0</v>
      </c>
      <c r="CB36" s="70">
        <v>0</v>
      </c>
      <c r="CC36" s="70">
        <v>0</v>
      </c>
      <c r="CD36" s="70">
        <v>0</v>
      </c>
      <c r="CE36" s="70">
        <v>0</v>
      </c>
      <c r="CF36" s="70">
        <v>0</v>
      </c>
      <c r="CG36" s="70">
        <v>0</v>
      </c>
      <c r="CH36" s="70">
        <v>0</v>
      </c>
      <c r="CI36" s="70">
        <v>0</v>
      </c>
      <c r="CJ36" s="70">
        <v>0</v>
      </c>
      <c r="CK36" s="70">
        <v>9.9999999999999995E-7</v>
      </c>
      <c r="CL36" s="70">
        <v>0</v>
      </c>
      <c r="CM36" s="70">
        <v>9.9999999999999995E-7</v>
      </c>
      <c r="CN36" s="70">
        <v>9.9999999999999995E-7</v>
      </c>
      <c r="CO36" s="70">
        <v>9.9999999999999995E-7</v>
      </c>
      <c r="CP36" s="70">
        <v>7.9999999999999996E-6</v>
      </c>
      <c r="CQ36" s="70">
        <v>3.9999999999999998E-6</v>
      </c>
      <c r="CR36" s="70">
        <v>3.9999999999999998E-6</v>
      </c>
      <c r="CS36" s="70">
        <v>1.9999999999999999E-6</v>
      </c>
      <c r="CT36" s="70">
        <v>0</v>
      </c>
      <c r="CU36" s="70">
        <v>9.9999999999999995E-7</v>
      </c>
      <c r="CV36" s="70">
        <v>0</v>
      </c>
      <c r="CW36" s="70">
        <v>0</v>
      </c>
      <c r="CX36" s="70">
        <v>0</v>
      </c>
      <c r="CY36" s="70">
        <v>9.9999999999999995E-7</v>
      </c>
      <c r="CZ36" s="70">
        <v>0</v>
      </c>
      <c r="DA36" s="70">
        <v>0</v>
      </c>
      <c r="DB36" s="70">
        <v>0</v>
      </c>
      <c r="DC36" s="70">
        <v>0</v>
      </c>
      <c r="DD36" s="70">
        <v>1.1E-5</v>
      </c>
      <c r="DE36" s="70">
        <v>0</v>
      </c>
      <c r="DF36" s="70">
        <v>1.5999999999999999E-5</v>
      </c>
      <c r="DG36" s="70">
        <v>1.1E-5</v>
      </c>
      <c r="DH36" s="70">
        <v>1.2999999999999999E-5</v>
      </c>
      <c r="DI36" s="70">
        <v>3.1000000000000001E-5</v>
      </c>
      <c r="DJ36" s="70">
        <v>9.0000000000000002E-6</v>
      </c>
      <c r="DK36" s="70">
        <v>3.0000000000000001E-5</v>
      </c>
      <c r="DL36" s="70">
        <v>4.0000000000000003E-5</v>
      </c>
      <c r="DM36" s="70">
        <v>2.5099999999999998E-4</v>
      </c>
      <c r="DN36" s="70">
        <v>3.6000000000000001E-5</v>
      </c>
      <c r="DO36" s="70">
        <v>9.0000000000000002E-6</v>
      </c>
      <c r="DP36" s="70">
        <v>2.4000000000000001E-5</v>
      </c>
      <c r="DQ36" s="70">
        <v>6.0000000000000002E-6</v>
      </c>
      <c r="DR36" s="70">
        <v>1.1E-5</v>
      </c>
      <c r="DS36" s="70">
        <v>1.1E-5</v>
      </c>
      <c r="DT36" s="70">
        <v>9.7E-5</v>
      </c>
      <c r="DU36" s="70">
        <v>6.9999999999999999E-6</v>
      </c>
      <c r="DV36" s="70">
        <v>1.9999999999999999E-6</v>
      </c>
      <c r="DW36" s="70">
        <v>1.9999999999999999E-6</v>
      </c>
      <c r="DX36" s="70">
        <v>9.0000000000000002E-6</v>
      </c>
      <c r="DY36" s="70">
        <v>0</v>
      </c>
      <c r="DZ36" s="70">
        <v>0</v>
      </c>
      <c r="EA36" s="70">
        <v>0</v>
      </c>
      <c r="EB36" s="70">
        <v>9.9999999999999995E-7</v>
      </c>
      <c r="EC36" s="70">
        <v>9.9999999999999995E-7</v>
      </c>
      <c r="ED36" s="70">
        <v>9.9999999999999995E-7</v>
      </c>
      <c r="EE36" s="70">
        <v>9.9999999999999995E-7</v>
      </c>
      <c r="EF36" s="70">
        <v>3.0000000000000001E-6</v>
      </c>
      <c r="EG36" s="70">
        <v>6.0000000000000002E-6</v>
      </c>
      <c r="EH36" s="70">
        <v>5.0000000000000004E-6</v>
      </c>
      <c r="EI36" s="70">
        <v>7.9999999999999996E-6</v>
      </c>
      <c r="EJ36" s="70">
        <v>0</v>
      </c>
      <c r="EK36" s="70">
        <v>1.9999999999999999E-6</v>
      </c>
      <c r="EL36" s="70">
        <v>0</v>
      </c>
      <c r="EM36" s="70">
        <v>0</v>
      </c>
      <c r="EN36" s="70">
        <v>0</v>
      </c>
      <c r="EO36" s="70">
        <v>9.9999999999999995E-7</v>
      </c>
      <c r="EP36" s="70">
        <v>0</v>
      </c>
      <c r="EQ36" s="70">
        <v>0</v>
      </c>
      <c r="ER36" s="70">
        <v>0</v>
      </c>
      <c r="ES36" s="70">
        <v>0</v>
      </c>
      <c r="ET36" s="70">
        <v>9.9999999999999995E-7</v>
      </c>
      <c r="EU36" s="70">
        <v>0</v>
      </c>
      <c r="EV36" s="70">
        <v>9.9999999999999995E-7</v>
      </c>
      <c r="EW36" s="70">
        <v>9.9999999999999995E-7</v>
      </c>
      <c r="EX36" s="70">
        <v>9.9999999999999995E-7</v>
      </c>
      <c r="EY36" s="70">
        <v>1.9999999999999999E-6</v>
      </c>
      <c r="EZ36" s="70">
        <v>9.9999999999999995E-7</v>
      </c>
      <c r="FA36" s="70">
        <v>3.0000000000000001E-6</v>
      </c>
      <c r="FB36" s="70">
        <v>5.0000000000000004E-6</v>
      </c>
      <c r="FC36" s="70">
        <v>6.0000000000000002E-6</v>
      </c>
      <c r="FD36" s="70">
        <v>3.9999999999999998E-6</v>
      </c>
      <c r="FE36" s="70">
        <v>9.9999999999999995E-7</v>
      </c>
      <c r="FF36" s="70">
        <v>9.9999999999999995E-7</v>
      </c>
      <c r="FG36" s="70">
        <v>0</v>
      </c>
      <c r="FH36" s="70">
        <v>9.9999999999999995E-7</v>
      </c>
      <c r="FI36" s="70">
        <v>0</v>
      </c>
      <c r="FJ36" s="70">
        <v>1.9999999999999999E-6</v>
      </c>
      <c r="FK36" s="70">
        <v>0</v>
      </c>
      <c r="FL36" s="70">
        <v>0</v>
      </c>
      <c r="FM36" s="70">
        <v>0</v>
      </c>
      <c r="FN36" s="70">
        <v>0</v>
      </c>
      <c r="FO36" s="70">
        <v>9.0000000000000002E-6</v>
      </c>
      <c r="FP36" s="70">
        <v>0</v>
      </c>
      <c r="FQ36" s="70">
        <v>1.4E-5</v>
      </c>
      <c r="FR36" s="70">
        <v>1.9000000000000001E-5</v>
      </c>
      <c r="FS36" s="70">
        <v>1.4E-5</v>
      </c>
      <c r="FT36" s="70">
        <v>5.5000000000000002E-5</v>
      </c>
      <c r="FU36" s="70">
        <v>2.5000000000000001E-5</v>
      </c>
      <c r="FV36" s="70">
        <v>5.1E-5</v>
      </c>
      <c r="FW36" s="70">
        <v>2.3E-5</v>
      </c>
      <c r="FX36" s="70">
        <v>4.6E-5</v>
      </c>
      <c r="FY36" s="70">
        <v>1.6000000000000001E-4</v>
      </c>
      <c r="FZ36" s="70">
        <v>1.1E-5</v>
      </c>
      <c r="GA36" s="70">
        <v>5.0000000000000002E-5</v>
      </c>
      <c r="GB36" s="70">
        <v>1.2E-5</v>
      </c>
      <c r="GC36" s="70">
        <v>1.4E-5</v>
      </c>
      <c r="GD36" s="70">
        <v>1.0000000000000001E-5</v>
      </c>
      <c r="GE36" s="70">
        <v>2.6999999999999999E-5</v>
      </c>
      <c r="GF36" s="70">
        <v>7.9999999999999996E-6</v>
      </c>
      <c r="GG36" s="70">
        <v>6.0000000000000002E-6</v>
      </c>
      <c r="GH36" s="70">
        <v>3.9999999999999998E-6</v>
      </c>
      <c r="GI36" s="70">
        <v>6.9999999999999999E-6</v>
      </c>
      <c r="GJ36" s="70">
        <v>1.9999999999999999E-6</v>
      </c>
      <c r="GK36" s="70">
        <v>0</v>
      </c>
      <c r="GL36" s="70">
        <v>1.9999999999999999E-6</v>
      </c>
      <c r="GM36" s="70">
        <v>9.9999999999999995E-7</v>
      </c>
      <c r="GN36" s="70">
        <v>1.9999999999999999E-6</v>
      </c>
      <c r="GO36" s="70">
        <v>6.9999999999999999E-6</v>
      </c>
      <c r="GP36" s="70">
        <v>3.0000000000000001E-6</v>
      </c>
      <c r="GQ36" s="70">
        <v>8.7999999999999998E-5</v>
      </c>
      <c r="GR36" s="70">
        <v>3.8000000000000002E-5</v>
      </c>
      <c r="GS36" s="70">
        <v>4.6999999999999997E-5</v>
      </c>
      <c r="GT36" s="70">
        <v>2.0999999999999999E-5</v>
      </c>
      <c r="GU36" s="70">
        <v>3.0000000000000001E-6</v>
      </c>
      <c r="GV36" s="70">
        <v>3.9999999999999998E-6</v>
      </c>
      <c r="GW36" s="70">
        <v>9.9999999999999995E-7</v>
      </c>
      <c r="GX36" s="70">
        <v>1.9999999999999999E-6</v>
      </c>
      <c r="GY36" s="70">
        <v>9.9999999999999995E-7</v>
      </c>
      <c r="GZ36" s="70">
        <v>3.0000000000000001E-6</v>
      </c>
      <c r="HA36" s="70">
        <v>9.9999999999999995E-7</v>
      </c>
      <c r="HB36" s="70">
        <v>0</v>
      </c>
      <c r="HC36" s="70">
        <v>0</v>
      </c>
      <c r="HD36" s="70">
        <v>9.9999999999999995E-7</v>
      </c>
      <c r="HE36" s="70">
        <v>9.9999999999999995E-7</v>
      </c>
      <c r="HF36" s="70">
        <v>0</v>
      </c>
      <c r="HG36" s="70">
        <v>1.9999999999999999E-6</v>
      </c>
      <c r="HH36" s="70">
        <v>1.9999999999999999E-6</v>
      </c>
      <c r="HI36" s="70">
        <v>1.9999999999999999E-6</v>
      </c>
      <c r="HJ36" s="70">
        <v>5.0000000000000004E-6</v>
      </c>
      <c r="HK36" s="70">
        <v>1.9999999999999999E-6</v>
      </c>
      <c r="HL36" s="70">
        <v>1.4E-5</v>
      </c>
      <c r="HM36" s="70">
        <v>1.8E-5</v>
      </c>
      <c r="HN36" s="70">
        <v>2.4000000000000001E-5</v>
      </c>
      <c r="HO36" s="70">
        <v>1.4E-5</v>
      </c>
      <c r="HP36" s="70">
        <v>1.9999999999999999E-6</v>
      </c>
      <c r="HQ36" s="70">
        <v>5.0000000000000004E-6</v>
      </c>
      <c r="HR36" s="70">
        <v>9.9999999999999995E-7</v>
      </c>
      <c r="HS36" s="70">
        <v>9.9999999999999995E-7</v>
      </c>
      <c r="HT36" s="70">
        <v>9.9999999999999995E-7</v>
      </c>
      <c r="HU36" s="70">
        <v>1.9999999999999999E-6</v>
      </c>
      <c r="HV36" s="70">
        <v>9.9999999999999995E-7</v>
      </c>
      <c r="HW36" s="70">
        <v>0</v>
      </c>
      <c r="HX36" s="70">
        <v>0</v>
      </c>
      <c r="HY36" s="70">
        <v>9.9999999999999995E-7</v>
      </c>
      <c r="HZ36" s="70"/>
      <c r="IA36" s="70"/>
      <c r="IB36" s="70"/>
      <c r="IC36" s="70"/>
      <c r="ID36" s="70"/>
      <c r="IE36" s="70"/>
      <c r="IF36" s="70"/>
      <c r="IG36" s="70"/>
      <c r="IH36" s="70"/>
      <c r="II36" s="70"/>
      <c r="IJ36" s="70"/>
      <c r="IK36" s="70"/>
      <c r="IL36" s="70"/>
      <c r="IM36" s="70"/>
      <c r="IN36" s="70"/>
      <c r="IO36" s="70"/>
      <c r="IP36" s="70"/>
      <c r="IQ36" s="70"/>
      <c r="IR36" s="70"/>
      <c r="IS36" s="70"/>
      <c r="IT36" s="70"/>
      <c r="IU36" s="70"/>
      <c r="IV36" s="70"/>
      <c r="IW36" s="70"/>
      <c r="IX36" s="70"/>
      <c r="IY36" s="70"/>
      <c r="IZ36" s="70"/>
      <c r="JA36" s="70"/>
      <c r="JB36" s="70"/>
      <c r="JC36" s="70"/>
      <c r="JD36" s="70"/>
      <c r="JE36" s="70"/>
      <c r="JF36" s="70"/>
      <c r="JG36" s="70"/>
      <c r="JH36" s="70"/>
      <c r="JI36" s="70"/>
      <c r="JJ36" s="70"/>
      <c r="JK36" s="70"/>
      <c r="JL36" s="70"/>
      <c r="JM36" s="70"/>
      <c r="JN36" s="70"/>
      <c r="JO36" s="70"/>
      <c r="JP36" s="70"/>
      <c r="JQ36" s="70"/>
    </row>
    <row r="37" spans="1:277">
      <c r="A37" s="329" t="s">
        <v>104</v>
      </c>
      <c r="B37" s="72" t="s">
        <v>18</v>
      </c>
      <c r="C37" s="67">
        <v>6.5499999999999998E-4</v>
      </c>
      <c r="D37" s="67">
        <v>0</v>
      </c>
      <c r="E37" s="67">
        <v>4.73E-4</v>
      </c>
      <c r="F37" s="67">
        <v>4.5399999999999998E-4</v>
      </c>
      <c r="G37" s="67">
        <v>1.5640000000000001E-3</v>
      </c>
      <c r="H37" s="67">
        <v>2.8063999999999999E-2</v>
      </c>
      <c r="I37" s="67">
        <v>6.9849999999999999E-3</v>
      </c>
      <c r="J37" s="67">
        <v>1.1800000000000001E-3</v>
      </c>
      <c r="K37" s="67">
        <v>1.0825959999999999</v>
      </c>
      <c r="L37" s="67">
        <v>0.100273</v>
      </c>
      <c r="M37" s="67">
        <v>7.9925999999999997E-2</v>
      </c>
      <c r="N37" s="67">
        <v>1.2899999999999999E-3</v>
      </c>
      <c r="O37" s="67">
        <v>9.2610000000000001E-3</v>
      </c>
      <c r="P37" s="67">
        <v>6.2579999999999997E-3</v>
      </c>
      <c r="Q37" s="67">
        <v>9.3589999999999993E-3</v>
      </c>
      <c r="R37" s="67">
        <v>3.457E-3</v>
      </c>
      <c r="S37" s="67">
        <v>7.8250000000000004E-3</v>
      </c>
      <c r="T37" s="67">
        <v>7.0500000000000001E-4</v>
      </c>
      <c r="U37" s="67">
        <v>7.1599999999999995E-4</v>
      </c>
      <c r="V37" s="67">
        <v>5.2099999999999998E-4</v>
      </c>
      <c r="W37" s="67">
        <v>3.5230000000000001E-3</v>
      </c>
      <c r="X37" s="67">
        <v>4.1E-5</v>
      </c>
      <c r="Y37" s="67">
        <v>0</v>
      </c>
      <c r="Z37" s="67">
        <v>4.1E-5</v>
      </c>
      <c r="AA37" s="67">
        <v>2.1999999999999999E-5</v>
      </c>
      <c r="AB37" s="67">
        <v>3.6999999999999998E-5</v>
      </c>
      <c r="AC37" s="67">
        <v>1.35E-4</v>
      </c>
      <c r="AD37" s="67">
        <v>3.1000000000000001E-5</v>
      </c>
      <c r="AE37" s="67">
        <v>4.5000000000000003E-5</v>
      </c>
      <c r="AF37" s="67">
        <v>1.47E-4</v>
      </c>
      <c r="AG37" s="67">
        <v>1.5100000000000001E-4</v>
      </c>
      <c r="AH37" s="67">
        <v>1.45E-4</v>
      </c>
      <c r="AI37" s="67">
        <v>2.1999999999999999E-5</v>
      </c>
      <c r="AJ37" s="67">
        <v>8.2999999999999998E-5</v>
      </c>
      <c r="AK37" s="67">
        <v>7.9999999999999996E-6</v>
      </c>
      <c r="AL37" s="67">
        <v>2.0000000000000002E-5</v>
      </c>
      <c r="AM37" s="67">
        <v>2.4000000000000001E-5</v>
      </c>
      <c r="AN37" s="67">
        <v>1.4E-5</v>
      </c>
      <c r="AO37" s="67">
        <v>3.9999999999999998E-6</v>
      </c>
      <c r="AP37" s="67">
        <v>9.9999999999999995E-7</v>
      </c>
      <c r="AQ37" s="67">
        <v>9.9999999999999995E-7</v>
      </c>
      <c r="AR37" s="67">
        <v>6.9999999999999999E-6</v>
      </c>
      <c r="AS37" s="67">
        <v>9.9999999999999995E-7</v>
      </c>
      <c r="AT37" s="67">
        <v>0</v>
      </c>
      <c r="AU37" s="67">
        <v>9.9999999999999995E-7</v>
      </c>
      <c r="AV37" s="67">
        <v>9.9999999999999995E-7</v>
      </c>
      <c r="AW37" s="67">
        <v>9.9999999999999995E-7</v>
      </c>
      <c r="AX37" s="67">
        <v>3.0000000000000001E-6</v>
      </c>
      <c r="AY37" s="67">
        <v>9.9999999999999995E-7</v>
      </c>
      <c r="AZ37" s="67">
        <v>9.9999999999999995E-7</v>
      </c>
      <c r="BA37" s="67">
        <v>9.9999999999999995E-7</v>
      </c>
      <c r="BB37" s="67">
        <v>1.9999999999999999E-6</v>
      </c>
      <c r="BC37" s="67">
        <v>9.9999999999999995E-7</v>
      </c>
      <c r="BD37" s="67">
        <v>9.9999999999999995E-7</v>
      </c>
      <c r="BE37" s="67">
        <v>9.9999999999999995E-7</v>
      </c>
      <c r="BF37" s="67">
        <v>0</v>
      </c>
      <c r="BG37" s="67">
        <v>9.9999999999999995E-7</v>
      </c>
      <c r="BH37" s="67">
        <v>0</v>
      </c>
      <c r="BI37" s="67">
        <v>1.9999999999999999E-6</v>
      </c>
      <c r="BJ37" s="67">
        <v>0</v>
      </c>
      <c r="BK37" s="67">
        <v>0</v>
      </c>
      <c r="BL37" s="67">
        <v>0</v>
      </c>
      <c r="BM37" s="67">
        <v>0</v>
      </c>
      <c r="BN37" s="67">
        <v>0</v>
      </c>
      <c r="BO37" s="67">
        <v>0</v>
      </c>
      <c r="BP37" s="67">
        <v>9.9999999999999995E-7</v>
      </c>
      <c r="BQ37" s="67">
        <v>9.9999999999999995E-7</v>
      </c>
      <c r="BR37" s="67">
        <v>9.9999999999999995E-7</v>
      </c>
      <c r="BS37" s="67">
        <v>1.9999999999999999E-6</v>
      </c>
      <c r="BT37" s="67">
        <v>9.9999999999999995E-7</v>
      </c>
      <c r="BU37" s="67">
        <v>9.9999999999999995E-7</v>
      </c>
      <c r="BV37" s="67">
        <v>9.9999999999999995E-7</v>
      </c>
      <c r="BW37" s="67">
        <v>9.9999999999999995E-7</v>
      </c>
      <c r="BX37" s="67">
        <v>9.9999999999999995E-7</v>
      </c>
      <c r="BY37" s="67">
        <v>9.9999999999999995E-7</v>
      </c>
      <c r="BZ37" s="67">
        <v>9.9999999999999995E-7</v>
      </c>
      <c r="CA37" s="67">
        <v>0</v>
      </c>
      <c r="CB37" s="67">
        <v>0</v>
      </c>
      <c r="CC37" s="67">
        <v>0</v>
      </c>
      <c r="CD37" s="67">
        <v>9.9999999999999995E-7</v>
      </c>
      <c r="CE37" s="67">
        <v>0</v>
      </c>
      <c r="CF37" s="67">
        <v>0</v>
      </c>
      <c r="CG37" s="67">
        <v>0</v>
      </c>
      <c r="CH37" s="67">
        <v>0</v>
      </c>
      <c r="CI37" s="67">
        <v>0</v>
      </c>
      <c r="CJ37" s="67">
        <v>0</v>
      </c>
      <c r="CK37" s="67">
        <v>0</v>
      </c>
      <c r="CL37" s="67">
        <v>9.9999999999999995E-7</v>
      </c>
      <c r="CM37" s="67">
        <v>0</v>
      </c>
      <c r="CN37" s="67">
        <v>9.9999999999999995E-7</v>
      </c>
      <c r="CO37" s="67">
        <v>0</v>
      </c>
      <c r="CP37" s="67">
        <v>9.9999999999999995E-7</v>
      </c>
      <c r="CQ37" s="67">
        <v>0</v>
      </c>
      <c r="CR37" s="67">
        <v>9.9999999999999995E-7</v>
      </c>
      <c r="CS37" s="67">
        <v>9.9999999999999995E-7</v>
      </c>
      <c r="CT37" s="67">
        <v>0</v>
      </c>
      <c r="CU37" s="67">
        <v>0</v>
      </c>
      <c r="CV37" s="67">
        <v>0</v>
      </c>
      <c r="CW37" s="67">
        <v>0</v>
      </c>
      <c r="CX37" s="67">
        <v>0</v>
      </c>
      <c r="CY37" s="67">
        <v>9.9999999999999995E-7</v>
      </c>
      <c r="CZ37" s="67">
        <v>0</v>
      </c>
      <c r="DA37" s="67">
        <v>0</v>
      </c>
      <c r="DB37" s="67">
        <v>0</v>
      </c>
      <c r="DC37" s="67">
        <v>0</v>
      </c>
      <c r="DD37" s="67">
        <v>1.7E-5</v>
      </c>
      <c r="DE37" s="67">
        <v>0</v>
      </c>
      <c r="DF37" s="67">
        <v>2.5000000000000001E-5</v>
      </c>
      <c r="DG37" s="67">
        <v>2.1999999999999999E-5</v>
      </c>
      <c r="DH37" s="67">
        <v>1.9000000000000001E-5</v>
      </c>
      <c r="DI37" s="67">
        <v>7.6000000000000004E-5</v>
      </c>
      <c r="DJ37" s="67">
        <v>1.2999999999999999E-5</v>
      </c>
      <c r="DK37" s="67">
        <v>1.8E-5</v>
      </c>
      <c r="DL37" s="67">
        <v>3.4999999999999997E-5</v>
      </c>
      <c r="DM37" s="67">
        <v>2.14E-4</v>
      </c>
      <c r="DN37" s="67">
        <v>7.1000000000000005E-5</v>
      </c>
      <c r="DO37" s="67">
        <v>1.2999999999999999E-5</v>
      </c>
      <c r="DP37" s="67">
        <v>4.0000000000000003E-5</v>
      </c>
      <c r="DQ37" s="67">
        <v>6.0000000000000002E-6</v>
      </c>
      <c r="DR37" s="67">
        <v>1.7E-5</v>
      </c>
      <c r="DS37" s="67">
        <v>1.4E-5</v>
      </c>
      <c r="DT37" s="67">
        <v>5.3000000000000001E-5</v>
      </c>
      <c r="DU37" s="67">
        <v>5.0000000000000004E-6</v>
      </c>
      <c r="DV37" s="67">
        <v>6.9999999999999999E-6</v>
      </c>
      <c r="DW37" s="67">
        <v>5.0000000000000004E-6</v>
      </c>
      <c r="DX37" s="67">
        <v>6.9999999999999999E-6</v>
      </c>
      <c r="DY37" s="67">
        <v>0</v>
      </c>
      <c r="DZ37" s="67">
        <v>0</v>
      </c>
      <c r="EA37" s="67">
        <v>0</v>
      </c>
      <c r="EB37" s="67">
        <v>9.9999999999999995E-7</v>
      </c>
      <c r="EC37" s="67">
        <v>0</v>
      </c>
      <c r="ED37" s="67">
        <v>9.9999999999999995E-7</v>
      </c>
      <c r="EE37" s="67">
        <v>0</v>
      </c>
      <c r="EF37" s="67">
        <v>0</v>
      </c>
      <c r="EG37" s="67">
        <v>0</v>
      </c>
      <c r="EH37" s="67">
        <v>9.9999999999999995E-7</v>
      </c>
      <c r="EI37" s="67">
        <v>9.9999999999999995E-7</v>
      </c>
      <c r="EJ37" s="67">
        <v>0</v>
      </c>
      <c r="EK37" s="67">
        <v>9.9999999999999995E-7</v>
      </c>
      <c r="EL37" s="67">
        <v>0</v>
      </c>
      <c r="EM37" s="67">
        <v>0</v>
      </c>
      <c r="EN37" s="67">
        <v>0</v>
      </c>
      <c r="EO37" s="67">
        <v>9.9999999999999995E-7</v>
      </c>
      <c r="EP37" s="67">
        <v>0</v>
      </c>
      <c r="EQ37" s="67">
        <v>0</v>
      </c>
      <c r="ER37" s="67">
        <v>0</v>
      </c>
      <c r="ES37" s="67">
        <v>0</v>
      </c>
      <c r="ET37" s="67">
        <v>9.9999999999999995E-7</v>
      </c>
      <c r="EU37" s="67">
        <v>0</v>
      </c>
      <c r="EV37" s="67">
        <v>1.9999999999999999E-6</v>
      </c>
      <c r="EW37" s="67">
        <v>9.9999999999999995E-7</v>
      </c>
      <c r="EX37" s="67">
        <v>1.9999999999999999E-6</v>
      </c>
      <c r="EY37" s="67">
        <v>3.9999999999999998E-6</v>
      </c>
      <c r="EZ37" s="67">
        <v>9.9999999999999995E-7</v>
      </c>
      <c r="FA37" s="67">
        <v>9.9999999999999995E-7</v>
      </c>
      <c r="FB37" s="67">
        <v>3.0000000000000001E-6</v>
      </c>
      <c r="FC37" s="67">
        <v>1.9999999999999999E-6</v>
      </c>
      <c r="FD37" s="67">
        <v>3.0000000000000001E-6</v>
      </c>
      <c r="FE37" s="67">
        <v>9.9999999999999995E-7</v>
      </c>
      <c r="FF37" s="67">
        <v>1.9999999999999999E-6</v>
      </c>
      <c r="FG37" s="67">
        <v>9.9999999999999995E-7</v>
      </c>
      <c r="FH37" s="67">
        <v>9.9999999999999995E-7</v>
      </c>
      <c r="FI37" s="67">
        <v>9.9999999999999995E-7</v>
      </c>
      <c r="FJ37" s="67">
        <v>3.0000000000000001E-6</v>
      </c>
      <c r="FK37" s="67">
        <v>9.9999999999999995E-7</v>
      </c>
      <c r="FL37" s="67">
        <v>0</v>
      </c>
      <c r="FM37" s="67">
        <v>0</v>
      </c>
      <c r="FN37" s="67">
        <v>9.9999999999999995E-7</v>
      </c>
      <c r="FO37" s="67">
        <v>2.3E-5</v>
      </c>
      <c r="FP37" s="67">
        <v>0</v>
      </c>
      <c r="FQ37" s="67">
        <v>3.6000000000000001E-5</v>
      </c>
      <c r="FR37" s="67">
        <v>4.1E-5</v>
      </c>
      <c r="FS37" s="67">
        <v>3.1999999999999999E-5</v>
      </c>
      <c r="FT37" s="67">
        <v>8.7000000000000001E-5</v>
      </c>
      <c r="FU37" s="67">
        <v>3.6999999999999998E-5</v>
      </c>
      <c r="FV37" s="67">
        <v>9.8999999999999994E-5</v>
      </c>
      <c r="FW37" s="67">
        <v>1.37E-4</v>
      </c>
      <c r="FX37" s="67">
        <v>1.8799999999999999E-4</v>
      </c>
      <c r="FY37" s="67">
        <v>1.9599999999999999E-4</v>
      </c>
      <c r="FZ37" s="67">
        <v>2.8E-5</v>
      </c>
      <c r="GA37" s="67">
        <v>6.4999999999999994E-5</v>
      </c>
      <c r="GB37" s="67">
        <v>3.8999999999999999E-5</v>
      </c>
      <c r="GC37" s="67">
        <v>9.1000000000000003E-5</v>
      </c>
      <c r="GD37" s="67">
        <v>2.4000000000000001E-5</v>
      </c>
      <c r="GE37" s="67">
        <v>4.3000000000000002E-5</v>
      </c>
      <c r="GF37" s="67">
        <v>1.5E-5</v>
      </c>
      <c r="GG37" s="67">
        <v>1.1E-5</v>
      </c>
      <c r="GH37" s="67">
        <v>7.9999999999999996E-6</v>
      </c>
      <c r="GI37" s="67">
        <v>1.7E-5</v>
      </c>
      <c r="GJ37" s="67">
        <v>0</v>
      </c>
      <c r="GK37" s="67">
        <v>0</v>
      </c>
      <c r="GL37" s="67">
        <v>9.9999999999999995E-7</v>
      </c>
      <c r="GM37" s="67">
        <v>0</v>
      </c>
      <c r="GN37" s="67">
        <v>9.9999999999999995E-7</v>
      </c>
      <c r="GO37" s="67">
        <v>1.9999999999999999E-6</v>
      </c>
      <c r="GP37" s="67">
        <v>9.9999999999999995E-7</v>
      </c>
      <c r="GQ37" s="67">
        <v>9.9999999999999995E-7</v>
      </c>
      <c r="GR37" s="67">
        <v>9.9999999999999995E-7</v>
      </c>
      <c r="GS37" s="67">
        <v>1.9999999999999999E-6</v>
      </c>
      <c r="GT37" s="67">
        <v>9.9999999999999995E-7</v>
      </c>
      <c r="GU37" s="67">
        <v>9.9999999999999995E-7</v>
      </c>
      <c r="GV37" s="67">
        <v>0</v>
      </c>
      <c r="GW37" s="67">
        <v>9.9999999999999995E-7</v>
      </c>
      <c r="GX37" s="67">
        <v>9.9999999999999995E-7</v>
      </c>
      <c r="GY37" s="67">
        <v>0</v>
      </c>
      <c r="GZ37" s="67">
        <v>3.0000000000000001E-6</v>
      </c>
      <c r="HA37" s="67">
        <v>9.9999999999999995E-7</v>
      </c>
      <c r="HB37" s="67">
        <v>0</v>
      </c>
      <c r="HC37" s="67">
        <v>0</v>
      </c>
      <c r="HD37" s="67">
        <v>9.9999999999999995E-7</v>
      </c>
      <c r="HE37" s="67">
        <v>9.9999999999999995E-7</v>
      </c>
      <c r="HF37" s="67">
        <v>0</v>
      </c>
      <c r="HG37" s="67">
        <v>9.9999999999999995E-7</v>
      </c>
      <c r="HH37" s="67">
        <v>1.9999999999999999E-6</v>
      </c>
      <c r="HI37" s="67">
        <v>9.9999999999999995E-7</v>
      </c>
      <c r="HJ37" s="67">
        <v>3.9999999999999998E-6</v>
      </c>
      <c r="HK37" s="67">
        <v>9.9999999999999995E-7</v>
      </c>
      <c r="HL37" s="67">
        <v>9.9999999999999995E-7</v>
      </c>
      <c r="HM37" s="67">
        <v>9.9999999999999995E-7</v>
      </c>
      <c r="HN37" s="67">
        <v>1.9999999999999999E-6</v>
      </c>
      <c r="HO37" s="67">
        <v>1.9999999999999999E-6</v>
      </c>
      <c r="HP37" s="67">
        <v>9.9999999999999995E-7</v>
      </c>
      <c r="HQ37" s="67">
        <v>9.9999999999999995E-7</v>
      </c>
      <c r="HR37" s="67">
        <v>9.9999999999999995E-7</v>
      </c>
      <c r="HS37" s="67">
        <v>9.9999999999999995E-7</v>
      </c>
      <c r="HT37" s="67">
        <v>9.9999999999999995E-7</v>
      </c>
      <c r="HU37" s="67">
        <v>9.9999999999999995E-7</v>
      </c>
      <c r="HV37" s="67">
        <v>9.9999999999999995E-7</v>
      </c>
      <c r="HW37" s="67">
        <v>0</v>
      </c>
      <c r="HX37" s="67">
        <v>0</v>
      </c>
      <c r="HY37" s="67">
        <v>9.9999999999999995E-7</v>
      </c>
    </row>
    <row r="38" spans="1:277" ht="19" customHeight="1">
      <c r="A38" s="327" t="s">
        <v>105</v>
      </c>
      <c r="B38" s="71" t="s">
        <v>19</v>
      </c>
      <c r="C38" s="70">
        <v>5.3399999999999997E-4</v>
      </c>
      <c r="D38" s="70">
        <v>0</v>
      </c>
      <c r="E38" s="70">
        <v>7.8600000000000002E-4</v>
      </c>
      <c r="F38" s="70">
        <v>5.3700000000000004E-4</v>
      </c>
      <c r="G38" s="70">
        <v>1.2539999999999999E-3</v>
      </c>
      <c r="H38" s="70">
        <v>3.363E-2</v>
      </c>
      <c r="I38" s="70">
        <v>1.1509999999999999E-3</v>
      </c>
      <c r="J38" s="70">
        <v>3.0100000000000001E-3</v>
      </c>
      <c r="K38" s="70">
        <v>8.3341999999999999E-2</v>
      </c>
      <c r="L38" s="70">
        <v>2.473846</v>
      </c>
      <c r="M38" s="70">
        <v>0.22602</v>
      </c>
      <c r="N38" s="70">
        <v>1.467E-3</v>
      </c>
      <c r="O38" s="70">
        <v>3.6979999999999999E-3</v>
      </c>
      <c r="P38" s="70">
        <v>8.3330000000000001E-3</v>
      </c>
      <c r="Q38" s="70">
        <v>2.4969000000000002E-2</v>
      </c>
      <c r="R38" s="70">
        <v>7.7409999999999996E-3</v>
      </c>
      <c r="S38" s="70">
        <v>7.7960000000000002E-2</v>
      </c>
      <c r="T38" s="70">
        <v>3.2499999999999999E-3</v>
      </c>
      <c r="U38" s="70">
        <v>1.207E-3</v>
      </c>
      <c r="V38" s="70">
        <v>8.7799999999999998E-4</v>
      </c>
      <c r="W38" s="70">
        <v>7.1440000000000002E-3</v>
      </c>
      <c r="X38" s="70">
        <v>3.0000000000000001E-5</v>
      </c>
      <c r="Y38" s="70">
        <v>0</v>
      </c>
      <c r="Z38" s="70">
        <v>2.0999999999999999E-5</v>
      </c>
      <c r="AA38" s="70">
        <v>1.8E-5</v>
      </c>
      <c r="AB38" s="70">
        <v>3.0000000000000001E-5</v>
      </c>
      <c r="AC38" s="70">
        <v>1.03E-4</v>
      </c>
      <c r="AD38" s="70">
        <v>2.4000000000000001E-5</v>
      </c>
      <c r="AE38" s="70">
        <v>2.4000000000000001E-5</v>
      </c>
      <c r="AF38" s="70">
        <v>2.8E-5</v>
      </c>
      <c r="AG38" s="70">
        <v>2.6200000000000003E-4</v>
      </c>
      <c r="AH38" s="70">
        <v>1.15E-4</v>
      </c>
      <c r="AI38" s="70">
        <v>1.9000000000000001E-5</v>
      </c>
      <c r="AJ38" s="70">
        <v>3.0000000000000001E-5</v>
      </c>
      <c r="AK38" s="70">
        <v>1.0000000000000001E-5</v>
      </c>
      <c r="AL38" s="70">
        <v>1.9000000000000001E-5</v>
      </c>
      <c r="AM38" s="70">
        <v>1.0000000000000001E-5</v>
      </c>
      <c r="AN38" s="70">
        <v>2.9E-5</v>
      </c>
      <c r="AO38" s="70">
        <v>3.9999999999999998E-6</v>
      </c>
      <c r="AP38" s="70">
        <v>9.9999999999999995E-7</v>
      </c>
      <c r="AQ38" s="70">
        <v>9.9999999999999995E-7</v>
      </c>
      <c r="AR38" s="70">
        <v>7.9999999999999996E-6</v>
      </c>
      <c r="AS38" s="70">
        <v>9.9999999999999995E-7</v>
      </c>
      <c r="AT38" s="70">
        <v>0</v>
      </c>
      <c r="AU38" s="70">
        <v>1.9999999999999999E-6</v>
      </c>
      <c r="AV38" s="70">
        <v>9.9999999999999995E-7</v>
      </c>
      <c r="AW38" s="70">
        <v>9.9999999999999995E-7</v>
      </c>
      <c r="AX38" s="70">
        <v>3.9999999999999998E-6</v>
      </c>
      <c r="AY38" s="70">
        <v>9.9999999999999995E-7</v>
      </c>
      <c r="AZ38" s="70">
        <v>1.9999999999999999E-6</v>
      </c>
      <c r="BA38" s="70">
        <v>1.9999999999999999E-6</v>
      </c>
      <c r="BB38" s="70">
        <v>6.0000000000000002E-6</v>
      </c>
      <c r="BC38" s="70">
        <v>3.9999999999999998E-6</v>
      </c>
      <c r="BD38" s="70">
        <v>9.9999999999999995E-7</v>
      </c>
      <c r="BE38" s="70">
        <v>1.9999999999999999E-6</v>
      </c>
      <c r="BF38" s="70">
        <v>9.9999999999999995E-7</v>
      </c>
      <c r="BG38" s="70">
        <v>1.9999999999999999E-6</v>
      </c>
      <c r="BH38" s="70">
        <v>9.9999999999999995E-7</v>
      </c>
      <c r="BI38" s="70">
        <v>6.0000000000000002E-6</v>
      </c>
      <c r="BJ38" s="70">
        <v>9.9999999999999995E-7</v>
      </c>
      <c r="BK38" s="70">
        <v>0</v>
      </c>
      <c r="BL38" s="70">
        <v>0</v>
      </c>
      <c r="BM38" s="70">
        <v>9.9999999999999995E-7</v>
      </c>
      <c r="BN38" s="70">
        <v>0</v>
      </c>
      <c r="BO38" s="70">
        <v>0</v>
      </c>
      <c r="BP38" s="70">
        <v>9.9999999999999995E-7</v>
      </c>
      <c r="BQ38" s="70">
        <v>9.9999999999999995E-7</v>
      </c>
      <c r="BR38" s="70">
        <v>9.9999999999999995E-7</v>
      </c>
      <c r="BS38" s="70">
        <v>1.9999999999999999E-6</v>
      </c>
      <c r="BT38" s="70">
        <v>9.9999999999999995E-7</v>
      </c>
      <c r="BU38" s="70">
        <v>9.9999999999999995E-7</v>
      </c>
      <c r="BV38" s="70">
        <v>9.9999999999999995E-7</v>
      </c>
      <c r="BW38" s="70">
        <v>3.9999999999999998E-6</v>
      </c>
      <c r="BX38" s="70">
        <v>9.9999999999999995E-7</v>
      </c>
      <c r="BY38" s="70">
        <v>9.9999999999999995E-7</v>
      </c>
      <c r="BZ38" s="70">
        <v>9.9999999999999995E-7</v>
      </c>
      <c r="CA38" s="70">
        <v>9.9999999999999995E-7</v>
      </c>
      <c r="CB38" s="70">
        <v>9.9999999999999995E-7</v>
      </c>
      <c r="CC38" s="70">
        <v>9.9999999999999995E-7</v>
      </c>
      <c r="CD38" s="70">
        <v>1.9999999999999999E-6</v>
      </c>
      <c r="CE38" s="70">
        <v>0</v>
      </c>
      <c r="CF38" s="70">
        <v>0</v>
      </c>
      <c r="CG38" s="70">
        <v>0</v>
      </c>
      <c r="CH38" s="70">
        <v>9.9999999999999995E-7</v>
      </c>
      <c r="CI38" s="70">
        <v>9.9999999999999995E-7</v>
      </c>
      <c r="CJ38" s="70">
        <v>0</v>
      </c>
      <c r="CK38" s="70">
        <v>9.9999999999999995E-7</v>
      </c>
      <c r="CL38" s="70">
        <v>9.9999999999999995E-7</v>
      </c>
      <c r="CM38" s="70">
        <v>9.9999999999999995E-7</v>
      </c>
      <c r="CN38" s="70">
        <v>1.9999999999999999E-6</v>
      </c>
      <c r="CO38" s="70">
        <v>9.9999999999999995E-7</v>
      </c>
      <c r="CP38" s="70">
        <v>9.9999999999999995E-7</v>
      </c>
      <c r="CQ38" s="70">
        <v>9.9999999999999995E-7</v>
      </c>
      <c r="CR38" s="70">
        <v>3.0000000000000001E-6</v>
      </c>
      <c r="CS38" s="70">
        <v>1.9999999999999999E-6</v>
      </c>
      <c r="CT38" s="70">
        <v>0</v>
      </c>
      <c r="CU38" s="70">
        <v>9.9999999999999995E-7</v>
      </c>
      <c r="CV38" s="70">
        <v>9.9999999999999995E-7</v>
      </c>
      <c r="CW38" s="70">
        <v>0</v>
      </c>
      <c r="CX38" s="70">
        <v>9.9999999999999995E-7</v>
      </c>
      <c r="CY38" s="70">
        <v>9.9999999999999995E-7</v>
      </c>
      <c r="CZ38" s="70">
        <v>9.9999999999999995E-7</v>
      </c>
      <c r="DA38" s="70">
        <v>0</v>
      </c>
      <c r="DB38" s="70">
        <v>0</v>
      </c>
      <c r="DC38" s="70">
        <v>9.9999999999999995E-7</v>
      </c>
      <c r="DD38" s="70">
        <v>4.3000000000000002E-5</v>
      </c>
      <c r="DE38" s="70">
        <v>0</v>
      </c>
      <c r="DF38" s="70">
        <v>5.1E-5</v>
      </c>
      <c r="DG38" s="70">
        <v>4.0000000000000003E-5</v>
      </c>
      <c r="DH38" s="70">
        <v>7.1000000000000005E-5</v>
      </c>
      <c r="DI38" s="70">
        <v>1.2E-4</v>
      </c>
      <c r="DJ38" s="70">
        <v>4.3000000000000002E-5</v>
      </c>
      <c r="DK38" s="70">
        <v>5.7000000000000003E-5</v>
      </c>
      <c r="DL38" s="70">
        <v>6.7999999999999999E-5</v>
      </c>
      <c r="DM38" s="70">
        <v>1.539E-3</v>
      </c>
      <c r="DN38" s="70">
        <v>1.5699999999999999E-4</v>
      </c>
      <c r="DO38" s="70">
        <v>4.8000000000000001E-5</v>
      </c>
      <c r="DP38" s="70">
        <v>1.08E-4</v>
      </c>
      <c r="DQ38" s="70">
        <v>3.6999999999999998E-5</v>
      </c>
      <c r="DR38" s="70">
        <v>6.0999999999999999E-5</v>
      </c>
      <c r="DS38" s="70">
        <v>5.1999999999999997E-5</v>
      </c>
      <c r="DT38" s="70">
        <v>6.5200000000000002E-4</v>
      </c>
      <c r="DU38" s="70">
        <v>4.6999999999999997E-5</v>
      </c>
      <c r="DV38" s="70">
        <v>1.0000000000000001E-5</v>
      </c>
      <c r="DW38" s="70">
        <v>6.9999999999999999E-6</v>
      </c>
      <c r="DX38" s="70">
        <v>5.7000000000000003E-5</v>
      </c>
      <c r="DY38" s="70">
        <v>0</v>
      </c>
      <c r="DZ38" s="70">
        <v>0</v>
      </c>
      <c r="EA38" s="70">
        <v>9.9999999999999995E-7</v>
      </c>
      <c r="EB38" s="70">
        <v>9.9999999999999995E-7</v>
      </c>
      <c r="EC38" s="70">
        <v>9.9999999999999995E-7</v>
      </c>
      <c r="ED38" s="70">
        <v>1.9999999999999999E-6</v>
      </c>
      <c r="EE38" s="70">
        <v>9.9999999999999995E-7</v>
      </c>
      <c r="EF38" s="70">
        <v>9.9999999999999995E-7</v>
      </c>
      <c r="EG38" s="70">
        <v>9.9999999999999995E-7</v>
      </c>
      <c r="EH38" s="70">
        <v>3.0000000000000001E-6</v>
      </c>
      <c r="EI38" s="70">
        <v>1.9999999999999999E-6</v>
      </c>
      <c r="EJ38" s="70">
        <v>9.9999999999999995E-7</v>
      </c>
      <c r="EK38" s="70">
        <v>9.9999999999999995E-7</v>
      </c>
      <c r="EL38" s="70">
        <v>9.9999999999999995E-7</v>
      </c>
      <c r="EM38" s="70">
        <v>9.9999999999999995E-7</v>
      </c>
      <c r="EN38" s="70">
        <v>9.9999999999999995E-7</v>
      </c>
      <c r="EO38" s="70">
        <v>3.0000000000000001E-6</v>
      </c>
      <c r="EP38" s="70">
        <v>9.9999999999999995E-7</v>
      </c>
      <c r="EQ38" s="70">
        <v>0</v>
      </c>
      <c r="ER38" s="70">
        <v>0</v>
      </c>
      <c r="ES38" s="70">
        <v>9.9999999999999995E-7</v>
      </c>
      <c r="ET38" s="70">
        <v>9.9999999999999995E-7</v>
      </c>
      <c r="EU38" s="70">
        <v>0</v>
      </c>
      <c r="EV38" s="70">
        <v>1.9999999999999999E-6</v>
      </c>
      <c r="EW38" s="70">
        <v>1.9999999999999999E-6</v>
      </c>
      <c r="EX38" s="70">
        <v>1.9999999999999999E-6</v>
      </c>
      <c r="EY38" s="70">
        <v>5.0000000000000004E-6</v>
      </c>
      <c r="EZ38" s="70">
        <v>1.9999999999999999E-6</v>
      </c>
      <c r="FA38" s="70">
        <v>9.9999999999999995E-7</v>
      </c>
      <c r="FB38" s="70">
        <v>1.9999999999999999E-6</v>
      </c>
      <c r="FC38" s="70">
        <v>3.9999999999999998E-6</v>
      </c>
      <c r="FD38" s="70">
        <v>3.9999999999999998E-6</v>
      </c>
      <c r="FE38" s="70">
        <v>9.9999999999999995E-7</v>
      </c>
      <c r="FF38" s="70">
        <v>1.9999999999999999E-6</v>
      </c>
      <c r="FG38" s="70">
        <v>1.9999999999999999E-6</v>
      </c>
      <c r="FH38" s="70">
        <v>3.0000000000000001E-6</v>
      </c>
      <c r="FI38" s="70">
        <v>9.9999999999999995E-7</v>
      </c>
      <c r="FJ38" s="70">
        <v>1.0000000000000001E-5</v>
      </c>
      <c r="FK38" s="70">
        <v>1.9999999999999999E-6</v>
      </c>
      <c r="FL38" s="70">
        <v>0</v>
      </c>
      <c r="FM38" s="70">
        <v>0</v>
      </c>
      <c r="FN38" s="70">
        <v>9.9999999999999995E-7</v>
      </c>
      <c r="FO38" s="70">
        <v>2.4000000000000001E-5</v>
      </c>
      <c r="FP38" s="70">
        <v>0</v>
      </c>
      <c r="FQ38" s="70">
        <v>3.6000000000000001E-5</v>
      </c>
      <c r="FR38" s="70">
        <v>3.8000000000000002E-5</v>
      </c>
      <c r="FS38" s="70">
        <v>3.1999999999999999E-5</v>
      </c>
      <c r="FT38" s="70">
        <v>8.1000000000000004E-5</v>
      </c>
      <c r="FU38" s="70">
        <v>3.1999999999999999E-5</v>
      </c>
      <c r="FV38" s="70">
        <v>5.7000000000000003E-5</v>
      </c>
      <c r="FW38" s="70">
        <v>4.8000000000000001E-5</v>
      </c>
      <c r="FX38" s="70">
        <v>1.6799999999999999E-4</v>
      </c>
      <c r="FY38" s="70">
        <v>1.0900000000000001E-4</v>
      </c>
      <c r="FZ38" s="70">
        <v>2.1999999999999999E-5</v>
      </c>
      <c r="GA38" s="70">
        <v>4.6999999999999997E-5</v>
      </c>
      <c r="GB38" s="70">
        <v>5.5999999999999999E-5</v>
      </c>
      <c r="GC38" s="70">
        <v>4.1999999999999998E-5</v>
      </c>
      <c r="GD38" s="70">
        <v>2.5999999999999998E-5</v>
      </c>
      <c r="GE38" s="70">
        <v>1.3100000000000001E-4</v>
      </c>
      <c r="GF38" s="70">
        <v>3.3000000000000003E-5</v>
      </c>
      <c r="GG38" s="70">
        <v>2.8E-5</v>
      </c>
      <c r="GH38" s="70">
        <v>2.0000000000000002E-5</v>
      </c>
      <c r="GI38" s="70">
        <v>2.0000000000000002E-5</v>
      </c>
      <c r="GJ38" s="70">
        <v>9.9999999999999995E-7</v>
      </c>
      <c r="GK38" s="70">
        <v>0</v>
      </c>
      <c r="GL38" s="70">
        <v>9.9999999999999995E-7</v>
      </c>
      <c r="GM38" s="70">
        <v>9.9999999999999995E-7</v>
      </c>
      <c r="GN38" s="70">
        <v>9.9999999999999995E-7</v>
      </c>
      <c r="GO38" s="70">
        <v>3.0000000000000001E-6</v>
      </c>
      <c r="GP38" s="70">
        <v>9.9999999999999995E-7</v>
      </c>
      <c r="GQ38" s="70">
        <v>9.9999999999999995E-7</v>
      </c>
      <c r="GR38" s="70">
        <v>9.9999999999999995E-7</v>
      </c>
      <c r="GS38" s="70">
        <v>3.0000000000000001E-6</v>
      </c>
      <c r="GT38" s="70">
        <v>1.9999999999999999E-6</v>
      </c>
      <c r="GU38" s="70">
        <v>1.9999999999999999E-6</v>
      </c>
      <c r="GV38" s="70">
        <v>9.9999999999999995E-7</v>
      </c>
      <c r="GW38" s="70">
        <v>9.9999999999999995E-7</v>
      </c>
      <c r="GX38" s="70">
        <v>9.9999999999999995E-7</v>
      </c>
      <c r="GY38" s="70">
        <v>9.9999999999999995E-7</v>
      </c>
      <c r="GZ38" s="70">
        <v>6.9999999999999999E-6</v>
      </c>
      <c r="HA38" s="70">
        <v>9.9999999999999995E-7</v>
      </c>
      <c r="HB38" s="70">
        <v>0</v>
      </c>
      <c r="HC38" s="70">
        <v>0</v>
      </c>
      <c r="HD38" s="70">
        <v>9.9999999999999995E-7</v>
      </c>
      <c r="HE38" s="70">
        <v>9.9999999999999995E-7</v>
      </c>
      <c r="HF38" s="70">
        <v>0</v>
      </c>
      <c r="HG38" s="70">
        <v>1.9999999999999999E-6</v>
      </c>
      <c r="HH38" s="70">
        <v>1.9999999999999999E-6</v>
      </c>
      <c r="HI38" s="70">
        <v>1.9999999999999999E-6</v>
      </c>
      <c r="HJ38" s="70">
        <v>6.0000000000000002E-6</v>
      </c>
      <c r="HK38" s="70">
        <v>9.9999999999999995E-7</v>
      </c>
      <c r="HL38" s="70">
        <v>1.9999999999999999E-6</v>
      </c>
      <c r="HM38" s="70">
        <v>9.9999999999999995E-7</v>
      </c>
      <c r="HN38" s="70">
        <v>3.9999999999999998E-6</v>
      </c>
      <c r="HO38" s="70">
        <v>3.0000000000000001E-6</v>
      </c>
      <c r="HP38" s="70">
        <v>9.9999999999999995E-7</v>
      </c>
      <c r="HQ38" s="70">
        <v>1.9999999999999999E-6</v>
      </c>
      <c r="HR38" s="70">
        <v>9.9999999999999995E-7</v>
      </c>
      <c r="HS38" s="70">
        <v>9.9999999999999995E-7</v>
      </c>
      <c r="HT38" s="70">
        <v>9.9999999999999995E-7</v>
      </c>
      <c r="HU38" s="70">
        <v>3.9999999999999998E-6</v>
      </c>
      <c r="HV38" s="70">
        <v>9.9999999999999995E-7</v>
      </c>
      <c r="HW38" s="70">
        <v>0</v>
      </c>
      <c r="HX38" s="70">
        <v>0</v>
      </c>
      <c r="HY38" s="70">
        <v>9.9999999999999995E-7</v>
      </c>
      <c r="HZ38" s="73"/>
      <c r="IA38" s="73"/>
      <c r="IB38" s="73"/>
      <c r="IC38" s="73"/>
      <c r="ID38" s="73"/>
      <c r="IE38" s="73"/>
      <c r="IF38" s="73"/>
      <c r="IG38" s="73"/>
      <c r="IH38" s="73"/>
      <c r="II38" s="73"/>
      <c r="IJ38" s="73"/>
      <c r="IK38" s="73"/>
      <c r="IL38" s="73"/>
      <c r="IM38" s="73"/>
      <c r="IN38" s="73"/>
      <c r="IO38" s="73"/>
      <c r="IP38" s="73"/>
      <c r="IQ38" s="73"/>
      <c r="IR38" s="73"/>
      <c r="IS38" s="73"/>
      <c r="IT38" s="73"/>
      <c r="IU38" s="73"/>
      <c r="IV38" s="73"/>
      <c r="IW38" s="73"/>
      <c r="IX38" s="73"/>
      <c r="IY38" s="73"/>
      <c r="IZ38" s="73"/>
      <c r="JA38" s="73"/>
      <c r="JB38" s="73"/>
      <c r="JC38" s="73"/>
      <c r="JD38" s="73"/>
      <c r="JE38" s="73"/>
      <c r="JF38" s="73"/>
      <c r="JG38" s="73"/>
      <c r="JH38" s="73"/>
      <c r="JI38" s="73"/>
      <c r="JJ38" s="73"/>
      <c r="JK38" s="73"/>
      <c r="JL38" s="73"/>
      <c r="JM38" s="73"/>
      <c r="JN38" s="73"/>
      <c r="JO38" s="73"/>
      <c r="JP38" s="73"/>
      <c r="JQ38" s="73"/>
    </row>
    <row r="39" spans="1:277">
      <c r="A39" s="65" t="s">
        <v>106</v>
      </c>
      <c r="B39" s="66" t="s">
        <v>20</v>
      </c>
      <c r="C39" s="67">
        <v>7.45E-4</v>
      </c>
      <c r="D39" s="67">
        <v>0</v>
      </c>
      <c r="E39" s="67">
        <v>2.8699999999999998E-4</v>
      </c>
      <c r="F39" s="67">
        <v>2.6800000000000001E-4</v>
      </c>
      <c r="G39" s="67">
        <v>3.1199999999999999E-4</v>
      </c>
      <c r="H39" s="67">
        <v>1.354E-3</v>
      </c>
      <c r="I39" s="67">
        <v>1.5899999999999999E-4</v>
      </c>
      <c r="J39" s="67">
        <v>6.4209999999999996E-3</v>
      </c>
      <c r="K39" s="67">
        <v>6.2090000000000001E-3</v>
      </c>
      <c r="L39" s="67">
        <v>2.9940000000000001E-2</v>
      </c>
      <c r="M39" s="67">
        <v>2.4980660000000001</v>
      </c>
      <c r="N39" s="67">
        <v>1.64E-3</v>
      </c>
      <c r="O39" s="67">
        <v>4.6730000000000001E-3</v>
      </c>
      <c r="P39" s="67">
        <v>1.2932000000000001E-2</v>
      </c>
      <c r="Q39" s="67">
        <v>0.10337</v>
      </c>
      <c r="R39" s="67">
        <v>7.0099999999999997E-3</v>
      </c>
      <c r="S39" s="67">
        <v>3.6861999999999999E-2</v>
      </c>
      <c r="T39" s="67">
        <v>7.0730000000000003E-3</v>
      </c>
      <c r="U39" s="67">
        <v>2.7420000000000001E-3</v>
      </c>
      <c r="V39" s="67">
        <v>1.9940000000000001E-3</v>
      </c>
      <c r="W39" s="67">
        <v>8.9580000000000007E-3</v>
      </c>
      <c r="X39" s="67">
        <v>5.0000000000000004E-6</v>
      </c>
      <c r="Y39" s="67">
        <v>0</v>
      </c>
      <c r="Z39" s="67">
        <v>5.0000000000000004E-6</v>
      </c>
      <c r="AA39" s="67">
        <v>2.3E-5</v>
      </c>
      <c r="AB39" s="67">
        <v>7.9999999999999996E-6</v>
      </c>
      <c r="AC39" s="67">
        <v>2.0000000000000002E-5</v>
      </c>
      <c r="AD39" s="67">
        <v>9.0000000000000002E-6</v>
      </c>
      <c r="AE39" s="67">
        <v>7.9999999999999996E-6</v>
      </c>
      <c r="AF39" s="67">
        <v>7.9999999999999996E-6</v>
      </c>
      <c r="AG39" s="67">
        <v>2.5999999999999998E-5</v>
      </c>
      <c r="AH39" s="67">
        <v>6.6000000000000005E-5</v>
      </c>
      <c r="AI39" s="67">
        <v>3.0000000000000001E-6</v>
      </c>
      <c r="AJ39" s="67">
        <v>6.9999999999999999E-6</v>
      </c>
      <c r="AK39" s="67">
        <v>3.0000000000000001E-6</v>
      </c>
      <c r="AL39" s="67">
        <v>6.0000000000000002E-6</v>
      </c>
      <c r="AM39" s="67">
        <v>3.0000000000000001E-6</v>
      </c>
      <c r="AN39" s="67">
        <v>6.9999999999999999E-6</v>
      </c>
      <c r="AO39" s="67">
        <v>1.9999999999999999E-6</v>
      </c>
      <c r="AP39" s="67">
        <v>0</v>
      </c>
      <c r="AQ39" s="67">
        <v>0</v>
      </c>
      <c r="AR39" s="67">
        <v>6.0000000000000002E-6</v>
      </c>
      <c r="AS39" s="67">
        <v>9.9999999999999995E-7</v>
      </c>
      <c r="AT39" s="67">
        <v>0</v>
      </c>
      <c r="AU39" s="67">
        <v>1.9999999999999999E-6</v>
      </c>
      <c r="AV39" s="67">
        <v>1.9999999999999999E-6</v>
      </c>
      <c r="AW39" s="67">
        <v>1.9999999999999999E-6</v>
      </c>
      <c r="AX39" s="67">
        <v>5.0000000000000004E-6</v>
      </c>
      <c r="AY39" s="67">
        <v>1.9999999999999999E-6</v>
      </c>
      <c r="AZ39" s="67">
        <v>1.9999999999999999E-6</v>
      </c>
      <c r="BA39" s="67">
        <v>1.9999999999999999E-6</v>
      </c>
      <c r="BB39" s="67">
        <v>3.9999999999999998E-6</v>
      </c>
      <c r="BC39" s="67">
        <v>3.0000000000000001E-6</v>
      </c>
      <c r="BD39" s="67">
        <v>1.9999999999999999E-6</v>
      </c>
      <c r="BE39" s="67">
        <v>9.9999999999999995E-7</v>
      </c>
      <c r="BF39" s="67">
        <v>9.9999999999999995E-7</v>
      </c>
      <c r="BG39" s="67">
        <v>3.9999999999999998E-6</v>
      </c>
      <c r="BH39" s="67">
        <v>9.9999999999999995E-7</v>
      </c>
      <c r="BI39" s="67">
        <v>5.0000000000000004E-6</v>
      </c>
      <c r="BJ39" s="67">
        <v>9.9999999999999995E-7</v>
      </c>
      <c r="BK39" s="67">
        <v>0</v>
      </c>
      <c r="BL39" s="67">
        <v>0</v>
      </c>
      <c r="BM39" s="67">
        <v>9.9999999999999995E-7</v>
      </c>
      <c r="BN39" s="67">
        <v>0</v>
      </c>
      <c r="BO39" s="67">
        <v>0</v>
      </c>
      <c r="BP39" s="67">
        <v>9.9999999999999995E-7</v>
      </c>
      <c r="BQ39" s="67">
        <v>9.9999999999999995E-7</v>
      </c>
      <c r="BR39" s="67">
        <v>9.9999999999999995E-7</v>
      </c>
      <c r="BS39" s="67">
        <v>1.9999999999999999E-6</v>
      </c>
      <c r="BT39" s="67">
        <v>9.9999999999999995E-7</v>
      </c>
      <c r="BU39" s="67">
        <v>9.9999999999999995E-7</v>
      </c>
      <c r="BV39" s="67">
        <v>9.9999999999999995E-7</v>
      </c>
      <c r="BW39" s="67">
        <v>1.9999999999999999E-6</v>
      </c>
      <c r="BX39" s="67">
        <v>9.9999999999999995E-7</v>
      </c>
      <c r="BY39" s="67">
        <v>9.9999999999999995E-7</v>
      </c>
      <c r="BZ39" s="67">
        <v>9.9999999999999995E-7</v>
      </c>
      <c r="CA39" s="67">
        <v>9.9999999999999995E-7</v>
      </c>
      <c r="CB39" s="67">
        <v>9.9999999999999995E-7</v>
      </c>
      <c r="CC39" s="67">
        <v>9.9999999999999995E-7</v>
      </c>
      <c r="CD39" s="67">
        <v>1.9999999999999999E-6</v>
      </c>
      <c r="CE39" s="67">
        <v>0</v>
      </c>
      <c r="CF39" s="67">
        <v>0</v>
      </c>
      <c r="CG39" s="67">
        <v>0</v>
      </c>
      <c r="CH39" s="67">
        <v>9.9999999999999995E-7</v>
      </c>
      <c r="CI39" s="67">
        <v>0</v>
      </c>
      <c r="CJ39" s="67">
        <v>0</v>
      </c>
      <c r="CK39" s="67">
        <v>9.9999999999999995E-7</v>
      </c>
      <c r="CL39" s="67">
        <v>9.9999999999999995E-7</v>
      </c>
      <c r="CM39" s="67">
        <v>9.9999999999999995E-7</v>
      </c>
      <c r="CN39" s="67">
        <v>1.9999999999999999E-6</v>
      </c>
      <c r="CO39" s="67">
        <v>9.9999999999999995E-7</v>
      </c>
      <c r="CP39" s="67">
        <v>9.9999999999999995E-7</v>
      </c>
      <c r="CQ39" s="67">
        <v>9.9999999999999995E-7</v>
      </c>
      <c r="CR39" s="67">
        <v>9.9999999999999995E-7</v>
      </c>
      <c r="CS39" s="67">
        <v>1.9999999999999999E-6</v>
      </c>
      <c r="CT39" s="67">
        <v>0</v>
      </c>
      <c r="CU39" s="67">
        <v>9.9999999999999995E-7</v>
      </c>
      <c r="CV39" s="67">
        <v>9.9999999999999995E-7</v>
      </c>
      <c r="CW39" s="67">
        <v>0</v>
      </c>
      <c r="CX39" s="67">
        <v>9.9999999999999995E-7</v>
      </c>
      <c r="CY39" s="67">
        <v>9.9999999999999995E-7</v>
      </c>
      <c r="CZ39" s="67">
        <v>9.9999999999999995E-7</v>
      </c>
      <c r="DA39" s="67">
        <v>0</v>
      </c>
      <c r="DB39" s="67">
        <v>0</v>
      </c>
      <c r="DC39" s="67">
        <v>9.9999999999999995E-7</v>
      </c>
      <c r="DD39" s="67">
        <v>7.9999999999999996E-6</v>
      </c>
      <c r="DE39" s="67">
        <v>0</v>
      </c>
      <c r="DF39" s="67">
        <v>1.4E-5</v>
      </c>
      <c r="DG39" s="67">
        <v>1.5999999999999999E-5</v>
      </c>
      <c r="DH39" s="67">
        <v>9.0000000000000002E-6</v>
      </c>
      <c r="DI39" s="67">
        <v>1.4E-5</v>
      </c>
      <c r="DJ39" s="67">
        <v>5.0000000000000004E-6</v>
      </c>
      <c r="DK39" s="67">
        <v>6.0000000000000002E-6</v>
      </c>
      <c r="DL39" s="67">
        <v>5.0000000000000004E-6</v>
      </c>
      <c r="DM39" s="67">
        <v>8.3999999999999995E-5</v>
      </c>
      <c r="DN39" s="67">
        <v>2.5999999999999998E-5</v>
      </c>
      <c r="DO39" s="67">
        <v>6.9999999999999999E-6</v>
      </c>
      <c r="DP39" s="67">
        <v>1.7E-5</v>
      </c>
      <c r="DQ39" s="67">
        <v>3.0000000000000001E-6</v>
      </c>
      <c r="DR39" s="67">
        <v>9.0000000000000002E-6</v>
      </c>
      <c r="DS39" s="67">
        <v>7.9999999999999996E-6</v>
      </c>
      <c r="DT39" s="67">
        <v>2.0999999999999999E-5</v>
      </c>
      <c r="DU39" s="67">
        <v>3.0000000000000001E-6</v>
      </c>
      <c r="DV39" s="67">
        <v>9.9999999999999995E-7</v>
      </c>
      <c r="DW39" s="67">
        <v>9.9999999999999995E-7</v>
      </c>
      <c r="DX39" s="67">
        <v>5.0000000000000004E-6</v>
      </c>
      <c r="DY39" s="67">
        <v>0</v>
      </c>
      <c r="DZ39" s="67">
        <v>0</v>
      </c>
      <c r="EA39" s="67">
        <v>9.9999999999999995E-7</v>
      </c>
      <c r="EB39" s="67">
        <v>9.9999999999999995E-7</v>
      </c>
      <c r="EC39" s="67">
        <v>9.9999999999999995E-7</v>
      </c>
      <c r="ED39" s="67">
        <v>1.9999999999999999E-6</v>
      </c>
      <c r="EE39" s="67">
        <v>9.9999999999999995E-7</v>
      </c>
      <c r="EF39" s="67">
        <v>9.9999999999999995E-7</v>
      </c>
      <c r="EG39" s="67">
        <v>9.9999999999999995E-7</v>
      </c>
      <c r="EH39" s="67">
        <v>1.9999999999999999E-6</v>
      </c>
      <c r="EI39" s="67">
        <v>1.9999999999999999E-6</v>
      </c>
      <c r="EJ39" s="67">
        <v>9.9999999999999995E-7</v>
      </c>
      <c r="EK39" s="67">
        <v>9.9999999999999995E-7</v>
      </c>
      <c r="EL39" s="67">
        <v>9.9999999999999995E-7</v>
      </c>
      <c r="EM39" s="67">
        <v>9.9999999999999995E-7</v>
      </c>
      <c r="EN39" s="67">
        <v>9.9999999999999995E-7</v>
      </c>
      <c r="EO39" s="67">
        <v>3.0000000000000001E-6</v>
      </c>
      <c r="EP39" s="67">
        <v>9.9999999999999995E-7</v>
      </c>
      <c r="EQ39" s="67">
        <v>0</v>
      </c>
      <c r="ER39" s="67">
        <v>0</v>
      </c>
      <c r="ES39" s="67">
        <v>9.9999999999999995E-7</v>
      </c>
      <c r="ET39" s="67">
        <v>1.9999999999999999E-6</v>
      </c>
      <c r="EU39" s="67">
        <v>0</v>
      </c>
      <c r="EV39" s="67">
        <v>1.9999999999999999E-6</v>
      </c>
      <c r="EW39" s="67">
        <v>3.9999999999999998E-6</v>
      </c>
      <c r="EX39" s="67">
        <v>3.0000000000000001E-6</v>
      </c>
      <c r="EY39" s="67">
        <v>6.0000000000000002E-6</v>
      </c>
      <c r="EZ39" s="67">
        <v>3.0000000000000001E-6</v>
      </c>
      <c r="FA39" s="67">
        <v>1.9999999999999999E-6</v>
      </c>
      <c r="FB39" s="67">
        <v>3.0000000000000001E-6</v>
      </c>
      <c r="FC39" s="67">
        <v>3.9999999999999998E-6</v>
      </c>
      <c r="FD39" s="67">
        <v>7.9999999999999996E-6</v>
      </c>
      <c r="FE39" s="67">
        <v>1.9999999999999999E-6</v>
      </c>
      <c r="FF39" s="67">
        <v>3.0000000000000001E-6</v>
      </c>
      <c r="FG39" s="67">
        <v>3.9999999999999998E-6</v>
      </c>
      <c r="FH39" s="67">
        <v>6.9999999999999999E-6</v>
      </c>
      <c r="FI39" s="67">
        <v>9.9999999999999995E-7</v>
      </c>
      <c r="FJ39" s="67">
        <v>1.0000000000000001E-5</v>
      </c>
      <c r="FK39" s="67">
        <v>1.9999999999999999E-6</v>
      </c>
      <c r="FL39" s="67">
        <v>0</v>
      </c>
      <c r="FM39" s="67">
        <v>0</v>
      </c>
      <c r="FN39" s="67">
        <v>1.9999999999999999E-6</v>
      </c>
      <c r="FO39" s="67">
        <v>3.4E-5</v>
      </c>
      <c r="FP39" s="67">
        <v>0</v>
      </c>
      <c r="FQ39" s="67">
        <v>4.8000000000000001E-5</v>
      </c>
      <c r="FR39" s="67">
        <v>4.1999999999999998E-5</v>
      </c>
      <c r="FS39" s="67">
        <v>5.1999999999999997E-5</v>
      </c>
      <c r="FT39" s="67">
        <v>6.3E-5</v>
      </c>
      <c r="FU39" s="67">
        <v>4.0000000000000003E-5</v>
      </c>
      <c r="FV39" s="67">
        <v>6.6000000000000005E-5</v>
      </c>
      <c r="FW39" s="67">
        <v>4.5000000000000003E-5</v>
      </c>
      <c r="FX39" s="67">
        <v>1.2999999999999999E-4</v>
      </c>
      <c r="FY39" s="67">
        <v>2.22E-4</v>
      </c>
      <c r="FZ39" s="67">
        <v>2.5000000000000001E-5</v>
      </c>
      <c r="GA39" s="67">
        <v>3.0000000000000001E-5</v>
      </c>
      <c r="GB39" s="67">
        <v>1.47E-4</v>
      </c>
      <c r="GC39" s="67">
        <v>4.8999999999999998E-5</v>
      </c>
      <c r="GD39" s="67">
        <v>3.6999999999999998E-5</v>
      </c>
      <c r="GE39" s="67">
        <v>1.2E-4</v>
      </c>
      <c r="GF39" s="67">
        <v>3.1999999999999999E-5</v>
      </c>
      <c r="GG39" s="67">
        <v>2.5000000000000001E-5</v>
      </c>
      <c r="GH39" s="67">
        <v>1.8E-5</v>
      </c>
      <c r="GI39" s="67">
        <v>2.0000000000000002E-5</v>
      </c>
      <c r="GJ39" s="67">
        <v>9.9999999999999995E-7</v>
      </c>
      <c r="GK39" s="67">
        <v>0</v>
      </c>
      <c r="GL39" s="67">
        <v>1.9999999999999999E-6</v>
      </c>
      <c r="GM39" s="67">
        <v>9.9999999999999995E-7</v>
      </c>
      <c r="GN39" s="67">
        <v>9.9999999999999995E-7</v>
      </c>
      <c r="GO39" s="67">
        <v>3.9999999999999998E-6</v>
      </c>
      <c r="GP39" s="67">
        <v>9.9999999999999995E-7</v>
      </c>
      <c r="GQ39" s="67">
        <v>1.9999999999999999E-6</v>
      </c>
      <c r="GR39" s="67">
        <v>9.9999999999999995E-7</v>
      </c>
      <c r="GS39" s="67">
        <v>3.9999999999999998E-6</v>
      </c>
      <c r="GT39" s="67">
        <v>3.0000000000000001E-6</v>
      </c>
      <c r="GU39" s="67">
        <v>1.9999999999999999E-6</v>
      </c>
      <c r="GV39" s="67">
        <v>9.9999999999999995E-7</v>
      </c>
      <c r="GW39" s="67">
        <v>1.9999999999999999E-6</v>
      </c>
      <c r="GX39" s="67">
        <v>1.9999999999999999E-6</v>
      </c>
      <c r="GY39" s="67">
        <v>9.9999999999999995E-7</v>
      </c>
      <c r="GZ39" s="67">
        <v>7.9999999999999996E-6</v>
      </c>
      <c r="HA39" s="67">
        <v>1.9999999999999999E-6</v>
      </c>
      <c r="HB39" s="67">
        <v>0</v>
      </c>
      <c r="HC39" s="67">
        <v>0</v>
      </c>
      <c r="HD39" s="67">
        <v>1.9999999999999999E-6</v>
      </c>
      <c r="HE39" s="67">
        <v>9.9999999999999995E-7</v>
      </c>
      <c r="HF39" s="67">
        <v>0</v>
      </c>
      <c r="HG39" s="67">
        <v>1.9999999999999999E-6</v>
      </c>
      <c r="HH39" s="67">
        <v>1.9999999999999999E-6</v>
      </c>
      <c r="HI39" s="67">
        <v>1.9999999999999999E-6</v>
      </c>
      <c r="HJ39" s="67">
        <v>5.0000000000000004E-6</v>
      </c>
      <c r="HK39" s="67">
        <v>1.9999999999999999E-6</v>
      </c>
      <c r="HL39" s="67">
        <v>1.9999999999999999E-6</v>
      </c>
      <c r="HM39" s="67">
        <v>1.9999999999999999E-6</v>
      </c>
      <c r="HN39" s="67">
        <v>3.9999999999999998E-6</v>
      </c>
      <c r="HO39" s="67">
        <v>3.9999999999999998E-6</v>
      </c>
      <c r="HP39" s="67">
        <v>1.9999999999999999E-6</v>
      </c>
      <c r="HQ39" s="67">
        <v>1.9999999999999999E-6</v>
      </c>
      <c r="HR39" s="67">
        <v>1.9999999999999999E-6</v>
      </c>
      <c r="HS39" s="67">
        <v>3.0000000000000001E-6</v>
      </c>
      <c r="HT39" s="67">
        <v>1.9999999999999999E-6</v>
      </c>
      <c r="HU39" s="67">
        <v>3.9999999999999998E-6</v>
      </c>
      <c r="HV39" s="67">
        <v>9.9999999999999995E-7</v>
      </c>
      <c r="HW39" s="67">
        <v>0</v>
      </c>
      <c r="HX39" s="67">
        <v>0</v>
      </c>
      <c r="HY39" s="67">
        <v>9.9999999999999995E-7</v>
      </c>
      <c r="HZ39" s="67"/>
      <c r="IA39" s="67"/>
      <c r="IB39" s="67"/>
      <c r="IC39" s="67"/>
      <c r="ID39" s="67"/>
      <c r="IE39" s="67"/>
      <c r="IF39" s="67"/>
      <c r="IG39" s="67"/>
      <c r="IH39" s="67"/>
      <c r="II39" s="67"/>
      <c r="IJ39" s="67"/>
      <c r="IK39" s="67"/>
      <c r="IL39" s="67"/>
      <c r="IM39" s="67"/>
      <c r="IN39" s="67"/>
      <c r="IO39" s="67"/>
      <c r="IP39" s="67"/>
      <c r="IQ39" s="67"/>
      <c r="IR39" s="67"/>
      <c r="IS39" s="67"/>
      <c r="IT39" s="67"/>
      <c r="IU39" s="67"/>
      <c r="IV39" s="67"/>
      <c r="IW39" s="67"/>
      <c r="IX39" s="67"/>
      <c r="IY39" s="67"/>
      <c r="IZ39" s="67"/>
      <c r="JA39" s="67"/>
      <c r="JB39" s="67"/>
      <c r="JC39" s="67"/>
      <c r="JD39" s="67"/>
      <c r="JE39" s="67"/>
      <c r="JF39" s="67"/>
      <c r="JG39" s="67"/>
      <c r="JH39" s="67"/>
      <c r="JI39" s="67"/>
      <c r="JJ39" s="67"/>
      <c r="JK39" s="67"/>
      <c r="JL39" s="67"/>
      <c r="JM39" s="67"/>
      <c r="JN39" s="67"/>
      <c r="JO39" s="67"/>
      <c r="JP39" s="67"/>
      <c r="JQ39" s="67"/>
    </row>
    <row r="40" spans="1:277">
      <c r="A40" s="68" t="s">
        <v>107</v>
      </c>
      <c r="B40" s="69" t="s">
        <v>21</v>
      </c>
      <c r="C40" s="70">
        <v>6.94E-3</v>
      </c>
      <c r="D40" s="70">
        <v>0</v>
      </c>
      <c r="E40" s="70">
        <v>1.0054E-2</v>
      </c>
      <c r="F40" s="70">
        <v>1.8468999999999999E-2</v>
      </c>
      <c r="G40" s="70">
        <v>1.685E-2</v>
      </c>
      <c r="H40" s="70">
        <v>4.0242E-2</v>
      </c>
      <c r="I40" s="70">
        <v>2.6875E-2</v>
      </c>
      <c r="J40" s="70">
        <v>1.4352E-2</v>
      </c>
      <c r="K40" s="70">
        <v>2.2431E-2</v>
      </c>
      <c r="L40" s="70">
        <v>6.6531000000000007E-2</v>
      </c>
      <c r="M40" s="70">
        <v>4.9727E-2</v>
      </c>
      <c r="N40" s="70">
        <v>1.0979410000000001</v>
      </c>
      <c r="O40" s="70">
        <v>6.9439999999999997E-3</v>
      </c>
      <c r="P40" s="70">
        <v>5.5338999999999999E-2</v>
      </c>
      <c r="Q40" s="70">
        <v>5.9763999999999998E-2</v>
      </c>
      <c r="R40" s="70">
        <v>5.5185999999999999E-2</v>
      </c>
      <c r="S40" s="70">
        <v>3.8391000000000002E-2</v>
      </c>
      <c r="T40" s="70">
        <v>1.2913000000000001E-2</v>
      </c>
      <c r="U40" s="70">
        <v>2.214E-2</v>
      </c>
      <c r="V40" s="70">
        <v>1.6097E-2</v>
      </c>
      <c r="W40" s="70">
        <v>4.1431999999999997E-2</v>
      </c>
      <c r="X40" s="70">
        <v>5.3999999999999998E-5</v>
      </c>
      <c r="Y40" s="70">
        <v>0</v>
      </c>
      <c r="Z40" s="70">
        <v>3.4999999999999997E-5</v>
      </c>
      <c r="AA40" s="70">
        <v>3.6999999999999998E-5</v>
      </c>
      <c r="AB40" s="70">
        <v>3.8999999999999999E-5</v>
      </c>
      <c r="AC40" s="70">
        <v>1.6899999999999999E-4</v>
      </c>
      <c r="AD40" s="70">
        <v>3.8000000000000002E-5</v>
      </c>
      <c r="AE40" s="70">
        <v>2.9E-5</v>
      </c>
      <c r="AF40" s="70">
        <v>3.0000000000000001E-5</v>
      </c>
      <c r="AG40" s="70">
        <v>5.1E-5</v>
      </c>
      <c r="AH40" s="70">
        <v>4.6999999999999997E-5</v>
      </c>
      <c r="AI40" s="70">
        <v>5.3000000000000001E-5</v>
      </c>
      <c r="AJ40" s="70">
        <v>2.0000000000000002E-5</v>
      </c>
      <c r="AK40" s="70">
        <v>7.9999999999999996E-6</v>
      </c>
      <c r="AL40" s="70">
        <v>1.5E-5</v>
      </c>
      <c r="AM40" s="70">
        <v>1.5999999999999999E-5</v>
      </c>
      <c r="AN40" s="70">
        <v>1.9000000000000001E-5</v>
      </c>
      <c r="AO40" s="70">
        <v>5.0000000000000004E-6</v>
      </c>
      <c r="AP40" s="70">
        <v>9.9999999999999995E-7</v>
      </c>
      <c r="AQ40" s="70">
        <v>9.9999999999999995E-7</v>
      </c>
      <c r="AR40" s="70">
        <v>7.9999999999999996E-6</v>
      </c>
      <c r="AS40" s="70">
        <v>3.9999999999999998E-6</v>
      </c>
      <c r="AT40" s="70">
        <v>0</v>
      </c>
      <c r="AU40" s="70">
        <v>6.0000000000000002E-6</v>
      </c>
      <c r="AV40" s="70">
        <v>1.1E-5</v>
      </c>
      <c r="AW40" s="70">
        <v>6.0000000000000002E-6</v>
      </c>
      <c r="AX40" s="70">
        <v>1.8E-5</v>
      </c>
      <c r="AY40" s="70">
        <v>5.0000000000000004E-6</v>
      </c>
      <c r="AZ40" s="70">
        <v>1.1E-5</v>
      </c>
      <c r="BA40" s="70">
        <v>6.0000000000000002E-6</v>
      </c>
      <c r="BB40" s="70">
        <v>1.2E-5</v>
      </c>
      <c r="BC40" s="70">
        <v>1.1E-5</v>
      </c>
      <c r="BD40" s="70">
        <v>6.0000000000000002E-6</v>
      </c>
      <c r="BE40" s="70">
        <v>3.9999999999999998E-6</v>
      </c>
      <c r="BF40" s="70">
        <v>3.9999999999999998E-6</v>
      </c>
      <c r="BG40" s="70">
        <v>6.0000000000000002E-6</v>
      </c>
      <c r="BH40" s="70">
        <v>5.0000000000000004E-6</v>
      </c>
      <c r="BI40" s="70">
        <v>1.5999999999999999E-5</v>
      </c>
      <c r="BJ40" s="70">
        <v>5.0000000000000004E-6</v>
      </c>
      <c r="BK40" s="70">
        <v>9.9999999999999995E-7</v>
      </c>
      <c r="BL40" s="70">
        <v>9.9999999999999995E-7</v>
      </c>
      <c r="BM40" s="70">
        <v>3.9999999999999998E-6</v>
      </c>
      <c r="BN40" s="70">
        <v>9.9999999999999995E-7</v>
      </c>
      <c r="BO40" s="70">
        <v>0</v>
      </c>
      <c r="BP40" s="70">
        <v>3.0000000000000001E-6</v>
      </c>
      <c r="BQ40" s="70">
        <v>3.9999999999999998E-6</v>
      </c>
      <c r="BR40" s="70">
        <v>3.0000000000000001E-6</v>
      </c>
      <c r="BS40" s="70">
        <v>7.9999999999999996E-6</v>
      </c>
      <c r="BT40" s="70">
        <v>3.0000000000000001E-6</v>
      </c>
      <c r="BU40" s="70">
        <v>3.0000000000000001E-6</v>
      </c>
      <c r="BV40" s="70">
        <v>3.0000000000000001E-6</v>
      </c>
      <c r="BW40" s="70">
        <v>7.9999999999999996E-6</v>
      </c>
      <c r="BX40" s="70">
        <v>5.0000000000000004E-6</v>
      </c>
      <c r="BY40" s="70">
        <v>3.0000000000000001E-6</v>
      </c>
      <c r="BZ40" s="70">
        <v>5.0000000000000004E-6</v>
      </c>
      <c r="CA40" s="70">
        <v>3.9999999999999998E-6</v>
      </c>
      <c r="CB40" s="70">
        <v>3.0000000000000001E-6</v>
      </c>
      <c r="CC40" s="70">
        <v>1.9999999999999999E-6</v>
      </c>
      <c r="CD40" s="70">
        <v>6.9999999999999999E-6</v>
      </c>
      <c r="CE40" s="70">
        <v>9.9999999999999995E-7</v>
      </c>
      <c r="CF40" s="70">
        <v>0</v>
      </c>
      <c r="CG40" s="70">
        <v>0</v>
      </c>
      <c r="CH40" s="70">
        <v>3.0000000000000001E-6</v>
      </c>
      <c r="CI40" s="70">
        <v>1.9999999999999999E-6</v>
      </c>
      <c r="CJ40" s="70">
        <v>0</v>
      </c>
      <c r="CK40" s="70">
        <v>1.9999999999999999E-6</v>
      </c>
      <c r="CL40" s="70">
        <v>3.0000000000000001E-6</v>
      </c>
      <c r="CM40" s="70">
        <v>1.9999999999999999E-6</v>
      </c>
      <c r="CN40" s="70">
        <v>6.9999999999999999E-6</v>
      </c>
      <c r="CO40" s="70">
        <v>1.9999999999999999E-6</v>
      </c>
      <c r="CP40" s="70">
        <v>3.0000000000000001E-6</v>
      </c>
      <c r="CQ40" s="70">
        <v>3.0000000000000001E-6</v>
      </c>
      <c r="CR40" s="70">
        <v>5.0000000000000004E-6</v>
      </c>
      <c r="CS40" s="70">
        <v>3.9999999999999998E-6</v>
      </c>
      <c r="CT40" s="70">
        <v>1.9999999999999999E-6</v>
      </c>
      <c r="CU40" s="70">
        <v>1.9999999999999999E-6</v>
      </c>
      <c r="CV40" s="70">
        <v>1.9999999999999999E-6</v>
      </c>
      <c r="CW40" s="70">
        <v>1.9999999999999999E-6</v>
      </c>
      <c r="CX40" s="70">
        <v>1.9999999999999999E-6</v>
      </c>
      <c r="CY40" s="70">
        <v>5.0000000000000004E-6</v>
      </c>
      <c r="CZ40" s="70">
        <v>3.0000000000000001E-6</v>
      </c>
      <c r="DA40" s="70">
        <v>9.9999999999999995E-7</v>
      </c>
      <c r="DB40" s="70">
        <v>9.9999999999999995E-7</v>
      </c>
      <c r="DC40" s="70">
        <v>3.0000000000000001E-6</v>
      </c>
      <c r="DD40" s="70">
        <v>5.3000000000000001E-5</v>
      </c>
      <c r="DE40" s="70">
        <v>0</v>
      </c>
      <c r="DF40" s="70">
        <v>1.03E-4</v>
      </c>
      <c r="DG40" s="70">
        <v>5.8999999999999998E-5</v>
      </c>
      <c r="DH40" s="70">
        <v>2.3E-5</v>
      </c>
      <c r="DI40" s="70">
        <v>8.7000000000000001E-5</v>
      </c>
      <c r="DJ40" s="70">
        <v>2.3E-5</v>
      </c>
      <c r="DK40" s="70">
        <v>2.5999999999999998E-5</v>
      </c>
      <c r="DL40" s="70">
        <v>1.9000000000000001E-5</v>
      </c>
      <c r="DM40" s="70">
        <v>8.5000000000000006E-5</v>
      </c>
      <c r="DN40" s="70">
        <v>4.1E-5</v>
      </c>
      <c r="DO40" s="70">
        <v>5.8999999999999998E-5</v>
      </c>
      <c r="DP40" s="70">
        <v>1.5999999999999999E-5</v>
      </c>
      <c r="DQ40" s="70">
        <v>1.0000000000000001E-5</v>
      </c>
      <c r="DR40" s="70">
        <v>1.8E-5</v>
      </c>
      <c r="DS40" s="70">
        <v>4.5000000000000003E-5</v>
      </c>
      <c r="DT40" s="70">
        <v>4.8000000000000001E-5</v>
      </c>
      <c r="DU40" s="70">
        <v>7.9999999999999996E-6</v>
      </c>
      <c r="DV40" s="70">
        <v>1.9999999999999999E-6</v>
      </c>
      <c r="DW40" s="70">
        <v>1.9999999999999999E-6</v>
      </c>
      <c r="DX40" s="70">
        <v>1.1E-5</v>
      </c>
      <c r="DY40" s="70">
        <v>9.9999999999999995E-7</v>
      </c>
      <c r="DZ40" s="70">
        <v>0</v>
      </c>
      <c r="EA40" s="70">
        <v>3.0000000000000001E-6</v>
      </c>
      <c r="EB40" s="70">
        <v>5.0000000000000004E-6</v>
      </c>
      <c r="EC40" s="70">
        <v>3.0000000000000001E-6</v>
      </c>
      <c r="ED40" s="70">
        <v>7.9999999999999996E-6</v>
      </c>
      <c r="EE40" s="70">
        <v>3.0000000000000001E-6</v>
      </c>
      <c r="EF40" s="70">
        <v>3.0000000000000001E-6</v>
      </c>
      <c r="EG40" s="70">
        <v>3.0000000000000001E-6</v>
      </c>
      <c r="EH40" s="70">
        <v>7.9999999999999996E-6</v>
      </c>
      <c r="EI40" s="70">
        <v>9.0000000000000002E-6</v>
      </c>
      <c r="EJ40" s="70">
        <v>3.0000000000000001E-6</v>
      </c>
      <c r="EK40" s="70">
        <v>5.0000000000000004E-6</v>
      </c>
      <c r="EL40" s="70">
        <v>3.9999999999999998E-6</v>
      </c>
      <c r="EM40" s="70">
        <v>3.0000000000000001E-6</v>
      </c>
      <c r="EN40" s="70">
        <v>3.9999999999999998E-6</v>
      </c>
      <c r="EO40" s="70">
        <v>1.2E-5</v>
      </c>
      <c r="EP40" s="70">
        <v>3.9999999999999998E-6</v>
      </c>
      <c r="EQ40" s="70">
        <v>9.9999999999999995E-7</v>
      </c>
      <c r="ER40" s="70">
        <v>9.9999999999999995E-7</v>
      </c>
      <c r="ES40" s="70">
        <v>3.0000000000000001E-6</v>
      </c>
      <c r="ET40" s="70">
        <v>6.9999999999999999E-6</v>
      </c>
      <c r="EU40" s="70">
        <v>0</v>
      </c>
      <c r="EV40" s="70">
        <v>1.2999999999999999E-5</v>
      </c>
      <c r="EW40" s="70">
        <v>6.9999999999999999E-6</v>
      </c>
      <c r="EX40" s="70">
        <v>9.0000000000000002E-6</v>
      </c>
      <c r="EY40" s="70">
        <v>1.5E-5</v>
      </c>
      <c r="EZ40" s="70">
        <v>6.9999999999999999E-6</v>
      </c>
      <c r="FA40" s="70">
        <v>3.9999999999999998E-6</v>
      </c>
      <c r="FB40" s="70">
        <v>5.0000000000000004E-6</v>
      </c>
      <c r="FC40" s="70">
        <v>7.9999999999999996E-6</v>
      </c>
      <c r="FD40" s="70">
        <v>1.0000000000000001E-5</v>
      </c>
      <c r="FE40" s="70">
        <v>3.9999999999999998E-6</v>
      </c>
      <c r="FF40" s="70">
        <v>6.0000000000000002E-6</v>
      </c>
      <c r="FG40" s="70">
        <v>5.0000000000000004E-6</v>
      </c>
      <c r="FH40" s="70">
        <v>7.9999999999999996E-6</v>
      </c>
      <c r="FI40" s="70">
        <v>3.9999999999999998E-6</v>
      </c>
      <c r="FJ40" s="70">
        <v>1.7E-5</v>
      </c>
      <c r="FK40" s="70">
        <v>5.0000000000000004E-6</v>
      </c>
      <c r="FL40" s="70">
        <v>0</v>
      </c>
      <c r="FM40" s="70">
        <v>0</v>
      </c>
      <c r="FN40" s="70">
        <v>3.9999999999999998E-6</v>
      </c>
      <c r="FO40" s="70">
        <v>7.4999999999999993E-5</v>
      </c>
      <c r="FP40" s="70">
        <v>0</v>
      </c>
      <c r="FQ40" s="70">
        <v>1.45E-4</v>
      </c>
      <c r="FR40" s="70">
        <v>2.0599999999999999E-4</v>
      </c>
      <c r="FS40" s="70">
        <v>1.06E-4</v>
      </c>
      <c r="FT40" s="70">
        <v>2.81E-4</v>
      </c>
      <c r="FU40" s="70">
        <v>8.5000000000000006E-5</v>
      </c>
      <c r="FV40" s="70">
        <v>1.5899999999999999E-4</v>
      </c>
      <c r="FW40" s="70">
        <v>1.0900000000000001E-4</v>
      </c>
      <c r="FX40" s="70">
        <v>2.04E-4</v>
      </c>
      <c r="FY40" s="70">
        <v>1.8699999999999999E-4</v>
      </c>
      <c r="FZ40" s="70">
        <v>6.5499999999999998E-4</v>
      </c>
      <c r="GA40" s="70">
        <v>7.4999999999999993E-5</v>
      </c>
      <c r="GB40" s="70">
        <v>1.4100000000000001E-4</v>
      </c>
      <c r="GC40" s="70">
        <v>9.8999999999999994E-5</v>
      </c>
      <c r="GD40" s="70">
        <v>1.16E-4</v>
      </c>
      <c r="GE40" s="70">
        <v>2.2900000000000001E-4</v>
      </c>
      <c r="GF40" s="70">
        <v>9.1000000000000003E-5</v>
      </c>
      <c r="GG40" s="70">
        <v>1.1900000000000001E-4</v>
      </c>
      <c r="GH40" s="70">
        <v>8.7000000000000001E-5</v>
      </c>
      <c r="GI40" s="70">
        <v>6.3999999999999997E-5</v>
      </c>
      <c r="GJ40" s="70">
        <v>3.9999999999999998E-6</v>
      </c>
      <c r="GK40" s="70">
        <v>0</v>
      </c>
      <c r="GL40" s="70">
        <v>6.0000000000000002E-6</v>
      </c>
      <c r="GM40" s="70">
        <v>6.9999999999999999E-6</v>
      </c>
      <c r="GN40" s="70">
        <v>5.0000000000000004E-6</v>
      </c>
      <c r="GO40" s="70">
        <v>1.4E-5</v>
      </c>
      <c r="GP40" s="70">
        <v>5.0000000000000004E-6</v>
      </c>
      <c r="GQ40" s="70">
        <v>6.9999999999999999E-6</v>
      </c>
      <c r="GR40" s="70">
        <v>5.0000000000000004E-6</v>
      </c>
      <c r="GS40" s="70">
        <v>1.4E-5</v>
      </c>
      <c r="GT40" s="70">
        <v>1.0000000000000001E-5</v>
      </c>
      <c r="GU40" s="70">
        <v>1.0000000000000001E-5</v>
      </c>
      <c r="GV40" s="70">
        <v>3.0000000000000001E-6</v>
      </c>
      <c r="GW40" s="70">
        <v>6.0000000000000002E-6</v>
      </c>
      <c r="GX40" s="70">
        <v>3.9999999999999998E-6</v>
      </c>
      <c r="GY40" s="70">
        <v>5.0000000000000004E-6</v>
      </c>
      <c r="GZ40" s="70">
        <v>3.6000000000000001E-5</v>
      </c>
      <c r="HA40" s="70">
        <v>6.9999999999999999E-6</v>
      </c>
      <c r="HB40" s="70">
        <v>9.9999999999999995E-7</v>
      </c>
      <c r="HC40" s="70">
        <v>9.9999999999999995E-7</v>
      </c>
      <c r="HD40" s="70">
        <v>6.9999999999999999E-6</v>
      </c>
      <c r="HE40" s="70">
        <v>5.0000000000000004E-6</v>
      </c>
      <c r="HF40" s="70">
        <v>0</v>
      </c>
      <c r="HG40" s="70">
        <v>1.1E-5</v>
      </c>
      <c r="HH40" s="70">
        <v>1.0000000000000001E-5</v>
      </c>
      <c r="HI40" s="70">
        <v>6.0000000000000002E-6</v>
      </c>
      <c r="HJ40" s="70">
        <v>2.1999999999999999E-5</v>
      </c>
      <c r="HK40" s="70">
        <v>5.0000000000000004E-6</v>
      </c>
      <c r="HL40" s="70">
        <v>1.1E-5</v>
      </c>
      <c r="HM40" s="70">
        <v>6.0000000000000002E-6</v>
      </c>
      <c r="HN40" s="70">
        <v>1.2999999999999999E-5</v>
      </c>
      <c r="HO40" s="70">
        <v>1.2999999999999999E-5</v>
      </c>
      <c r="HP40" s="70">
        <v>6.0000000000000002E-6</v>
      </c>
      <c r="HQ40" s="70">
        <v>6.0000000000000002E-6</v>
      </c>
      <c r="HR40" s="70">
        <v>5.0000000000000004E-6</v>
      </c>
      <c r="HS40" s="70">
        <v>5.0000000000000004E-6</v>
      </c>
      <c r="HT40" s="70">
        <v>6.9999999999999999E-6</v>
      </c>
      <c r="HU40" s="70">
        <v>1.4E-5</v>
      </c>
      <c r="HV40" s="70">
        <v>6.0000000000000002E-6</v>
      </c>
      <c r="HW40" s="70">
        <v>9.9999999999999995E-7</v>
      </c>
      <c r="HX40" s="70">
        <v>9.9999999999999995E-7</v>
      </c>
      <c r="HY40" s="70">
        <v>5.0000000000000004E-6</v>
      </c>
      <c r="HZ40" s="70"/>
      <c r="IA40" s="70"/>
      <c r="IB40" s="70"/>
      <c r="IC40" s="70"/>
      <c r="ID40" s="70"/>
      <c r="IE40" s="70"/>
      <c r="IF40" s="70"/>
      <c r="IG40" s="70"/>
      <c r="IH40" s="70"/>
      <c r="II40" s="70"/>
      <c r="IJ40" s="70"/>
      <c r="IK40" s="70"/>
      <c r="IL40" s="70"/>
      <c r="IM40" s="70"/>
      <c r="IN40" s="70"/>
      <c r="IO40" s="70"/>
      <c r="IP40" s="70"/>
      <c r="IQ40" s="70"/>
      <c r="IR40" s="70"/>
      <c r="IS40" s="70"/>
      <c r="IT40" s="70"/>
      <c r="IU40" s="70"/>
      <c r="IV40" s="70"/>
      <c r="IW40" s="70"/>
      <c r="IX40" s="70"/>
      <c r="IY40" s="70"/>
      <c r="IZ40" s="70"/>
      <c r="JA40" s="70"/>
      <c r="JB40" s="70"/>
      <c r="JC40" s="70"/>
      <c r="JD40" s="70"/>
      <c r="JE40" s="70"/>
      <c r="JF40" s="70"/>
      <c r="JG40" s="70"/>
      <c r="JH40" s="70"/>
      <c r="JI40" s="70"/>
      <c r="JJ40" s="70"/>
      <c r="JK40" s="70"/>
      <c r="JL40" s="70"/>
      <c r="JM40" s="70"/>
      <c r="JN40" s="70"/>
      <c r="JO40" s="70"/>
      <c r="JP40" s="70"/>
      <c r="JQ40" s="70"/>
    </row>
    <row r="41" spans="1:277">
      <c r="A41" s="65" t="s">
        <v>108</v>
      </c>
      <c r="B41" s="66" t="s">
        <v>22</v>
      </c>
      <c r="C41" s="67">
        <v>7.7899999999999996E-4</v>
      </c>
      <c r="D41" s="67">
        <v>0</v>
      </c>
      <c r="E41" s="67">
        <v>2.6699999999999998E-4</v>
      </c>
      <c r="F41" s="67">
        <v>2.3800000000000001E-4</v>
      </c>
      <c r="G41" s="67">
        <v>5.0100000000000003E-4</v>
      </c>
      <c r="H41" s="67">
        <v>1.83E-3</v>
      </c>
      <c r="I41" s="67">
        <v>2.5999999999999998E-4</v>
      </c>
      <c r="J41" s="67">
        <v>2.8210000000000002E-3</v>
      </c>
      <c r="K41" s="67">
        <v>2.4154999999999999E-2</v>
      </c>
      <c r="L41" s="67">
        <v>3.5258999999999999E-2</v>
      </c>
      <c r="M41" s="67">
        <v>1.9362999999999998E-2</v>
      </c>
      <c r="N41" s="67">
        <v>8.4900000000000004E-4</v>
      </c>
      <c r="O41" s="67">
        <v>1.031725</v>
      </c>
      <c r="P41" s="67">
        <v>1.1979999999999999E-2</v>
      </c>
      <c r="Q41" s="67">
        <v>1.1488E-2</v>
      </c>
      <c r="R41" s="67">
        <v>3.388E-3</v>
      </c>
      <c r="S41" s="67">
        <v>0.161914</v>
      </c>
      <c r="T41" s="67">
        <v>4.581E-3</v>
      </c>
      <c r="U41" s="67">
        <v>4.3949999999999996E-3</v>
      </c>
      <c r="V41" s="67">
        <v>3.1949999999999999E-3</v>
      </c>
      <c r="W41" s="67">
        <v>5.4349999999999997E-3</v>
      </c>
      <c r="X41" s="67">
        <v>3.0000000000000001E-6</v>
      </c>
      <c r="Y41" s="67">
        <v>0</v>
      </c>
      <c r="Z41" s="67">
        <v>3.0000000000000001E-6</v>
      </c>
      <c r="AA41" s="67">
        <v>1.9999999999999999E-6</v>
      </c>
      <c r="AB41" s="67">
        <v>3.0000000000000001E-6</v>
      </c>
      <c r="AC41" s="67">
        <v>9.0000000000000002E-6</v>
      </c>
      <c r="AD41" s="67">
        <v>1.9999999999999999E-6</v>
      </c>
      <c r="AE41" s="67">
        <v>3.0000000000000001E-6</v>
      </c>
      <c r="AF41" s="67">
        <v>5.0000000000000004E-6</v>
      </c>
      <c r="AG41" s="67">
        <v>1.1E-5</v>
      </c>
      <c r="AH41" s="67">
        <v>7.9999999999999996E-6</v>
      </c>
      <c r="AI41" s="67">
        <v>9.9999999999999995E-7</v>
      </c>
      <c r="AJ41" s="67">
        <v>3.0000000000000001E-6</v>
      </c>
      <c r="AK41" s="67">
        <v>9.9999999999999995E-7</v>
      </c>
      <c r="AL41" s="67">
        <v>1.9999999999999999E-6</v>
      </c>
      <c r="AM41" s="67">
        <v>9.9999999999999995E-7</v>
      </c>
      <c r="AN41" s="67">
        <v>3.0000000000000001E-6</v>
      </c>
      <c r="AO41" s="67">
        <v>9.9999999999999995E-7</v>
      </c>
      <c r="AP41" s="67">
        <v>0</v>
      </c>
      <c r="AQ41" s="67">
        <v>0</v>
      </c>
      <c r="AR41" s="67">
        <v>9.9999999999999995E-7</v>
      </c>
      <c r="AS41" s="67">
        <v>9.9999999999999995E-7</v>
      </c>
      <c r="AT41" s="67">
        <v>0</v>
      </c>
      <c r="AU41" s="67">
        <v>1.9999999999999999E-6</v>
      </c>
      <c r="AV41" s="67">
        <v>9.9999999999999995E-7</v>
      </c>
      <c r="AW41" s="67">
        <v>9.9999999999999995E-7</v>
      </c>
      <c r="AX41" s="67">
        <v>3.9999999999999998E-6</v>
      </c>
      <c r="AY41" s="67">
        <v>9.9999999999999995E-7</v>
      </c>
      <c r="AZ41" s="67">
        <v>1.9999999999999999E-6</v>
      </c>
      <c r="BA41" s="67">
        <v>9.9999999999999995E-7</v>
      </c>
      <c r="BB41" s="67">
        <v>3.0000000000000001E-6</v>
      </c>
      <c r="BC41" s="67">
        <v>3.0000000000000001E-6</v>
      </c>
      <c r="BD41" s="67">
        <v>9.9999999999999995E-7</v>
      </c>
      <c r="BE41" s="67">
        <v>9.9999999999999995E-7</v>
      </c>
      <c r="BF41" s="67">
        <v>9.9999999999999995E-7</v>
      </c>
      <c r="BG41" s="67">
        <v>1.9999999999999999E-6</v>
      </c>
      <c r="BH41" s="67">
        <v>9.9999999999999995E-7</v>
      </c>
      <c r="BI41" s="67">
        <v>7.9999999999999996E-6</v>
      </c>
      <c r="BJ41" s="67">
        <v>1.9999999999999999E-6</v>
      </c>
      <c r="BK41" s="67">
        <v>0</v>
      </c>
      <c r="BL41" s="67">
        <v>0</v>
      </c>
      <c r="BM41" s="67">
        <v>9.9999999999999995E-7</v>
      </c>
      <c r="BN41" s="67">
        <v>0</v>
      </c>
      <c r="BO41" s="67">
        <v>0</v>
      </c>
      <c r="BP41" s="67">
        <v>0</v>
      </c>
      <c r="BQ41" s="67">
        <v>9.9999999999999995E-7</v>
      </c>
      <c r="BR41" s="67">
        <v>0</v>
      </c>
      <c r="BS41" s="67">
        <v>9.9999999999999995E-7</v>
      </c>
      <c r="BT41" s="67">
        <v>9.9999999999999995E-7</v>
      </c>
      <c r="BU41" s="67">
        <v>9.9999999999999995E-7</v>
      </c>
      <c r="BV41" s="67">
        <v>9.9999999999999995E-7</v>
      </c>
      <c r="BW41" s="67">
        <v>9.9999999999999995E-7</v>
      </c>
      <c r="BX41" s="67">
        <v>9.9999999999999995E-7</v>
      </c>
      <c r="BY41" s="67">
        <v>0</v>
      </c>
      <c r="BZ41" s="67">
        <v>9.9999999999999995E-7</v>
      </c>
      <c r="CA41" s="67">
        <v>9.9999999999999995E-7</v>
      </c>
      <c r="CB41" s="67">
        <v>0</v>
      </c>
      <c r="CC41" s="67">
        <v>0</v>
      </c>
      <c r="CD41" s="67">
        <v>9.9999999999999995E-7</v>
      </c>
      <c r="CE41" s="67">
        <v>0</v>
      </c>
      <c r="CF41" s="67">
        <v>0</v>
      </c>
      <c r="CG41" s="67">
        <v>0</v>
      </c>
      <c r="CH41" s="67">
        <v>9.9999999999999995E-7</v>
      </c>
      <c r="CI41" s="67">
        <v>0</v>
      </c>
      <c r="CJ41" s="67">
        <v>0</v>
      </c>
      <c r="CK41" s="67">
        <v>0</v>
      </c>
      <c r="CL41" s="67">
        <v>0</v>
      </c>
      <c r="CM41" s="67">
        <v>0</v>
      </c>
      <c r="CN41" s="67">
        <v>9.9999999999999995E-7</v>
      </c>
      <c r="CO41" s="67">
        <v>0</v>
      </c>
      <c r="CP41" s="67">
        <v>9.9999999999999995E-7</v>
      </c>
      <c r="CQ41" s="67">
        <v>0</v>
      </c>
      <c r="CR41" s="67">
        <v>9.9999999999999995E-7</v>
      </c>
      <c r="CS41" s="67">
        <v>9.9999999999999995E-7</v>
      </c>
      <c r="CT41" s="67">
        <v>0</v>
      </c>
      <c r="CU41" s="67">
        <v>0</v>
      </c>
      <c r="CV41" s="67">
        <v>0</v>
      </c>
      <c r="CW41" s="67">
        <v>0</v>
      </c>
      <c r="CX41" s="67">
        <v>0</v>
      </c>
      <c r="CY41" s="67">
        <v>9.9999999999999995E-7</v>
      </c>
      <c r="CZ41" s="67">
        <v>0</v>
      </c>
      <c r="DA41" s="67">
        <v>0</v>
      </c>
      <c r="DB41" s="67">
        <v>0</v>
      </c>
      <c r="DC41" s="67">
        <v>0</v>
      </c>
      <c r="DD41" s="67">
        <v>6.9999999999999999E-6</v>
      </c>
      <c r="DE41" s="67">
        <v>0</v>
      </c>
      <c r="DF41" s="67">
        <v>1.2E-5</v>
      </c>
      <c r="DG41" s="67">
        <v>6.0000000000000002E-6</v>
      </c>
      <c r="DH41" s="67">
        <v>3.0000000000000001E-6</v>
      </c>
      <c r="DI41" s="67">
        <v>7.9999999999999996E-6</v>
      </c>
      <c r="DJ41" s="67">
        <v>1.9999999999999999E-6</v>
      </c>
      <c r="DK41" s="67">
        <v>3.0000000000000001E-6</v>
      </c>
      <c r="DL41" s="67">
        <v>3.0000000000000001E-6</v>
      </c>
      <c r="DM41" s="67">
        <v>4.0000000000000003E-5</v>
      </c>
      <c r="DN41" s="67">
        <v>6.9999999999999999E-6</v>
      </c>
      <c r="DO41" s="67">
        <v>1.9999999999999999E-6</v>
      </c>
      <c r="DP41" s="67">
        <v>3.9999999999999998E-6</v>
      </c>
      <c r="DQ41" s="67">
        <v>1.9999999999999999E-6</v>
      </c>
      <c r="DR41" s="67">
        <v>3.0000000000000001E-6</v>
      </c>
      <c r="DS41" s="67">
        <v>6.0000000000000002E-6</v>
      </c>
      <c r="DT41" s="67">
        <v>2.0999999999999999E-5</v>
      </c>
      <c r="DU41" s="67">
        <v>3.0000000000000001E-6</v>
      </c>
      <c r="DV41" s="67">
        <v>9.9999999999999995E-7</v>
      </c>
      <c r="DW41" s="67">
        <v>0</v>
      </c>
      <c r="DX41" s="67">
        <v>1.9999999999999999E-6</v>
      </c>
      <c r="DY41" s="67">
        <v>0</v>
      </c>
      <c r="DZ41" s="67">
        <v>0</v>
      </c>
      <c r="EA41" s="67">
        <v>9.9999999999999995E-7</v>
      </c>
      <c r="EB41" s="67">
        <v>9.9999999999999995E-7</v>
      </c>
      <c r="EC41" s="67">
        <v>9.9999999999999995E-7</v>
      </c>
      <c r="ED41" s="67">
        <v>1.9999999999999999E-6</v>
      </c>
      <c r="EE41" s="67">
        <v>9.9999999999999995E-7</v>
      </c>
      <c r="EF41" s="67">
        <v>9.9999999999999995E-7</v>
      </c>
      <c r="EG41" s="67">
        <v>9.9999999999999995E-7</v>
      </c>
      <c r="EH41" s="67">
        <v>1.9999999999999999E-6</v>
      </c>
      <c r="EI41" s="67">
        <v>1.9999999999999999E-6</v>
      </c>
      <c r="EJ41" s="67">
        <v>9.9999999999999995E-7</v>
      </c>
      <c r="EK41" s="67">
        <v>9.9999999999999995E-7</v>
      </c>
      <c r="EL41" s="67">
        <v>9.9999999999999995E-7</v>
      </c>
      <c r="EM41" s="67">
        <v>9.9999999999999995E-7</v>
      </c>
      <c r="EN41" s="67">
        <v>9.9999999999999995E-7</v>
      </c>
      <c r="EO41" s="67">
        <v>3.9999999999999998E-6</v>
      </c>
      <c r="EP41" s="67">
        <v>9.9999999999999995E-7</v>
      </c>
      <c r="EQ41" s="67">
        <v>0</v>
      </c>
      <c r="ER41" s="67">
        <v>0</v>
      </c>
      <c r="ES41" s="67">
        <v>9.9999999999999995E-7</v>
      </c>
      <c r="ET41" s="67">
        <v>9.9999999999999995E-7</v>
      </c>
      <c r="EU41" s="67">
        <v>0</v>
      </c>
      <c r="EV41" s="67">
        <v>9.9999999999999995E-7</v>
      </c>
      <c r="EW41" s="67">
        <v>9.9999999999999995E-7</v>
      </c>
      <c r="EX41" s="67">
        <v>9.9999999999999995E-7</v>
      </c>
      <c r="EY41" s="67">
        <v>3.0000000000000001E-6</v>
      </c>
      <c r="EZ41" s="67">
        <v>9.9999999999999995E-7</v>
      </c>
      <c r="FA41" s="67">
        <v>9.9999999999999995E-7</v>
      </c>
      <c r="FB41" s="67">
        <v>9.9999999999999995E-7</v>
      </c>
      <c r="FC41" s="67">
        <v>1.9999999999999999E-6</v>
      </c>
      <c r="FD41" s="67">
        <v>1.9999999999999999E-6</v>
      </c>
      <c r="FE41" s="67">
        <v>9.9999999999999995E-7</v>
      </c>
      <c r="FF41" s="67">
        <v>9.9999999999999995E-7</v>
      </c>
      <c r="FG41" s="67">
        <v>9.9999999999999995E-7</v>
      </c>
      <c r="FH41" s="67">
        <v>1.9999999999999999E-6</v>
      </c>
      <c r="FI41" s="67">
        <v>9.9999999999999995E-7</v>
      </c>
      <c r="FJ41" s="67">
        <v>1.2999999999999999E-5</v>
      </c>
      <c r="FK41" s="67">
        <v>1.9999999999999999E-6</v>
      </c>
      <c r="FL41" s="67">
        <v>0</v>
      </c>
      <c r="FM41" s="67">
        <v>0</v>
      </c>
      <c r="FN41" s="67">
        <v>9.9999999999999995E-7</v>
      </c>
      <c r="FO41" s="67">
        <v>1.5E-5</v>
      </c>
      <c r="FP41" s="67">
        <v>0</v>
      </c>
      <c r="FQ41" s="67">
        <v>2.5999999999999998E-5</v>
      </c>
      <c r="FR41" s="67">
        <v>2.8E-5</v>
      </c>
      <c r="FS41" s="67">
        <v>2.3E-5</v>
      </c>
      <c r="FT41" s="67">
        <v>4.1E-5</v>
      </c>
      <c r="FU41" s="67">
        <v>2.5000000000000001E-5</v>
      </c>
      <c r="FV41" s="67">
        <v>3.6000000000000001E-5</v>
      </c>
      <c r="FW41" s="67">
        <v>2.5000000000000001E-5</v>
      </c>
      <c r="FX41" s="67">
        <v>7.4999999999999993E-5</v>
      </c>
      <c r="FY41" s="67">
        <v>4.6999999999999997E-5</v>
      </c>
      <c r="FZ41" s="67">
        <v>1.5999999999999999E-5</v>
      </c>
      <c r="GA41" s="67">
        <v>2.0000000000000002E-5</v>
      </c>
      <c r="GB41" s="67">
        <v>4.1E-5</v>
      </c>
      <c r="GC41" s="67">
        <v>2.4000000000000001E-5</v>
      </c>
      <c r="GD41" s="67">
        <v>2.0999999999999999E-5</v>
      </c>
      <c r="GE41" s="67">
        <v>1.9900000000000001E-4</v>
      </c>
      <c r="GF41" s="67">
        <v>4.6999999999999997E-5</v>
      </c>
      <c r="GG41" s="67">
        <v>4.1999999999999998E-5</v>
      </c>
      <c r="GH41" s="67">
        <v>3.0000000000000001E-5</v>
      </c>
      <c r="GI41" s="67">
        <v>2.0000000000000002E-5</v>
      </c>
      <c r="GJ41" s="67">
        <v>9.9999999999999995E-7</v>
      </c>
      <c r="GK41" s="67">
        <v>0</v>
      </c>
      <c r="GL41" s="67">
        <v>9.9999999999999995E-7</v>
      </c>
      <c r="GM41" s="67">
        <v>9.9999999999999995E-7</v>
      </c>
      <c r="GN41" s="67">
        <v>9.9999999999999995E-7</v>
      </c>
      <c r="GO41" s="67">
        <v>3.0000000000000001E-6</v>
      </c>
      <c r="GP41" s="67">
        <v>9.9999999999999995E-7</v>
      </c>
      <c r="GQ41" s="67">
        <v>1.9999999999999999E-6</v>
      </c>
      <c r="GR41" s="67">
        <v>9.9999999999999995E-7</v>
      </c>
      <c r="GS41" s="67">
        <v>3.0000000000000001E-6</v>
      </c>
      <c r="GT41" s="67">
        <v>3.0000000000000001E-6</v>
      </c>
      <c r="GU41" s="67">
        <v>1.9999999999999999E-6</v>
      </c>
      <c r="GV41" s="67">
        <v>9.9999999999999995E-7</v>
      </c>
      <c r="GW41" s="67">
        <v>9.9999999999999995E-7</v>
      </c>
      <c r="GX41" s="67">
        <v>9.9999999999999995E-7</v>
      </c>
      <c r="GY41" s="67">
        <v>9.9999999999999995E-7</v>
      </c>
      <c r="GZ41" s="67">
        <v>6.9999999999999999E-6</v>
      </c>
      <c r="HA41" s="67">
        <v>1.9999999999999999E-6</v>
      </c>
      <c r="HB41" s="67">
        <v>0</v>
      </c>
      <c r="HC41" s="67">
        <v>0</v>
      </c>
      <c r="HD41" s="67">
        <v>1.9999999999999999E-6</v>
      </c>
      <c r="HE41" s="67">
        <v>9.9999999999999995E-7</v>
      </c>
      <c r="HF41" s="67">
        <v>0</v>
      </c>
      <c r="HG41" s="67">
        <v>1.9999999999999999E-6</v>
      </c>
      <c r="HH41" s="67">
        <v>9.9999999999999995E-7</v>
      </c>
      <c r="HI41" s="67">
        <v>9.9999999999999995E-7</v>
      </c>
      <c r="HJ41" s="67">
        <v>3.9999999999999998E-6</v>
      </c>
      <c r="HK41" s="67">
        <v>9.9999999999999995E-7</v>
      </c>
      <c r="HL41" s="67">
        <v>9.9999999999999995E-7</v>
      </c>
      <c r="HM41" s="67">
        <v>9.9999999999999995E-7</v>
      </c>
      <c r="HN41" s="67">
        <v>3.0000000000000001E-6</v>
      </c>
      <c r="HO41" s="67">
        <v>3.0000000000000001E-6</v>
      </c>
      <c r="HP41" s="67">
        <v>9.9999999999999995E-7</v>
      </c>
      <c r="HQ41" s="67">
        <v>9.9999999999999995E-7</v>
      </c>
      <c r="HR41" s="67">
        <v>9.9999999999999995E-7</v>
      </c>
      <c r="HS41" s="67">
        <v>9.9999999999999995E-7</v>
      </c>
      <c r="HT41" s="67">
        <v>9.9999999999999995E-7</v>
      </c>
      <c r="HU41" s="67">
        <v>6.0000000000000002E-6</v>
      </c>
      <c r="HV41" s="67">
        <v>1.9999999999999999E-6</v>
      </c>
      <c r="HW41" s="67">
        <v>0</v>
      </c>
      <c r="HX41" s="67">
        <v>0</v>
      </c>
      <c r="HY41" s="67">
        <v>9.9999999999999995E-7</v>
      </c>
      <c r="HZ41" s="67"/>
      <c r="IA41" s="67"/>
      <c r="IB41" s="67"/>
      <c r="IC41" s="67"/>
      <c r="ID41" s="67"/>
      <c r="IE41" s="67"/>
      <c r="IF41" s="67"/>
      <c r="IG41" s="67"/>
      <c r="IH41" s="67"/>
      <c r="II41" s="67"/>
      <c r="IJ41" s="67"/>
      <c r="IK41" s="67"/>
      <c r="IL41" s="67"/>
      <c r="IM41" s="67"/>
      <c r="IN41" s="67"/>
      <c r="IO41" s="67"/>
      <c r="IP41" s="67"/>
      <c r="IQ41" s="67"/>
      <c r="IR41" s="67"/>
      <c r="IS41" s="67"/>
      <c r="IT41" s="67"/>
      <c r="IU41" s="67"/>
      <c r="IV41" s="67"/>
      <c r="IW41" s="67"/>
      <c r="IX41" s="67"/>
      <c r="IY41" s="67"/>
      <c r="IZ41" s="67"/>
      <c r="JA41" s="67"/>
      <c r="JB41" s="67"/>
      <c r="JC41" s="67"/>
      <c r="JD41" s="67"/>
      <c r="JE41" s="67"/>
      <c r="JF41" s="67"/>
      <c r="JG41" s="67"/>
      <c r="JH41" s="67"/>
      <c r="JI41" s="67"/>
      <c r="JJ41" s="67"/>
      <c r="JK41" s="67"/>
      <c r="JL41" s="67"/>
      <c r="JM41" s="67"/>
      <c r="JN41" s="67"/>
      <c r="JO41" s="67"/>
      <c r="JP41" s="67"/>
      <c r="JQ41" s="67"/>
    </row>
    <row r="42" spans="1:277">
      <c r="A42" s="68" t="s">
        <v>109</v>
      </c>
      <c r="B42" s="69" t="s">
        <v>23</v>
      </c>
      <c r="C42" s="70">
        <v>5.6189999999999999E-3</v>
      </c>
      <c r="D42" s="70">
        <v>0</v>
      </c>
      <c r="E42" s="70">
        <v>1.903E-3</v>
      </c>
      <c r="F42" s="70">
        <v>1.9499999999999999E-3</v>
      </c>
      <c r="G42" s="70">
        <v>2.0669999999999998E-3</v>
      </c>
      <c r="H42" s="70">
        <v>9.8879999999999992E-3</v>
      </c>
      <c r="I42" s="70">
        <v>1.1249999999999999E-3</v>
      </c>
      <c r="J42" s="70">
        <v>1.3511E-2</v>
      </c>
      <c r="K42" s="70">
        <v>2.1107999999999998E-2</v>
      </c>
      <c r="L42" s="70">
        <v>0.22520200000000001</v>
      </c>
      <c r="M42" s="70">
        <v>7.2021000000000002E-2</v>
      </c>
      <c r="N42" s="70">
        <v>1.5734999999999999E-2</v>
      </c>
      <c r="O42" s="70">
        <v>1.0149E-2</v>
      </c>
      <c r="P42" s="70">
        <v>1.538138</v>
      </c>
      <c r="Q42" s="70">
        <v>1.1487909999999999</v>
      </c>
      <c r="R42" s="70">
        <v>8.3004999999999995E-2</v>
      </c>
      <c r="S42" s="70">
        <v>0.41134100000000001</v>
      </c>
      <c r="T42" s="70">
        <v>2.5016E-2</v>
      </c>
      <c r="U42" s="70">
        <v>3.6949000000000003E-2</v>
      </c>
      <c r="V42" s="70">
        <v>2.6865E-2</v>
      </c>
      <c r="W42" s="70">
        <v>0.124227</v>
      </c>
      <c r="X42" s="70">
        <v>2.3E-5</v>
      </c>
      <c r="Y42" s="70">
        <v>0</v>
      </c>
      <c r="Z42" s="70">
        <v>2.5000000000000001E-5</v>
      </c>
      <c r="AA42" s="70">
        <v>2.0999999999999999E-5</v>
      </c>
      <c r="AB42" s="70">
        <v>2.6999999999999999E-5</v>
      </c>
      <c r="AC42" s="70">
        <v>7.4999999999999993E-5</v>
      </c>
      <c r="AD42" s="70">
        <v>2.4000000000000001E-5</v>
      </c>
      <c r="AE42" s="70">
        <v>2.4000000000000001E-5</v>
      </c>
      <c r="AF42" s="70">
        <v>2.5000000000000001E-5</v>
      </c>
      <c r="AG42" s="70">
        <v>8.6000000000000003E-5</v>
      </c>
      <c r="AH42" s="70">
        <v>5.3999999999999998E-5</v>
      </c>
      <c r="AI42" s="70">
        <v>1.2999999999999999E-5</v>
      </c>
      <c r="AJ42" s="70">
        <v>2.0000000000000002E-5</v>
      </c>
      <c r="AK42" s="70">
        <v>9.0000000000000002E-6</v>
      </c>
      <c r="AL42" s="70">
        <v>2.0999999999999999E-5</v>
      </c>
      <c r="AM42" s="70">
        <v>1.2999999999999999E-5</v>
      </c>
      <c r="AN42" s="70">
        <v>3.1000000000000001E-5</v>
      </c>
      <c r="AO42" s="70">
        <v>7.9999999999999996E-6</v>
      </c>
      <c r="AP42" s="70">
        <v>9.9999999999999995E-7</v>
      </c>
      <c r="AQ42" s="70">
        <v>9.9999999999999995E-7</v>
      </c>
      <c r="AR42" s="70">
        <v>9.0000000000000002E-6</v>
      </c>
      <c r="AS42" s="70">
        <v>2.0000000000000002E-5</v>
      </c>
      <c r="AT42" s="70">
        <v>0</v>
      </c>
      <c r="AU42" s="70">
        <v>3.0000000000000001E-5</v>
      </c>
      <c r="AV42" s="70">
        <v>3.0000000000000001E-5</v>
      </c>
      <c r="AW42" s="70">
        <v>3.1000000000000001E-5</v>
      </c>
      <c r="AX42" s="70">
        <v>7.6000000000000004E-5</v>
      </c>
      <c r="AY42" s="70">
        <v>3.1000000000000001E-5</v>
      </c>
      <c r="AZ42" s="70">
        <v>3.4E-5</v>
      </c>
      <c r="BA42" s="70">
        <v>2.3E-5</v>
      </c>
      <c r="BB42" s="70">
        <v>5.5999999999999999E-5</v>
      </c>
      <c r="BC42" s="70">
        <v>5.0000000000000002E-5</v>
      </c>
      <c r="BD42" s="70">
        <v>2.4000000000000001E-5</v>
      </c>
      <c r="BE42" s="70">
        <v>2.0000000000000002E-5</v>
      </c>
      <c r="BF42" s="70">
        <v>2.3E-5</v>
      </c>
      <c r="BG42" s="70">
        <v>5.0000000000000002E-5</v>
      </c>
      <c r="BH42" s="70">
        <v>2.0000000000000002E-5</v>
      </c>
      <c r="BI42" s="70">
        <v>7.4999999999999993E-5</v>
      </c>
      <c r="BJ42" s="70">
        <v>1.9000000000000001E-5</v>
      </c>
      <c r="BK42" s="70">
        <v>3.0000000000000001E-6</v>
      </c>
      <c r="BL42" s="70">
        <v>3.0000000000000001E-6</v>
      </c>
      <c r="BM42" s="70">
        <v>1.8E-5</v>
      </c>
      <c r="BN42" s="70">
        <v>3.9999999999999998E-6</v>
      </c>
      <c r="BO42" s="70">
        <v>0</v>
      </c>
      <c r="BP42" s="70">
        <v>6.9999999999999999E-6</v>
      </c>
      <c r="BQ42" s="70">
        <v>1.1E-5</v>
      </c>
      <c r="BR42" s="70">
        <v>9.0000000000000002E-6</v>
      </c>
      <c r="BS42" s="70">
        <v>2.5999999999999998E-5</v>
      </c>
      <c r="BT42" s="70">
        <v>1.0000000000000001E-5</v>
      </c>
      <c r="BU42" s="70">
        <v>1.0000000000000001E-5</v>
      </c>
      <c r="BV42" s="70">
        <v>1.1E-5</v>
      </c>
      <c r="BW42" s="70">
        <v>2.6999999999999999E-5</v>
      </c>
      <c r="BX42" s="70">
        <v>1.5E-5</v>
      </c>
      <c r="BY42" s="70">
        <v>7.9999999999999996E-6</v>
      </c>
      <c r="BZ42" s="70">
        <v>1.5E-5</v>
      </c>
      <c r="CA42" s="70">
        <v>1.1E-5</v>
      </c>
      <c r="CB42" s="70">
        <v>7.9999999999999996E-6</v>
      </c>
      <c r="CC42" s="70">
        <v>6.9999999999999999E-6</v>
      </c>
      <c r="CD42" s="70">
        <v>2.0999999999999999E-5</v>
      </c>
      <c r="CE42" s="70">
        <v>1.9999999999999999E-6</v>
      </c>
      <c r="CF42" s="70">
        <v>9.9999999999999995E-7</v>
      </c>
      <c r="CG42" s="70">
        <v>9.9999999999999995E-7</v>
      </c>
      <c r="CH42" s="70">
        <v>1.0000000000000001E-5</v>
      </c>
      <c r="CI42" s="70">
        <v>5.0000000000000004E-6</v>
      </c>
      <c r="CJ42" s="70">
        <v>0</v>
      </c>
      <c r="CK42" s="70">
        <v>7.9999999999999996E-6</v>
      </c>
      <c r="CL42" s="70">
        <v>9.0000000000000002E-6</v>
      </c>
      <c r="CM42" s="70">
        <v>9.0000000000000002E-6</v>
      </c>
      <c r="CN42" s="70">
        <v>2.0999999999999999E-5</v>
      </c>
      <c r="CO42" s="70">
        <v>6.9999999999999999E-6</v>
      </c>
      <c r="CP42" s="70">
        <v>1.1E-5</v>
      </c>
      <c r="CQ42" s="70">
        <v>9.0000000000000002E-6</v>
      </c>
      <c r="CR42" s="70">
        <v>1.8E-5</v>
      </c>
      <c r="CS42" s="70">
        <v>1.5999999999999999E-5</v>
      </c>
      <c r="CT42" s="70">
        <v>5.0000000000000004E-6</v>
      </c>
      <c r="CU42" s="70">
        <v>6.9999999999999999E-6</v>
      </c>
      <c r="CV42" s="70">
        <v>7.9999999999999996E-6</v>
      </c>
      <c r="CW42" s="70">
        <v>6.0000000000000002E-6</v>
      </c>
      <c r="CX42" s="70">
        <v>6.0000000000000002E-6</v>
      </c>
      <c r="CY42" s="70">
        <v>1.5999999999999999E-5</v>
      </c>
      <c r="CZ42" s="70">
        <v>9.0000000000000002E-6</v>
      </c>
      <c r="DA42" s="70">
        <v>1.9999999999999999E-6</v>
      </c>
      <c r="DB42" s="70">
        <v>1.9999999999999999E-6</v>
      </c>
      <c r="DC42" s="70">
        <v>7.9999999999999996E-6</v>
      </c>
      <c r="DD42" s="70">
        <v>6.3E-5</v>
      </c>
      <c r="DE42" s="70">
        <v>0</v>
      </c>
      <c r="DF42" s="70">
        <v>1.03E-4</v>
      </c>
      <c r="DG42" s="70">
        <v>5.8999999999999998E-5</v>
      </c>
      <c r="DH42" s="70">
        <v>4.1999999999999998E-5</v>
      </c>
      <c r="DI42" s="70">
        <v>9.0000000000000006E-5</v>
      </c>
      <c r="DJ42" s="70">
        <v>3.0000000000000001E-5</v>
      </c>
      <c r="DK42" s="70">
        <v>3.3000000000000003E-5</v>
      </c>
      <c r="DL42" s="70">
        <v>3.6000000000000001E-5</v>
      </c>
      <c r="DM42" s="70">
        <v>3.3700000000000001E-4</v>
      </c>
      <c r="DN42" s="70">
        <v>8.1000000000000004E-5</v>
      </c>
      <c r="DO42" s="70">
        <v>2.9E-5</v>
      </c>
      <c r="DP42" s="70">
        <v>3.4999999999999997E-5</v>
      </c>
      <c r="DQ42" s="70">
        <v>1.8E-5</v>
      </c>
      <c r="DR42" s="70">
        <v>6.4999999999999994E-5</v>
      </c>
      <c r="DS42" s="70">
        <v>5.5000000000000002E-5</v>
      </c>
      <c r="DT42" s="70">
        <v>1.9599999999999999E-4</v>
      </c>
      <c r="DU42" s="70">
        <v>1.9000000000000001E-5</v>
      </c>
      <c r="DV42" s="70">
        <v>5.0000000000000004E-6</v>
      </c>
      <c r="DW42" s="70">
        <v>3.0000000000000001E-6</v>
      </c>
      <c r="DX42" s="70">
        <v>2.3E-5</v>
      </c>
      <c r="DY42" s="70">
        <v>5.0000000000000004E-6</v>
      </c>
      <c r="DZ42" s="70">
        <v>0</v>
      </c>
      <c r="EA42" s="70">
        <v>1.0000000000000001E-5</v>
      </c>
      <c r="EB42" s="70">
        <v>1.7E-5</v>
      </c>
      <c r="EC42" s="70">
        <v>1.2E-5</v>
      </c>
      <c r="ED42" s="70">
        <v>2.9E-5</v>
      </c>
      <c r="EE42" s="70">
        <v>1.2E-5</v>
      </c>
      <c r="EF42" s="70">
        <v>1.5E-5</v>
      </c>
      <c r="EG42" s="70">
        <v>1.2999999999999999E-5</v>
      </c>
      <c r="EH42" s="70">
        <v>3.4999999999999997E-5</v>
      </c>
      <c r="EI42" s="70">
        <v>3.3000000000000003E-5</v>
      </c>
      <c r="EJ42" s="70">
        <v>1.0000000000000001E-5</v>
      </c>
      <c r="EK42" s="70">
        <v>1.8E-5</v>
      </c>
      <c r="EL42" s="70">
        <v>1.5E-5</v>
      </c>
      <c r="EM42" s="70">
        <v>1.8E-5</v>
      </c>
      <c r="EN42" s="70">
        <v>1.2999999999999999E-5</v>
      </c>
      <c r="EO42" s="70">
        <v>4.1E-5</v>
      </c>
      <c r="EP42" s="70">
        <v>1.2999999999999999E-5</v>
      </c>
      <c r="EQ42" s="70">
        <v>1.9999999999999999E-6</v>
      </c>
      <c r="ER42" s="70">
        <v>1.9999999999999999E-6</v>
      </c>
      <c r="ES42" s="70">
        <v>1.1E-5</v>
      </c>
      <c r="ET42" s="70">
        <v>4.1E-5</v>
      </c>
      <c r="EU42" s="70">
        <v>0</v>
      </c>
      <c r="EV42" s="70">
        <v>5.1E-5</v>
      </c>
      <c r="EW42" s="70">
        <v>6.0000000000000002E-5</v>
      </c>
      <c r="EX42" s="70">
        <v>7.7999999999999999E-5</v>
      </c>
      <c r="EY42" s="70">
        <v>1.2799999999999999E-4</v>
      </c>
      <c r="EZ42" s="70">
        <v>5.8999999999999998E-5</v>
      </c>
      <c r="FA42" s="70">
        <v>3.6000000000000001E-5</v>
      </c>
      <c r="FB42" s="70">
        <v>5.5000000000000002E-5</v>
      </c>
      <c r="FC42" s="70">
        <v>7.4999999999999993E-5</v>
      </c>
      <c r="FD42" s="70">
        <v>1.12E-4</v>
      </c>
      <c r="FE42" s="70">
        <v>2.8E-5</v>
      </c>
      <c r="FF42" s="70">
        <v>6.6000000000000005E-5</v>
      </c>
      <c r="FG42" s="70">
        <v>5.3000000000000001E-5</v>
      </c>
      <c r="FH42" s="70">
        <v>9.5000000000000005E-5</v>
      </c>
      <c r="FI42" s="70">
        <v>2.5999999999999998E-5</v>
      </c>
      <c r="FJ42" s="70">
        <v>1.5200000000000001E-4</v>
      </c>
      <c r="FK42" s="70">
        <v>3.1000000000000001E-5</v>
      </c>
      <c r="FL42" s="70">
        <v>3.0000000000000001E-6</v>
      </c>
      <c r="FM42" s="70">
        <v>1.9999999999999999E-6</v>
      </c>
      <c r="FN42" s="70">
        <v>3.1999999999999999E-5</v>
      </c>
      <c r="FO42" s="70">
        <v>3.59E-4</v>
      </c>
      <c r="FP42" s="70">
        <v>0</v>
      </c>
      <c r="FQ42" s="70">
        <v>5.1199999999999998E-4</v>
      </c>
      <c r="FR42" s="70">
        <v>3.8400000000000001E-4</v>
      </c>
      <c r="FS42" s="70">
        <v>5.6300000000000002E-4</v>
      </c>
      <c r="FT42" s="70">
        <v>7.5600000000000005E-4</v>
      </c>
      <c r="FU42" s="70">
        <v>4.2000000000000002E-4</v>
      </c>
      <c r="FV42" s="70">
        <v>7.8799999999999996E-4</v>
      </c>
      <c r="FW42" s="70">
        <v>8.7000000000000001E-4</v>
      </c>
      <c r="FX42" s="70">
        <v>1.2179999999999999E-3</v>
      </c>
      <c r="FY42" s="70">
        <v>6.9499999999999998E-4</v>
      </c>
      <c r="FZ42" s="70">
        <v>2.6600000000000001E-4</v>
      </c>
      <c r="GA42" s="70">
        <v>3.4000000000000002E-4</v>
      </c>
      <c r="GB42" s="70">
        <v>1.5790000000000001E-3</v>
      </c>
      <c r="GC42" s="70">
        <v>5.1699999999999999E-4</v>
      </c>
      <c r="GD42" s="70">
        <v>3.1100000000000002E-4</v>
      </c>
      <c r="GE42" s="70">
        <v>1.059E-3</v>
      </c>
      <c r="GF42" s="70">
        <v>3.2499999999999999E-4</v>
      </c>
      <c r="GG42" s="70">
        <v>3.3300000000000002E-4</v>
      </c>
      <c r="GH42" s="70">
        <v>2.42E-4</v>
      </c>
      <c r="GI42" s="70">
        <v>2.1699999999999999E-4</v>
      </c>
      <c r="GJ42" s="70">
        <v>1.5E-5</v>
      </c>
      <c r="GK42" s="70">
        <v>0</v>
      </c>
      <c r="GL42" s="70">
        <v>2.3E-5</v>
      </c>
      <c r="GM42" s="70">
        <v>1.7E-5</v>
      </c>
      <c r="GN42" s="70">
        <v>2.0000000000000002E-5</v>
      </c>
      <c r="GO42" s="70">
        <v>5.3999999999999998E-5</v>
      </c>
      <c r="GP42" s="70">
        <v>1.9000000000000001E-5</v>
      </c>
      <c r="GQ42" s="70">
        <v>2.3E-5</v>
      </c>
      <c r="GR42" s="70">
        <v>1.5999999999999999E-5</v>
      </c>
      <c r="GS42" s="70">
        <v>4.8999999999999998E-5</v>
      </c>
      <c r="GT42" s="70">
        <v>3.6999999999999998E-5</v>
      </c>
      <c r="GU42" s="70">
        <v>2.8E-5</v>
      </c>
      <c r="GV42" s="70">
        <v>1.2E-5</v>
      </c>
      <c r="GW42" s="70">
        <v>2.3E-5</v>
      </c>
      <c r="GX42" s="70">
        <v>2.3E-5</v>
      </c>
      <c r="GY42" s="70">
        <v>1.7E-5</v>
      </c>
      <c r="GZ42" s="70">
        <v>1.16E-4</v>
      </c>
      <c r="HA42" s="70">
        <v>2.1999999999999999E-5</v>
      </c>
      <c r="HB42" s="70">
        <v>3.0000000000000001E-6</v>
      </c>
      <c r="HC42" s="70">
        <v>1.9999999999999999E-6</v>
      </c>
      <c r="HD42" s="70">
        <v>2.4000000000000001E-5</v>
      </c>
      <c r="HE42" s="70">
        <v>1.9000000000000001E-5</v>
      </c>
      <c r="HF42" s="70">
        <v>0</v>
      </c>
      <c r="HG42" s="70">
        <v>3.1000000000000001E-5</v>
      </c>
      <c r="HH42" s="70">
        <v>2.6999999999999999E-5</v>
      </c>
      <c r="HI42" s="70">
        <v>2.6999999999999999E-5</v>
      </c>
      <c r="HJ42" s="70">
        <v>7.6000000000000004E-5</v>
      </c>
      <c r="HK42" s="70">
        <v>2.5000000000000001E-5</v>
      </c>
      <c r="HL42" s="70">
        <v>2.4000000000000001E-5</v>
      </c>
      <c r="HM42" s="70">
        <v>2.4000000000000001E-5</v>
      </c>
      <c r="HN42" s="70">
        <v>5.5999999999999999E-5</v>
      </c>
      <c r="HO42" s="70">
        <v>5.3999999999999998E-5</v>
      </c>
      <c r="HP42" s="70">
        <v>2.3E-5</v>
      </c>
      <c r="HQ42" s="70">
        <v>2.4000000000000001E-5</v>
      </c>
      <c r="HR42" s="70">
        <v>2.3E-5</v>
      </c>
      <c r="HS42" s="70">
        <v>3.6000000000000001E-5</v>
      </c>
      <c r="HT42" s="70">
        <v>2.4000000000000001E-5</v>
      </c>
      <c r="HU42" s="70">
        <v>6.3999999999999997E-5</v>
      </c>
      <c r="HV42" s="70">
        <v>2.0999999999999999E-5</v>
      </c>
      <c r="HW42" s="70">
        <v>5.0000000000000004E-6</v>
      </c>
      <c r="HX42" s="70">
        <v>3.9999999999999998E-6</v>
      </c>
      <c r="HY42" s="70">
        <v>2.1999999999999999E-5</v>
      </c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</row>
    <row r="43" spans="1:277">
      <c r="A43" s="65" t="s">
        <v>110</v>
      </c>
      <c r="B43" s="66" t="s">
        <v>24</v>
      </c>
      <c r="C43" s="67">
        <v>1.01E-3</v>
      </c>
      <c r="D43" s="67">
        <v>0</v>
      </c>
      <c r="E43" s="67">
        <v>3.4299999999999999E-4</v>
      </c>
      <c r="F43" s="67">
        <v>2.9599999999999998E-4</v>
      </c>
      <c r="G43" s="67">
        <v>3.5500000000000001E-4</v>
      </c>
      <c r="H43" s="67">
        <v>2.1189999999999998E-3</v>
      </c>
      <c r="I43" s="67">
        <v>1.7000000000000001E-4</v>
      </c>
      <c r="J43" s="67">
        <v>4.2449999999999996E-3</v>
      </c>
      <c r="K43" s="67">
        <v>4.4759999999999999E-3</v>
      </c>
      <c r="L43" s="67">
        <v>6.1475000000000002E-2</v>
      </c>
      <c r="M43" s="67">
        <v>2.8459000000000002E-2</v>
      </c>
      <c r="N43" s="67">
        <v>1.263E-3</v>
      </c>
      <c r="O43" s="67">
        <v>4.9569999999999996E-3</v>
      </c>
      <c r="P43" s="67">
        <v>5.8007000000000003E-2</v>
      </c>
      <c r="Q43" s="67">
        <v>1.1631739999999999</v>
      </c>
      <c r="R43" s="67">
        <v>8.2799999999999992E-3</v>
      </c>
      <c r="S43" s="67">
        <v>2.0881E-2</v>
      </c>
      <c r="T43" s="67">
        <v>5.3470000000000002E-3</v>
      </c>
      <c r="U43" s="67">
        <v>6.1890000000000001E-3</v>
      </c>
      <c r="V43" s="67">
        <v>4.4999999999999997E-3</v>
      </c>
      <c r="W43" s="67">
        <v>1.2093E-2</v>
      </c>
      <c r="X43" s="67">
        <v>6.9999999999999999E-6</v>
      </c>
      <c r="Y43" s="67">
        <v>0</v>
      </c>
      <c r="Z43" s="67">
        <v>7.9999999999999996E-6</v>
      </c>
      <c r="AA43" s="67">
        <v>6.0000000000000002E-6</v>
      </c>
      <c r="AB43" s="67">
        <v>1.0000000000000001E-5</v>
      </c>
      <c r="AC43" s="67">
        <v>2.3E-5</v>
      </c>
      <c r="AD43" s="67">
        <v>7.9999999999999996E-6</v>
      </c>
      <c r="AE43" s="67">
        <v>1.1E-5</v>
      </c>
      <c r="AF43" s="67">
        <v>9.0000000000000002E-6</v>
      </c>
      <c r="AG43" s="67">
        <v>2.5999999999999998E-5</v>
      </c>
      <c r="AH43" s="67">
        <v>1.5999999999999999E-5</v>
      </c>
      <c r="AI43" s="67">
        <v>3.9999999999999998E-6</v>
      </c>
      <c r="AJ43" s="67">
        <v>6.0000000000000002E-6</v>
      </c>
      <c r="AK43" s="67">
        <v>1.9999999999999999E-6</v>
      </c>
      <c r="AL43" s="67">
        <v>1.1E-5</v>
      </c>
      <c r="AM43" s="67">
        <v>3.9999999999999998E-6</v>
      </c>
      <c r="AN43" s="67">
        <v>6.9999999999999999E-6</v>
      </c>
      <c r="AO43" s="67">
        <v>1.9999999999999999E-6</v>
      </c>
      <c r="AP43" s="67">
        <v>0</v>
      </c>
      <c r="AQ43" s="67">
        <v>0</v>
      </c>
      <c r="AR43" s="67">
        <v>1.9999999999999999E-6</v>
      </c>
      <c r="AS43" s="67">
        <v>7.9999999999999996E-6</v>
      </c>
      <c r="AT43" s="67">
        <v>0</v>
      </c>
      <c r="AU43" s="67">
        <v>1.1E-5</v>
      </c>
      <c r="AV43" s="67">
        <v>1.1E-5</v>
      </c>
      <c r="AW43" s="67">
        <v>1.2E-5</v>
      </c>
      <c r="AX43" s="67">
        <v>2.4000000000000001E-5</v>
      </c>
      <c r="AY43" s="67">
        <v>1.2999999999999999E-5</v>
      </c>
      <c r="AZ43" s="67">
        <v>1.5999999999999999E-5</v>
      </c>
      <c r="BA43" s="67">
        <v>9.0000000000000002E-6</v>
      </c>
      <c r="BB43" s="67">
        <v>1.9000000000000001E-5</v>
      </c>
      <c r="BC43" s="67">
        <v>1.7E-5</v>
      </c>
      <c r="BD43" s="67">
        <v>1.0000000000000001E-5</v>
      </c>
      <c r="BE43" s="67">
        <v>6.9999999999999999E-6</v>
      </c>
      <c r="BF43" s="67">
        <v>7.9999999999999996E-6</v>
      </c>
      <c r="BG43" s="67">
        <v>3.3000000000000003E-5</v>
      </c>
      <c r="BH43" s="67">
        <v>6.0000000000000002E-6</v>
      </c>
      <c r="BI43" s="67">
        <v>1.7E-5</v>
      </c>
      <c r="BJ43" s="67">
        <v>3.9999999999999998E-6</v>
      </c>
      <c r="BK43" s="67">
        <v>9.9999999999999995E-7</v>
      </c>
      <c r="BL43" s="67">
        <v>9.9999999999999995E-7</v>
      </c>
      <c r="BM43" s="67">
        <v>5.0000000000000004E-6</v>
      </c>
      <c r="BN43" s="67">
        <v>9.9999999999999995E-7</v>
      </c>
      <c r="BO43" s="67">
        <v>0</v>
      </c>
      <c r="BP43" s="67">
        <v>9.9999999999999995E-7</v>
      </c>
      <c r="BQ43" s="67">
        <v>1.9999999999999999E-6</v>
      </c>
      <c r="BR43" s="67">
        <v>1.9999999999999999E-6</v>
      </c>
      <c r="BS43" s="67">
        <v>5.0000000000000004E-6</v>
      </c>
      <c r="BT43" s="67">
        <v>1.9999999999999999E-6</v>
      </c>
      <c r="BU43" s="67">
        <v>1.9999999999999999E-6</v>
      </c>
      <c r="BV43" s="67">
        <v>1.9999999999999999E-6</v>
      </c>
      <c r="BW43" s="67">
        <v>5.0000000000000004E-6</v>
      </c>
      <c r="BX43" s="67">
        <v>3.0000000000000001E-6</v>
      </c>
      <c r="BY43" s="67">
        <v>1.9999999999999999E-6</v>
      </c>
      <c r="BZ43" s="67">
        <v>1.9999999999999999E-6</v>
      </c>
      <c r="CA43" s="67">
        <v>1.9999999999999999E-6</v>
      </c>
      <c r="CB43" s="67">
        <v>1.9999999999999999E-6</v>
      </c>
      <c r="CC43" s="67">
        <v>9.9999999999999995E-7</v>
      </c>
      <c r="CD43" s="67">
        <v>3.0000000000000001E-6</v>
      </c>
      <c r="CE43" s="67">
        <v>0</v>
      </c>
      <c r="CF43" s="67">
        <v>0</v>
      </c>
      <c r="CG43" s="67">
        <v>0</v>
      </c>
      <c r="CH43" s="67">
        <v>9.9999999999999995E-7</v>
      </c>
      <c r="CI43" s="67">
        <v>9.9999999999999995E-7</v>
      </c>
      <c r="CJ43" s="67">
        <v>0</v>
      </c>
      <c r="CK43" s="67">
        <v>1.9999999999999999E-6</v>
      </c>
      <c r="CL43" s="67">
        <v>3.0000000000000001E-6</v>
      </c>
      <c r="CM43" s="67">
        <v>1.9999999999999999E-6</v>
      </c>
      <c r="CN43" s="67">
        <v>5.0000000000000004E-6</v>
      </c>
      <c r="CO43" s="67">
        <v>1.9999999999999999E-6</v>
      </c>
      <c r="CP43" s="67">
        <v>3.0000000000000001E-6</v>
      </c>
      <c r="CQ43" s="67">
        <v>1.9999999999999999E-6</v>
      </c>
      <c r="CR43" s="67">
        <v>3.9999999999999998E-6</v>
      </c>
      <c r="CS43" s="67">
        <v>3.9999999999999998E-6</v>
      </c>
      <c r="CT43" s="67">
        <v>9.9999999999999995E-7</v>
      </c>
      <c r="CU43" s="67">
        <v>9.9999999999999995E-7</v>
      </c>
      <c r="CV43" s="67">
        <v>9.9999999999999995E-7</v>
      </c>
      <c r="CW43" s="67">
        <v>9.9999999999999995E-7</v>
      </c>
      <c r="CX43" s="67">
        <v>9.9999999999999995E-7</v>
      </c>
      <c r="CY43" s="67">
        <v>1.9999999999999999E-6</v>
      </c>
      <c r="CZ43" s="67">
        <v>9.9999999999999995E-7</v>
      </c>
      <c r="DA43" s="67">
        <v>0</v>
      </c>
      <c r="DB43" s="67">
        <v>0</v>
      </c>
      <c r="DC43" s="67">
        <v>9.9999999999999995E-7</v>
      </c>
      <c r="DD43" s="67">
        <v>2.1999999999999999E-5</v>
      </c>
      <c r="DE43" s="67">
        <v>0</v>
      </c>
      <c r="DF43" s="67">
        <v>2.8E-5</v>
      </c>
      <c r="DG43" s="67">
        <v>1.7E-5</v>
      </c>
      <c r="DH43" s="67">
        <v>1.5E-5</v>
      </c>
      <c r="DI43" s="67">
        <v>3.4999999999999997E-5</v>
      </c>
      <c r="DJ43" s="67">
        <v>1.4E-5</v>
      </c>
      <c r="DK43" s="67">
        <v>1.5E-5</v>
      </c>
      <c r="DL43" s="67">
        <v>1.4E-5</v>
      </c>
      <c r="DM43" s="67">
        <v>9.0000000000000006E-5</v>
      </c>
      <c r="DN43" s="67">
        <v>2.3E-5</v>
      </c>
      <c r="DO43" s="67">
        <v>1.5E-5</v>
      </c>
      <c r="DP43" s="67">
        <v>1.1E-5</v>
      </c>
      <c r="DQ43" s="67">
        <v>7.9999999999999996E-6</v>
      </c>
      <c r="DR43" s="67">
        <v>4.8000000000000001E-5</v>
      </c>
      <c r="DS43" s="67">
        <v>1.5999999999999999E-5</v>
      </c>
      <c r="DT43" s="67">
        <v>6.7000000000000002E-5</v>
      </c>
      <c r="DU43" s="67">
        <v>6.0000000000000002E-6</v>
      </c>
      <c r="DV43" s="67">
        <v>1.9999999999999999E-6</v>
      </c>
      <c r="DW43" s="67">
        <v>9.9999999999999995E-7</v>
      </c>
      <c r="DX43" s="67">
        <v>7.9999999999999996E-6</v>
      </c>
      <c r="DY43" s="67">
        <v>1.9999999999999999E-6</v>
      </c>
      <c r="DZ43" s="67">
        <v>0</v>
      </c>
      <c r="EA43" s="67">
        <v>3.0000000000000001E-6</v>
      </c>
      <c r="EB43" s="67">
        <v>6.0000000000000002E-6</v>
      </c>
      <c r="EC43" s="67">
        <v>3.9999999999999998E-6</v>
      </c>
      <c r="ED43" s="67">
        <v>9.0000000000000002E-6</v>
      </c>
      <c r="EE43" s="67">
        <v>5.0000000000000004E-6</v>
      </c>
      <c r="EF43" s="67">
        <v>6.0000000000000002E-6</v>
      </c>
      <c r="EG43" s="67">
        <v>5.0000000000000004E-6</v>
      </c>
      <c r="EH43" s="67">
        <v>9.0000000000000002E-6</v>
      </c>
      <c r="EI43" s="67">
        <v>1.0000000000000001E-5</v>
      </c>
      <c r="EJ43" s="67">
        <v>3.9999999999999998E-6</v>
      </c>
      <c r="EK43" s="67">
        <v>5.0000000000000004E-6</v>
      </c>
      <c r="EL43" s="67">
        <v>3.0000000000000001E-6</v>
      </c>
      <c r="EM43" s="67">
        <v>1.0000000000000001E-5</v>
      </c>
      <c r="EN43" s="67">
        <v>3.0000000000000001E-6</v>
      </c>
      <c r="EO43" s="67">
        <v>6.9999999999999999E-6</v>
      </c>
      <c r="EP43" s="67">
        <v>1.9999999999999999E-6</v>
      </c>
      <c r="EQ43" s="67">
        <v>0</v>
      </c>
      <c r="ER43" s="67">
        <v>0</v>
      </c>
      <c r="ES43" s="67">
        <v>1.9999999999999999E-6</v>
      </c>
      <c r="ET43" s="67">
        <v>9.0000000000000002E-6</v>
      </c>
      <c r="EU43" s="67">
        <v>0</v>
      </c>
      <c r="EV43" s="67">
        <v>1.2E-5</v>
      </c>
      <c r="EW43" s="67">
        <v>1.2E-5</v>
      </c>
      <c r="EX43" s="67">
        <v>1.2999999999999999E-5</v>
      </c>
      <c r="EY43" s="67">
        <v>2.6999999999999999E-5</v>
      </c>
      <c r="EZ43" s="67">
        <v>1.9000000000000001E-5</v>
      </c>
      <c r="FA43" s="67">
        <v>1.1E-5</v>
      </c>
      <c r="FB43" s="67">
        <v>1.0000000000000001E-5</v>
      </c>
      <c r="FC43" s="67">
        <v>2.5999999999999998E-5</v>
      </c>
      <c r="FD43" s="67">
        <v>2.4000000000000001E-5</v>
      </c>
      <c r="FE43" s="67">
        <v>7.9999999999999996E-6</v>
      </c>
      <c r="FF43" s="67">
        <v>1.2E-5</v>
      </c>
      <c r="FG43" s="67">
        <v>2.5999999999999998E-5</v>
      </c>
      <c r="FH43" s="67">
        <v>4.5000000000000003E-5</v>
      </c>
      <c r="FI43" s="67">
        <v>6.9999999999999999E-6</v>
      </c>
      <c r="FJ43" s="67">
        <v>3.1000000000000001E-5</v>
      </c>
      <c r="FK43" s="67">
        <v>7.9999999999999996E-6</v>
      </c>
      <c r="FL43" s="67">
        <v>9.9999999999999995E-7</v>
      </c>
      <c r="FM43" s="67">
        <v>9.9999999999999995E-7</v>
      </c>
      <c r="FN43" s="67">
        <v>7.9999999999999996E-6</v>
      </c>
      <c r="FO43" s="67">
        <v>2.9300000000000002E-4</v>
      </c>
      <c r="FP43" s="67">
        <v>0</v>
      </c>
      <c r="FQ43" s="67">
        <v>3.9399999999999998E-4</v>
      </c>
      <c r="FR43" s="67">
        <v>2.3800000000000001E-4</v>
      </c>
      <c r="FS43" s="67">
        <v>4.5100000000000001E-4</v>
      </c>
      <c r="FT43" s="67">
        <v>4.2400000000000001E-4</v>
      </c>
      <c r="FU43" s="67">
        <v>3.0800000000000001E-4</v>
      </c>
      <c r="FV43" s="67">
        <v>5.6400000000000005E-4</v>
      </c>
      <c r="FW43" s="67">
        <v>3.6400000000000001E-4</v>
      </c>
      <c r="FX43" s="67">
        <v>6.1700000000000004E-4</v>
      </c>
      <c r="FY43" s="67">
        <v>4.4099999999999999E-4</v>
      </c>
      <c r="FZ43" s="67">
        <v>1.85E-4</v>
      </c>
      <c r="GA43" s="67">
        <v>2.2900000000000001E-4</v>
      </c>
      <c r="GB43" s="67">
        <v>1.4419999999999999E-3</v>
      </c>
      <c r="GC43" s="67">
        <v>3.7500000000000001E-4</v>
      </c>
      <c r="GD43" s="67">
        <v>2.1599999999999999E-4</v>
      </c>
      <c r="GE43" s="67">
        <v>2.8699999999999998E-4</v>
      </c>
      <c r="GF43" s="67">
        <v>1.11E-4</v>
      </c>
      <c r="GG43" s="67">
        <v>4.8999999999999998E-5</v>
      </c>
      <c r="GH43" s="67">
        <v>3.6000000000000001E-5</v>
      </c>
      <c r="GI43" s="67">
        <v>1.17E-4</v>
      </c>
      <c r="GJ43" s="67">
        <v>3.9999999999999998E-6</v>
      </c>
      <c r="GK43" s="67">
        <v>0</v>
      </c>
      <c r="GL43" s="67">
        <v>6.0000000000000002E-6</v>
      </c>
      <c r="GM43" s="67">
        <v>3.9999999999999998E-6</v>
      </c>
      <c r="GN43" s="67">
        <v>6.0000000000000002E-6</v>
      </c>
      <c r="GO43" s="67">
        <v>1.2999999999999999E-5</v>
      </c>
      <c r="GP43" s="67">
        <v>6.0000000000000002E-6</v>
      </c>
      <c r="GQ43" s="67">
        <v>7.9999999999999996E-6</v>
      </c>
      <c r="GR43" s="67">
        <v>5.0000000000000004E-6</v>
      </c>
      <c r="GS43" s="67">
        <v>1.2999999999999999E-5</v>
      </c>
      <c r="GT43" s="67">
        <v>9.0000000000000002E-6</v>
      </c>
      <c r="GU43" s="67">
        <v>6.0000000000000002E-6</v>
      </c>
      <c r="GV43" s="67">
        <v>3.0000000000000001E-6</v>
      </c>
      <c r="GW43" s="67">
        <v>5.0000000000000004E-6</v>
      </c>
      <c r="GX43" s="67">
        <v>1.1E-5</v>
      </c>
      <c r="GY43" s="67">
        <v>3.0000000000000001E-6</v>
      </c>
      <c r="GZ43" s="67">
        <v>1.4E-5</v>
      </c>
      <c r="HA43" s="67">
        <v>3.0000000000000001E-6</v>
      </c>
      <c r="HB43" s="67">
        <v>0</v>
      </c>
      <c r="HC43" s="67">
        <v>0</v>
      </c>
      <c r="HD43" s="67">
        <v>3.9999999999999998E-6</v>
      </c>
      <c r="HE43" s="67">
        <v>7.9999999999999996E-6</v>
      </c>
      <c r="HF43" s="67">
        <v>0</v>
      </c>
      <c r="HG43" s="67">
        <v>1.2E-5</v>
      </c>
      <c r="HH43" s="67">
        <v>1.1E-5</v>
      </c>
      <c r="HI43" s="67">
        <v>1.0000000000000001E-5</v>
      </c>
      <c r="HJ43" s="67">
        <v>2.1999999999999999E-5</v>
      </c>
      <c r="HK43" s="67">
        <v>9.0000000000000002E-6</v>
      </c>
      <c r="HL43" s="67">
        <v>1.0000000000000001E-5</v>
      </c>
      <c r="HM43" s="67">
        <v>9.0000000000000002E-6</v>
      </c>
      <c r="HN43" s="67">
        <v>2.0000000000000002E-5</v>
      </c>
      <c r="HO43" s="67">
        <v>1.8E-5</v>
      </c>
      <c r="HP43" s="67">
        <v>6.9999999999999999E-6</v>
      </c>
      <c r="HQ43" s="67">
        <v>6.9999999999999999E-6</v>
      </c>
      <c r="HR43" s="67">
        <v>6.9999999999999999E-6</v>
      </c>
      <c r="HS43" s="67">
        <v>2.1999999999999999E-5</v>
      </c>
      <c r="HT43" s="67">
        <v>6.0000000000000002E-6</v>
      </c>
      <c r="HU43" s="67">
        <v>1.5999999999999999E-5</v>
      </c>
      <c r="HV43" s="67">
        <v>3.9999999999999998E-6</v>
      </c>
      <c r="HW43" s="67">
        <v>9.9999999999999995E-7</v>
      </c>
      <c r="HX43" s="67">
        <v>9.9999999999999995E-7</v>
      </c>
      <c r="HY43" s="67">
        <v>6.0000000000000002E-6</v>
      </c>
      <c r="HZ43" s="67"/>
      <c r="IA43" s="67"/>
      <c r="IB43" s="67"/>
      <c r="IC43" s="67"/>
      <c r="ID43" s="67"/>
      <c r="IE43" s="67"/>
      <c r="IF43" s="67"/>
      <c r="IG43" s="67"/>
      <c r="IH43" s="67"/>
      <c r="II43" s="67"/>
      <c r="IJ43" s="67"/>
      <c r="IK43" s="67"/>
      <c r="IL43" s="67"/>
      <c r="IM43" s="67"/>
      <c r="IN43" s="67"/>
      <c r="IO43" s="67"/>
      <c r="IP43" s="67"/>
      <c r="IQ43" s="67"/>
      <c r="IR43" s="67"/>
      <c r="IS43" s="67"/>
      <c r="IT43" s="67"/>
      <c r="IU43" s="67"/>
      <c r="IV43" s="67"/>
      <c r="IW43" s="67"/>
      <c r="IX43" s="67"/>
      <c r="IY43" s="67"/>
      <c r="IZ43" s="67"/>
      <c r="JA43" s="67"/>
      <c r="JB43" s="67"/>
      <c r="JC43" s="67"/>
      <c r="JD43" s="67"/>
      <c r="JE43" s="67"/>
      <c r="JF43" s="67"/>
      <c r="JG43" s="67"/>
      <c r="JH43" s="67"/>
      <c r="JI43" s="67"/>
      <c r="JJ43" s="67"/>
      <c r="JK43" s="67"/>
      <c r="JL43" s="67"/>
      <c r="JM43" s="67"/>
      <c r="JN43" s="67"/>
      <c r="JO43" s="67"/>
      <c r="JP43" s="67"/>
      <c r="JQ43" s="67"/>
    </row>
    <row r="44" spans="1:277">
      <c r="A44" s="68" t="s">
        <v>111</v>
      </c>
      <c r="B44" s="69" t="s">
        <v>25</v>
      </c>
      <c r="C44" s="70">
        <v>1.44E-4</v>
      </c>
      <c r="D44" s="70">
        <v>0</v>
      </c>
      <c r="E44" s="70">
        <v>1.03E-4</v>
      </c>
      <c r="F44" s="70">
        <v>1.4799999999999999E-4</v>
      </c>
      <c r="G44" s="70">
        <v>6.7699999999999998E-4</v>
      </c>
      <c r="H44" s="70">
        <v>3.666E-3</v>
      </c>
      <c r="I44" s="70">
        <v>7.4299999999999995E-4</v>
      </c>
      <c r="J44" s="70">
        <v>6.4800000000000003E-4</v>
      </c>
      <c r="K44" s="70">
        <v>6.8719999999999996E-3</v>
      </c>
      <c r="L44" s="70">
        <v>5.4099999999999999E-3</v>
      </c>
      <c r="M44" s="70">
        <v>3.137E-3</v>
      </c>
      <c r="N44" s="70">
        <v>2.238E-3</v>
      </c>
      <c r="O44" s="70">
        <v>3.1100000000000002E-4</v>
      </c>
      <c r="P44" s="70">
        <v>6.4400000000000004E-4</v>
      </c>
      <c r="Q44" s="70">
        <v>9.5399999999999999E-4</v>
      </c>
      <c r="R44" s="70">
        <v>1.001072</v>
      </c>
      <c r="S44" s="70">
        <v>1.1509999999999999E-3</v>
      </c>
      <c r="T44" s="70">
        <v>8.9899999999999995E-4</v>
      </c>
      <c r="U44" s="70">
        <v>3.86E-4</v>
      </c>
      <c r="V44" s="70">
        <v>2.81E-4</v>
      </c>
      <c r="W44" s="70">
        <v>3.604E-3</v>
      </c>
      <c r="X44" s="70">
        <v>5.0000000000000004E-6</v>
      </c>
      <c r="Y44" s="70">
        <v>0</v>
      </c>
      <c r="Z44" s="70">
        <v>3.0000000000000001E-6</v>
      </c>
      <c r="AA44" s="70">
        <v>3.0000000000000001E-6</v>
      </c>
      <c r="AB44" s="70">
        <v>3.9999999999999998E-6</v>
      </c>
      <c r="AC44" s="70">
        <v>1.5999999999999999E-5</v>
      </c>
      <c r="AD44" s="70">
        <v>3.0000000000000001E-6</v>
      </c>
      <c r="AE44" s="70">
        <v>1.9999999999999999E-6</v>
      </c>
      <c r="AF44" s="70">
        <v>3.0000000000000001E-6</v>
      </c>
      <c r="AG44" s="70">
        <v>6.0000000000000002E-6</v>
      </c>
      <c r="AH44" s="70">
        <v>6.0000000000000002E-6</v>
      </c>
      <c r="AI44" s="70">
        <v>9.9999999999999995E-7</v>
      </c>
      <c r="AJ44" s="70">
        <v>1.9999999999999999E-6</v>
      </c>
      <c r="AK44" s="70">
        <v>9.9999999999999995E-7</v>
      </c>
      <c r="AL44" s="70">
        <v>1.9999999999999999E-6</v>
      </c>
      <c r="AM44" s="70">
        <v>3.0000000000000001E-6</v>
      </c>
      <c r="AN44" s="70">
        <v>6.0000000000000002E-6</v>
      </c>
      <c r="AO44" s="70">
        <v>9.9999999999999995E-7</v>
      </c>
      <c r="AP44" s="70">
        <v>0</v>
      </c>
      <c r="AQ44" s="70">
        <v>0</v>
      </c>
      <c r="AR44" s="70">
        <v>1.9999999999999999E-6</v>
      </c>
      <c r="AS44" s="70">
        <v>9.9999999999999995E-7</v>
      </c>
      <c r="AT44" s="70">
        <v>0</v>
      </c>
      <c r="AU44" s="70">
        <v>1.9999999999999999E-6</v>
      </c>
      <c r="AV44" s="70">
        <v>1.9999999999999999E-6</v>
      </c>
      <c r="AW44" s="70">
        <v>1.9999999999999999E-6</v>
      </c>
      <c r="AX44" s="70">
        <v>5.0000000000000004E-6</v>
      </c>
      <c r="AY44" s="70">
        <v>1.9999999999999999E-6</v>
      </c>
      <c r="AZ44" s="70">
        <v>1.9999999999999999E-6</v>
      </c>
      <c r="BA44" s="70">
        <v>1.9999999999999999E-6</v>
      </c>
      <c r="BB44" s="70">
        <v>3.9999999999999998E-6</v>
      </c>
      <c r="BC44" s="70">
        <v>3.9999999999999998E-6</v>
      </c>
      <c r="BD44" s="70">
        <v>1.9999999999999999E-6</v>
      </c>
      <c r="BE44" s="70">
        <v>1.9999999999999999E-6</v>
      </c>
      <c r="BF44" s="70">
        <v>1.9999999999999999E-6</v>
      </c>
      <c r="BG44" s="70">
        <v>3.0000000000000001E-6</v>
      </c>
      <c r="BH44" s="70">
        <v>7.9999999999999996E-6</v>
      </c>
      <c r="BI44" s="70">
        <v>1.2999999999999999E-5</v>
      </c>
      <c r="BJ44" s="70">
        <v>1.9999999999999999E-6</v>
      </c>
      <c r="BK44" s="70">
        <v>0</v>
      </c>
      <c r="BL44" s="70">
        <v>0</v>
      </c>
      <c r="BM44" s="70">
        <v>3.9999999999999998E-6</v>
      </c>
      <c r="BN44" s="70">
        <v>0</v>
      </c>
      <c r="BO44" s="70">
        <v>0</v>
      </c>
      <c r="BP44" s="70">
        <v>0</v>
      </c>
      <c r="BQ44" s="70">
        <v>0</v>
      </c>
      <c r="BR44" s="70">
        <v>0</v>
      </c>
      <c r="BS44" s="70">
        <v>9.9999999999999995E-7</v>
      </c>
      <c r="BT44" s="70">
        <v>0</v>
      </c>
      <c r="BU44" s="70">
        <v>0</v>
      </c>
      <c r="BV44" s="70">
        <v>0</v>
      </c>
      <c r="BW44" s="70">
        <v>9.9999999999999995E-7</v>
      </c>
      <c r="BX44" s="70">
        <v>9.9999999999999995E-7</v>
      </c>
      <c r="BY44" s="70">
        <v>0</v>
      </c>
      <c r="BZ44" s="70">
        <v>9.9999999999999995E-7</v>
      </c>
      <c r="CA44" s="70">
        <v>0</v>
      </c>
      <c r="CB44" s="70">
        <v>0</v>
      </c>
      <c r="CC44" s="70">
        <v>9.9999999999999995E-7</v>
      </c>
      <c r="CD44" s="70">
        <v>9.9999999999999995E-7</v>
      </c>
      <c r="CE44" s="70">
        <v>0</v>
      </c>
      <c r="CF44" s="70">
        <v>0</v>
      </c>
      <c r="CG44" s="70">
        <v>0</v>
      </c>
      <c r="CH44" s="70">
        <v>0</v>
      </c>
      <c r="CI44" s="70">
        <v>0</v>
      </c>
      <c r="CJ44" s="70">
        <v>0</v>
      </c>
      <c r="CK44" s="70">
        <v>0</v>
      </c>
      <c r="CL44" s="70">
        <v>9.9999999999999995E-7</v>
      </c>
      <c r="CM44" s="70">
        <v>9.9999999999999995E-7</v>
      </c>
      <c r="CN44" s="70">
        <v>9.9999999999999995E-7</v>
      </c>
      <c r="CO44" s="70">
        <v>0</v>
      </c>
      <c r="CP44" s="70">
        <v>9.9999999999999995E-7</v>
      </c>
      <c r="CQ44" s="70">
        <v>9.9999999999999995E-7</v>
      </c>
      <c r="CR44" s="70">
        <v>9.9999999999999995E-7</v>
      </c>
      <c r="CS44" s="70">
        <v>9.9999999999999995E-7</v>
      </c>
      <c r="CT44" s="70">
        <v>0</v>
      </c>
      <c r="CU44" s="70">
        <v>0</v>
      </c>
      <c r="CV44" s="70">
        <v>0</v>
      </c>
      <c r="CW44" s="70">
        <v>0</v>
      </c>
      <c r="CX44" s="70">
        <v>0</v>
      </c>
      <c r="CY44" s="70">
        <v>9.9999999999999995E-7</v>
      </c>
      <c r="CZ44" s="70">
        <v>0</v>
      </c>
      <c r="DA44" s="70">
        <v>0</v>
      </c>
      <c r="DB44" s="70">
        <v>0</v>
      </c>
      <c r="DC44" s="70">
        <v>0</v>
      </c>
      <c r="DD44" s="70">
        <v>6.9999999999999999E-6</v>
      </c>
      <c r="DE44" s="70">
        <v>0</v>
      </c>
      <c r="DF44" s="70">
        <v>7.9999999999999996E-6</v>
      </c>
      <c r="DG44" s="70">
        <v>1.1E-5</v>
      </c>
      <c r="DH44" s="70">
        <v>2.0000000000000002E-5</v>
      </c>
      <c r="DI44" s="70">
        <v>3.0000000000000001E-5</v>
      </c>
      <c r="DJ44" s="70">
        <v>1.2E-5</v>
      </c>
      <c r="DK44" s="70">
        <v>1.0000000000000001E-5</v>
      </c>
      <c r="DL44" s="70">
        <v>1.4E-5</v>
      </c>
      <c r="DM44" s="70">
        <v>3.6000000000000001E-5</v>
      </c>
      <c r="DN44" s="70">
        <v>5.5999999999999999E-5</v>
      </c>
      <c r="DO44" s="70">
        <v>7.9999999999999996E-6</v>
      </c>
      <c r="DP44" s="70">
        <v>6.0000000000000002E-6</v>
      </c>
      <c r="DQ44" s="70">
        <v>3.9999999999999998E-6</v>
      </c>
      <c r="DR44" s="70">
        <v>9.0000000000000002E-6</v>
      </c>
      <c r="DS44" s="70">
        <v>1.7E-5</v>
      </c>
      <c r="DT44" s="70">
        <v>4.6E-5</v>
      </c>
      <c r="DU44" s="70">
        <v>6.9999999999999999E-6</v>
      </c>
      <c r="DV44" s="70">
        <v>1.9999999999999999E-6</v>
      </c>
      <c r="DW44" s="70">
        <v>9.9999999999999995E-7</v>
      </c>
      <c r="DX44" s="70">
        <v>9.0000000000000002E-6</v>
      </c>
      <c r="DY44" s="70">
        <v>0</v>
      </c>
      <c r="DZ44" s="70">
        <v>0</v>
      </c>
      <c r="EA44" s="70">
        <v>9.9999999999999995E-7</v>
      </c>
      <c r="EB44" s="70">
        <v>9.9999999999999995E-7</v>
      </c>
      <c r="EC44" s="70">
        <v>9.9999999999999995E-7</v>
      </c>
      <c r="ED44" s="70">
        <v>9.9999999999999995E-7</v>
      </c>
      <c r="EE44" s="70">
        <v>0</v>
      </c>
      <c r="EF44" s="70">
        <v>9.9999999999999995E-7</v>
      </c>
      <c r="EG44" s="70">
        <v>9.9999999999999995E-7</v>
      </c>
      <c r="EH44" s="70">
        <v>9.9999999999999995E-7</v>
      </c>
      <c r="EI44" s="70">
        <v>9.9999999999999995E-7</v>
      </c>
      <c r="EJ44" s="70">
        <v>0</v>
      </c>
      <c r="EK44" s="70">
        <v>9.9999999999999995E-7</v>
      </c>
      <c r="EL44" s="70">
        <v>9.9999999999999995E-7</v>
      </c>
      <c r="EM44" s="70">
        <v>9.9999999999999995E-7</v>
      </c>
      <c r="EN44" s="70">
        <v>1.9999999999999999E-6</v>
      </c>
      <c r="EO44" s="70">
        <v>3.0000000000000001E-6</v>
      </c>
      <c r="EP44" s="70">
        <v>9.9999999999999995E-7</v>
      </c>
      <c r="EQ44" s="70">
        <v>0</v>
      </c>
      <c r="ER44" s="70">
        <v>0</v>
      </c>
      <c r="ES44" s="70">
        <v>9.9999999999999995E-7</v>
      </c>
      <c r="ET44" s="70">
        <v>0</v>
      </c>
      <c r="EU44" s="70">
        <v>0</v>
      </c>
      <c r="EV44" s="70">
        <v>9.9999999999999995E-7</v>
      </c>
      <c r="EW44" s="70">
        <v>9.9999999999999995E-7</v>
      </c>
      <c r="EX44" s="70">
        <v>9.9999999999999995E-7</v>
      </c>
      <c r="EY44" s="70">
        <v>1.9999999999999999E-6</v>
      </c>
      <c r="EZ44" s="70">
        <v>9.9999999999999995E-7</v>
      </c>
      <c r="FA44" s="70">
        <v>9.9999999999999995E-7</v>
      </c>
      <c r="FB44" s="70">
        <v>9.9999999999999995E-7</v>
      </c>
      <c r="FC44" s="70">
        <v>9.9999999999999995E-7</v>
      </c>
      <c r="FD44" s="70">
        <v>1.9999999999999999E-6</v>
      </c>
      <c r="FE44" s="70">
        <v>9.9999999999999995E-7</v>
      </c>
      <c r="FF44" s="70">
        <v>9.9999999999999995E-7</v>
      </c>
      <c r="FG44" s="70">
        <v>9.9999999999999995E-7</v>
      </c>
      <c r="FH44" s="70">
        <v>9.9999999999999995E-7</v>
      </c>
      <c r="FI44" s="70">
        <v>1.9999999999999999E-6</v>
      </c>
      <c r="FJ44" s="70">
        <v>3.0000000000000001E-6</v>
      </c>
      <c r="FK44" s="70">
        <v>9.9999999999999995E-7</v>
      </c>
      <c r="FL44" s="70">
        <v>0</v>
      </c>
      <c r="FM44" s="70">
        <v>0</v>
      </c>
      <c r="FN44" s="70">
        <v>1.9999999999999999E-6</v>
      </c>
      <c r="FO44" s="70">
        <v>3.9999999999999998E-6</v>
      </c>
      <c r="FP44" s="70">
        <v>0</v>
      </c>
      <c r="FQ44" s="70">
        <v>7.9999999999999996E-6</v>
      </c>
      <c r="FR44" s="70">
        <v>7.9999999999999996E-6</v>
      </c>
      <c r="FS44" s="70">
        <v>6.0000000000000002E-6</v>
      </c>
      <c r="FT44" s="70">
        <v>1.7E-5</v>
      </c>
      <c r="FU44" s="70">
        <v>6.0000000000000002E-6</v>
      </c>
      <c r="FV44" s="70">
        <v>9.0000000000000002E-6</v>
      </c>
      <c r="FW44" s="70">
        <v>6.9999999999999999E-6</v>
      </c>
      <c r="FX44" s="70">
        <v>1.2E-5</v>
      </c>
      <c r="FY44" s="70">
        <v>1.1E-5</v>
      </c>
      <c r="FZ44" s="70">
        <v>6.0000000000000002E-6</v>
      </c>
      <c r="GA44" s="70">
        <v>6.0000000000000002E-6</v>
      </c>
      <c r="GB44" s="70">
        <v>7.9999999999999996E-6</v>
      </c>
      <c r="GC44" s="70">
        <v>1.9000000000000001E-5</v>
      </c>
      <c r="GD44" s="70">
        <v>5.0000000000000004E-6</v>
      </c>
      <c r="GE44" s="70">
        <v>1.8E-5</v>
      </c>
      <c r="GF44" s="70">
        <v>1.0000000000000001E-5</v>
      </c>
      <c r="GG44" s="70">
        <v>7.9999999999999996E-6</v>
      </c>
      <c r="GH44" s="70">
        <v>6.0000000000000002E-6</v>
      </c>
      <c r="GI44" s="70">
        <v>6.9999999999999999E-6</v>
      </c>
      <c r="GJ44" s="70">
        <v>9.9999999999999995E-7</v>
      </c>
      <c r="GK44" s="70">
        <v>0</v>
      </c>
      <c r="GL44" s="70">
        <v>1.9999999999999999E-6</v>
      </c>
      <c r="GM44" s="70">
        <v>9.9999999999999995E-7</v>
      </c>
      <c r="GN44" s="70">
        <v>9.9999999999999995E-7</v>
      </c>
      <c r="GO44" s="70">
        <v>3.0000000000000001E-6</v>
      </c>
      <c r="GP44" s="70">
        <v>9.9999999999999995E-7</v>
      </c>
      <c r="GQ44" s="70">
        <v>9.9999999999999995E-7</v>
      </c>
      <c r="GR44" s="70">
        <v>9.9999999999999995E-7</v>
      </c>
      <c r="GS44" s="70">
        <v>3.0000000000000001E-6</v>
      </c>
      <c r="GT44" s="70">
        <v>1.9999999999999999E-6</v>
      </c>
      <c r="GU44" s="70">
        <v>9.9999999999999995E-7</v>
      </c>
      <c r="GV44" s="70">
        <v>9.9999999999999995E-7</v>
      </c>
      <c r="GW44" s="70">
        <v>9.9999999999999995E-7</v>
      </c>
      <c r="GX44" s="70">
        <v>1.9999999999999999E-6</v>
      </c>
      <c r="GY44" s="70">
        <v>1.9000000000000001E-5</v>
      </c>
      <c r="GZ44" s="70">
        <v>6.0000000000000002E-6</v>
      </c>
      <c r="HA44" s="70">
        <v>1.9999999999999999E-6</v>
      </c>
      <c r="HB44" s="70">
        <v>0</v>
      </c>
      <c r="HC44" s="70">
        <v>0</v>
      </c>
      <c r="HD44" s="70">
        <v>3.0000000000000001E-6</v>
      </c>
      <c r="HE44" s="70">
        <v>1.9999999999999999E-6</v>
      </c>
      <c r="HF44" s="70">
        <v>0</v>
      </c>
      <c r="HG44" s="70">
        <v>3.0000000000000001E-6</v>
      </c>
      <c r="HH44" s="70">
        <v>3.0000000000000001E-6</v>
      </c>
      <c r="HI44" s="70">
        <v>3.0000000000000001E-6</v>
      </c>
      <c r="HJ44" s="70">
        <v>6.0000000000000002E-6</v>
      </c>
      <c r="HK44" s="70">
        <v>3.0000000000000001E-6</v>
      </c>
      <c r="HL44" s="70">
        <v>1.9999999999999999E-6</v>
      </c>
      <c r="HM44" s="70">
        <v>3.0000000000000001E-6</v>
      </c>
      <c r="HN44" s="70">
        <v>6.0000000000000002E-6</v>
      </c>
      <c r="HO44" s="70">
        <v>6.9999999999999999E-6</v>
      </c>
      <c r="HP44" s="70">
        <v>3.0000000000000001E-6</v>
      </c>
      <c r="HQ44" s="70">
        <v>1.9999999999999999E-6</v>
      </c>
      <c r="HR44" s="70">
        <v>3.0000000000000001E-6</v>
      </c>
      <c r="HS44" s="70">
        <v>3.0000000000000001E-6</v>
      </c>
      <c r="HT44" s="70">
        <v>2.8E-5</v>
      </c>
      <c r="HU44" s="70">
        <v>3.1999999999999999E-5</v>
      </c>
      <c r="HV44" s="70">
        <v>3.9999999999999998E-6</v>
      </c>
      <c r="HW44" s="70">
        <v>9.9999999999999995E-7</v>
      </c>
      <c r="HX44" s="70">
        <v>9.9999999999999995E-7</v>
      </c>
      <c r="HY44" s="70">
        <v>6.0000000000000002E-6</v>
      </c>
      <c r="HZ44" s="70"/>
      <c r="IA44" s="70"/>
      <c r="IB44" s="70"/>
      <c r="IC44" s="70"/>
      <c r="ID44" s="70"/>
      <c r="IE44" s="70"/>
      <c r="IF44" s="70"/>
      <c r="IG44" s="70"/>
      <c r="IH44" s="70"/>
      <c r="II44" s="70"/>
      <c r="IJ44" s="70"/>
      <c r="IK44" s="70"/>
      <c r="IL44" s="70"/>
      <c r="IM44" s="70"/>
      <c r="IN44" s="70"/>
      <c r="IO44" s="70"/>
      <c r="IP44" s="70"/>
      <c r="IQ44" s="70"/>
      <c r="IR44" s="70"/>
      <c r="IS44" s="70"/>
      <c r="IT44" s="70"/>
      <c r="IU44" s="70"/>
      <c r="IV44" s="70"/>
      <c r="IW44" s="70"/>
      <c r="IX44" s="70"/>
      <c r="IY44" s="70"/>
      <c r="IZ44" s="70"/>
      <c r="JA44" s="70"/>
      <c r="JB44" s="70"/>
      <c r="JC44" s="70"/>
      <c r="JD44" s="70"/>
      <c r="JE44" s="70"/>
      <c r="JF44" s="70"/>
      <c r="JG44" s="70"/>
      <c r="JH44" s="70"/>
      <c r="JI44" s="70"/>
      <c r="JJ44" s="70"/>
      <c r="JK44" s="70"/>
      <c r="JL44" s="70"/>
      <c r="JM44" s="70"/>
      <c r="JN44" s="70"/>
      <c r="JO44" s="70"/>
      <c r="JP44" s="70"/>
      <c r="JQ44" s="70"/>
    </row>
    <row r="45" spans="1:277">
      <c r="A45" s="65" t="s">
        <v>112</v>
      </c>
      <c r="B45" s="66" t="s">
        <v>26</v>
      </c>
      <c r="C45" s="67">
        <v>3.0370000000000002E-3</v>
      </c>
      <c r="D45" s="67">
        <v>0</v>
      </c>
      <c r="E45" s="67">
        <v>1.2229999999999999E-3</v>
      </c>
      <c r="F45" s="67">
        <v>1.4289999999999999E-3</v>
      </c>
      <c r="G45" s="67">
        <v>2.0140000000000002E-3</v>
      </c>
      <c r="H45" s="67">
        <v>4.7569999999999999E-3</v>
      </c>
      <c r="I45" s="67">
        <v>7.3999999999999999E-4</v>
      </c>
      <c r="J45" s="67">
        <v>2.4757000000000001E-2</v>
      </c>
      <c r="K45" s="67">
        <v>1.5108E-2</v>
      </c>
      <c r="L45" s="67">
        <v>6.3492000000000007E-2</v>
      </c>
      <c r="M45" s="67">
        <v>4.0118000000000001E-2</v>
      </c>
      <c r="N45" s="67">
        <v>1.1906E-2</v>
      </c>
      <c r="O45" s="67">
        <v>3.2429999999999998E-3</v>
      </c>
      <c r="P45" s="67">
        <v>0.102241</v>
      </c>
      <c r="Q45" s="67">
        <v>9.0331999999999996E-2</v>
      </c>
      <c r="R45" s="67">
        <v>2.9208999999999999E-2</v>
      </c>
      <c r="S45" s="67">
        <v>2.0789589999999998</v>
      </c>
      <c r="T45" s="67">
        <v>2.6245000000000001E-2</v>
      </c>
      <c r="U45" s="67">
        <v>1.2421E-2</v>
      </c>
      <c r="V45" s="67">
        <v>9.0310000000000008E-3</v>
      </c>
      <c r="W45" s="67">
        <v>3.6340999999999998E-2</v>
      </c>
      <c r="X45" s="67">
        <v>9.0000000000000002E-6</v>
      </c>
      <c r="Y45" s="67">
        <v>0</v>
      </c>
      <c r="Z45" s="67">
        <v>9.0000000000000002E-6</v>
      </c>
      <c r="AA45" s="67">
        <v>7.9999999999999996E-6</v>
      </c>
      <c r="AB45" s="67">
        <v>9.0000000000000002E-6</v>
      </c>
      <c r="AC45" s="67">
        <v>3.0000000000000001E-5</v>
      </c>
      <c r="AD45" s="67">
        <v>7.9999999999999996E-6</v>
      </c>
      <c r="AE45" s="67">
        <v>9.0000000000000002E-6</v>
      </c>
      <c r="AF45" s="67">
        <v>1.1E-5</v>
      </c>
      <c r="AG45" s="67">
        <v>2.9E-5</v>
      </c>
      <c r="AH45" s="67">
        <v>1.9000000000000001E-5</v>
      </c>
      <c r="AI45" s="67">
        <v>5.0000000000000004E-6</v>
      </c>
      <c r="AJ45" s="67">
        <v>6.9999999999999999E-6</v>
      </c>
      <c r="AK45" s="67">
        <v>3.9999999999999998E-6</v>
      </c>
      <c r="AL45" s="67">
        <v>6.0000000000000002E-6</v>
      </c>
      <c r="AM45" s="67">
        <v>5.0000000000000004E-6</v>
      </c>
      <c r="AN45" s="67">
        <v>2.5000000000000001E-5</v>
      </c>
      <c r="AO45" s="67">
        <v>5.0000000000000004E-6</v>
      </c>
      <c r="AP45" s="67">
        <v>0</v>
      </c>
      <c r="AQ45" s="67">
        <v>0</v>
      </c>
      <c r="AR45" s="67">
        <v>5.0000000000000004E-6</v>
      </c>
      <c r="AS45" s="67">
        <v>6.0000000000000002E-6</v>
      </c>
      <c r="AT45" s="67">
        <v>0</v>
      </c>
      <c r="AU45" s="67">
        <v>1.0000000000000001E-5</v>
      </c>
      <c r="AV45" s="67">
        <v>1.0000000000000001E-5</v>
      </c>
      <c r="AW45" s="67">
        <v>1.0000000000000001E-5</v>
      </c>
      <c r="AX45" s="67">
        <v>2.5999999999999998E-5</v>
      </c>
      <c r="AY45" s="67">
        <v>9.0000000000000002E-6</v>
      </c>
      <c r="AZ45" s="67">
        <v>1.0000000000000001E-5</v>
      </c>
      <c r="BA45" s="67">
        <v>7.9999999999999996E-6</v>
      </c>
      <c r="BB45" s="67">
        <v>1.9000000000000001E-5</v>
      </c>
      <c r="BC45" s="67">
        <v>1.7E-5</v>
      </c>
      <c r="BD45" s="67">
        <v>9.0000000000000002E-6</v>
      </c>
      <c r="BE45" s="67">
        <v>6.9999999999999999E-6</v>
      </c>
      <c r="BF45" s="67">
        <v>9.0000000000000002E-6</v>
      </c>
      <c r="BG45" s="67">
        <v>1.2E-5</v>
      </c>
      <c r="BH45" s="67">
        <v>1.1E-5</v>
      </c>
      <c r="BI45" s="67">
        <v>7.7999999999999999E-5</v>
      </c>
      <c r="BJ45" s="67">
        <v>1.2E-5</v>
      </c>
      <c r="BK45" s="67">
        <v>1.9999999999999999E-6</v>
      </c>
      <c r="BL45" s="67">
        <v>9.9999999999999995E-7</v>
      </c>
      <c r="BM45" s="67">
        <v>9.0000000000000002E-6</v>
      </c>
      <c r="BN45" s="67">
        <v>9.9999999999999995E-7</v>
      </c>
      <c r="BO45" s="67">
        <v>0</v>
      </c>
      <c r="BP45" s="67">
        <v>1.9999999999999999E-6</v>
      </c>
      <c r="BQ45" s="67">
        <v>3.0000000000000001E-6</v>
      </c>
      <c r="BR45" s="67">
        <v>3.0000000000000001E-6</v>
      </c>
      <c r="BS45" s="67">
        <v>7.9999999999999996E-6</v>
      </c>
      <c r="BT45" s="67">
        <v>3.0000000000000001E-6</v>
      </c>
      <c r="BU45" s="67">
        <v>3.0000000000000001E-6</v>
      </c>
      <c r="BV45" s="67">
        <v>3.0000000000000001E-6</v>
      </c>
      <c r="BW45" s="67">
        <v>7.9999999999999996E-6</v>
      </c>
      <c r="BX45" s="67">
        <v>5.0000000000000004E-6</v>
      </c>
      <c r="BY45" s="67">
        <v>3.0000000000000001E-6</v>
      </c>
      <c r="BZ45" s="67">
        <v>5.0000000000000004E-6</v>
      </c>
      <c r="CA45" s="67">
        <v>3.9999999999999998E-6</v>
      </c>
      <c r="CB45" s="67">
        <v>3.0000000000000001E-6</v>
      </c>
      <c r="CC45" s="67">
        <v>1.9999999999999999E-6</v>
      </c>
      <c r="CD45" s="67">
        <v>1.0000000000000001E-5</v>
      </c>
      <c r="CE45" s="67">
        <v>9.9999999999999995E-7</v>
      </c>
      <c r="CF45" s="67">
        <v>0</v>
      </c>
      <c r="CG45" s="67">
        <v>0</v>
      </c>
      <c r="CH45" s="67">
        <v>3.0000000000000001E-6</v>
      </c>
      <c r="CI45" s="67">
        <v>1.9999999999999999E-6</v>
      </c>
      <c r="CJ45" s="67">
        <v>0</v>
      </c>
      <c r="CK45" s="67">
        <v>1.9999999999999999E-6</v>
      </c>
      <c r="CL45" s="67">
        <v>3.0000000000000001E-6</v>
      </c>
      <c r="CM45" s="67">
        <v>3.0000000000000001E-6</v>
      </c>
      <c r="CN45" s="67">
        <v>6.0000000000000002E-6</v>
      </c>
      <c r="CO45" s="67">
        <v>1.9999999999999999E-6</v>
      </c>
      <c r="CP45" s="67">
        <v>3.0000000000000001E-6</v>
      </c>
      <c r="CQ45" s="67">
        <v>3.0000000000000001E-6</v>
      </c>
      <c r="CR45" s="67">
        <v>5.0000000000000004E-6</v>
      </c>
      <c r="CS45" s="67">
        <v>5.0000000000000004E-6</v>
      </c>
      <c r="CT45" s="67">
        <v>1.9999999999999999E-6</v>
      </c>
      <c r="CU45" s="67">
        <v>1.9999999999999999E-6</v>
      </c>
      <c r="CV45" s="67">
        <v>3.0000000000000001E-6</v>
      </c>
      <c r="CW45" s="67">
        <v>1.9999999999999999E-6</v>
      </c>
      <c r="CX45" s="67">
        <v>1.9999999999999999E-6</v>
      </c>
      <c r="CY45" s="67">
        <v>6.0000000000000002E-6</v>
      </c>
      <c r="CZ45" s="67">
        <v>3.0000000000000001E-6</v>
      </c>
      <c r="DA45" s="67">
        <v>9.9999999999999995E-7</v>
      </c>
      <c r="DB45" s="67">
        <v>9.9999999999999995E-7</v>
      </c>
      <c r="DC45" s="67">
        <v>3.0000000000000001E-6</v>
      </c>
      <c r="DD45" s="67">
        <v>2.6999999999999999E-5</v>
      </c>
      <c r="DE45" s="67">
        <v>0</v>
      </c>
      <c r="DF45" s="67">
        <v>4.8000000000000001E-5</v>
      </c>
      <c r="DG45" s="67">
        <v>2.5000000000000001E-5</v>
      </c>
      <c r="DH45" s="67">
        <v>1.2999999999999999E-5</v>
      </c>
      <c r="DI45" s="67">
        <v>3.1999999999999999E-5</v>
      </c>
      <c r="DJ45" s="67">
        <v>9.0000000000000002E-6</v>
      </c>
      <c r="DK45" s="67">
        <v>1.0000000000000001E-5</v>
      </c>
      <c r="DL45" s="67">
        <v>1.1E-5</v>
      </c>
      <c r="DM45" s="67">
        <v>7.7999999999999999E-5</v>
      </c>
      <c r="DN45" s="67">
        <v>2.3E-5</v>
      </c>
      <c r="DO45" s="67">
        <v>9.0000000000000002E-6</v>
      </c>
      <c r="DP45" s="67">
        <v>9.0000000000000002E-6</v>
      </c>
      <c r="DQ45" s="67">
        <v>1.0000000000000001E-5</v>
      </c>
      <c r="DR45" s="67">
        <v>1.5999999999999999E-5</v>
      </c>
      <c r="DS45" s="67">
        <v>3.0000000000000001E-5</v>
      </c>
      <c r="DT45" s="67">
        <v>8.7000000000000001E-5</v>
      </c>
      <c r="DU45" s="67">
        <v>1.7E-5</v>
      </c>
      <c r="DV45" s="67">
        <v>9.9999999999999995E-7</v>
      </c>
      <c r="DW45" s="67">
        <v>9.9999999999999995E-7</v>
      </c>
      <c r="DX45" s="67">
        <v>1.1E-5</v>
      </c>
      <c r="DY45" s="67">
        <v>9.9999999999999995E-7</v>
      </c>
      <c r="DZ45" s="67">
        <v>0</v>
      </c>
      <c r="EA45" s="67">
        <v>3.0000000000000001E-6</v>
      </c>
      <c r="EB45" s="67">
        <v>5.0000000000000004E-6</v>
      </c>
      <c r="EC45" s="67">
        <v>3.9999999999999998E-6</v>
      </c>
      <c r="ED45" s="67">
        <v>9.0000000000000002E-6</v>
      </c>
      <c r="EE45" s="67">
        <v>3.9999999999999998E-6</v>
      </c>
      <c r="EF45" s="67">
        <v>3.9999999999999998E-6</v>
      </c>
      <c r="EG45" s="67">
        <v>3.9999999999999998E-6</v>
      </c>
      <c r="EH45" s="67">
        <v>9.0000000000000002E-6</v>
      </c>
      <c r="EI45" s="67">
        <v>1.0000000000000001E-5</v>
      </c>
      <c r="EJ45" s="67">
        <v>3.0000000000000001E-6</v>
      </c>
      <c r="EK45" s="67">
        <v>6.0000000000000002E-6</v>
      </c>
      <c r="EL45" s="67">
        <v>5.0000000000000004E-6</v>
      </c>
      <c r="EM45" s="67">
        <v>3.9999999999999998E-6</v>
      </c>
      <c r="EN45" s="67">
        <v>5.0000000000000004E-6</v>
      </c>
      <c r="EO45" s="67">
        <v>3.4999999999999997E-5</v>
      </c>
      <c r="EP45" s="67">
        <v>6.9999999999999999E-6</v>
      </c>
      <c r="EQ45" s="67">
        <v>9.9999999999999995E-7</v>
      </c>
      <c r="ER45" s="67">
        <v>9.9999999999999995E-7</v>
      </c>
      <c r="ES45" s="67">
        <v>5.0000000000000004E-6</v>
      </c>
      <c r="ET45" s="67">
        <v>6.0000000000000002E-6</v>
      </c>
      <c r="EU45" s="67">
        <v>0</v>
      </c>
      <c r="EV45" s="67">
        <v>9.0000000000000002E-6</v>
      </c>
      <c r="EW45" s="67">
        <v>9.0000000000000002E-6</v>
      </c>
      <c r="EX45" s="67">
        <v>1.1E-5</v>
      </c>
      <c r="EY45" s="67">
        <v>2.0999999999999999E-5</v>
      </c>
      <c r="EZ45" s="67">
        <v>1.0000000000000001E-5</v>
      </c>
      <c r="FA45" s="67">
        <v>6.0000000000000002E-6</v>
      </c>
      <c r="FB45" s="67">
        <v>7.9999999999999996E-6</v>
      </c>
      <c r="FC45" s="67">
        <v>1.4E-5</v>
      </c>
      <c r="FD45" s="67">
        <v>1.5999999999999999E-5</v>
      </c>
      <c r="FE45" s="67">
        <v>6.0000000000000002E-6</v>
      </c>
      <c r="FF45" s="67">
        <v>9.0000000000000002E-6</v>
      </c>
      <c r="FG45" s="67">
        <v>1.0000000000000001E-5</v>
      </c>
      <c r="FH45" s="67">
        <v>1.4E-5</v>
      </c>
      <c r="FI45" s="67">
        <v>6.9999999999999999E-6</v>
      </c>
      <c r="FJ45" s="67">
        <v>1.94E-4</v>
      </c>
      <c r="FK45" s="67">
        <v>1.5E-5</v>
      </c>
      <c r="FL45" s="67">
        <v>9.9999999999999995E-7</v>
      </c>
      <c r="FM45" s="67">
        <v>9.9999999999999995E-7</v>
      </c>
      <c r="FN45" s="67">
        <v>1.0000000000000001E-5</v>
      </c>
      <c r="FO45" s="67">
        <v>1.2899999999999999E-4</v>
      </c>
      <c r="FP45" s="67">
        <v>0</v>
      </c>
      <c r="FQ45" s="67">
        <v>2.3900000000000001E-4</v>
      </c>
      <c r="FR45" s="67">
        <v>2.14E-4</v>
      </c>
      <c r="FS45" s="67">
        <v>2.52E-4</v>
      </c>
      <c r="FT45" s="67">
        <v>4.3199999999999998E-4</v>
      </c>
      <c r="FU45" s="67">
        <v>2.7099999999999997E-4</v>
      </c>
      <c r="FV45" s="67">
        <v>3.2499999999999999E-4</v>
      </c>
      <c r="FW45" s="67">
        <v>2.1000000000000001E-4</v>
      </c>
      <c r="FX45" s="67">
        <v>9.7099999999999997E-4</v>
      </c>
      <c r="FY45" s="67">
        <v>4.8500000000000003E-4</v>
      </c>
      <c r="FZ45" s="67">
        <v>1.6799999999999999E-4</v>
      </c>
      <c r="GA45" s="67">
        <v>1.8599999999999999E-4</v>
      </c>
      <c r="GB45" s="67">
        <v>3.7500000000000001E-4</v>
      </c>
      <c r="GC45" s="67">
        <v>2.05E-4</v>
      </c>
      <c r="GD45" s="67">
        <v>2.1800000000000001E-4</v>
      </c>
      <c r="GE45" s="67">
        <v>2.1090000000000002E-3</v>
      </c>
      <c r="GF45" s="67">
        <v>4.7600000000000002E-4</v>
      </c>
      <c r="GG45" s="67">
        <v>3.6200000000000002E-4</v>
      </c>
      <c r="GH45" s="67">
        <v>2.63E-4</v>
      </c>
      <c r="GI45" s="67">
        <v>2.05E-4</v>
      </c>
      <c r="GJ45" s="67">
        <v>5.0000000000000004E-6</v>
      </c>
      <c r="GK45" s="67">
        <v>0</v>
      </c>
      <c r="GL45" s="67">
        <v>6.9999999999999999E-6</v>
      </c>
      <c r="GM45" s="67">
        <v>6.0000000000000002E-6</v>
      </c>
      <c r="GN45" s="67">
        <v>6.9999999999999999E-6</v>
      </c>
      <c r="GO45" s="67">
        <v>1.7E-5</v>
      </c>
      <c r="GP45" s="67">
        <v>6.0000000000000002E-6</v>
      </c>
      <c r="GQ45" s="67">
        <v>7.9999999999999996E-6</v>
      </c>
      <c r="GR45" s="67">
        <v>6.0000000000000002E-6</v>
      </c>
      <c r="GS45" s="67">
        <v>1.5999999999999999E-5</v>
      </c>
      <c r="GT45" s="67">
        <v>1.2E-5</v>
      </c>
      <c r="GU45" s="67">
        <v>7.9999999999999996E-6</v>
      </c>
      <c r="GV45" s="67">
        <v>3.9999999999999998E-6</v>
      </c>
      <c r="GW45" s="67">
        <v>6.9999999999999999E-6</v>
      </c>
      <c r="GX45" s="67">
        <v>6.0000000000000002E-6</v>
      </c>
      <c r="GY45" s="67">
        <v>6.0000000000000002E-6</v>
      </c>
      <c r="GZ45" s="67">
        <v>5.5000000000000002E-5</v>
      </c>
      <c r="HA45" s="67">
        <v>1.0000000000000001E-5</v>
      </c>
      <c r="HB45" s="67">
        <v>9.9999999999999995E-7</v>
      </c>
      <c r="HC45" s="67">
        <v>9.9999999999999995E-7</v>
      </c>
      <c r="HD45" s="67">
        <v>7.9999999999999996E-6</v>
      </c>
      <c r="HE45" s="67">
        <v>6.0000000000000002E-6</v>
      </c>
      <c r="HF45" s="67">
        <v>0</v>
      </c>
      <c r="HG45" s="67">
        <v>1.1E-5</v>
      </c>
      <c r="HH45" s="67">
        <v>9.0000000000000002E-6</v>
      </c>
      <c r="HI45" s="67">
        <v>9.0000000000000002E-6</v>
      </c>
      <c r="HJ45" s="67">
        <v>2.4000000000000001E-5</v>
      </c>
      <c r="HK45" s="67">
        <v>7.9999999999999996E-6</v>
      </c>
      <c r="HL45" s="67">
        <v>6.9999999999999999E-6</v>
      </c>
      <c r="HM45" s="67">
        <v>7.9999999999999996E-6</v>
      </c>
      <c r="HN45" s="67">
        <v>1.7E-5</v>
      </c>
      <c r="HO45" s="67">
        <v>1.7E-5</v>
      </c>
      <c r="HP45" s="67">
        <v>9.0000000000000002E-6</v>
      </c>
      <c r="HQ45" s="67">
        <v>7.9999999999999996E-6</v>
      </c>
      <c r="HR45" s="67">
        <v>9.0000000000000002E-6</v>
      </c>
      <c r="HS45" s="67">
        <v>1.0000000000000001E-5</v>
      </c>
      <c r="HT45" s="67">
        <v>1.0000000000000001E-5</v>
      </c>
      <c r="HU45" s="67">
        <v>6.0999999999999999E-5</v>
      </c>
      <c r="HV45" s="67">
        <v>1.2E-5</v>
      </c>
      <c r="HW45" s="67">
        <v>1.9999999999999999E-6</v>
      </c>
      <c r="HX45" s="67">
        <v>1.9999999999999999E-6</v>
      </c>
      <c r="HY45" s="67">
        <v>1.0000000000000001E-5</v>
      </c>
      <c r="HZ45" s="67"/>
      <c r="IA45" s="67"/>
      <c r="IB45" s="67"/>
      <c r="IC45" s="67"/>
      <c r="ID45" s="67"/>
      <c r="IE45" s="67"/>
      <c r="IF45" s="67"/>
      <c r="IG45" s="67"/>
      <c r="IH45" s="67"/>
      <c r="II45" s="67"/>
      <c r="IJ45" s="67"/>
      <c r="IK45" s="67"/>
      <c r="IL45" s="67"/>
      <c r="IM45" s="67"/>
      <c r="IN45" s="67"/>
      <c r="IO45" s="67"/>
      <c r="IP45" s="67"/>
      <c r="IQ45" s="67"/>
      <c r="IR45" s="67"/>
      <c r="IS45" s="67"/>
      <c r="IT45" s="67"/>
      <c r="IU45" s="67"/>
      <c r="IV45" s="67"/>
      <c r="IW45" s="67"/>
      <c r="IX45" s="67"/>
      <c r="IY45" s="67"/>
      <c r="IZ45" s="67"/>
      <c r="JA45" s="67"/>
      <c r="JB45" s="67"/>
      <c r="JC45" s="67"/>
      <c r="JD45" s="67"/>
      <c r="JE45" s="67"/>
      <c r="JF45" s="67"/>
      <c r="JG45" s="67"/>
      <c r="JH45" s="67"/>
      <c r="JI45" s="67"/>
      <c r="JJ45" s="67"/>
      <c r="JK45" s="67"/>
      <c r="JL45" s="67"/>
      <c r="JM45" s="67"/>
      <c r="JN45" s="67"/>
      <c r="JO45" s="67"/>
      <c r="JP45" s="67"/>
      <c r="JQ45" s="67"/>
    </row>
    <row r="46" spans="1:277">
      <c r="A46" s="68" t="s">
        <v>113</v>
      </c>
      <c r="B46" s="69" t="s">
        <v>27</v>
      </c>
      <c r="C46" s="70">
        <v>6.7349999999999993E-2</v>
      </c>
      <c r="D46" s="70">
        <v>0</v>
      </c>
      <c r="E46" s="70">
        <v>2.8535999999999999E-2</v>
      </c>
      <c r="F46" s="70">
        <v>2.3521E-2</v>
      </c>
      <c r="G46" s="70">
        <v>2.9219999999999999E-2</v>
      </c>
      <c r="H46" s="70">
        <v>0.10141</v>
      </c>
      <c r="I46" s="70">
        <v>7.2139999999999999E-3</v>
      </c>
      <c r="J46" s="70">
        <v>0.11215700000000001</v>
      </c>
      <c r="K46" s="70">
        <v>2.3302E-2</v>
      </c>
      <c r="L46" s="70">
        <v>0.208479</v>
      </c>
      <c r="M46" s="70">
        <v>0.200047</v>
      </c>
      <c r="N46" s="70">
        <v>4.1159999999999999E-3</v>
      </c>
      <c r="O46" s="70">
        <v>2.0341999999999999E-2</v>
      </c>
      <c r="P46" s="70">
        <v>0.12620999999999999</v>
      </c>
      <c r="Q46" s="70">
        <v>0.130053</v>
      </c>
      <c r="R46" s="70">
        <v>3.1850999999999997E-2</v>
      </c>
      <c r="S46" s="70">
        <v>6.0923999999999999E-2</v>
      </c>
      <c r="T46" s="70">
        <v>1.0748</v>
      </c>
      <c r="U46" s="70">
        <v>9.7370000000000009E-3</v>
      </c>
      <c r="V46" s="70">
        <v>7.0790000000000002E-3</v>
      </c>
      <c r="W46" s="70">
        <v>3.6588000000000002E-2</v>
      </c>
      <c r="X46" s="70">
        <v>1.21E-4</v>
      </c>
      <c r="Y46" s="70">
        <v>0</v>
      </c>
      <c r="Z46" s="70">
        <v>9.8999999999999994E-5</v>
      </c>
      <c r="AA46" s="70">
        <v>7.2000000000000002E-5</v>
      </c>
      <c r="AB46" s="70">
        <v>7.2999999999999999E-5</v>
      </c>
      <c r="AC46" s="70">
        <v>3.8499999999999998E-4</v>
      </c>
      <c r="AD46" s="70">
        <v>6.0000000000000002E-5</v>
      </c>
      <c r="AE46" s="70">
        <v>4.5000000000000003E-5</v>
      </c>
      <c r="AF46" s="70">
        <v>5.7000000000000003E-5</v>
      </c>
      <c r="AG46" s="70">
        <v>9.8999999999999994E-5</v>
      </c>
      <c r="AH46" s="70">
        <v>9.5000000000000005E-5</v>
      </c>
      <c r="AI46" s="70">
        <v>1.4E-5</v>
      </c>
      <c r="AJ46" s="70">
        <v>3.8999999999999999E-5</v>
      </c>
      <c r="AK46" s="70">
        <v>1.1E-5</v>
      </c>
      <c r="AL46" s="70">
        <v>2.5000000000000001E-5</v>
      </c>
      <c r="AM46" s="70">
        <v>3.4E-5</v>
      </c>
      <c r="AN46" s="70">
        <v>2.1999999999999999E-5</v>
      </c>
      <c r="AO46" s="70">
        <v>9.0000000000000002E-6</v>
      </c>
      <c r="AP46" s="70">
        <v>1.9999999999999999E-6</v>
      </c>
      <c r="AQ46" s="70">
        <v>9.9999999999999995E-7</v>
      </c>
      <c r="AR46" s="70">
        <v>1.0000000000000001E-5</v>
      </c>
      <c r="AS46" s="70">
        <v>1.2E-5</v>
      </c>
      <c r="AT46" s="70">
        <v>0</v>
      </c>
      <c r="AU46" s="70">
        <v>1.8E-5</v>
      </c>
      <c r="AV46" s="70">
        <v>2.0000000000000002E-5</v>
      </c>
      <c r="AW46" s="70">
        <v>1.0000000000000001E-5</v>
      </c>
      <c r="AX46" s="70">
        <v>2.6999999999999999E-5</v>
      </c>
      <c r="AY46" s="70">
        <v>9.0000000000000002E-6</v>
      </c>
      <c r="AZ46" s="70">
        <v>1.2999999999999999E-5</v>
      </c>
      <c r="BA46" s="70">
        <v>9.0000000000000002E-6</v>
      </c>
      <c r="BB46" s="70">
        <v>1.9000000000000001E-5</v>
      </c>
      <c r="BC46" s="70">
        <v>1.7E-5</v>
      </c>
      <c r="BD46" s="70">
        <v>9.0000000000000002E-6</v>
      </c>
      <c r="BE46" s="70">
        <v>7.9999999999999996E-6</v>
      </c>
      <c r="BF46" s="70">
        <v>6.9999999999999999E-6</v>
      </c>
      <c r="BG46" s="70">
        <v>1.2E-5</v>
      </c>
      <c r="BH46" s="70">
        <v>9.0000000000000002E-6</v>
      </c>
      <c r="BI46" s="70">
        <v>2.1999999999999999E-5</v>
      </c>
      <c r="BJ46" s="70">
        <v>2.0999999999999999E-5</v>
      </c>
      <c r="BK46" s="70">
        <v>1.9999999999999999E-6</v>
      </c>
      <c r="BL46" s="70">
        <v>1.9999999999999999E-6</v>
      </c>
      <c r="BM46" s="70">
        <v>6.0000000000000002E-6</v>
      </c>
      <c r="BN46" s="70">
        <v>1.9999999999999999E-6</v>
      </c>
      <c r="BO46" s="70">
        <v>0</v>
      </c>
      <c r="BP46" s="70">
        <v>3.9999999999999998E-6</v>
      </c>
      <c r="BQ46" s="70">
        <v>3.9999999999999998E-6</v>
      </c>
      <c r="BR46" s="70">
        <v>3.9999999999999998E-6</v>
      </c>
      <c r="BS46" s="70">
        <v>1.0000000000000001E-5</v>
      </c>
      <c r="BT46" s="70">
        <v>3.9999999999999998E-6</v>
      </c>
      <c r="BU46" s="70">
        <v>3.9999999999999998E-6</v>
      </c>
      <c r="BV46" s="70">
        <v>3.9999999999999998E-6</v>
      </c>
      <c r="BW46" s="70">
        <v>9.0000000000000002E-6</v>
      </c>
      <c r="BX46" s="70">
        <v>5.0000000000000004E-6</v>
      </c>
      <c r="BY46" s="70">
        <v>3.0000000000000001E-6</v>
      </c>
      <c r="BZ46" s="70">
        <v>5.0000000000000004E-6</v>
      </c>
      <c r="CA46" s="70">
        <v>3.9999999999999998E-6</v>
      </c>
      <c r="CB46" s="70">
        <v>3.0000000000000001E-6</v>
      </c>
      <c r="CC46" s="70">
        <v>3.0000000000000001E-6</v>
      </c>
      <c r="CD46" s="70">
        <v>6.0000000000000002E-6</v>
      </c>
      <c r="CE46" s="70">
        <v>9.9999999999999995E-7</v>
      </c>
      <c r="CF46" s="70">
        <v>0</v>
      </c>
      <c r="CG46" s="70">
        <v>0</v>
      </c>
      <c r="CH46" s="70">
        <v>3.0000000000000001E-6</v>
      </c>
      <c r="CI46" s="70">
        <v>3.0000000000000001E-6</v>
      </c>
      <c r="CJ46" s="70">
        <v>0</v>
      </c>
      <c r="CK46" s="70">
        <v>5.0000000000000004E-6</v>
      </c>
      <c r="CL46" s="70">
        <v>3.9999999999999998E-6</v>
      </c>
      <c r="CM46" s="70">
        <v>3.0000000000000001E-6</v>
      </c>
      <c r="CN46" s="70">
        <v>9.0000000000000002E-6</v>
      </c>
      <c r="CO46" s="70">
        <v>1.9999999999999999E-6</v>
      </c>
      <c r="CP46" s="70">
        <v>5.0000000000000004E-6</v>
      </c>
      <c r="CQ46" s="70">
        <v>3.0000000000000001E-6</v>
      </c>
      <c r="CR46" s="70">
        <v>6.0000000000000002E-6</v>
      </c>
      <c r="CS46" s="70">
        <v>6.0000000000000002E-6</v>
      </c>
      <c r="CT46" s="70">
        <v>1.9999999999999999E-6</v>
      </c>
      <c r="CU46" s="70">
        <v>1.9999999999999999E-6</v>
      </c>
      <c r="CV46" s="70">
        <v>1.9999999999999999E-6</v>
      </c>
      <c r="CW46" s="70">
        <v>1.9999999999999999E-6</v>
      </c>
      <c r="CX46" s="70">
        <v>1.9999999999999999E-6</v>
      </c>
      <c r="CY46" s="70">
        <v>5.0000000000000004E-6</v>
      </c>
      <c r="CZ46" s="70">
        <v>3.0000000000000001E-6</v>
      </c>
      <c r="DA46" s="70">
        <v>9.9999999999999995E-7</v>
      </c>
      <c r="DB46" s="70">
        <v>9.9999999999999995E-7</v>
      </c>
      <c r="DC46" s="70">
        <v>3.0000000000000001E-6</v>
      </c>
      <c r="DD46" s="70">
        <v>4.0700000000000003E-4</v>
      </c>
      <c r="DE46" s="70">
        <v>0</v>
      </c>
      <c r="DF46" s="70">
        <v>8.7699999999999996E-4</v>
      </c>
      <c r="DG46" s="70">
        <v>3.8400000000000001E-4</v>
      </c>
      <c r="DH46" s="70">
        <v>5.8999999999999998E-5</v>
      </c>
      <c r="DI46" s="70">
        <v>2.1800000000000001E-4</v>
      </c>
      <c r="DJ46" s="70">
        <v>3.0000000000000001E-5</v>
      </c>
      <c r="DK46" s="70">
        <v>3.6000000000000001E-5</v>
      </c>
      <c r="DL46" s="70">
        <v>3.8999999999999999E-5</v>
      </c>
      <c r="DM46" s="70">
        <v>1.8100000000000001E-4</v>
      </c>
      <c r="DN46" s="70">
        <v>8.6000000000000003E-5</v>
      </c>
      <c r="DO46" s="70">
        <v>2.0999999999999999E-5</v>
      </c>
      <c r="DP46" s="70">
        <v>2.8E-5</v>
      </c>
      <c r="DQ46" s="70">
        <v>1.7E-5</v>
      </c>
      <c r="DR46" s="70">
        <v>3.1000000000000001E-5</v>
      </c>
      <c r="DS46" s="70">
        <v>3.0600000000000001E-4</v>
      </c>
      <c r="DT46" s="70">
        <v>1.03E-4</v>
      </c>
      <c r="DU46" s="70">
        <v>4.0000000000000003E-5</v>
      </c>
      <c r="DV46" s="70">
        <v>6.0000000000000002E-6</v>
      </c>
      <c r="DW46" s="70">
        <v>3.9999999999999998E-6</v>
      </c>
      <c r="DX46" s="70">
        <v>3.1000000000000001E-5</v>
      </c>
      <c r="DY46" s="70">
        <v>1.9999999999999999E-6</v>
      </c>
      <c r="DZ46" s="70">
        <v>0</v>
      </c>
      <c r="EA46" s="70">
        <v>6.9999999999999999E-6</v>
      </c>
      <c r="EB46" s="70">
        <v>7.9999999999999996E-6</v>
      </c>
      <c r="EC46" s="70">
        <v>3.9999999999999998E-6</v>
      </c>
      <c r="ED46" s="70">
        <v>1.0000000000000001E-5</v>
      </c>
      <c r="EE46" s="70">
        <v>3.9999999999999998E-6</v>
      </c>
      <c r="EF46" s="70">
        <v>5.0000000000000004E-6</v>
      </c>
      <c r="EG46" s="70">
        <v>5.0000000000000004E-6</v>
      </c>
      <c r="EH46" s="70">
        <v>1.0000000000000001E-5</v>
      </c>
      <c r="EI46" s="70">
        <v>1.1E-5</v>
      </c>
      <c r="EJ46" s="70">
        <v>3.0000000000000001E-6</v>
      </c>
      <c r="EK46" s="70">
        <v>6.0000000000000002E-6</v>
      </c>
      <c r="EL46" s="70">
        <v>5.0000000000000004E-6</v>
      </c>
      <c r="EM46" s="70">
        <v>3.9999999999999998E-6</v>
      </c>
      <c r="EN46" s="70">
        <v>5.0000000000000004E-6</v>
      </c>
      <c r="EO46" s="70">
        <v>1.2E-5</v>
      </c>
      <c r="EP46" s="70">
        <v>1.0000000000000001E-5</v>
      </c>
      <c r="EQ46" s="70">
        <v>1.9999999999999999E-6</v>
      </c>
      <c r="ER46" s="70">
        <v>9.9999999999999995E-7</v>
      </c>
      <c r="ES46" s="70">
        <v>3.9999999999999998E-6</v>
      </c>
      <c r="ET46" s="70">
        <v>2.8E-5</v>
      </c>
      <c r="EU46" s="70">
        <v>0</v>
      </c>
      <c r="EV46" s="70">
        <v>5.1999999999999997E-5</v>
      </c>
      <c r="EW46" s="70">
        <v>1.9000000000000001E-5</v>
      </c>
      <c r="EX46" s="70">
        <v>2.5000000000000001E-5</v>
      </c>
      <c r="EY46" s="70">
        <v>3.6999999999999998E-5</v>
      </c>
      <c r="EZ46" s="70">
        <v>1.7E-5</v>
      </c>
      <c r="FA46" s="70">
        <v>1.5999999999999999E-5</v>
      </c>
      <c r="FB46" s="70">
        <v>1.4E-5</v>
      </c>
      <c r="FC46" s="70">
        <v>2.0000000000000002E-5</v>
      </c>
      <c r="FD46" s="70">
        <v>2.8E-5</v>
      </c>
      <c r="FE46" s="70">
        <v>2.6999999999999999E-5</v>
      </c>
      <c r="FF46" s="70">
        <v>1.5999999999999999E-5</v>
      </c>
      <c r="FG46" s="70">
        <v>1.5999999999999999E-5</v>
      </c>
      <c r="FH46" s="70">
        <v>2.3E-5</v>
      </c>
      <c r="FI46" s="70">
        <v>1.5999999999999999E-5</v>
      </c>
      <c r="FJ46" s="70">
        <v>3.8999999999999999E-5</v>
      </c>
      <c r="FK46" s="70">
        <v>7.1000000000000005E-5</v>
      </c>
      <c r="FL46" s="70">
        <v>3.9999999999999998E-6</v>
      </c>
      <c r="FM46" s="70">
        <v>3.0000000000000001E-6</v>
      </c>
      <c r="FN46" s="70">
        <v>1.5E-5</v>
      </c>
      <c r="FO46" s="70">
        <v>2.6899999999999998E-4</v>
      </c>
      <c r="FP46" s="70">
        <v>0</v>
      </c>
      <c r="FQ46" s="70">
        <v>4.5399999999999998E-4</v>
      </c>
      <c r="FR46" s="70">
        <v>1.08E-3</v>
      </c>
      <c r="FS46" s="70">
        <v>2.3699999999999999E-4</v>
      </c>
      <c r="FT46" s="70">
        <v>6.9999999999999999E-4</v>
      </c>
      <c r="FU46" s="70">
        <v>1.6699999999999999E-4</v>
      </c>
      <c r="FV46" s="70">
        <v>2.92E-4</v>
      </c>
      <c r="FW46" s="70">
        <v>2.5700000000000001E-4</v>
      </c>
      <c r="FX46" s="70">
        <v>5.5900000000000004E-4</v>
      </c>
      <c r="FY46" s="70">
        <v>4.2299999999999998E-4</v>
      </c>
      <c r="FZ46" s="70">
        <v>1.46E-4</v>
      </c>
      <c r="GA46" s="70">
        <v>2.04E-4</v>
      </c>
      <c r="GB46" s="70">
        <v>3.6699999999999998E-4</v>
      </c>
      <c r="GC46" s="70">
        <v>2.1900000000000001E-4</v>
      </c>
      <c r="GD46" s="70">
        <v>2.7999999999999998E-4</v>
      </c>
      <c r="GE46" s="70">
        <v>3.8000000000000002E-4</v>
      </c>
      <c r="GF46" s="70">
        <v>9.4799999999999995E-4</v>
      </c>
      <c r="GG46" s="70">
        <v>1.1400000000000001E-4</v>
      </c>
      <c r="GH46" s="70">
        <v>8.2999999999999998E-5</v>
      </c>
      <c r="GI46" s="70">
        <v>1.9900000000000001E-4</v>
      </c>
      <c r="GJ46" s="70">
        <v>5.0000000000000004E-6</v>
      </c>
      <c r="GK46" s="70">
        <v>0</v>
      </c>
      <c r="GL46" s="70">
        <v>7.9999999999999996E-6</v>
      </c>
      <c r="GM46" s="70">
        <v>7.9999999999999996E-6</v>
      </c>
      <c r="GN46" s="70">
        <v>6.0000000000000002E-6</v>
      </c>
      <c r="GO46" s="70">
        <v>1.7E-5</v>
      </c>
      <c r="GP46" s="70">
        <v>6.0000000000000002E-6</v>
      </c>
      <c r="GQ46" s="70">
        <v>1.5999999999999999E-5</v>
      </c>
      <c r="GR46" s="70">
        <v>9.0000000000000002E-6</v>
      </c>
      <c r="GS46" s="70">
        <v>2.0000000000000002E-5</v>
      </c>
      <c r="GT46" s="70">
        <v>1.2999999999999999E-5</v>
      </c>
      <c r="GU46" s="70">
        <v>9.0000000000000002E-6</v>
      </c>
      <c r="GV46" s="70">
        <v>3.9999999999999998E-6</v>
      </c>
      <c r="GW46" s="70">
        <v>6.9999999999999999E-6</v>
      </c>
      <c r="GX46" s="70">
        <v>6.0000000000000002E-6</v>
      </c>
      <c r="GY46" s="70">
        <v>6.0000000000000002E-6</v>
      </c>
      <c r="GZ46" s="70">
        <v>3.4E-5</v>
      </c>
      <c r="HA46" s="70">
        <v>1.0000000000000001E-5</v>
      </c>
      <c r="HB46" s="70">
        <v>9.9999999999999995E-7</v>
      </c>
      <c r="HC46" s="70">
        <v>9.9999999999999995E-7</v>
      </c>
      <c r="HD46" s="70">
        <v>7.9999999999999996E-6</v>
      </c>
      <c r="HE46" s="70">
        <v>2.0000000000000002E-5</v>
      </c>
      <c r="HF46" s="70">
        <v>0</v>
      </c>
      <c r="HG46" s="70">
        <v>5.5999999999999999E-5</v>
      </c>
      <c r="HH46" s="70">
        <v>3.1999999999999999E-5</v>
      </c>
      <c r="HI46" s="70">
        <v>1.1E-5</v>
      </c>
      <c r="HJ46" s="70">
        <v>4.1E-5</v>
      </c>
      <c r="HK46" s="70">
        <v>9.0000000000000002E-6</v>
      </c>
      <c r="HL46" s="70">
        <v>1.0000000000000001E-5</v>
      </c>
      <c r="HM46" s="70">
        <v>1.0000000000000001E-5</v>
      </c>
      <c r="HN46" s="70">
        <v>2.0999999999999999E-5</v>
      </c>
      <c r="HO46" s="70">
        <v>2.0999999999999999E-5</v>
      </c>
      <c r="HP46" s="70">
        <v>1.0000000000000001E-5</v>
      </c>
      <c r="HQ46" s="70">
        <v>9.0000000000000002E-6</v>
      </c>
      <c r="HR46" s="70">
        <v>7.9999999999999996E-6</v>
      </c>
      <c r="HS46" s="70">
        <v>9.0000000000000002E-6</v>
      </c>
      <c r="HT46" s="70">
        <v>1.8E-5</v>
      </c>
      <c r="HU46" s="70">
        <v>1.9000000000000001E-5</v>
      </c>
      <c r="HV46" s="70">
        <v>1.7E-5</v>
      </c>
      <c r="HW46" s="70">
        <v>1.9999999999999999E-6</v>
      </c>
      <c r="HX46" s="70">
        <v>1.9999999999999999E-6</v>
      </c>
      <c r="HY46" s="70">
        <v>7.9999999999999996E-6</v>
      </c>
      <c r="HZ46" s="70"/>
      <c r="IA46" s="70"/>
      <c r="IB46" s="70"/>
      <c r="IC46" s="70"/>
      <c r="ID46" s="70"/>
      <c r="IE46" s="70"/>
      <c r="IF46" s="70"/>
      <c r="IG46" s="70"/>
      <c r="IH46" s="70"/>
      <c r="II46" s="70"/>
      <c r="IJ46" s="70"/>
      <c r="IK46" s="70"/>
      <c r="IL46" s="70"/>
      <c r="IM46" s="70"/>
      <c r="IN46" s="70"/>
      <c r="IO46" s="70"/>
      <c r="IP46" s="70"/>
      <c r="IQ46" s="70"/>
      <c r="IR46" s="70"/>
      <c r="IS46" s="70"/>
      <c r="IT46" s="70"/>
      <c r="IU46" s="70"/>
      <c r="IV46" s="70"/>
      <c r="IW46" s="70"/>
      <c r="IX46" s="70"/>
      <c r="IY46" s="70"/>
      <c r="IZ46" s="70"/>
      <c r="JA46" s="70"/>
      <c r="JB46" s="70"/>
      <c r="JC46" s="70"/>
      <c r="JD46" s="70"/>
      <c r="JE46" s="70"/>
      <c r="JF46" s="70"/>
      <c r="JG46" s="70"/>
      <c r="JH46" s="70"/>
      <c r="JI46" s="70"/>
      <c r="JJ46" s="70"/>
      <c r="JK46" s="70"/>
      <c r="JL46" s="70"/>
      <c r="JM46" s="70"/>
      <c r="JN46" s="70"/>
      <c r="JO46" s="70"/>
      <c r="JP46" s="70"/>
      <c r="JQ46" s="70"/>
    </row>
    <row r="47" spans="1:277">
      <c r="A47" s="65" t="s">
        <v>114</v>
      </c>
      <c r="B47" s="66" t="s">
        <v>28</v>
      </c>
      <c r="C47" s="67">
        <v>7.26E-3</v>
      </c>
      <c r="D47" s="67">
        <v>0</v>
      </c>
      <c r="E47" s="67">
        <v>1.6639999999999999E-3</v>
      </c>
      <c r="F47" s="67">
        <v>1.186E-3</v>
      </c>
      <c r="G47" s="67">
        <v>1.4040000000000001E-3</v>
      </c>
      <c r="H47" s="67">
        <v>1.3849999999999999E-3</v>
      </c>
      <c r="I47" s="67">
        <v>4.86E-4</v>
      </c>
      <c r="J47" s="67">
        <v>8.9999999999999998E-4</v>
      </c>
      <c r="K47" s="67">
        <v>2.61E-4</v>
      </c>
      <c r="L47" s="67">
        <v>4.1339999999999997E-3</v>
      </c>
      <c r="M47" s="67">
        <v>4.019E-3</v>
      </c>
      <c r="N47" s="67">
        <v>2.1900000000000001E-4</v>
      </c>
      <c r="O47" s="67">
        <v>7.1000000000000002E-4</v>
      </c>
      <c r="P47" s="67">
        <v>7.071E-3</v>
      </c>
      <c r="Q47" s="67">
        <v>7.6920000000000001E-3</v>
      </c>
      <c r="R47" s="67">
        <v>3.0379999999999999E-3</v>
      </c>
      <c r="S47" s="67">
        <v>4.3639999999999998E-3</v>
      </c>
      <c r="T47" s="67">
        <v>1.797E-3</v>
      </c>
      <c r="U47" s="67">
        <v>6.6516000000000006E-2</v>
      </c>
      <c r="V47" s="67">
        <v>4.8363000000000003E-2</v>
      </c>
      <c r="W47" s="67">
        <v>2.3410000000000002E-3</v>
      </c>
      <c r="X47" s="67">
        <v>3.0000000000000001E-6</v>
      </c>
      <c r="Y47" s="67">
        <v>0</v>
      </c>
      <c r="Z47" s="67">
        <v>5.0000000000000004E-6</v>
      </c>
      <c r="AA47" s="67">
        <v>1.9999999999999999E-6</v>
      </c>
      <c r="AB47" s="67">
        <v>9.9999999999999995E-7</v>
      </c>
      <c r="AC47" s="67">
        <v>7.9999999999999996E-6</v>
      </c>
      <c r="AD47" s="67">
        <v>9.9999999999999995E-7</v>
      </c>
      <c r="AE47" s="67">
        <v>9.9999999999999995E-7</v>
      </c>
      <c r="AF47" s="67">
        <v>9.9999999999999995E-7</v>
      </c>
      <c r="AG47" s="67">
        <v>1.9999999999999999E-6</v>
      </c>
      <c r="AH47" s="67">
        <v>1.9999999999999999E-6</v>
      </c>
      <c r="AI47" s="67">
        <v>0</v>
      </c>
      <c r="AJ47" s="67">
        <v>9.9999999999999995E-7</v>
      </c>
      <c r="AK47" s="67">
        <v>0</v>
      </c>
      <c r="AL47" s="67">
        <v>9.9999999999999995E-7</v>
      </c>
      <c r="AM47" s="67">
        <v>1.9999999999999999E-6</v>
      </c>
      <c r="AN47" s="67">
        <v>9.9999999999999995E-7</v>
      </c>
      <c r="AO47" s="67">
        <v>0</v>
      </c>
      <c r="AP47" s="67">
        <v>0</v>
      </c>
      <c r="AQ47" s="67">
        <v>0</v>
      </c>
      <c r="AR47" s="67">
        <v>0</v>
      </c>
      <c r="AS47" s="67">
        <v>9.9999999999999995E-7</v>
      </c>
      <c r="AT47" s="67">
        <v>0</v>
      </c>
      <c r="AU47" s="67">
        <v>9.9999999999999995E-7</v>
      </c>
      <c r="AV47" s="67">
        <v>9.9999999999999995E-7</v>
      </c>
      <c r="AW47" s="67">
        <v>9.9999999999999995E-7</v>
      </c>
      <c r="AX47" s="67">
        <v>1.9999999999999999E-6</v>
      </c>
      <c r="AY47" s="67">
        <v>9.9999999999999995E-7</v>
      </c>
      <c r="AZ47" s="67">
        <v>9.9999999999999995E-7</v>
      </c>
      <c r="BA47" s="67">
        <v>0</v>
      </c>
      <c r="BB47" s="67">
        <v>9.9999999999999995E-7</v>
      </c>
      <c r="BC47" s="67">
        <v>9.9999999999999995E-7</v>
      </c>
      <c r="BD47" s="67">
        <v>0</v>
      </c>
      <c r="BE47" s="67">
        <v>0</v>
      </c>
      <c r="BF47" s="67">
        <v>0</v>
      </c>
      <c r="BG47" s="67">
        <v>9.9999999999999995E-7</v>
      </c>
      <c r="BH47" s="67">
        <v>9.9999999999999995E-7</v>
      </c>
      <c r="BI47" s="67">
        <v>9.9999999999999995E-7</v>
      </c>
      <c r="BJ47" s="67">
        <v>0</v>
      </c>
      <c r="BK47" s="67">
        <v>0</v>
      </c>
      <c r="BL47" s="67">
        <v>0</v>
      </c>
      <c r="BM47" s="67">
        <v>0</v>
      </c>
      <c r="BN47" s="67">
        <v>0</v>
      </c>
      <c r="BO47" s="67">
        <v>0</v>
      </c>
      <c r="BP47" s="67">
        <v>0</v>
      </c>
      <c r="BQ47" s="67">
        <v>0</v>
      </c>
      <c r="BR47" s="67">
        <v>0</v>
      </c>
      <c r="BS47" s="67">
        <v>9.9999999999999995E-7</v>
      </c>
      <c r="BT47" s="67">
        <v>0</v>
      </c>
      <c r="BU47" s="67">
        <v>0</v>
      </c>
      <c r="BV47" s="67">
        <v>0</v>
      </c>
      <c r="BW47" s="67">
        <v>0</v>
      </c>
      <c r="BX47" s="67">
        <v>0</v>
      </c>
      <c r="BY47" s="67">
        <v>0</v>
      </c>
      <c r="BZ47" s="67">
        <v>0</v>
      </c>
      <c r="CA47" s="67">
        <v>0</v>
      </c>
      <c r="CB47" s="67">
        <v>0</v>
      </c>
      <c r="CC47" s="67">
        <v>0</v>
      </c>
      <c r="CD47" s="67">
        <v>0</v>
      </c>
      <c r="CE47" s="67">
        <v>0</v>
      </c>
      <c r="CF47" s="67">
        <v>0</v>
      </c>
      <c r="CG47" s="67">
        <v>0</v>
      </c>
      <c r="CH47" s="67">
        <v>0</v>
      </c>
      <c r="CI47" s="67">
        <v>0</v>
      </c>
      <c r="CJ47" s="67">
        <v>0</v>
      </c>
      <c r="CK47" s="67">
        <v>0</v>
      </c>
      <c r="CL47" s="67">
        <v>0</v>
      </c>
      <c r="CM47" s="67">
        <v>0</v>
      </c>
      <c r="CN47" s="67">
        <v>0</v>
      </c>
      <c r="CO47" s="67">
        <v>0</v>
      </c>
      <c r="CP47" s="67">
        <v>0</v>
      </c>
      <c r="CQ47" s="67">
        <v>0</v>
      </c>
      <c r="CR47" s="67">
        <v>0</v>
      </c>
      <c r="CS47" s="67">
        <v>0</v>
      </c>
      <c r="CT47" s="67">
        <v>0</v>
      </c>
      <c r="CU47" s="67">
        <v>0</v>
      </c>
      <c r="CV47" s="67">
        <v>0</v>
      </c>
      <c r="CW47" s="67">
        <v>0</v>
      </c>
      <c r="CX47" s="67">
        <v>0</v>
      </c>
      <c r="CY47" s="67">
        <v>0</v>
      </c>
      <c r="CZ47" s="67">
        <v>0</v>
      </c>
      <c r="DA47" s="67">
        <v>0</v>
      </c>
      <c r="DB47" s="67">
        <v>0</v>
      </c>
      <c r="DC47" s="67">
        <v>0</v>
      </c>
      <c r="DD47" s="67">
        <v>4.1999999999999998E-5</v>
      </c>
      <c r="DE47" s="67">
        <v>0</v>
      </c>
      <c r="DF47" s="67">
        <v>9.2999999999999997E-5</v>
      </c>
      <c r="DG47" s="67">
        <v>3.8999999999999999E-5</v>
      </c>
      <c r="DH47" s="67">
        <v>3.9999999999999998E-6</v>
      </c>
      <c r="DI47" s="67">
        <v>1.0000000000000001E-5</v>
      </c>
      <c r="DJ47" s="67">
        <v>1.9999999999999999E-6</v>
      </c>
      <c r="DK47" s="67">
        <v>1.9999999999999999E-6</v>
      </c>
      <c r="DL47" s="67">
        <v>1.9999999999999999E-6</v>
      </c>
      <c r="DM47" s="67">
        <v>6.9999999999999999E-6</v>
      </c>
      <c r="DN47" s="67">
        <v>6.0000000000000002E-6</v>
      </c>
      <c r="DO47" s="67">
        <v>9.9999999999999995E-7</v>
      </c>
      <c r="DP47" s="67">
        <v>9.9999999999999995E-7</v>
      </c>
      <c r="DQ47" s="67">
        <v>9.9999999999999995E-7</v>
      </c>
      <c r="DR47" s="67">
        <v>1.9999999999999999E-6</v>
      </c>
      <c r="DS47" s="67">
        <v>3.1999999999999999E-5</v>
      </c>
      <c r="DT47" s="67">
        <v>6.0000000000000002E-6</v>
      </c>
      <c r="DU47" s="67">
        <v>9.9999999999999995E-7</v>
      </c>
      <c r="DV47" s="67">
        <v>0</v>
      </c>
      <c r="DW47" s="67">
        <v>0</v>
      </c>
      <c r="DX47" s="67">
        <v>1.9999999999999999E-6</v>
      </c>
      <c r="DY47" s="67">
        <v>0</v>
      </c>
      <c r="DZ47" s="67">
        <v>0</v>
      </c>
      <c r="EA47" s="67">
        <v>9.9999999999999995E-7</v>
      </c>
      <c r="EB47" s="67">
        <v>9.9999999999999995E-7</v>
      </c>
      <c r="EC47" s="67">
        <v>0</v>
      </c>
      <c r="ED47" s="67">
        <v>9.9999999999999995E-7</v>
      </c>
      <c r="EE47" s="67">
        <v>0</v>
      </c>
      <c r="EF47" s="67">
        <v>0</v>
      </c>
      <c r="EG47" s="67">
        <v>0</v>
      </c>
      <c r="EH47" s="67">
        <v>9.9999999999999995E-7</v>
      </c>
      <c r="EI47" s="67">
        <v>9.9999999999999995E-7</v>
      </c>
      <c r="EJ47" s="67">
        <v>0</v>
      </c>
      <c r="EK47" s="67">
        <v>0</v>
      </c>
      <c r="EL47" s="67">
        <v>0</v>
      </c>
      <c r="EM47" s="67">
        <v>0</v>
      </c>
      <c r="EN47" s="67">
        <v>0</v>
      </c>
      <c r="EO47" s="67">
        <v>9.9999999999999995E-7</v>
      </c>
      <c r="EP47" s="67">
        <v>0</v>
      </c>
      <c r="EQ47" s="67">
        <v>0</v>
      </c>
      <c r="ER47" s="67">
        <v>0</v>
      </c>
      <c r="ES47" s="67">
        <v>0</v>
      </c>
      <c r="ET47" s="67">
        <v>1.9999999999999999E-6</v>
      </c>
      <c r="EU47" s="67">
        <v>0</v>
      </c>
      <c r="EV47" s="67">
        <v>3.9999999999999998E-6</v>
      </c>
      <c r="EW47" s="67">
        <v>9.9999999999999995E-7</v>
      </c>
      <c r="EX47" s="67">
        <v>9.9999999999999995E-7</v>
      </c>
      <c r="EY47" s="67">
        <v>9.9999999999999995E-7</v>
      </c>
      <c r="EZ47" s="67">
        <v>9.9999999999999995E-7</v>
      </c>
      <c r="FA47" s="67">
        <v>0</v>
      </c>
      <c r="FB47" s="67">
        <v>0</v>
      </c>
      <c r="FC47" s="67">
        <v>9.9999999999999995E-7</v>
      </c>
      <c r="FD47" s="67">
        <v>9.9999999999999995E-7</v>
      </c>
      <c r="FE47" s="67">
        <v>0</v>
      </c>
      <c r="FF47" s="67">
        <v>9.9999999999999995E-7</v>
      </c>
      <c r="FG47" s="67">
        <v>0</v>
      </c>
      <c r="FH47" s="67">
        <v>9.9999999999999995E-7</v>
      </c>
      <c r="FI47" s="67">
        <v>9.9999999999999995E-7</v>
      </c>
      <c r="FJ47" s="67">
        <v>1.9999999999999999E-6</v>
      </c>
      <c r="FK47" s="67">
        <v>0</v>
      </c>
      <c r="FL47" s="67">
        <v>0</v>
      </c>
      <c r="FM47" s="67">
        <v>0</v>
      </c>
      <c r="FN47" s="67">
        <v>0</v>
      </c>
      <c r="FO47" s="67">
        <v>1.2E-5</v>
      </c>
      <c r="FP47" s="67">
        <v>0</v>
      </c>
      <c r="FQ47" s="67">
        <v>2.4000000000000001E-5</v>
      </c>
      <c r="FR47" s="67">
        <v>8.6000000000000003E-5</v>
      </c>
      <c r="FS47" s="67">
        <v>9.0000000000000002E-6</v>
      </c>
      <c r="FT47" s="67">
        <v>2.8E-5</v>
      </c>
      <c r="FU47" s="67">
        <v>5.0000000000000004E-6</v>
      </c>
      <c r="FV47" s="67">
        <v>9.0000000000000002E-6</v>
      </c>
      <c r="FW47" s="67">
        <v>7.9999999999999996E-6</v>
      </c>
      <c r="FX47" s="67">
        <v>1.5999999999999999E-5</v>
      </c>
      <c r="FY47" s="67">
        <v>1.4E-5</v>
      </c>
      <c r="FZ47" s="67">
        <v>3.9999999999999998E-6</v>
      </c>
      <c r="GA47" s="67">
        <v>5.0000000000000004E-6</v>
      </c>
      <c r="GB47" s="67">
        <v>1.2999999999999999E-5</v>
      </c>
      <c r="GC47" s="67">
        <v>6.9999999999999999E-6</v>
      </c>
      <c r="GD47" s="67">
        <v>1.1E-5</v>
      </c>
      <c r="GE47" s="67">
        <v>1.5999999999999999E-5</v>
      </c>
      <c r="GF47" s="67">
        <v>6.9999999999999999E-6</v>
      </c>
      <c r="GG47" s="67">
        <v>1.15E-4</v>
      </c>
      <c r="GH47" s="67">
        <v>8.3999999999999995E-5</v>
      </c>
      <c r="GI47" s="67">
        <v>5.0000000000000004E-6</v>
      </c>
      <c r="GJ47" s="67">
        <v>0</v>
      </c>
      <c r="GK47" s="67">
        <v>0</v>
      </c>
      <c r="GL47" s="67">
        <v>0</v>
      </c>
      <c r="GM47" s="67">
        <v>0</v>
      </c>
      <c r="GN47" s="67">
        <v>0</v>
      </c>
      <c r="GO47" s="67">
        <v>9.9999999999999995E-7</v>
      </c>
      <c r="GP47" s="67">
        <v>0</v>
      </c>
      <c r="GQ47" s="67">
        <v>0</v>
      </c>
      <c r="GR47" s="67">
        <v>0</v>
      </c>
      <c r="GS47" s="67">
        <v>9.9999999999999995E-7</v>
      </c>
      <c r="GT47" s="67">
        <v>9.9999999999999995E-7</v>
      </c>
      <c r="GU47" s="67">
        <v>0</v>
      </c>
      <c r="GV47" s="67">
        <v>0</v>
      </c>
      <c r="GW47" s="67">
        <v>0</v>
      </c>
      <c r="GX47" s="67">
        <v>0</v>
      </c>
      <c r="GY47" s="67">
        <v>0</v>
      </c>
      <c r="GZ47" s="67">
        <v>1.9999999999999999E-6</v>
      </c>
      <c r="HA47" s="67">
        <v>9.9999999999999995E-7</v>
      </c>
      <c r="HB47" s="67">
        <v>0</v>
      </c>
      <c r="HC47" s="67">
        <v>0</v>
      </c>
      <c r="HD47" s="67">
        <v>0</v>
      </c>
      <c r="HE47" s="67">
        <v>1.9999999999999999E-6</v>
      </c>
      <c r="HF47" s="67">
        <v>0</v>
      </c>
      <c r="HG47" s="67">
        <v>5.0000000000000004E-6</v>
      </c>
      <c r="HH47" s="67">
        <v>1.9999999999999999E-6</v>
      </c>
      <c r="HI47" s="67">
        <v>9.9999999999999995E-7</v>
      </c>
      <c r="HJ47" s="67">
        <v>3.0000000000000001E-6</v>
      </c>
      <c r="HK47" s="67">
        <v>9.9999999999999995E-7</v>
      </c>
      <c r="HL47" s="67">
        <v>0</v>
      </c>
      <c r="HM47" s="67">
        <v>0</v>
      </c>
      <c r="HN47" s="67">
        <v>9.9999999999999995E-7</v>
      </c>
      <c r="HO47" s="67">
        <v>9.9999999999999995E-7</v>
      </c>
      <c r="HP47" s="67">
        <v>9.9999999999999995E-7</v>
      </c>
      <c r="HQ47" s="67">
        <v>9.9999999999999995E-7</v>
      </c>
      <c r="HR47" s="67">
        <v>9.9999999999999995E-7</v>
      </c>
      <c r="HS47" s="67">
        <v>9.9999999999999995E-7</v>
      </c>
      <c r="HT47" s="67">
        <v>1.9999999999999999E-6</v>
      </c>
      <c r="HU47" s="67">
        <v>9.9999999999999995E-7</v>
      </c>
      <c r="HV47" s="67">
        <v>0</v>
      </c>
      <c r="HW47" s="67">
        <v>0</v>
      </c>
      <c r="HX47" s="67">
        <v>0</v>
      </c>
      <c r="HY47" s="67">
        <v>9.9999999999999995E-7</v>
      </c>
      <c r="HZ47" s="67"/>
      <c r="IA47" s="67"/>
      <c r="IB47" s="67"/>
      <c r="IC47" s="67"/>
      <c r="ID47" s="67"/>
      <c r="IE47" s="67"/>
      <c r="IF47" s="67"/>
      <c r="IG47" s="67"/>
      <c r="IH47" s="67"/>
      <c r="II47" s="67"/>
      <c r="IJ47" s="67"/>
      <c r="IK47" s="67"/>
      <c r="IL47" s="67"/>
      <c r="IM47" s="67"/>
      <c r="IN47" s="67"/>
      <c r="IO47" s="67"/>
      <c r="IP47" s="67"/>
      <c r="IQ47" s="67"/>
      <c r="IR47" s="67"/>
      <c r="IS47" s="67"/>
      <c r="IT47" s="67"/>
      <c r="IU47" s="67"/>
      <c r="IV47" s="67"/>
      <c r="IW47" s="67"/>
      <c r="IX47" s="67"/>
      <c r="IY47" s="67"/>
      <c r="IZ47" s="67"/>
      <c r="JA47" s="67"/>
      <c r="JB47" s="67"/>
      <c r="JC47" s="67"/>
      <c r="JD47" s="67"/>
      <c r="JE47" s="67"/>
      <c r="JF47" s="67"/>
      <c r="JG47" s="67"/>
      <c r="JH47" s="67"/>
      <c r="JI47" s="67"/>
      <c r="JJ47" s="67"/>
      <c r="JK47" s="67"/>
      <c r="JL47" s="67"/>
      <c r="JM47" s="67"/>
      <c r="JN47" s="67"/>
      <c r="JO47" s="67"/>
      <c r="JP47" s="67"/>
      <c r="JQ47" s="67"/>
    </row>
    <row r="48" spans="1:277">
      <c r="A48" s="68" t="s">
        <v>115</v>
      </c>
      <c r="B48" s="69" t="s">
        <v>29</v>
      </c>
      <c r="C48" s="70">
        <v>5.6498E-2</v>
      </c>
      <c r="D48" s="70">
        <v>0</v>
      </c>
      <c r="E48" s="70">
        <v>1.2949E-2</v>
      </c>
      <c r="F48" s="70">
        <v>9.2300000000000004E-3</v>
      </c>
      <c r="G48" s="70">
        <v>1.0928999999999999E-2</v>
      </c>
      <c r="H48" s="70">
        <v>1.0777E-2</v>
      </c>
      <c r="I48" s="70">
        <v>3.7829999999999999E-3</v>
      </c>
      <c r="J48" s="70">
        <v>7.0000000000000001E-3</v>
      </c>
      <c r="K48" s="70">
        <v>2.0309999999999998E-3</v>
      </c>
      <c r="L48" s="70">
        <v>3.2166E-2</v>
      </c>
      <c r="M48" s="70">
        <v>3.1273000000000002E-2</v>
      </c>
      <c r="N48" s="70">
        <v>1.701E-3</v>
      </c>
      <c r="O48" s="70">
        <v>5.5290000000000001E-3</v>
      </c>
      <c r="P48" s="70">
        <v>5.5025999999999999E-2</v>
      </c>
      <c r="Q48" s="70">
        <v>5.9853000000000003E-2</v>
      </c>
      <c r="R48" s="70">
        <v>2.3639E-2</v>
      </c>
      <c r="S48" s="70">
        <v>3.3960999999999998E-2</v>
      </c>
      <c r="T48" s="70">
        <v>1.3984999999999999E-2</v>
      </c>
      <c r="U48" s="70">
        <v>0.51760700000000004</v>
      </c>
      <c r="V48" s="70">
        <v>0.37634699999999999</v>
      </c>
      <c r="W48" s="70">
        <v>1.8218000000000002E-2</v>
      </c>
      <c r="X48" s="70">
        <v>2.1999999999999999E-5</v>
      </c>
      <c r="Y48" s="70">
        <v>0</v>
      </c>
      <c r="Z48" s="70">
        <v>4.3000000000000002E-5</v>
      </c>
      <c r="AA48" s="70">
        <v>1.8E-5</v>
      </c>
      <c r="AB48" s="70">
        <v>1.1E-5</v>
      </c>
      <c r="AC48" s="70">
        <v>5.8999999999999998E-5</v>
      </c>
      <c r="AD48" s="70">
        <v>9.0000000000000002E-6</v>
      </c>
      <c r="AE48" s="70">
        <v>6.9999999999999999E-6</v>
      </c>
      <c r="AF48" s="70">
        <v>7.9999999999999996E-6</v>
      </c>
      <c r="AG48" s="70">
        <v>1.7E-5</v>
      </c>
      <c r="AH48" s="70">
        <v>1.5E-5</v>
      </c>
      <c r="AI48" s="70">
        <v>3.0000000000000001E-6</v>
      </c>
      <c r="AJ48" s="70">
        <v>6.0000000000000002E-6</v>
      </c>
      <c r="AK48" s="70">
        <v>3.0000000000000001E-6</v>
      </c>
      <c r="AL48" s="70">
        <v>5.0000000000000004E-6</v>
      </c>
      <c r="AM48" s="70">
        <v>1.4E-5</v>
      </c>
      <c r="AN48" s="70">
        <v>6.0000000000000002E-6</v>
      </c>
      <c r="AO48" s="70">
        <v>1.9999999999999999E-6</v>
      </c>
      <c r="AP48" s="70">
        <v>0</v>
      </c>
      <c r="AQ48" s="70">
        <v>0</v>
      </c>
      <c r="AR48" s="70">
        <v>3.0000000000000001E-6</v>
      </c>
      <c r="AS48" s="70">
        <v>6.0000000000000002E-6</v>
      </c>
      <c r="AT48" s="70">
        <v>0</v>
      </c>
      <c r="AU48" s="70">
        <v>1.1E-5</v>
      </c>
      <c r="AV48" s="70">
        <v>9.0000000000000002E-6</v>
      </c>
      <c r="AW48" s="70">
        <v>3.9999999999999998E-6</v>
      </c>
      <c r="AX48" s="70">
        <v>1.2E-5</v>
      </c>
      <c r="AY48" s="70">
        <v>3.9999999999999998E-6</v>
      </c>
      <c r="AZ48" s="70">
        <v>3.9999999999999998E-6</v>
      </c>
      <c r="BA48" s="70">
        <v>3.0000000000000001E-6</v>
      </c>
      <c r="BB48" s="70">
        <v>7.9999999999999996E-6</v>
      </c>
      <c r="BC48" s="70">
        <v>6.9999999999999999E-6</v>
      </c>
      <c r="BD48" s="70">
        <v>3.0000000000000001E-6</v>
      </c>
      <c r="BE48" s="70">
        <v>3.0000000000000001E-6</v>
      </c>
      <c r="BF48" s="70">
        <v>3.0000000000000001E-6</v>
      </c>
      <c r="BG48" s="70">
        <v>5.0000000000000004E-6</v>
      </c>
      <c r="BH48" s="70">
        <v>3.9999999999999998E-6</v>
      </c>
      <c r="BI48" s="70">
        <v>1.0000000000000001E-5</v>
      </c>
      <c r="BJ48" s="70">
        <v>3.9999999999999998E-6</v>
      </c>
      <c r="BK48" s="70">
        <v>9.9999999999999995E-7</v>
      </c>
      <c r="BL48" s="70">
        <v>0</v>
      </c>
      <c r="BM48" s="70">
        <v>3.0000000000000001E-6</v>
      </c>
      <c r="BN48" s="70">
        <v>9.9999999999999995E-7</v>
      </c>
      <c r="BO48" s="70">
        <v>0</v>
      </c>
      <c r="BP48" s="70">
        <v>9.9999999999999995E-7</v>
      </c>
      <c r="BQ48" s="70">
        <v>1.9999999999999999E-6</v>
      </c>
      <c r="BR48" s="70">
        <v>1.9999999999999999E-6</v>
      </c>
      <c r="BS48" s="70">
        <v>3.9999999999999998E-6</v>
      </c>
      <c r="BT48" s="70">
        <v>1.9999999999999999E-6</v>
      </c>
      <c r="BU48" s="70">
        <v>9.9999999999999995E-7</v>
      </c>
      <c r="BV48" s="70">
        <v>1.9999999999999999E-6</v>
      </c>
      <c r="BW48" s="70">
        <v>3.9999999999999998E-6</v>
      </c>
      <c r="BX48" s="70">
        <v>1.9999999999999999E-6</v>
      </c>
      <c r="BY48" s="70">
        <v>9.9999999999999995E-7</v>
      </c>
      <c r="BZ48" s="70">
        <v>1.9999999999999999E-6</v>
      </c>
      <c r="CA48" s="70">
        <v>1.9999999999999999E-6</v>
      </c>
      <c r="CB48" s="70">
        <v>9.9999999999999995E-7</v>
      </c>
      <c r="CC48" s="70">
        <v>9.9999999999999995E-7</v>
      </c>
      <c r="CD48" s="70">
        <v>3.0000000000000001E-6</v>
      </c>
      <c r="CE48" s="70">
        <v>0</v>
      </c>
      <c r="CF48" s="70">
        <v>0</v>
      </c>
      <c r="CG48" s="70">
        <v>0</v>
      </c>
      <c r="CH48" s="70">
        <v>1.9999999999999999E-6</v>
      </c>
      <c r="CI48" s="70">
        <v>9.9999999999999995E-7</v>
      </c>
      <c r="CJ48" s="70">
        <v>0</v>
      </c>
      <c r="CK48" s="70">
        <v>3.0000000000000001E-6</v>
      </c>
      <c r="CL48" s="70">
        <v>1.9999999999999999E-6</v>
      </c>
      <c r="CM48" s="70">
        <v>9.9999999999999995E-7</v>
      </c>
      <c r="CN48" s="70">
        <v>3.9999999999999998E-6</v>
      </c>
      <c r="CO48" s="70">
        <v>9.9999999999999995E-7</v>
      </c>
      <c r="CP48" s="70">
        <v>1.9999999999999999E-6</v>
      </c>
      <c r="CQ48" s="70">
        <v>9.9999999999999995E-7</v>
      </c>
      <c r="CR48" s="70">
        <v>3.0000000000000001E-6</v>
      </c>
      <c r="CS48" s="70">
        <v>3.0000000000000001E-6</v>
      </c>
      <c r="CT48" s="70">
        <v>9.9999999999999995E-7</v>
      </c>
      <c r="CU48" s="70">
        <v>9.9999999999999995E-7</v>
      </c>
      <c r="CV48" s="70">
        <v>9.9999999999999995E-7</v>
      </c>
      <c r="CW48" s="70">
        <v>9.9999999999999995E-7</v>
      </c>
      <c r="CX48" s="70">
        <v>9.9999999999999995E-7</v>
      </c>
      <c r="CY48" s="70">
        <v>1.9999999999999999E-6</v>
      </c>
      <c r="CZ48" s="70">
        <v>9.9999999999999995E-7</v>
      </c>
      <c r="DA48" s="70">
        <v>0</v>
      </c>
      <c r="DB48" s="70">
        <v>0</v>
      </c>
      <c r="DC48" s="70">
        <v>9.9999999999999995E-7</v>
      </c>
      <c r="DD48" s="70">
        <v>3.2699999999999998E-4</v>
      </c>
      <c r="DE48" s="70">
        <v>0</v>
      </c>
      <c r="DF48" s="70">
        <v>7.2400000000000003E-4</v>
      </c>
      <c r="DG48" s="70">
        <v>3.0200000000000002E-4</v>
      </c>
      <c r="DH48" s="70">
        <v>3.1999999999999999E-5</v>
      </c>
      <c r="DI48" s="70">
        <v>7.7999999999999999E-5</v>
      </c>
      <c r="DJ48" s="70">
        <v>1.4E-5</v>
      </c>
      <c r="DK48" s="70">
        <v>1.9000000000000001E-5</v>
      </c>
      <c r="DL48" s="70">
        <v>1.8E-5</v>
      </c>
      <c r="DM48" s="70">
        <v>5.3999999999999998E-5</v>
      </c>
      <c r="DN48" s="70">
        <v>4.5000000000000003E-5</v>
      </c>
      <c r="DO48" s="70">
        <v>1.0000000000000001E-5</v>
      </c>
      <c r="DP48" s="70">
        <v>1.0000000000000001E-5</v>
      </c>
      <c r="DQ48" s="70">
        <v>1.1E-5</v>
      </c>
      <c r="DR48" s="70">
        <v>1.5E-5</v>
      </c>
      <c r="DS48" s="70">
        <v>2.4899999999999998E-4</v>
      </c>
      <c r="DT48" s="70">
        <v>4.6E-5</v>
      </c>
      <c r="DU48" s="70">
        <v>1.1E-5</v>
      </c>
      <c r="DV48" s="70">
        <v>3.0000000000000001E-6</v>
      </c>
      <c r="DW48" s="70">
        <v>1.9999999999999999E-6</v>
      </c>
      <c r="DX48" s="70">
        <v>1.8E-5</v>
      </c>
      <c r="DY48" s="70">
        <v>9.9999999999999995E-7</v>
      </c>
      <c r="DZ48" s="70">
        <v>0</v>
      </c>
      <c r="EA48" s="70">
        <v>5.0000000000000004E-6</v>
      </c>
      <c r="EB48" s="70">
        <v>3.9999999999999998E-6</v>
      </c>
      <c r="EC48" s="70">
        <v>1.9999999999999999E-6</v>
      </c>
      <c r="ED48" s="70">
        <v>5.0000000000000004E-6</v>
      </c>
      <c r="EE48" s="70">
        <v>1.9999999999999999E-6</v>
      </c>
      <c r="EF48" s="70">
        <v>1.9999999999999999E-6</v>
      </c>
      <c r="EG48" s="70">
        <v>1.9999999999999999E-6</v>
      </c>
      <c r="EH48" s="70">
        <v>3.9999999999999998E-6</v>
      </c>
      <c r="EI48" s="70">
        <v>5.0000000000000004E-6</v>
      </c>
      <c r="EJ48" s="70">
        <v>9.9999999999999995E-7</v>
      </c>
      <c r="EK48" s="70">
        <v>3.0000000000000001E-6</v>
      </c>
      <c r="EL48" s="70">
        <v>3.0000000000000001E-6</v>
      </c>
      <c r="EM48" s="70">
        <v>1.9999999999999999E-6</v>
      </c>
      <c r="EN48" s="70">
        <v>3.0000000000000001E-6</v>
      </c>
      <c r="EO48" s="70">
        <v>6.0000000000000002E-6</v>
      </c>
      <c r="EP48" s="70">
        <v>1.9999999999999999E-6</v>
      </c>
      <c r="EQ48" s="70">
        <v>0</v>
      </c>
      <c r="ER48" s="70">
        <v>0</v>
      </c>
      <c r="ES48" s="70">
        <v>1.9999999999999999E-6</v>
      </c>
      <c r="ET48" s="70">
        <v>1.2999999999999999E-5</v>
      </c>
      <c r="EU48" s="70">
        <v>0</v>
      </c>
      <c r="EV48" s="70">
        <v>2.9E-5</v>
      </c>
      <c r="EW48" s="70">
        <v>6.9999999999999999E-6</v>
      </c>
      <c r="EX48" s="70">
        <v>7.9999999999999996E-6</v>
      </c>
      <c r="EY48" s="70">
        <v>1.1E-5</v>
      </c>
      <c r="EZ48" s="70">
        <v>3.9999999999999998E-6</v>
      </c>
      <c r="FA48" s="70">
        <v>3.0000000000000001E-6</v>
      </c>
      <c r="FB48" s="70">
        <v>3.9999999999999998E-6</v>
      </c>
      <c r="FC48" s="70">
        <v>6.0000000000000002E-6</v>
      </c>
      <c r="FD48" s="70">
        <v>7.9999999999999996E-6</v>
      </c>
      <c r="FE48" s="70">
        <v>1.9999999999999999E-6</v>
      </c>
      <c r="FF48" s="70">
        <v>3.9999999999999998E-6</v>
      </c>
      <c r="FG48" s="70">
        <v>3.9999999999999998E-6</v>
      </c>
      <c r="FH48" s="70">
        <v>6.0000000000000002E-6</v>
      </c>
      <c r="FI48" s="70">
        <v>6.0000000000000002E-6</v>
      </c>
      <c r="FJ48" s="70">
        <v>1.2E-5</v>
      </c>
      <c r="FK48" s="70">
        <v>3.0000000000000001E-6</v>
      </c>
      <c r="FL48" s="70">
        <v>0</v>
      </c>
      <c r="FM48" s="70">
        <v>0</v>
      </c>
      <c r="FN48" s="70">
        <v>3.9999999999999998E-6</v>
      </c>
      <c r="FO48" s="70">
        <v>9.1000000000000003E-5</v>
      </c>
      <c r="FP48" s="70">
        <v>0</v>
      </c>
      <c r="FQ48" s="70">
        <v>1.9000000000000001E-4</v>
      </c>
      <c r="FR48" s="70">
        <v>6.7199999999999996E-4</v>
      </c>
      <c r="FS48" s="70">
        <v>6.7999999999999999E-5</v>
      </c>
      <c r="FT48" s="70">
        <v>2.2000000000000001E-4</v>
      </c>
      <c r="FU48" s="70">
        <v>4.0000000000000003E-5</v>
      </c>
      <c r="FV48" s="70">
        <v>7.2000000000000002E-5</v>
      </c>
      <c r="FW48" s="70">
        <v>6.6000000000000005E-5</v>
      </c>
      <c r="FX48" s="70">
        <v>1.21E-4</v>
      </c>
      <c r="FY48" s="70">
        <v>1.08E-4</v>
      </c>
      <c r="FZ48" s="70">
        <v>2.8E-5</v>
      </c>
      <c r="GA48" s="70">
        <v>4.0000000000000003E-5</v>
      </c>
      <c r="GB48" s="70">
        <v>1.03E-4</v>
      </c>
      <c r="GC48" s="70">
        <v>5.3000000000000001E-5</v>
      </c>
      <c r="GD48" s="70">
        <v>8.6000000000000003E-5</v>
      </c>
      <c r="GE48" s="70">
        <v>1.21E-4</v>
      </c>
      <c r="GF48" s="70">
        <v>5.1E-5</v>
      </c>
      <c r="GG48" s="70">
        <v>8.9800000000000004E-4</v>
      </c>
      <c r="GH48" s="70">
        <v>6.5300000000000004E-4</v>
      </c>
      <c r="GI48" s="70">
        <v>4.1E-5</v>
      </c>
      <c r="GJ48" s="70">
        <v>1.9999999999999999E-6</v>
      </c>
      <c r="GK48" s="70">
        <v>0</v>
      </c>
      <c r="GL48" s="70">
        <v>3.9999999999999998E-6</v>
      </c>
      <c r="GM48" s="70">
        <v>3.9999999999999998E-6</v>
      </c>
      <c r="GN48" s="70">
        <v>3.0000000000000001E-6</v>
      </c>
      <c r="GO48" s="70">
        <v>7.9999999999999996E-6</v>
      </c>
      <c r="GP48" s="70">
        <v>3.0000000000000001E-6</v>
      </c>
      <c r="GQ48" s="70">
        <v>3.0000000000000001E-6</v>
      </c>
      <c r="GR48" s="70">
        <v>1.9999999999999999E-6</v>
      </c>
      <c r="GS48" s="70">
        <v>6.9999999999999999E-6</v>
      </c>
      <c r="GT48" s="70">
        <v>5.0000000000000004E-6</v>
      </c>
      <c r="GU48" s="70">
        <v>3.9999999999999998E-6</v>
      </c>
      <c r="GV48" s="70">
        <v>1.9999999999999999E-6</v>
      </c>
      <c r="GW48" s="70">
        <v>3.0000000000000001E-6</v>
      </c>
      <c r="GX48" s="70">
        <v>3.0000000000000001E-6</v>
      </c>
      <c r="GY48" s="70">
        <v>3.0000000000000001E-6</v>
      </c>
      <c r="GZ48" s="70">
        <v>1.7E-5</v>
      </c>
      <c r="HA48" s="70">
        <v>3.9999999999999998E-6</v>
      </c>
      <c r="HB48" s="70">
        <v>0</v>
      </c>
      <c r="HC48" s="70">
        <v>0</v>
      </c>
      <c r="HD48" s="70">
        <v>3.9999999999999998E-6</v>
      </c>
      <c r="HE48" s="70">
        <v>1.2999999999999999E-5</v>
      </c>
      <c r="HF48" s="70">
        <v>0</v>
      </c>
      <c r="HG48" s="70">
        <v>4.3000000000000002E-5</v>
      </c>
      <c r="HH48" s="70">
        <v>1.9000000000000001E-5</v>
      </c>
      <c r="HI48" s="70">
        <v>6.0000000000000002E-6</v>
      </c>
      <c r="HJ48" s="70">
        <v>2.0000000000000002E-5</v>
      </c>
      <c r="HK48" s="70">
        <v>3.9999999999999998E-6</v>
      </c>
      <c r="HL48" s="70">
        <v>3.9999999999999998E-6</v>
      </c>
      <c r="HM48" s="70">
        <v>3.9999999999999998E-6</v>
      </c>
      <c r="HN48" s="70">
        <v>9.0000000000000002E-6</v>
      </c>
      <c r="HO48" s="70">
        <v>1.0000000000000001E-5</v>
      </c>
      <c r="HP48" s="70">
        <v>6.0000000000000002E-6</v>
      </c>
      <c r="HQ48" s="70">
        <v>3.9999999999999998E-6</v>
      </c>
      <c r="HR48" s="70">
        <v>3.9999999999999998E-6</v>
      </c>
      <c r="HS48" s="70">
        <v>3.9999999999999998E-6</v>
      </c>
      <c r="HT48" s="70">
        <v>1.2E-5</v>
      </c>
      <c r="HU48" s="70">
        <v>1.1E-5</v>
      </c>
      <c r="HV48" s="70">
        <v>3.9999999999999998E-6</v>
      </c>
      <c r="HW48" s="70">
        <v>9.9999999999999995E-7</v>
      </c>
      <c r="HX48" s="70">
        <v>9.9999999999999995E-7</v>
      </c>
      <c r="HY48" s="70">
        <v>3.9999999999999998E-6</v>
      </c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</row>
    <row r="49" spans="1:277">
      <c r="A49" s="65" t="s">
        <v>116</v>
      </c>
      <c r="B49" s="66" t="s">
        <v>30</v>
      </c>
      <c r="C49" s="67">
        <v>7.0020000000000004E-3</v>
      </c>
      <c r="D49" s="67">
        <v>0</v>
      </c>
      <c r="E49" s="67">
        <v>3.5040000000000002E-3</v>
      </c>
      <c r="F49" s="67">
        <v>5.6030000000000003E-3</v>
      </c>
      <c r="G49" s="67">
        <v>3.9769999999999996E-3</v>
      </c>
      <c r="H49" s="67">
        <v>1.3439E-2</v>
      </c>
      <c r="I49" s="67">
        <v>2.0370000000000002E-3</v>
      </c>
      <c r="J49" s="67">
        <v>7.1207000000000006E-2</v>
      </c>
      <c r="K49" s="67">
        <v>3.7666999999999999E-2</v>
      </c>
      <c r="L49" s="67">
        <v>0.16120200000000001</v>
      </c>
      <c r="M49" s="67">
        <v>0.102016</v>
      </c>
      <c r="N49" s="67">
        <v>3.2918999999999997E-2</v>
      </c>
      <c r="O49" s="67">
        <v>1.6433E-2</v>
      </c>
      <c r="P49" s="67">
        <v>8.3976999999999996E-2</v>
      </c>
      <c r="Q49" s="67">
        <v>0.120018</v>
      </c>
      <c r="R49" s="67">
        <v>6.6560999999999995E-2</v>
      </c>
      <c r="S49" s="67">
        <v>0.20532500000000001</v>
      </c>
      <c r="T49" s="67">
        <v>8.3390000000000006E-2</v>
      </c>
      <c r="U49" s="67">
        <v>1.5374000000000001E-2</v>
      </c>
      <c r="V49" s="67">
        <v>1.1178E-2</v>
      </c>
      <c r="W49" s="67">
        <v>1.130064</v>
      </c>
      <c r="X49" s="67">
        <v>6.9999999999999994E-5</v>
      </c>
      <c r="Y49" s="67">
        <v>0</v>
      </c>
      <c r="Z49" s="67">
        <v>7.7999999999999999E-5</v>
      </c>
      <c r="AA49" s="67">
        <v>7.8999999999999996E-5</v>
      </c>
      <c r="AB49" s="67">
        <v>7.2999999999999999E-5</v>
      </c>
      <c r="AC49" s="67">
        <v>2.2599999999999999E-4</v>
      </c>
      <c r="AD49" s="67">
        <v>7.7000000000000001E-5</v>
      </c>
      <c r="AE49" s="67">
        <v>7.1000000000000005E-5</v>
      </c>
      <c r="AF49" s="67">
        <v>7.6000000000000004E-5</v>
      </c>
      <c r="AG49" s="67">
        <v>2.03E-4</v>
      </c>
      <c r="AH49" s="67">
        <v>1.37E-4</v>
      </c>
      <c r="AI49" s="67">
        <v>4.8000000000000001E-5</v>
      </c>
      <c r="AJ49" s="67">
        <v>6.8999999999999997E-5</v>
      </c>
      <c r="AK49" s="67">
        <v>4.0000000000000003E-5</v>
      </c>
      <c r="AL49" s="67">
        <v>5.5999999999999999E-5</v>
      </c>
      <c r="AM49" s="67">
        <v>4.1999999999999998E-5</v>
      </c>
      <c r="AN49" s="67">
        <v>1.18E-4</v>
      </c>
      <c r="AO49" s="67">
        <v>4.1E-5</v>
      </c>
      <c r="AP49" s="67">
        <v>3.9999999999999998E-6</v>
      </c>
      <c r="AQ49" s="67">
        <v>3.0000000000000001E-6</v>
      </c>
      <c r="AR49" s="67">
        <v>4.1999999999999998E-5</v>
      </c>
      <c r="AS49" s="67">
        <v>6.2000000000000003E-5</v>
      </c>
      <c r="AT49" s="67">
        <v>0</v>
      </c>
      <c r="AU49" s="67">
        <v>1.05E-4</v>
      </c>
      <c r="AV49" s="67">
        <v>8.5000000000000006E-5</v>
      </c>
      <c r="AW49" s="67">
        <v>8.5000000000000006E-5</v>
      </c>
      <c r="AX49" s="67">
        <v>3.5500000000000001E-4</v>
      </c>
      <c r="AY49" s="67">
        <v>9.2999999999999997E-5</v>
      </c>
      <c r="AZ49" s="67">
        <v>9.8999999999999994E-5</v>
      </c>
      <c r="BA49" s="67">
        <v>7.7000000000000001E-5</v>
      </c>
      <c r="BB49" s="67">
        <v>2.3699999999999999E-4</v>
      </c>
      <c r="BC49" s="67">
        <v>1.8200000000000001E-4</v>
      </c>
      <c r="BD49" s="67">
        <v>8.0000000000000007E-5</v>
      </c>
      <c r="BE49" s="67">
        <v>8.2000000000000001E-5</v>
      </c>
      <c r="BF49" s="67">
        <v>7.7000000000000001E-5</v>
      </c>
      <c r="BG49" s="67">
        <v>8.5000000000000006E-5</v>
      </c>
      <c r="BH49" s="67">
        <v>8.2000000000000001E-5</v>
      </c>
      <c r="BI49" s="67">
        <v>3.4299999999999999E-4</v>
      </c>
      <c r="BJ49" s="67">
        <v>1.11E-4</v>
      </c>
      <c r="BK49" s="67">
        <v>1.8E-5</v>
      </c>
      <c r="BL49" s="67">
        <v>1.2999999999999999E-5</v>
      </c>
      <c r="BM49" s="67">
        <v>9.6000000000000002E-5</v>
      </c>
      <c r="BN49" s="67">
        <v>2.9E-5</v>
      </c>
      <c r="BO49" s="67">
        <v>0</v>
      </c>
      <c r="BP49" s="67">
        <v>5.0000000000000002E-5</v>
      </c>
      <c r="BQ49" s="67">
        <v>7.7999999999999999E-5</v>
      </c>
      <c r="BR49" s="67">
        <v>6.7000000000000002E-5</v>
      </c>
      <c r="BS49" s="67">
        <v>1.8599999999999999E-4</v>
      </c>
      <c r="BT49" s="67">
        <v>7.6000000000000004E-5</v>
      </c>
      <c r="BU49" s="67">
        <v>6.6000000000000005E-5</v>
      </c>
      <c r="BV49" s="67">
        <v>7.7999999999999999E-5</v>
      </c>
      <c r="BW49" s="67">
        <v>1.85E-4</v>
      </c>
      <c r="BX49" s="67">
        <v>1.0900000000000001E-4</v>
      </c>
      <c r="BY49" s="67">
        <v>6.0999999999999999E-5</v>
      </c>
      <c r="BZ49" s="67">
        <v>1.17E-4</v>
      </c>
      <c r="CA49" s="67">
        <v>9.2999999999999997E-5</v>
      </c>
      <c r="CB49" s="67">
        <v>5.8999999999999998E-5</v>
      </c>
      <c r="CC49" s="67">
        <v>5.1999999999999997E-5</v>
      </c>
      <c r="CD49" s="67">
        <v>1.6200000000000001E-4</v>
      </c>
      <c r="CE49" s="67">
        <v>1.8E-5</v>
      </c>
      <c r="CF49" s="67">
        <v>1.1E-5</v>
      </c>
      <c r="CG49" s="67">
        <v>7.9999999999999996E-6</v>
      </c>
      <c r="CH49" s="67">
        <v>8.5000000000000006E-5</v>
      </c>
      <c r="CI49" s="67">
        <v>3.1999999999999999E-5</v>
      </c>
      <c r="CJ49" s="67">
        <v>0</v>
      </c>
      <c r="CK49" s="67">
        <v>4.6E-5</v>
      </c>
      <c r="CL49" s="67">
        <v>5.1E-5</v>
      </c>
      <c r="CM49" s="67">
        <v>5.0000000000000002E-5</v>
      </c>
      <c r="CN49" s="67">
        <v>1.2799999999999999E-4</v>
      </c>
      <c r="CO49" s="67">
        <v>4.3000000000000002E-5</v>
      </c>
      <c r="CP49" s="67">
        <v>6.0000000000000002E-5</v>
      </c>
      <c r="CQ49" s="67">
        <v>5.1999999999999997E-5</v>
      </c>
      <c r="CR49" s="67">
        <v>1E-4</v>
      </c>
      <c r="CS49" s="67">
        <v>9.2E-5</v>
      </c>
      <c r="CT49" s="67">
        <v>3.4999999999999997E-5</v>
      </c>
      <c r="CU49" s="67">
        <v>5.0000000000000002E-5</v>
      </c>
      <c r="CV49" s="67">
        <v>6.3E-5</v>
      </c>
      <c r="CW49" s="67">
        <v>3.6999999999999998E-5</v>
      </c>
      <c r="CX49" s="67">
        <v>4.8000000000000001E-5</v>
      </c>
      <c r="CY49" s="67">
        <v>1.25E-4</v>
      </c>
      <c r="CZ49" s="67">
        <v>7.3999999999999996E-5</v>
      </c>
      <c r="DA49" s="67">
        <v>1.9000000000000001E-5</v>
      </c>
      <c r="DB49" s="67">
        <v>1.4E-5</v>
      </c>
      <c r="DC49" s="67">
        <v>6.6000000000000005E-5</v>
      </c>
      <c r="DD49" s="67">
        <v>6.2000000000000003E-5</v>
      </c>
      <c r="DE49" s="67">
        <v>0</v>
      </c>
      <c r="DF49" s="67">
        <v>1.11E-4</v>
      </c>
      <c r="DG49" s="67">
        <v>6.4999999999999994E-5</v>
      </c>
      <c r="DH49" s="67">
        <v>4.1999999999999998E-5</v>
      </c>
      <c r="DI49" s="67">
        <v>9.7999999999999997E-5</v>
      </c>
      <c r="DJ49" s="67">
        <v>2.6999999999999999E-5</v>
      </c>
      <c r="DK49" s="67">
        <v>3.1000000000000001E-5</v>
      </c>
      <c r="DL49" s="67">
        <v>3.6000000000000001E-5</v>
      </c>
      <c r="DM49" s="67">
        <v>2.24E-4</v>
      </c>
      <c r="DN49" s="67">
        <v>9.7999999999999997E-5</v>
      </c>
      <c r="DO49" s="67">
        <v>2.5999999999999998E-5</v>
      </c>
      <c r="DP49" s="67">
        <v>3.0000000000000001E-5</v>
      </c>
      <c r="DQ49" s="67">
        <v>1.5999999999999999E-5</v>
      </c>
      <c r="DR49" s="67">
        <v>3.4E-5</v>
      </c>
      <c r="DS49" s="67">
        <v>5.8E-5</v>
      </c>
      <c r="DT49" s="67">
        <v>1.44E-4</v>
      </c>
      <c r="DU49" s="67">
        <v>2.1999999999999999E-5</v>
      </c>
      <c r="DV49" s="67">
        <v>5.0000000000000004E-6</v>
      </c>
      <c r="DW49" s="67">
        <v>3.0000000000000001E-6</v>
      </c>
      <c r="DX49" s="67">
        <v>2.0000000000000002E-5</v>
      </c>
      <c r="DY49" s="67">
        <v>2.3E-5</v>
      </c>
      <c r="DZ49" s="67">
        <v>0</v>
      </c>
      <c r="EA49" s="67">
        <v>5.3999999999999998E-5</v>
      </c>
      <c r="EB49" s="67">
        <v>7.4999999999999993E-5</v>
      </c>
      <c r="EC49" s="67">
        <v>6.3E-5</v>
      </c>
      <c r="ED49" s="67">
        <v>1.54E-4</v>
      </c>
      <c r="EE49" s="67">
        <v>6.0999999999999999E-5</v>
      </c>
      <c r="EF49" s="67">
        <v>6.7000000000000002E-5</v>
      </c>
      <c r="EG49" s="67">
        <v>6.4999999999999994E-5</v>
      </c>
      <c r="EH49" s="67">
        <v>1.66E-4</v>
      </c>
      <c r="EI49" s="67">
        <v>1.64E-4</v>
      </c>
      <c r="EJ49" s="67">
        <v>5.5000000000000002E-5</v>
      </c>
      <c r="EK49" s="67">
        <v>1.1900000000000001E-4</v>
      </c>
      <c r="EL49" s="67">
        <v>9.3999999999999994E-5</v>
      </c>
      <c r="EM49" s="67">
        <v>6.3999999999999997E-5</v>
      </c>
      <c r="EN49" s="67">
        <v>8.5000000000000006E-5</v>
      </c>
      <c r="EO49" s="67">
        <v>2.6200000000000003E-4</v>
      </c>
      <c r="EP49" s="67">
        <v>1.03E-4</v>
      </c>
      <c r="EQ49" s="67">
        <v>1.9000000000000001E-5</v>
      </c>
      <c r="ER49" s="67">
        <v>1.2999999999999999E-5</v>
      </c>
      <c r="ES49" s="67">
        <v>7.7000000000000001E-5</v>
      </c>
      <c r="ET49" s="67">
        <v>2.5000000000000001E-5</v>
      </c>
      <c r="EU49" s="67">
        <v>0</v>
      </c>
      <c r="EV49" s="67">
        <v>3.8000000000000002E-5</v>
      </c>
      <c r="EW49" s="67">
        <v>4.3000000000000002E-5</v>
      </c>
      <c r="EX49" s="67">
        <v>4.8999999999999998E-5</v>
      </c>
      <c r="EY49" s="67">
        <v>1.2300000000000001E-4</v>
      </c>
      <c r="EZ49" s="67">
        <v>8.5000000000000006E-5</v>
      </c>
      <c r="FA49" s="67">
        <v>4.1E-5</v>
      </c>
      <c r="FB49" s="67">
        <v>4.8999999999999998E-5</v>
      </c>
      <c r="FC49" s="67">
        <v>1.01E-4</v>
      </c>
      <c r="FD49" s="67">
        <v>7.6000000000000004E-5</v>
      </c>
      <c r="FE49" s="67">
        <v>4.3000000000000002E-5</v>
      </c>
      <c r="FF49" s="67">
        <v>6.6000000000000005E-5</v>
      </c>
      <c r="FG49" s="67">
        <v>4.5000000000000003E-5</v>
      </c>
      <c r="FH49" s="67">
        <v>9.7999999999999997E-5</v>
      </c>
      <c r="FI49" s="67">
        <v>3.1999999999999999E-5</v>
      </c>
      <c r="FJ49" s="67">
        <v>2.1699999999999999E-4</v>
      </c>
      <c r="FK49" s="67">
        <v>7.2999999999999999E-5</v>
      </c>
      <c r="FL49" s="67">
        <v>6.9999999999999999E-6</v>
      </c>
      <c r="FM49" s="67">
        <v>5.0000000000000004E-6</v>
      </c>
      <c r="FN49" s="67">
        <v>4.1E-5</v>
      </c>
      <c r="FO49" s="67">
        <v>4.9200000000000003E-4</v>
      </c>
      <c r="FP49" s="67">
        <v>0</v>
      </c>
      <c r="FQ49" s="67">
        <v>7.8700000000000005E-4</v>
      </c>
      <c r="FR49" s="67">
        <v>7.2999999999999996E-4</v>
      </c>
      <c r="FS49" s="67">
        <v>5.5500000000000005E-4</v>
      </c>
      <c r="FT49" s="67">
        <v>1.011E-3</v>
      </c>
      <c r="FU49" s="67">
        <v>6.2399999999999999E-4</v>
      </c>
      <c r="FV49" s="67">
        <v>1.011E-3</v>
      </c>
      <c r="FW49" s="67">
        <v>5.9000000000000003E-4</v>
      </c>
      <c r="FX49" s="67">
        <v>1.0529999999999999E-3</v>
      </c>
      <c r="FY49" s="67">
        <v>9.8200000000000002E-4</v>
      </c>
      <c r="FZ49" s="67">
        <v>4.7699999999999999E-4</v>
      </c>
      <c r="GA49" s="67">
        <v>6.29E-4</v>
      </c>
      <c r="GB49" s="67">
        <v>1.152E-3</v>
      </c>
      <c r="GC49" s="67">
        <v>1.0759999999999999E-3</v>
      </c>
      <c r="GD49" s="67">
        <v>5.2599999999999999E-4</v>
      </c>
      <c r="GE49" s="67">
        <v>3.8149999999999998E-3</v>
      </c>
      <c r="GF49" s="67">
        <v>1.567E-3</v>
      </c>
      <c r="GG49" s="67">
        <v>2.0669999999999998E-3</v>
      </c>
      <c r="GH49" s="67">
        <v>1.503E-3</v>
      </c>
      <c r="GI49" s="67">
        <v>7.0799999999999997E-4</v>
      </c>
      <c r="GJ49" s="67">
        <v>9.2E-5</v>
      </c>
      <c r="GK49" s="67">
        <v>0</v>
      </c>
      <c r="GL49" s="67">
        <v>1.4799999999999999E-4</v>
      </c>
      <c r="GM49" s="67">
        <v>9.7E-5</v>
      </c>
      <c r="GN49" s="67">
        <v>1.06E-4</v>
      </c>
      <c r="GO49" s="67">
        <v>3.3100000000000002E-4</v>
      </c>
      <c r="GP49" s="67">
        <v>1.0900000000000001E-4</v>
      </c>
      <c r="GQ49" s="67">
        <v>1.17E-4</v>
      </c>
      <c r="GR49" s="67">
        <v>8.5000000000000006E-5</v>
      </c>
      <c r="GS49" s="67">
        <v>2.9999999999999997E-4</v>
      </c>
      <c r="GT49" s="67">
        <v>2.14E-4</v>
      </c>
      <c r="GU49" s="67">
        <v>1.9900000000000001E-4</v>
      </c>
      <c r="GV49" s="67">
        <v>7.4999999999999993E-5</v>
      </c>
      <c r="GW49" s="67">
        <v>1.55E-4</v>
      </c>
      <c r="GX49" s="67">
        <v>9.6000000000000002E-5</v>
      </c>
      <c r="GY49" s="67">
        <v>1.06E-4</v>
      </c>
      <c r="GZ49" s="67">
        <v>9.41E-4</v>
      </c>
      <c r="HA49" s="67">
        <v>1.7799999999999999E-4</v>
      </c>
      <c r="HB49" s="67">
        <v>2.0999999999999999E-5</v>
      </c>
      <c r="HC49" s="67">
        <v>1.5E-5</v>
      </c>
      <c r="HD49" s="67">
        <v>1.84E-4</v>
      </c>
      <c r="HE49" s="67">
        <v>7.2999999999999999E-5</v>
      </c>
      <c r="HF49" s="67">
        <v>0</v>
      </c>
      <c r="HG49" s="67">
        <v>1.18E-4</v>
      </c>
      <c r="HH49" s="67">
        <v>7.8999999999999996E-5</v>
      </c>
      <c r="HI49" s="67">
        <v>9.2999999999999997E-5</v>
      </c>
      <c r="HJ49" s="67">
        <v>3.68E-4</v>
      </c>
      <c r="HK49" s="67">
        <v>8.8999999999999995E-5</v>
      </c>
      <c r="HL49" s="67">
        <v>8.3999999999999995E-5</v>
      </c>
      <c r="HM49" s="67">
        <v>8.6000000000000003E-5</v>
      </c>
      <c r="HN49" s="67">
        <v>2.23E-4</v>
      </c>
      <c r="HO49" s="67">
        <v>2.0599999999999999E-4</v>
      </c>
      <c r="HP49" s="67">
        <v>1.0399999999999999E-4</v>
      </c>
      <c r="HQ49" s="67">
        <v>1.2E-4</v>
      </c>
      <c r="HR49" s="67">
        <v>1.08E-4</v>
      </c>
      <c r="HS49" s="67">
        <v>9.2999999999999997E-5</v>
      </c>
      <c r="HT49" s="67">
        <v>1.0399999999999999E-4</v>
      </c>
      <c r="HU49" s="67">
        <v>2.6800000000000001E-4</v>
      </c>
      <c r="HV49" s="67">
        <v>1.34E-4</v>
      </c>
      <c r="HW49" s="67">
        <v>2.6999999999999999E-5</v>
      </c>
      <c r="HX49" s="67">
        <v>1.9000000000000001E-5</v>
      </c>
      <c r="HY49" s="67">
        <v>1.16E-4</v>
      </c>
      <c r="HZ49" s="67"/>
      <c r="IA49" s="67"/>
      <c r="IB49" s="67"/>
      <c r="IC49" s="67"/>
      <c r="ID49" s="67"/>
      <c r="IE49" s="67"/>
      <c r="IF49" s="67"/>
      <c r="IG49" s="67"/>
      <c r="IH49" s="67"/>
      <c r="II49" s="67"/>
      <c r="IJ49" s="67"/>
      <c r="IK49" s="67"/>
      <c r="IL49" s="67"/>
      <c r="IM49" s="67"/>
      <c r="IN49" s="67"/>
      <c r="IO49" s="67"/>
      <c r="IP49" s="67"/>
      <c r="IQ49" s="67"/>
      <c r="IR49" s="67"/>
      <c r="IS49" s="67"/>
      <c r="IT49" s="67"/>
      <c r="IU49" s="67"/>
      <c r="IV49" s="67"/>
      <c r="IW49" s="67"/>
      <c r="IX49" s="67"/>
      <c r="IY49" s="67"/>
      <c r="IZ49" s="67"/>
      <c r="JA49" s="67"/>
      <c r="JB49" s="67"/>
      <c r="JC49" s="67"/>
      <c r="JD49" s="67"/>
      <c r="JE49" s="67"/>
      <c r="JF49" s="67"/>
      <c r="JG49" s="67"/>
      <c r="JH49" s="67"/>
      <c r="JI49" s="67"/>
      <c r="JJ49" s="67"/>
      <c r="JK49" s="67"/>
      <c r="JL49" s="67"/>
      <c r="JM49" s="67"/>
      <c r="JN49" s="67"/>
      <c r="JO49" s="67"/>
      <c r="JP49" s="67"/>
      <c r="JQ49" s="67"/>
    </row>
    <row r="50" spans="1:277">
      <c r="A50" s="68"/>
      <c r="B50" s="69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70"/>
      <c r="CR50" s="70"/>
      <c r="CS50" s="70"/>
      <c r="CT50" s="70"/>
      <c r="CU50" s="70"/>
      <c r="CV50" s="70"/>
      <c r="CW50" s="70"/>
      <c r="CX50" s="70"/>
      <c r="CY50" s="70"/>
      <c r="CZ50" s="70"/>
      <c r="DA50" s="70"/>
      <c r="DB50" s="70"/>
      <c r="DC50" s="70"/>
      <c r="DD50" s="70"/>
      <c r="DE50" s="70"/>
      <c r="DF50" s="70"/>
      <c r="DG50" s="70"/>
      <c r="DH50" s="70"/>
      <c r="DI50" s="70"/>
      <c r="DJ50" s="70"/>
      <c r="DK50" s="70"/>
      <c r="DL50" s="70"/>
      <c r="DM50" s="70"/>
      <c r="DN50" s="70"/>
      <c r="DO50" s="70"/>
      <c r="DP50" s="70"/>
      <c r="DQ50" s="70"/>
      <c r="DR50" s="70"/>
      <c r="DS50" s="70"/>
      <c r="DT50" s="70"/>
      <c r="DU50" s="70"/>
      <c r="DV50" s="70"/>
      <c r="DW50" s="70"/>
      <c r="DX50" s="70"/>
      <c r="DY50" s="70"/>
      <c r="DZ50" s="70"/>
      <c r="EA50" s="70"/>
      <c r="EB50" s="70"/>
      <c r="EC50" s="70"/>
      <c r="ED50" s="70"/>
      <c r="EE50" s="70"/>
      <c r="EF50" s="70"/>
      <c r="EG50" s="70"/>
      <c r="EH50" s="70"/>
      <c r="EI50" s="70"/>
      <c r="EJ50" s="70"/>
      <c r="EK50" s="70"/>
      <c r="EL50" s="70"/>
      <c r="EM50" s="70"/>
      <c r="EN50" s="70"/>
      <c r="EO50" s="70"/>
      <c r="EP50" s="70"/>
      <c r="EQ50" s="70"/>
      <c r="ER50" s="70"/>
      <c r="ES50" s="70"/>
      <c r="ET50" s="70"/>
      <c r="EU50" s="70"/>
      <c r="EV50" s="70"/>
      <c r="EW50" s="70"/>
      <c r="EX50" s="70"/>
      <c r="EY50" s="70"/>
      <c r="EZ50" s="70"/>
      <c r="FA50" s="70"/>
      <c r="FB50" s="70"/>
      <c r="FC50" s="70"/>
      <c r="FD50" s="70"/>
      <c r="FE50" s="70"/>
      <c r="FF50" s="70"/>
      <c r="FG50" s="70"/>
      <c r="FH50" s="70"/>
      <c r="FI50" s="70"/>
      <c r="FJ50" s="70"/>
      <c r="FK50" s="70"/>
      <c r="FL50" s="70"/>
      <c r="FM50" s="70"/>
      <c r="FN50" s="70"/>
      <c r="FO50" s="70"/>
      <c r="FP50" s="70"/>
      <c r="FQ50" s="70"/>
      <c r="FR50" s="70"/>
      <c r="FS50" s="70"/>
      <c r="FT50" s="70"/>
      <c r="FU50" s="70"/>
      <c r="FV50" s="70"/>
      <c r="FW50" s="70"/>
      <c r="FX50" s="70"/>
      <c r="FY50" s="70"/>
      <c r="FZ50" s="70"/>
      <c r="GA50" s="70"/>
      <c r="GB50" s="70"/>
      <c r="GC50" s="70"/>
      <c r="GD50" s="70"/>
      <c r="GE50" s="70"/>
      <c r="GF50" s="70"/>
      <c r="GG50" s="70"/>
      <c r="GH50" s="70"/>
      <c r="GI50" s="70"/>
      <c r="GJ50" s="70"/>
      <c r="GK50" s="70"/>
      <c r="GL50" s="70"/>
      <c r="GM50" s="70"/>
      <c r="GN50" s="70"/>
      <c r="GO50" s="70"/>
      <c r="GP50" s="70"/>
      <c r="GQ50" s="70"/>
      <c r="GR50" s="70"/>
      <c r="GS50" s="70"/>
      <c r="GT50" s="70"/>
      <c r="GU50" s="70"/>
      <c r="GV50" s="70"/>
      <c r="GW50" s="70"/>
      <c r="GX50" s="70"/>
      <c r="GY50" s="70"/>
      <c r="GZ50" s="70"/>
      <c r="HA50" s="70"/>
      <c r="HB50" s="70"/>
      <c r="HC50" s="70"/>
      <c r="HD50" s="70"/>
      <c r="HE50" s="70"/>
      <c r="HF50" s="70"/>
      <c r="HG50" s="70"/>
      <c r="HH50" s="70"/>
      <c r="HI50" s="70"/>
      <c r="HJ50" s="70"/>
      <c r="HK50" s="70"/>
      <c r="HL50" s="70"/>
      <c r="HM50" s="70"/>
      <c r="HN50" s="70"/>
      <c r="HO50" s="70"/>
      <c r="HP50" s="70"/>
      <c r="HQ50" s="70"/>
      <c r="HR50" s="70"/>
      <c r="HS50" s="70"/>
      <c r="HT50" s="70"/>
      <c r="HU50" s="70"/>
      <c r="HV50" s="70"/>
      <c r="HW50" s="70"/>
      <c r="HX50" s="70"/>
      <c r="HY50" s="70"/>
      <c r="HZ50" s="70"/>
      <c r="IA50" s="70"/>
      <c r="IB50" s="70"/>
      <c r="IC50" s="70"/>
      <c r="ID50" s="70"/>
      <c r="IE50" s="70"/>
      <c r="IF50" s="70"/>
      <c r="IG50" s="70"/>
      <c r="IH50" s="70"/>
      <c r="II50" s="70"/>
      <c r="IJ50" s="70"/>
      <c r="IK50" s="70"/>
      <c r="IL50" s="70"/>
      <c r="IM50" s="70"/>
      <c r="IN50" s="70"/>
      <c r="IO50" s="70"/>
      <c r="IP50" s="70"/>
      <c r="IQ50" s="70"/>
      <c r="IR50" s="70"/>
      <c r="IS50" s="70"/>
      <c r="IT50" s="70"/>
      <c r="IU50" s="70"/>
      <c r="IV50" s="70"/>
      <c r="IW50" s="70"/>
      <c r="IX50" s="70"/>
      <c r="IY50" s="70"/>
      <c r="IZ50" s="70"/>
      <c r="JA50" s="70"/>
      <c r="JB50" s="70"/>
      <c r="JC50" s="70"/>
      <c r="JD50" s="70"/>
      <c r="JE50" s="70"/>
      <c r="JF50" s="70"/>
      <c r="JG50" s="70"/>
      <c r="JH50" s="70"/>
      <c r="JI50" s="70"/>
      <c r="JJ50" s="70"/>
      <c r="JK50" s="70"/>
      <c r="JL50" s="70"/>
      <c r="JM50" s="70"/>
      <c r="JN50" s="70"/>
      <c r="JO50" s="70"/>
      <c r="JP50" s="70"/>
      <c r="JQ50" s="70"/>
    </row>
    <row r="51" spans="1:277">
      <c r="A51" s="65"/>
      <c r="B51" s="66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/>
      <c r="HJ51" s="67"/>
      <c r="HK51" s="67"/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/>
      <c r="IA51" s="67"/>
      <c r="IB51" s="67"/>
      <c r="IC51" s="67"/>
      <c r="ID51" s="67"/>
      <c r="IE51" s="67"/>
      <c r="IF51" s="67"/>
      <c r="IG51" s="67"/>
      <c r="IH51" s="67"/>
      <c r="II51" s="67"/>
      <c r="IJ51" s="67"/>
      <c r="IK51" s="67"/>
      <c r="IL51" s="67"/>
      <c r="IM51" s="67"/>
      <c r="IN51" s="67"/>
      <c r="IO51" s="67"/>
      <c r="IP51" s="67"/>
      <c r="IQ51" s="67"/>
      <c r="IR51" s="67"/>
      <c r="IS51" s="67"/>
      <c r="IT51" s="67"/>
      <c r="IU51" s="67"/>
      <c r="IV51" s="67"/>
      <c r="IW51" s="67"/>
      <c r="IX51" s="67"/>
      <c r="IY51" s="67"/>
      <c r="IZ51" s="67"/>
      <c r="JA51" s="67"/>
      <c r="JB51" s="67"/>
      <c r="JC51" s="67"/>
      <c r="JD51" s="67"/>
      <c r="JE51" s="67"/>
      <c r="JF51" s="67"/>
      <c r="JG51" s="67"/>
      <c r="JH51" s="67"/>
      <c r="JI51" s="67"/>
      <c r="JJ51" s="67"/>
      <c r="JK51" s="67"/>
      <c r="JL51" s="67"/>
      <c r="JM51" s="67"/>
      <c r="JN51" s="67"/>
      <c r="JO51" s="67"/>
      <c r="JP51" s="67"/>
      <c r="JQ51" s="67"/>
    </row>
    <row r="52" spans="1:277">
      <c r="A52" s="68"/>
      <c r="B52" s="69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70"/>
      <c r="CR52" s="70"/>
      <c r="CS52" s="70"/>
      <c r="CT52" s="70"/>
      <c r="CU52" s="70"/>
      <c r="CV52" s="70"/>
      <c r="CW52" s="70"/>
      <c r="CX52" s="70"/>
      <c r="CY52" s="70"/>
      <c r="CZ52" s="70"/>
      <c r="DA52" s="70"/>
      <c r="DB52" s="70"/>
      <c r="DC52" s="70"/>
      <c r="DD52" s="70"/>
      <c r="DE52" s="70"/>
      <c r="DF52" s="70"/>
      <c r="DG52" s="70"/>
      <c r="DH52" s="70"/>
      <c r="DI52" s="70"/>
      <c r="DJ52" s="70"/>
      <c r="DK52" s="70"/>
      <c r="DL52" s="70"/>
      <c r="DM52" s="70"/>
      <c r="DN52" s="70"/>
      <c r="DO52" s="70"/>
      <c r="DP52" s="70"/>
      <c r="DQ52" s="70"/>
      <c r="DR52" s="70"/>
      <c r="DS52" s="70"/>
      <c r="DT52" s="70"/>
      <c r="DU52" s="70"/>
      <c r="DV52" s="70"/>
      <c r="DW52" s="70"/>
      <c r="DX52" s="70"/>
      <c r="DY52" s="70"/>
      <c r="DZ52" s="70"/>
      <c r="EA52" s="70"/>
      <c r="EB52" s="70"/>
      <c r="EC52" s="70"/>
      <c r="ED52" s="70"/>
      <c r="EE52" s="70"/>
      <c r="EF52" s="70"/>
      <c r="EG52" s="70"/>
      <c r="EH52" s="70"/>
      <c r="EI52" s="70"/>
      <c r="EJ52" s="70"/>
      <c r="EK52" s="70"/>
      <c r="EL52" s="70"/>
      <c r="EM52" s="70"/>
      <c r="EN52" s="70"/>
      <c r="EO52" s="70"/>
      <c r="EP52" s="70"/>
      <c r="EQ52" s="70"/>
      <c r="ER52" s="70"/>
      <c r="ES52" s="70"/>
      <c r="ET52" s="70"/>
      <c r="EU52" s="70"/>
      <c r="EV52" s="70"/>
      <c r="EW52" s="70"/>
      <c r="EX52" s="70"/>
      <c r="EY52" s="70"/>
      <c r="EZ52" s="70"/>
      <c r="FA52" s="70"/>
      <c r="FB52" s="70"/>
      <c r="FC52" s="70"/>
      <c r="FD52" s="70"/>
      <c r="FE52" s="70"/>
      <c r="FF52" s="70"/>
      <c r="FG52" s="70"/>
      <c r="FH52" s="70"/>
      <c r="FI52" s="70"/>
      <c r="FJ52" s="70"/>
      <c r="FK52" s="70"/>
      <c r="FL52" s="70"/>
      <c r="FM52" s="70"/>
      <c r="FN52" s="70"/>
      <c r="FO52" s="70"/>
      <c r="FP52" s="70"/>
      <c r="FQ52" s="70"/>
      <c r="FR52" s="70"/>
      <c r="FS52" s="70"/>
      <c r="FT52" s="70"/>
      <c r="FU52" s="70"/>
      <c r="FV52" s="70"/>
      <c r="FW52" s="70"/>
      <c r="FX52" s="70"/>
      <c r="FY52" s="70"/>
      <c r="FZ52" s="70"/>
      <c r="GA52" s="70"/>
      <c r="GB52" s="70"/>
      <c r="GC52" s="70"/>
      <c r="GD52" s="70"/>
      <c r="GE52" s="70"/>
      <c r="GF52" s="70"/>
      <c r="GG52" s="70"/>
      <c r="GH52" s="70"/>
      <c r="GI52" s="70"/>
      <c r="GJ52" s="70"/>
      <c r="GK52" s="70"/>
      <c r="GL52" s="70"/>
      <c r="GM52" s="70"/>
      <c r="GN52" s="70"/>
      <c r="GO52" s="70"/>
      <c r="GP52" s="70"/>
      <c r="GQ52" s="70"/>
      <c r="GR52" s="70"/>
      <c r="GS52" s="70"/>
      <c r="GT52" s="70"/>
      <c r="GU52" s="70"/>
      <c r="GV52" s="70"/>
      <c r="GW52" s="70"/>
      <c r="GX52" s="70"/>
      <c r="GY52" s="70"/>
      <c r="GZ52" s="70"/>
      <c r="HA52" s="70"/>
      <c r="HB52" s="70"/>
      <c r="HC52" s="70"/>
      <c r="HD52" s="70"/>
      <c r="HE52" s="70"/>
      <c r="HF52" s="70"/>
      <c r="HG52" s="70"/>
      <c r="HH52" s="70"/>
      <c r="HI52" s="70"/>
      <c r="HJ52" s="70"/>
      <c r="HK52" s="70"/>
      <c r="HL52" s="70"/>
      <c r="HM52" s="70"/>
      <c r="HN52" s="70"/>
      <c r="HO52" s="70"/>
      <c r="HP52" s="70"/>
      <c r="HQ52" s="70"/>
      <c r="HR52" s="70"/>
      <c r="HS52" s="70"/>
      <c r="HT52" s="70"/>
      <c r="HU52" s="70"/>
      <c r="HV52" s="70"/>
      <c r="HW52" s="70"/>
      <c r="HX52" s="70"/>
      <c r="HY52" s="70"/>
      <c r="HZ52" s="70"/>
      <c r="IA52" s="70"/>
      <c r="IB52" s="70"/>
      <c r="IC52" s="70"/>
      <c r="ID52" s="70"/>
      <c r="IE52" s="70"/>
      <c r="IF52" s="70"/>
      <c r="IG52" s="70"/>
      <c r="IH52" s="70"/>
      <c r="II52" s="70"/>
      <c r="IJ52" s="70"/>
      <c r="IK52" s="70"/>
      <c r="IL52" s="70"/>
      <c r="IM52" s="70"/>
      <c r="IN52" s="70"/>
      <c r="IO52" s="70"/>
      <c r="IP52" s="70"/>
      <c r="IQ52" s="70"/>
      <c r="IR52" s="70"/>
      <c r="IS52" s="70"/>
      <c r="IT52" s="70"/>
      <c r="IU52" s="70"/>
      <c r="IV52" s="70"/>
      <c r="IW52" s="70"/>
      <c r="IX52" s="70"/>
      <c r="IY52" s="70"/>
      <c r="IZ52" s="70"/>
      <c r="JA52" s="70"/>
      <c r="JB52" s="70"/>
      <c r="JC52" s="70"/>
      <c r="JD52" s="70"/>
      <c r="JE52" s="70"/>
      <c r="JF52" s="70"/>
      <c r="JG52" s="70"/>
      <c r="JH52" s="70"/>
      <c r="JI52" s="70"/>
      <c r="JJ52" s="70"/>
      <c r="JK52" s="70"/>
      <c r="JL52" s="70"/>
      <c r="JM52" s="70"/>
      <c r="JN52" s="70"/>
      <c r="JO52" s="70"/>
      <c r="JP52" s="70"/>
      <c r="JQ52" s="70"/>
    </row>
    <row r="53" spans="1:277">
      <c r="A53" s="65"/>
      <c r="B53" s="66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7"/>
      <c r="BE53" s="67"/>
      <c r="BF53" s="67"/>
      <c r="BG53" s="67"/>
      <c r="BH53" s="67"/>
      <c r="BI53" s="67"/>
      <c r="BJ53" s="67"/>
      <c r="BK53" s="67"/>
      <c r="BL53" s="67"/>
      <c r="BM53" s="67"/>
      <c r="BN53" s="67"/>
      <c r="BO53" s="67"/>
      <c r="BP53" s="67"/>
      <c r="BQ53" s="67"/>
      <c r="BR53" s="67"/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/>
      <c r="DS53" s="67"/>
      <c r="DT53" s="67"/>
      <c r="DU53" s="67"/>
      <c r="DV53" s="67"/>
      <c r="DW53" s="67"/>
      <c r="DX53" s="67"/>
      <c r="DY53" s="67"/>
      <c r="DZ53" s="67"/>
      <c r="EA53" s="67"/>
      <c r="EB53" s="67"/>
      <c r="EC53" s="67"/>
      <c r="ED53" s="67"/>
      <c r="EE53" s="67"/>
      <c r="EF53" s="67"/>
      <c r="EG53" s="67"/>
      <c r="EH53" s="67"/>
      <c r="EI53" s="67"/>
      <c r="EJ53" s="67"/>
      <c r="EK53" s="67"/>
      <c r="EL53" s="67"/>
      <c r="EM53" s="67"/>
      <c r="EN53" s="67"/>
      <c r="EO53" s="67"/>
      <c r="EP53" s="67"/>
      <c r="EQ53" s="67"/>
      <c r="ER53" s="67"/>
      <c r="ES53" s="67"/>
      <c r="ET53" s="67"/>
      <c r="EU53" s="67"/>
      <c r="EV53" s="67"/>
      <c r="EW53" s="67"/>
      <c r="EX53" s="67"/>
      <c r="EY53" s="67"/>
      <c r="EZ53" s="67"/>
      <c r="FA53" s="67"/>
      <c r="FB53" s="67"/>
      <c r="FC53" s="67"/>
      <c r="FD53" s="67"/>
      <c r="FE53" s="67"/>
      <c r="FF53" s="67"/>
      <c r="FG53" s="67"/>
      <c r="FH53" s="67"/>
      <c r="FI53" s="67"/>
      <c r="FJ53" s="67"/>
      <c r="FK53" s="67"/>
      <c r="FL53" s="67"/>
      <c r="FM53" s="67"/>
      <c r="FN53" s="67"/>
      <c r="FO53" s="67"/>
      <c r="FP53" s="67"/>
      <c r="FQ53" s="67"/>
      <c r="FR53" s="67"/>
      <c r="FS53" s="67"/>
      <c r="FT53" s="67"/>
      <c r="FU53" s="67"/>
      <c r="FV53" s="67"/>
      <c r="FW53" s="67"/>
      <c r="FX53" s="67"/>
      <c r="FY53" s="67"/>
      <c r="FZ53" s="67"/>
      <c r="GA53" s="67"/>
      <c r="GB53" s="67"/>
      <c r="GC53" s="67"/>
      <c r="GD53" s="67"/>
      <c r="GE53" s="67"/>
      <c r="GF53" s="67"/>
      <c r="GG53" s="67"/>
      <c r="GH53" s="67"/>
      <c r="GI53" s="67"/>
      <c r="GJ53" s="67"/>
      <c r="GK53" s="67"/>
      <c r="GL53" s="67"/>
      <c r="GM53" s="67"/>
      <c r="GN53" s="67"/>
      <c r="GO53" s="67"/>
      <c r="GP53" s="67"/>
      <c r="GQ53" s="67"/>
      <c r="GR53" s="67"/>
      <c r="GS53" s="67"/>
      <c r="GT53" s="67"/>
      <c r="GU53" s="67"/>
      <c r="GV53" s="67"/>
      <c r="GW53" s="67"/>
      <c r="GX53" s="67"/>
      <c r="GY53" s="67"/>
      <c r="GZ53" s="67"/>
      <c r="HA53" s="67"/>
      <c r="HB53" s="67"/>
      <c r="HC53" s="67"/>
      <c r="HD53" s="67"/>
      <c r="HE53" s="67"/>
      <c r="HF53" s="67"/>
      <c r="HG53" s="67"/>
      <c r="HH53" s="67"/>
      <c r="HI53" s="67"/>
      <c r="HJ53" s="67"/>
      <c r="HK53" s="67"/>
      <c r="HL53" s="67"/>
      <c r="HM53" s="67"/>
      <c r="HN53" s="67"/>
      <c r="HO53" s="67"/>
      <c r="HP53" s="67"/>
      <c r="HQ53" s="67"/>
      <c r="HR53" s="67"/>
      <c r="HS53" s="67"/>
      <c r="HT53" s="67"/>
      <c r="HU53" s="67"/>
      <c r="HV53" s="67"/>
      <c r="HW53" s="67"/>
      <c r="HX53" s="67"/>
      <c r="HY53" s="67"/>
      <c r="HZ53" s="67"/>
      <c r="IA53" s="67"/>
      <c r="IB53" s="67"/>
      <c r="IC53" s="67"/>
      <c r="ID53" s="67"/>
      <c r="IE53" s="67"/>
      <c r="IF53" s="67"/>
      <c r="IG53" s="67"/>
      <c r="IH53" s="67"/>
      <c r="II53" s="67"/>
      <c r="IJ53" s="67"/>
      <c r="IK53" s="67"/>
      <c r="IL53" s="67"/>
      <c r="IM53" s="67"/>
      <c r="IN53" s="67"/>
      <c r="IO53" s="67"/>
      <c r="IP53" s="67"/>
      <c r="IQ53" s="67"/>
      <c r="IR53" s="67"/>
      <c r="IS53" s="67"/>
      <c r="IT53" s="67"/>
      <c r="IU53" s="67"/>
      <c r="IV53" s="67"/>
      <c r="IW53" s="67"/>
      <c r="IX53" s="67"/>
      <c r="IY53" s="67"/>
      <c r="IZ53" s="67"/>
      <c r="JA53" s="67"/>
      <c r="JB53" s="67"/>
      <c r="JC53" s="67"/>
      <c r="JD53" s="67"/>
      <c r="JE53" s="67"/>
      <c r="JF53" s="67"/>
      <c r="JG53" s="67"/>
      <c r="JH53" s="67"/>
      <c r="JI53" s="67"/>
      <c r="JJ53" s="67"/>
      <c r="JK53" s="67"/>
      <c r="JL53" s="67"/>
      <c r="JM53" s="67"/>
      <c r="JN53" s="67"/>
      <c r="JO53" s="67"/>
      <c r="JP53" s="67"/>
      <c r="JQ53" s="67"/>
    </row>
    <row r="54" spans="1:277">
      <c r="A54" s="68"/>
      <c r="B54" s="69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70"/>
      <c r="CR54" s="70"/>
      <c r="CS54" s="70"/>
      <c r="CT54" s="70"/>
      <c r="CU54" s="70"/>
      <c r="CV54" s="70"/>
      <c r="CW54" s="70"/>
      <c r="CX54" s="70"/>
      <c r="CY54" s="70"/>
      <c r="CZ54" s="70"/>
      <c r="DA54" s="70"/>
      <c r="DB54" s="70"/>
      <c r="DC54" s="70"/>
      <c r="DD54" s="70"/>
      <c r="DE54" s="70"/>
      <c r="DF54" s="70"/>
      <c r="DG54" s="70"/>
      <c r="DH54" s="70"/>
      <c r="DI54" s="70"/>
      <c r="DJ54" s="70"/>
      <c r="DK54" s="70"/>
      <c r="DL54" s="70"/>
      <c r="DM54" s="70"/>
      <c r="DN54" s="70"/>
      <c r="DO54" s="70"/>
      <c r="DP54" s="70"/>
      <c r="DQ54" s="70"/>
      <c r="DR54" s="70"/>
      <c r="DS54" s="70"/>
      <c r="DT54" s="70"/>
      <c r="DU54" s="70"/>
      <c r="DV54" s="70"/>
      <c r="DW54" s="70"/>
      <c r="DX54" s="70"/>
      <c r="DY54" s="70"/>
      <c r="DZ54" s="70"/>
      <c r="EA54" s="70"/>
      <c r="EB54" s="70"/>
      <c r="EC54" s="70"/>
      <c r="ED54" s="70"/>
      <c r="EE54" s="70"/>
      <c r="EF54" s="70"/>
      <c r="EG54" s="70"/>
      <c r="EH54" s="70"/>
      <c r="EI54" s="70"/>
      <c r="EJ54" s="70"/>
      <c r="EK54" s="70"/>
      <c r="EL54" s="70"/>
      <c r="EM54" s="70"/>
      <c r="EN54" s="70"/>
      <c r="EO54" s="70"/>
      <c r="EP54" s="70"/>
      <c r="EQ54" s="70"/>
      <c r="ER54" s="70"/>
      <c r="ES54" s="70"/>
      <c r="ET54" s="70"/>
      <c r="EU54" s="70"/>
      <c r="EV54" s="70"/>
      <c r="EW54" s="70"/>
      <c r="EX54" s="70"/>
      <c r="EY54" s="70"/>
      <c r="EZ54" s="70"/>
      <c r="FA54" s="70"/>
      <c r="FB54" s="70"/>
      <c r="FC54" s="70"/>
      <c r="FD54" s="70"/>
      <c r="FE54" s="70"/>
      <c r="FF54" s="70"/>
      <c r="FG54" s="70"/>
      <c r="FH54" s="70"/>
      <c r="FI54" s="70"/>
      <c r="FJ54" s="70"/>
      <c r="FK54" s="70"/>
      <c r="FL54" s="70"/>
      <c r="FM54" s="70"/>
      <c r="FN54" s="70"/>
      <c r="FO54" s="70"/>
      <c r="FP54" s="70"/>
      <c r="FQ54" s="70"/>
      <c r="FR54" s="70"/>
      <c r="FS54" s="70"/>
      <c r="FT54" s="70"/>
      <c r="FU54" s="70"/>
      <c r="FV54" s="70"/>
      <c r="FW54" s="70"/>
      <c r="FX54" s="70"/>
      <c r="FY54" s="70"/>
      <c r="FZ54" s="70"/>
      <c r="GA54" s="70"/>
      <c r="GB54" s="70"/>
      <c r="GC54" s="70"/>
      <c r="GD54" s="70"/>
      <c r="GE54" s="70"/>
      <c r="GF54" s="70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  <c r="HD54" s="70"/>
      <c r="HE54" s="70"/>
      <c r="HF54" s="70"/>
      <c r="HG54" s="70"/>
      <c r="HH54" s="70"/>
      <c r="HI54" s="70"/>
      <c r="HJ54" s="70"/>
      <c r="HK54" s="70"/>
      <c r="HL54" s="70"/>
      <c r="HM54" s="70"/>
      <c r="HN54" s="70"/>
      <c r="HO54" s="70"/>
      <c r="HP54" s="70"/>
      <c r="HQ54" s="70"/>
      <c r="HR54" s="70"/>
      <c r="HS54" s="70"/>
      <c r="HT54" s="70"/>
      <c r="HU54" s="70"/>
      <c r="HV54" s="70"/>
      <c r="HW54" s="70"/>
      <c r="HX54" s="70"/>
      <c r="HY54" s="70"/>
      <c r="HZ54" s="70"/>
      <c r="IA54" s="70"/>
      <c r="IB54" s="70"/>
      <c r="IC54" s="70"/>
      <c r="ID54" s="70"/>
      <c r="IE54" s="70"/>
      <c r="IF54" s="70"/>
      <c r="IG54" s="70"/>
      <c r="IH54" s="70"/>
      <c r="II54" s="70"/>
      <c r="IJ54" s="70"/>
      <c r="IK54" s="70"/>
      <c r="IL54" s="70"/>
      <c r="IM54" s="70"/>
      <c r="IN54" s="70"/>
      <c r="IO54" s="70"/>
      <c r="IP54" s="70"/>
      <c r="IQ54" s="70"/>
      <c r="IR54" s="70"/>
      <c r="IS54" s="70"/>
      <c r="IT54" s="70"/>
      <c r="IU54" s="70"/>
      <c r="IV54" s="70"/>
      <c r="IW54" s="70"/>
      <c r="IX54" s="70"/>
      <c r="IY54" s="70"/>
      <c r="IZ54" s="70"/>
      <c r="JA54" s="70"/>
      <c r="JB54" s="70"/>
      <c r="JC54" s="70"/>
      <c r="JD54" s="70"/>
      <c r="JE54" s="70"/>
      <c r="JF54" s="70"/>
      <c r="JG54" s="70"/>
      <c r="JH54" s="70"/>
      <c r="JI54" s="70"/>
      <c r="JJ54" s="70"/>
      <c r="JK54" s="70"/>
      <c r="JL54" s="70"/>
      <c r="JM54" s="70"/>
      <c r="JN54" s="70"/>
      <c r="JO54" s="70"/>
      <c r="JP54" s="70"/>
      <c r="JQ54" s="70"/>
    </row>
    <row r="55" spans="1:277">
      <c r="A55" s="65"/>
      <c r="B55" s="66"/>
      <c r="C55" s="67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/>
      <c r="HJ55" s="67"/>
      <c r="HK55" s="67"/>
      <c r="HL55" s="67"/>
      <c r="HM55" s="67"/>
      <c r="HN55" s="67"/>
      <c r="HO55" s="67"/>
      <c r="HP55" s="67"/>
      <c r="HQ55" s="67"/>
      <c r="HR55" s="67"/>
      <c r="HS55" s="67"/>
      <c r="HT55" s="67"/>
      <c r="HU55" s="67"/>
      <c r="HV55" s="67"/>
      <c r="HW55" s="67"/>
      <c r="HX55" s="67"/>
      <c r="HY55" s="67"/>
      <c r="HZ55" s="67"/>
      <c r="IA55" s="67"/>
      <c r="IB55" s="67"/>
      <c r="IC55" s="67"/>
      <c r="ID55" s="67"/>
      <c r="IE55" s="67"/>
      <c r="IF55" s="67"/>
      <c r="IG55" s="67"/>
      <c r="IH55" s="67"/>
      <c r="II55" s="67"/>
      <c r="IJ55" s="67"/>
      <c r="IK55" s="67"/>
      <c r="IL55" s="67"/>
      <c r="IM55" s="67"/>
      <c r="IN55" s="67"/>
      <c r="IO55" s="67"/>
      <c r="IP55" s="67"/>
      <c r="IQ55" s="67"/>
      <c r="IR55" s="67"/>
      <c r="IS55" s="67"/>
      <c r="IT55" s="67"/>
      <c r="IU55" s="67"/>
      <c r="IV55" s="67"/>
      <c r="IW55" s="67"/>
      <c r="IX55" s="67"/>
      <c r="IY55" s="67"/>
      <c r="IZ55" s="67"/>
      <c r="JA55" s="67"/>
      <c r="JB55" s="67"/>
      <c r="JC55" s="67"/>
      <c r="JD55" s="67"/>
      <c r="JE55" s="67"/>
      <c r="JF55" s="67"/>
      <c r="JG55" s="67"/>
      <c r="JH55" s="67"/>
      <c r="JI55" s="67"/>
      <c r="JJ55" s="67"/>
      <c r="JK55" s="67"/>
      <c r="JL55" s="67"/>
      <c r="JM55" s="67"/>
      <c r="JN55" s="67"/>
      <c r="JO55" s="67"/>
      <c r="JP55" s="67"/>
      <c r="JQ55" s="67"/>
    </row>
    <row r="56" spans="1:277">
      <c r="A56" s="68"/>
      <c r="B56" s="69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70"/>
      <c r="CR56" s="70"/>
      <c r="CS56" s="70"/>
      <c r="CT56" s="70"/>
      <c r="CU56" s="70"/>
      <c r="CV56" s="70"/>
      <c r="CW56" s="70"/>
      <c r="CX56" s="70"/>
      <c r="CY56" s="70"/>
      <c r="CZ56" s="70"/>
      <c r="DA56" s="70"/>
      <c r="DB56" s="70"/>
      <c r="DC56" s="70"/>
      <c r="DD56" s="70"/>
      <c r="DE56" s="70"/>
      <c r="DF56" s="70"/>
      <c r="DG56" s="70"/>
      <c r="DH56" s="70"/>
      <c r="DI56" s="70"/>
      <c r="DJ56" s="70"/>
      <c r="DK56" s="70"/>
      <c r="DL56" s="70"/>
      <c r="DM56" s="70"/>
      <c r="DN56" s="70"/>
      <c r="DO56" s="70"/>
      <c r="DP56" s="70"/>
      <c r="DQ56" s="70"/>
      <c r="DR56" s="70"/>
      <c r="DS56" s="70"/>
      <c r="DT56" s="70"/>
      <c r="DU56" s="70"/>
      <c r="DV56" s="70"/>
      <c r="DW56" s="70"/>
      <c r="DX56" s="70"/>
      <c r="DY56" s="70"/>
      <c r="DZ56" s="70"/>
      <c r="EA56" s="70"/>
      <c r="EB56" s="70"/>
      <c r="EC56" s="70"/>
      <c r="ED56" s="70"/>
      <c r="EE56" s="70"/>
      <c r="EF56" s="70"/>
      <c r="EG56" s="70"/>
      <c r="EH56" s="70"/>
      <c r="EI56" s="70"/>
      <c r="EJ56" s="70"/>
      <c r="EK56" s="70"/>
      <c r="EL56" s="70"/>
      <c r="EM56" s="70"/>
      <c r="EN56" s="70"/>
      <c r="EO56" s="70"/>
      <c r="EP56" s="70"/>
      <c r="EQ56" s="70"/>
      <c r="ER56" s="70"/>
      <c r="ES56" s="70"/>
      <c r="ET56" s="70"/>
      <c r="EU56" s="70"/>
      <c r="EV56" s="70"/>
      <c r="EW56" s="70"/>
      <c r="EX56" s="70"/>
      <c r="EY56" s="70"/>
      <c r="EZ56" s="70"/>
      <c r="FA56" s="70"/>
      <c r="FB56" s="70"/>
      <c r="FC56" s="70"/>
      <c r="FD56" s="70"/>
      <c r="FE56" s="70"/>
      <c r="FF56" s="70"/>
      <c r="FG56" s="70"/>
      <c r="FH56" s="70"/>
      <c r="FI56" s="70"/>
      <c r="FJ56" s="70"/>
      <c r="FK56" s="70"/>
      <c r="FL56" s="70"/>
      <c r="FM56" s="70"/>
      <c r="FN56" s="70"/>
      <c r="FO56" s="70"/>
      <c r="FP56" s="70"/>
      <c r="FQ56" s="70"/>
      <c r="FR56" s="70"/>
      <c r="FS56" s="70"/>
      <c r="FT56" s="70"/>
      <c r="FU56" s="70"/>
      <c r="FV56" s="70"/>
      <c r="FW56" s="70"/>
      <c r="FX56" s="70"/>
      <c r="FY56" s="70"/>
      <c r="FZ56" s="70"/>
      <c r="GA56" s="70"/>
      <c r="GB56" s="70"/>
      <c r="GC56" s="70"/>
      <c r="GD56" s="70"/>
      <c r="GE56" s="70"/>
      <c r="GF56" s="70"/>
      <c r="GG56" s="70"/>
      <c r="GH56" s="70"/>
      <c r="GI56" s="70"/>
      <c r="GJ56" s="70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  <c r="HU56" s="70"/>
      <c r="HV56" s="70"/>
      <c r="HW56" s="70"/>
      <c r="HX56" s="70"/>
      <c r="HY56" s="70"/>
      <c r="HZ56" s="70"/>
      <c r="IA56" s="70"/>
      <c r="IB56" s="70"/>
      <c r="IC56" s="70"/>
      <c r="ID56" s="70"/>
      <c r="IE56" s="70"/>
      <c r="IF56" s="70"/>
      <c r="IG56" s="70"/>
      <c r="IH56" s="70"/>
      <c r="II56" s="70"/>
      <c r="IJ56" s="70"/>
      <c r="IK56" s="70"/>
      <c r="IL56" s="70"/>
      <c r="IM56" s="70"/>
      <c r="IN56" s="70"/>
      <c r="IO56" s="70"/>
      <c r="IP56" s="70"/>
      <c r="IQ56" s="70"/>
      <c r="IR56" s="70"/>
      <c r="IS56" s="70"/>
      <c r="IT56" s="70"/>
      <c r="IU56" s="70"/>
      <c r="IV56" s="70"/>
      <c r="IW56" s="70"/>
      <c r="IX56" s="70"/>
      <c r="IY56" s="70"/>
      <c r="IZ56" s="70"/>
      <c r="JA56" s="70"/>
      <c r="JB56" s="70"/>
      <c r="JC56" s="70"/>
      <c r="JD56" s="70"/>
      <c r="JE56" s="70"/>
      <c r="JF56" s="70"/>
      <c r="JG56" s="70"/>
      <c r="JH56" s="70"/>
      <c r="JI56" s="70"/>
      <c r="JJ56" s="70"/>
      <c r="JK56" s="70"/>
      <c r="JL56" s="70"/>
      <c r="JM56" s="70"/>
      <c r="JN56" s="70"/>
      <c r="JO56" s="70"/>
      <c r="JP56" s="70"/>
      <c r="JQ56" s="70"/>
    </row>
    <row r="57" spans="1:277">
      <c r="A57" s="65"/>
      <c r="B57" s="66"/>
      <c r="C57" s="67"/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/>
      <c r="DS57" s="67"/>
      <c r="DT57" s="67"/>
      <c r="DU57" s="67"/>
      <c r="DV57" s="67"/>
      <c r="DW57" s="67"/>
      <c r="DX57" s="67"/>
      <c r="DY57" s="67"/>
      <c r="DZ57" s="67"/>
      <c r="EA57" s="67"/>
      <c r="EB57" s="67"/>
      <c r="EC57" s="67"/>
      <c r="ED57" s="67"/>
      <c r="EE57" s="67"/>
      <c r="EF57" s="67"/>
      <c r="EG57" s="67"/>
      <c r="EH57" s="67"/>
      <c r="EI57" s="67"/>
      <c r="EJ57" s="67"/>
      <c r="EK57" s="67"/>
      <c r="EL57" s="67"/>
      <c r="EM57" s="67"/>
      <c r="EN57" s="67"/>
      <c r="EO57" s="67"/>
      <c r="EP57" s="67"/>
      <c r="EQ57" s="67"/>
      <c r="ER57" s="67"/>
      <c r="ES57" s="67"/>
      <c r="ET57" s="67"/>
      <c r="EU57" s="67"/>
      <c r="EV57" s="67"/>
      <c r="EW57" s="67"/>
      <c r="EX57" s="67"/>
      <c r="EY57" s="67"/>
      <c r="EZ57" s="67"/>
      <c r="FA57" s="67"/>
      <c r="FB57" s="67"/>
      <c r="FC57" s="67"/>
      <c r="FD57" s="67"/>
      <c r="FE57" s="67"/>
      <c r="FF57" s="67"/>
      <c r="FG57" s="67"/>
      <c r="FH57" s="67"/>
      <c r="FI57" s="67"/>
      <c r="FJ57" s="67"/>
      <c r="FK57" s="67"/>
      <c r="FL57" s="67"/>
      <c r="FM57" s="67"/>
      <c r="FN57" s="67"/>
      <c r="FO57" s="67"/>
      <c r="FP57" s="67"/>
      <c r="FQ57" s="67"/>
      <c r="FR57" s="67"/>
      <c r="FS57" s="67"/>
      <c r="FT57" s="67"/>
      <c r="FU57" s="67"/>
      <c r="FV57" s="67"/>
      <c r="FW57" s="67"/>
      <c r="FX57" s="67"/>
      <c r="FY57" s="67"/>
      <c r="FZ57" s="67"/>
      <c r="GA57" s="67"/>
      <c r="GB57" s="67"/>
      <c r="GC57" s="67"/>
      <c r="GD57" s="67"/>
      <c r="GE57" s="67"/>
      <c r="GF57" s="67"/>
      <c r="GG57" s="67"/>
      <c r="GH57" s="67"/>
      <c r="GI57" s="67"/>
      <c r="GJ57" s="67"/>
      <c r="GK57" s="67"/>
      <c r="GL57" s="67"/>
      <c r="GM57" s="67"/>
      <c r="GN57" s="67"/>
      <c r="GO57" s="67"/>
      <c r="GP57" s="67"/>
      <c r="GQ57" s="67"/>
      <c r="GR57" s="67"/>
      <c r="GS57" s="67"/>
      <c r="GT57" s="67"/>
      <c r="GU57" s="67"/>
      <c r="GV57" s="67"/>
      <c r="GW57" s="67"/>
      <c r="GX57" s="67"/>
      <c r="GY57" s="67"/>
      <c r="GZ57" s="67"/>
      <c r="HA57" s="67"/>
      <c r="HB57" s="67"/>
      <c r="HC57" s="67"/>
      <c r="HD57" s="67"/>
      <c r="HE57" s="67"/>
      <c r="HF57" s="67"/>
      <c r="HG57" s="67"/>
      <c r="HH57" s="67"/>
      <c r="HI57" s="67"/>
      <c r="HJ57" s="67"/>
      <c r="HK57" s="67"/>
      <c r="HL57" s="67"/>
      <c r="HM57" s="67"/>
      <c r="HN57" s="67"/>
      <c r="HO57" s="67"/>
      <c r="HP57" s="67"/>
      <c r="HQ57" s="67"/>
      <c r="HR57" s="67"/>
      <c r="HS57" s="67"/>
      <c r="HT57" s="67"/>
      <c r="HU57" s="67"/>
      <c r="HV57" s="67"/>
      <c r="HW57" s="67"/>
      <c r="HX57" s="67"/>
      <c r="HY57" s="67"/>
      <c r="HZ57" s="67"/>
      <c r="IA57" s="67"/>
      <c r="IB57" s="67"/>
      <c r="IC57" s="67"/>
      <c r="ID57" s="67"/>
      <c r="IE57" s="67"/>
      <c r="IF57" s="67"/>
      <c r="IG57" s="67"/>
      <c r="IH57" s="67"/>
      <c r="II57" s="67"/>
      <c r="IJ57" s="67"/>
      <c r="IK57" s="67"/>
      <c r="IL57" s="67"/>
      <c r="IM57" s="67"/>
      <c r="IN57" s="67"/>
      <c r="IO57" s="67"/>
      <c r="IP57" s="67"/>
      <c r="IQ57" s="67"/>
      <c r="IR57" s="67"/>
      <c r="IS57" s="67"/>
      <c r="IT57" s="67"/>
      <c r="IU57" s="67"/>
      <c r="IV57" s="67"/>
      <c r="IW57" s="67"/>
      <c r="IX57" s="67"/>
      <c r="IY57" s="67"/>
      <c r="IZ57" s="67"/>
      <c r="JA57" s="67"/>
      <c r="JB57" s="67"/>
      <c r="JC57" s="67"/>
      <c r="JD57" s="67"/>
      <c r="JE57" s="67"/>
      <c r="JF57" s="67"/>
      <c r="JG57" s="67"/>
      <c r="JH57" s="67"/>
      <c r="JI57" s="67"/>
      <c r="JJ57" s="67"/>
      <c r="JK57" s="67"/>
      <c r="JL57" s="67"/>
      <c r="JM57" s="67"/>
      <c r="JN57" s="67"/>
      <c r="JO57" s="67"/>
      <c r="JP57" s="67"/>
      <c r="JQ57" s="67"/>
    </row>
    <row r="58" spans="1:277">
      <c r="A58" s="68"/>
      <c r="B58" s="69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70"/>
      <c r="CR58" s="70"/>
      <c r="CS58" s="70"/>
      <c r="CT58" s="70"/>
      <c r="CU58" s="70"/>
      <c r="CV58" s="70"/>
      <c r="CW58" s="70"/>
      <c r="CX58" s="70"/>
      <c r="CY58" s="70"/>
      <c r="CZ58" s="70"/>
      <c r="DA58" s="70"/>
      <c r="DB58" s="70"/>
      <c r="DC58" s="70"/>
      <c r="DD58" s="70"/>
      <c r="DE58" s="70"/>
      <c r="DF58" s="70"/>
      <c r="DG58" s="70"/>
      <c r="DH58" s="70"/>
      <c r="DI58" s="70"/>
      <c r="DJ58" s="70"/>
      <c r="DK58" s="70"/>
      <c r="DL58" s="70"/>
      <c r="DM58" s="70"/>
      <c r="DN58" s="70"/>
      <c r="DO58" s="70"/>
      <c r="DP58" s="70"/>
      <c r="DQ58" s="70"/>
      <c r="DR58" s="70"/>
      <c r="DS58" s="70"/>
      <c r="DT58" s="70"/>
      <c r="DU58" s="70"/>
      <c r="DV58" s="70"/>
      <c r="DW58" s="70"/>
      <c r="DX58" s="70"/>
      <c r="DY58" s="70"/>
      <c r="DZ58" s="70"/>
      <c r="EA58" s="70"/>
      <c r="EB58" s="70"/>
      <c r="EC58" s="70"/>
      <c r="ED58" s="70"/>
      <c r="EE58" s="70"/>
      <c r="EF58" s="70"/>
      <c r="EG58" s="70"/>
      <c r="EH58" s="70"/>
      <c r="EI58" s="70"/>
      <c r="EJ58" s="70"/>
      <c r="EK58" s="70"/>
      <c r="EL58" s="70"/>
      <c r="EM58" s="70"/>
      <c r="EN58" s="70"/>
      <c r="EO58" s="70"/>
      <c r="EP58" s="70"/>
      <c r="EQ58" s="70"/>
      <c r="ER58" s="70"/>
      <c r="ES58" s="70"/>
      <c r="ET58" s="70"/>
      <c r="EU58" s="70"/>
      <c r="EV58" s="70"/>
      <c r="EW58" s="70"/>
      <c r="EX58" s="70"/>
      <c r="EY58" s="70"/>
      <c r="EZ58" s="70"/>
      <c r="FA58" s="70"/>
      <c r="FB58" s="70"/>
      <c r="FC58" s="70"/>
      <c r="FD58" s="70"/>
      <c r="FE58" s="70"/>
      <c r="FF58" s="70"/>
      <c r="FG58" s="70"/>
      <c r="FH58" s="70"/>
      <c r="FI58" s="70"/>
      <c r="FJ58" s="70"/>
      <c r="FK58" s="70"/>
      <c r="FL58" s="70"/>
      <c r="FM58" s="70"/>
      <c r="FN58" s="70"/>
      <c r="FO58" s="70"/>
      <c r="FP58" s="70"/>
      <c r="FQ58" s="70"/>
      <c r="FR58" s="70"/>
      <c r="FS58" s="70"/>
      <c r="FT58" s="70"/>
      <c r="FU58" s="70"/>
      <c r="FV58" s="70"/>
      <c r="FW58" s="70"/>
      <c r="FX58" s="70"/>
      <c r="FY58" s="70"/>
      <c r="FZ58" s="70"/>
      <c r="GA58" s="70"/>
      <c r="GB58" s="70"/>
      <c r="GC58" s="70"/>
      <c r="GD58" s="70"/>
      <c r="GE58" s="70"/>
      <c r="GF58" s="70"/>
      <c r="GG58" s="70"/>
      <c r="GH58" s="70"/>
      <c r="GI58" s="70"/>
      <c r="GJ58" s="70"/>
      <c r="GK58" s="70"/>
      <c r="GL58" s="70"/>
      <c r="GM58" s="70"/>
      <c r="GN58" s="70"/>
      <c r="GO58" s="70"/>
      <c r="GP58" s="70"/>
      <c r="GQ58" s="70"/>
      <c r="GR58" s="70"/>
      <c r="GS58" s="70"/>
      <c r="GT58" s="70"/>
      <c r="GU58" s="70"/>
      <c r="GV58" s="70"/>
      <c r="GW58" s="70"/>
      <c r="GX58" s="70"/>
      <c r="GY58" s="70"/>
      <c r="GZ58" s="70"/>
      <c r="HA58" s="70"/>
      <c r="HB58" s="70"/>
      <c r="HC58" s="70"/>
      <c r="HD58" s="70"/>
      <c r="HE58" s="70"/>
      <c r="HF58" s="70"/>
      <c r="HG58" s="70"/>
      <c r="HH58" s="70"/>
      <c r="HI58" s="70"/>
      <c r="HJ58" s="70"/>
      <c r="HK58" s="70"/>
      <c r="HL58" s="70"/>
      <c r="HM58" s="70"/>
      <c r="HN58" s="70"/>
      <c r="HO58" s="70"/>
      <c r="HP58" s="70"/>
      <c r="HQ58" s="70"/>
      <c r="HR58" s="70"/>
      <c r="HS58" s="70"/>
      <c r="HT58" s="70"/>
      <c r="HU58" s="70"/>
      <c r="HV58" s="70"/>
      <c r="HW58" s="70"/>
      <c r="HX58" s="70"/>
      <c r="HY58" s="70"/>
      <c r="HZ58" s="70"/>
      <c r="IA58" s="70"/>
      <c r="IB58" s="70"/>
      <c r="IC58" s="70"/>
      <c r="ID58" s="70"/>
      <c r="IE58" s="70"/>
      <c r="IF58" s="70"/>
      <c r="IG58" s="70"/>
      <c r="IH58" s="70"/>
      <c r="II58" s="70"/>
      <c r="IJ58" s="70"/>
      <c r="IK58" s="70"/>
      <c r="IL58" s="70"/>
      <c r="IM58" s="70"/>
      <c r="IN58" s="70"/>
      <c r="IO58" s="70"/>
      <c r="IP58" s="70"/>
      <c r="IQ58" s="70"/>
      <c r="IR58" s="70"/>
      <c r="IS58" s="70"/>
      <c r="IT58" s="70"/>
      <c r="IU58" s="70"/>
      <c r="IV58" s="70"/>
      <c r="IW58" s="70"/>
      <c r="IX58" s="70"/>
      <c r="IY58" s="70"/>
      <c r="IZ58" s="70"/>
      <c r="JA58" s="70"/>
      <c r="JB58" s="70"/>
      <c r="JC58" s="70"/>
      <c r="JD58" s="70"/>
      <c r="JE58" s="70"/>
      <c r="JF58" s="70"/>
      <c r="JG58" s="70"/>
      <c r="JH58" s="70"/>
      <c r="JI58" s="70"/>
      <c r="JJ58" s="70"/>
      <c r="JK58" s="70"/>
      <c r="JL58" s="70"/>
      <c r="JM58" s="70"/>
      <c r="JN58" s="70"/>
      <c r="JO58" s="70"/>
      <c r="JP58" s="70"/>
      <c r="JQ58" s="70"/>
    </row>
    <row r="59" spans="1:277">
      <c r="A59" s="65"/>
      <c r="B59" s="66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67"/>
      <c r="GA59" s="67"/>
      <c r="GB59" s="67"/>
      <c r="GC59" s="67"/>
      <c r="GD59" s="67"/>
      <c r="GE59" s="67"/>
      <c r="GF59" s="67"/>
      <c r="GG59" s="67"/>
      <c r="GH59" s="67"/>
      <c r="GI59" s="67"/>
      <c r="GJ59" s="67"/>
      <c r="GK59" s="67"/>
      <c r="GL59" s="67"/>
      <c r="GM59" s="67"/>
      <c r="GN59" s="67"/>
      <c r="GO59" s="67"/>
      <c r="GP59" s="67"/>
      <c r="GQ59" s="67"/>
      <c r="GR59" s="67"/>
      <c r="GS59" s="67"/>
      <c r="GT59" s="67"/>
      <c r="GU59" s="67"/>
      <c r="GV59" s="67"/>
      <c r="GW59" s="67"/>
      <c r="GX59" s="67"/>
      <c r="GY59" s="67"/>
      <c r="GZ59" s="67"/>
      <c r="HA59" s="67"/>
      <c r="HB59" s="67"/>
      <c r="HC59" s="67"/>
      <c r="HD59" s="67"/>
      <c r="HE59" s="67"/>
      <c r="HF59" s="67"/>
      <c r="HG59" s="67"/>
      <c r="HH59" s="67"/>
      <c r="HI59" s="67"/>
      <c r="HJ59" s="67"/>
      <c r="HK59" s="67"/>
      <c r="HL59" s="67"/>
      <c r="HM59" s="67"/>
      <c r="HN59" s="67"/>
      <c r="HO59" s="67"/>
      <c r="HP59" s="67"/>
      <c r="HQ59" s="67"/>
      <c r="HR59" s="67"/>
      <c r="HS59" s="67"/>
      <c r="HT59" s="67"/>
      <c r="HU59" s="67"/>
      <c r="HV59" s="67"/>
      <c r="HW59" s="67"/>
      <c r="HX59" s="67"/>
      <c r="HY59" s="67"/>
      <c r="HZ59" s="67"/>
      <c r="IA59" s="67"/>
      <c r="IB59" s="67"/>
      <c r="IC59" s="67"/>
      <c r="ID59" s="67"/>
      <c r="IE59" s="67"/>
      <c r="IF59" s="67"/>
      <c r="IG59" s="67"/>
      <c r="IH59" s="67"/>
      <c r="II59" s="67"/>
      <c r="IJ59" s="67"/>
      <c r="IK59" s="67"/>
      <c r="IL59" s="67"/>
      <c r="IM59" s="67"/>
      <c r="IN59" s="67"/>
      <c r="IO59" s="67"/>
      <c r="IP59" s="67"/>
      <c r="IQ59" s="67"/>
      <c r="IR59" s="67"/>
      <c r="IS59" s="67"/>
      <c r="IT59" s="67"/>
      <c r="IU59" s="67"/>
      <c r="IV59" s="67"/>
      <c r="IW59" s="67"/>
      <c r="IX59" s="67"/>
      <c r="IY59" s="67"/>
      <c r="IZ59" s="67"/>
      <c r="JA59" s="67"/>
      <c r="JB59" s="67"/>
      <c r="JC59" s="67"/>
      <c r="JD59" s="67"/>
      <c r="JE59" s="67"/>
      <c r="JF59" s="67"/>
      <c r="JG59" s="67"/>
      <c r="JH59" s="67"/>
      <c r="JI59" s="67"/>
      <c r="JJ59" s="67"/>
      <c r="JK59" s="67"/>
      <c r="JL59" s="67"/>
      <c r="JM59" s="67"/>
      <c r="JN59" s="67"/>
      <c r="JO59" s="67"/>
      <c r="JP59" s="67"/>
      <c r="JQ59" s="67"/>
    </row>
    <row r="60" spans="1:277">
      <c r="A60" s="68"/>
      <c r="B60" s="69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70"/>
      <c r="CR60" s="70"/>
      <c r="CS60" s="70"/>
      <c r="CT60" s="70"/>
      <c r="CU60" s="70"/>
      <c r="CV60" s="70"/>
      <c r="CW60" s="70"/>
      <c r="CX60" s="70"/>
      <c r="CY60" s="70"/>
      <c r="CZ60" s="70"/>
      <c r="DA60" s="70"/>
      <c r="DB60" s="70"/>
      <c r="DC60" s="70"/>
      <c r="DD60" s="70"/>
      <c r="DE60" s="70"/>
      <c r="DF60" s="70"/>
      <c r="DG60" s="70"/>
      <c r="DH60" s="70"/>
      <c r="DI60" s="70"/>
      <c r="DJ60" s="70"/>
      <c r="DK60" s="70"/>
      <c r="DL60" s="70"/>
      <c r="DM60" s="70"/>
      <c r="DN60" s="70"/>
      <c r="DO60" s="70"/>
      <c r="DP60" s="70"/>
      <c r="DQ60" s="70"/>
      <c r="DR60" s="70"/>
      <c r="DS60" s="70"/>
      <c r="DT60" s="70"/>
      <c r="DU60" s="70"/>
      <c r="DV60" s="70"/>
      <c r="DW60" s="70"/>
      <c r="DX60" s="70"/>
      <c r="DY60" s="70"/>
      <c r="DZ60" s="70"/>
      <c r="EA60" s="70"/>
      <c r="EB60" s="70"/>
      <c r="EC60" s="70"/>
      <c r="ED60" s="70"/>
      <c r="EE60" s="70"/>
      <c r="EF60" s="70"/>
      <c r="EG60" s="70"/>
      <c r="EH60" s="70"/>
      <c r="EI60" s="70"/>
      <c r="EJ60" s="70"/>
      <c r="EK60" s="70"/>
      <c r="EL60" s="70"/>
      <c r="EM60" s="70"/>
      <c r="EN60" s="70"/>
      <c r="EO60" s="70"/>
      <c r="EP60" s="70"/>
      <c r="EQ60" s="70"/>
      <c r="ER60" s="70"/>
      <c r="ES60" s="70"/>
      <c r="ET60" s="70"/>
      <c r="EU60" s="70"/>
      <c r="EV60" s="70"/>
      <c r="EW60" s="70"/>
      <c r="EX60" s="70"/>
      <c r="EY60" s="70"/>
      <c r="EZ60" s="70"/>
      <c r="FA60" s="70"/>
      <c r="FB60" s="70"/>
      <c r="FC60" s="70"/>
      <c r="FD60" s="70"/>
      <c r="FE60" s="70"/>
      <c r="FF60" s="70"/>
      <c r="FG60" s="70"/>
      <c r="FH60" s="70"/>
      <c r="FI60" s="70"/>
      <c r="FJ60" s="70"/>
      <c r="FK60" s="70"/>
      <c r="FL60" s="70"/>
      <c r="FM60" s="70"/>
      <c r="FN60" s="70"/>
      <c r="FO60" s="70"/>
      <c r="FP60" s="70"/>
      <c r="FQ60" s="70"/>
      <c r="FR60" s="70"/>
      <c r="FS60" s="70"/>
      <c r="FT60" s="70"/>
      <c r="FU60" s="70"/>
      <c r="FV60" s="70"/>
      <c r="FW60" s="70"/>
      <c r="FX60" s="70"/>
      <c r="FY60" s="70"/>
      <c r="FZ60" s="70"/>
      <c r="GA60" s="70"/>
      <c r="GB60" s="70"/>
      <c r="GC60" s="70"/>
      <c r="GD60" s="70"/>
      <c r="GE60" s="70"/>
      <c r="GF60" s="70"/>
      <c r="GG60" s="70"/>
      <c r="GH60" s="70"/>
      <c r="GI60" s="70"/>
      <c r="GJ60" s="70"/>
      <c r="GK60" s="70"/>
      <c r="GL60" s="70"/>
      <c r="GM60" s="70"/>
      <c r="GN60" s="70"/>
      <c r="GO60" s="70"/>
      <c r="GP60" s="70"/>
      <c r="GQ60" s="70"/>
      <c r="GR60" s="70"/>
      <c r="GS60" s="70"/>
      <c r="GT60" s="70"/>
      <c r="GU60" s="70"/>
      <c r="GV60" s="70"/>
      <c r="GW60" s="70"/>
      <c r="GX60" s="70"/>
      <c r="GY60" s="70"/>
      <c r="GZ60" s="70"/>
      <c r="HA60" s="70"/>
      <c r="HB60" s="70"/>
      <c r="HC60" s="70"/>
      <c r="HD60" s="70"/>
      <c r="HE60" s="70"/>
      <c r="HF60" s="70"/>
      <c r="HG60" s="70"/>
      <c r="HH60" s="70"/>
      <c r="HI60" s="70"/>
      <c r="HJ60" s="70"/>
      <c r="HK60" s="70"/>
      <c r="HL60" s="70"/>
      <c r="HM60" s="70"/>
      <c r="HN60" s="70"/>
      <c r="HO60" s="70"/>
      <c r="HP60" s="70"/>
      <c r="HQ60" s="70"/>
      <c r="HR60" s="70"/>
      <c r="HS60" s="70"/>
      <c r="HT60" s="70"/>
      <c r="HU60" s="70"/>
      <c r="HV60" s="70"/>
      <c r="HW60" s="70"/>
      <c r="HX60" s="70"/>
      <c r="HY60" s="70"/>
      <c r="HZ60" s="70"/>
      <c r="IA60" s="70"/>
      <c r="IB60" s="70"/>
      <c r="IC60" s="70"/>
      <c r="ID60" s="70"/>
      <c r="IE60" s="70"/>
      <c r="IF60" s="70"/>
      <c r="IG60" s="70"/>
      <c r="IH60" s="70"/>
      <c r="II60" s="70"/>
      <c r="IJ60" s="70"/>
      <c r="IK60" s="70"/>
      <c r="IL60" s="70"/>
      <c r="IM60" s="70"/>
      <c r="IN60" s="70"/>
      <c r="IO60" s="70"/>
      <c r="IP60" s="70"/>
      <c r="IQ60" s="70"/>
      <c r="IR60" s="70"/>
      <c r="IS60" s="70"/>
      <c r="IT60" s="70"/>
      <c r="IU60" s="70"/>
      <c r="IV60" s="70"/>
      <c r="IW60" s="70"/>
      <c r="IX60" s="70"/>
      <c r="IY60" s="70"/>
      <c r="IZ60" s="70"/>
      <c r="JA60" s="70"/>
      <c r="JB60" s="70"/>
      <c r="JC60" s="70"/>
      <c r="JD60" s="70"/>
      <c r="JE60" s="70"/>
      <c r="JF60" s="70"/>
      <c r="JG60" s="70"/>
      <c r="JH60" s="70"/>
      <c r="JI60" s="70"/>
      <c r="JJ60" s="70"/>
      <c r="JK60" s="70"/>
      <c r="JL60" s="70"/>
      <c r="JM60" s="70"/>
      <c r="JN60" s="70"/>
      <c r="JO60" s="70"/>
      <c r="JP60" s="70"/>
      <c r="JQ60" s="70"/>
    </row>
    <row r="61" spans="1:277">
      <c r="A61" s="65"/>
      <c r="B61" s="66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/>
      <c r="HJ61" s="67"/>
      <c r="HK61" s="67"/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/>
      <c r="HY61" s="67"/>
      <c r="HZ61" s="67"/>
      <c r="IA61" s="67"/>
      <c r="IB61" s="67"/>
      <c r="IC61" s="67"/>
      <c r="ID61" s="67"/>
      <c r="IE61" s="67"/>
      <c r="IF61" s="67"/>
      <c r="IG61" s="67"/>
      <c r="IH61" s="67"/>
      <c r="II61" s="67"/>
      <c r="IJ61" s="67"/>
      <c r="IK61" s="67"/>
      <c r="IL61" s="67"/>
      <c r="IM61" s="67"/>
      <c r="IN61" s="67"/>
      <c r="IO61" s="67"/>
      <c r="IP61" s="67"/>
      <c r="IQ61" s="67"/>
      <c r="IR61" s="67"/>
      <c r="IS61" s="67"/>
      <c r="IT61" s="67"/>
      <c r="IU61" s="67"/>
      <c r="IV61" s="67"/>
      <c r="IW61" s="67"/>
      <c r="IX61" s="67"/>
      <c r="IY61" s="67"/>
      <c r="IZ61" s="67"/>
      <c r="JA61" s="67"/>
      <c r="JB61" s="67"/>
      <c r="JC61" s="67"/>
      <c r="JD61" s="67"/>
      <c r="JE61" s="67"/>
      <c r="JF61" s="67"/>
      <c r="JG61" s="67"/>
      <c r="JH61" s="67"/>
      <c r="JI61" s="67"/>
      <c r="JJ61" s="67"/>
      <c r="JK61" s="67"/>
      <c r="JL61" s="67"/>
      <c r="JM61" s="67"/>
      <c r="JN61" s="67"/>
      <c r="JO61" s="67"/>
      <c r="JP61" s="67"/>
      <c r="JQ61" s="67"/>
    </row>
    <row r="62" spans="1:277">
      <c r="A62" s="68"/>
      <c r="B62" s="69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  <c r="DC62" s="70"/>
      <c r="DD62" s="70"/>
      <c r="DE62" s="70"/>
      <c r="DF62" s="70"/>
      <c r="DG62" s="70"/>
      <c r="DH62" s="70"/>
      <c r="DI62" s="70"/>
      <c r="DJ62" s="70"/>
      <c r="DK62" s="70"/>
      <c r="DL62" s="70"/>
      <c r="DM62" s="70"/>
      <c r="DN62" s="70"/>
      <c r="DO62" s="70"/>
      <c r="DP62" s="70"/>
      <c r="DQ62" s="70"/>
      <c r="DR62" s="70"/>
      <c r="DS62" s="70"/>
      <c r="DT62" s="70"/>
      <c r="DU62" s="70"/>
      <c r="DV62" s="70"/>
      <c r="DW62" s="70"/>
      <c r="DX62" s="70"/>
      <c r="DY62" s="70"/>
      <c r="DZ62" s="70"/>
      <c r="EA62" s="70"/>
      <c r="EB62" s="70"/>
      <c r="EC62" s="70"/>
      <c r="ED62" s="70"/>
      <c r="EE62" s="70"/>
      <c r="EF62" s="70"/>
      <c r="EG62" s="70"/>
      <c r="EH62" s="70"/>
      <c r="EI62" s="70"/>
      <c r="EJ62" s="70"/>
      <c r="EK62" s="70"/>
      <c r="EL62" s="70"/>
      <c r="EM62" s="70"/>
      <c r="EN62" s="70"/>
      <c r="EO62" s="70"/>
      <c r="EP62" s="70"/>
      <c r="EQ62" s="70"/>
      <c r="ER62" s="70"/>
      <c r="ES62" s="70"/>
      <c r="ET62" s="70"/>
      <c r="EU62" s="70"/>
      <c r="EV62" s="70"/>
      <c r="EW62" s="70"/>
      <c r="EX62" s="70"/>
      <c r="EY62" s="70"/>
      <c r="EZ62" s="70"/>
      <c r="FA62" s="70"/>
      <c r="FB62" s="70"/>
      <c r="FC62" s="70"/>
      <c r="FD62" s="70"/>
      <c r="FE62" s="70"/>
      <c r="FF62" s="70"/>
      <c r="FG62" s="70"/>
      <c r="FH62" s="70"/>
      <c r="FI62" s="70"/>
      <c r="FJ62" s="70"/>
      <c r="FK62" s="70"/>
      <c r="FL62" s="70"/>
      <c r="FM62" s="70"/>
      <c r="FN62" s="70"/>
      <c r="FO62" s="70"/>
      <c r="FP62" s="70"/>
      <c r="FQ62" s="70"/>
      <c r="FR62" s="70"/>
      <c r="FS62" s="70"/>
      <c r="FT62" s="70"/>
      <c r="FU62" s="70"/>
      <c r="FV62" s="70"/>
      <c r="FW62" s="70"/>
      <c r="FX62" s="70"/>
      <c r="FY62" s="70"/>
      <c r="FZ62" s="70"/>
      <c r="GA62" s="70"/>
      <c r="GB62" s="70"/>
      <c r="GC62" s="70"/>
      <c r="GD62" s="70"/>
      <c r="GE62" s="70"/>
      <c r="GF62" s="70"/>
      <c r="GG62" s="70"/>
      <c r="GH62" s="70"/>
      <c r="GI62" s="70"/>
      <c r="GJ62" s="70"/>
      <c r="GK62" s="70"/>
      <c r="GL62" s="70"/>
      <c r="GM62" s="70"/>
      <c r="GN62" s="70"/>
      <c r="GO62" s="70"/>
      <c r="GP62" s="70"/>
      <c r="GQ62" s="70"/>
      <c r="GR62" s="70"/>
      <c r="GS62" s="70"/>
      <c r="GT62" s="70"/>
      <c r="GU62" s="70"/>
      <c r="GV62" s="70"/>
      <c r="GW62" s="70"/>
      <c r="GX62" s="70"/>
      <c r="GY62" s="70"/>
      <c r="GZ62" s="70"/>
      <c r="HA62" s="70"/>
      <c r="HB62" s="70"/>
      <c r="HC62" s="70"/>
      <c r="HD62" s="70"/>
      <c r="HE62" s="70"/>
      <c r="HF62" s="70"/>
      <c r="HG62" s="70"/>
      <c r="HH62" s="70"/>
      <c r="HI62" s="70"/>
      <c r="HJ62" s="70"/>
      <c r="HK62" s="70"/>
      <c r="HL62" s="70"/>
      <c r="HM62" s="70"/>
      <c r="HN62" s="70"/>
      <c r="HO62" s="70"/>
      <c r="HP62" s="70"/>
      <c r="HQ62" s="70"/>
      <c r="HR62" s="70"/>
      <c r="HS62" s="70"/>
      <c r="HT62" s="70"/>
      <c r="HU62" s="70"/>
      <c r="HV62" s="70"/>
      <c r="HW62" s="70"/>
      <c r="HX62" s="70"/>
      <c r="HY62" s="70"/>
      <c r="HZ62" s="70"/>
      <c r="IA62" s="70"/>
      <c r="IB62" s="70"/>
      <c r="IC62" s="70"/>
      <c r="ID62" s="70"/>
      <c r="IE62" s="70"/>
      <c r="IF62" s="70"/>
      <c r="IG62" s="70"/>
      <c r="IH62" s="70"/>
      <c r="II62" s="70"/>
      <c r="IJ62" s="70"/>
      <c r="IK62" s="70"/>
      <c r="IL62" s="70"/>
      <c r="IM62" s="70"/>
      <c r="IN62" s="70"/>
      <c r="IO62" s="70"/>
      <c r="IP62" s="70"/>
      <c r="IQ62" s="70"/>
      <c r="IR62" s="70"/>
      <c r="IS62" s="70"/>
      <c r="IT62" s="70"/>
      <c r="IU62" s="70"/>
      <c r="IV62" s="70"/>
      <c r="IW62" s="70"/>
      <c r="IX62" s="70"/>
      <c r="IY62" s="70"/>
      <c r="IZ62" s="70"/>
      <c r="JA62" s="70"/>
      <c r="JB62" s="70"/>
      <c r="JC62" s="70"/>
      <c r="JD62" s="70"/>
      <c r="JE62" s="70"/>
      <c r="JF62" s="70"/>
      <c r="JG62" s="70"/>
      <c r="JH62" s="70"/>
      <c r="JI62" s="70"/>
      <c r="JJ62" s="70"/>
      <c r="JK62" s="70"/>
      <c r="JL62" s="70"/>
      <c r="JM62" s="70"/>
      <c r="JN62" s="70"/>
      <c r="JO62" s="70"/>
      <c r="JP62" s="70"/>
      <c r="JQ62" s="70"/>
    </row>
    <row r="63" spans="1:277">
      <c r="A63" s="65"/>
      <c r="B63" s="66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67"/>
      <c r="GA63" s="67"/>
      <c r="GB63" s="67"/>
      <c r="GC63" s="67"/>
      <c r="GD63" s="67"/>
      <c r="GE63" s="67"/>
      <c r="GF63" s="67"/>
      <c r="GG63" s="67"/>
      <c r="GH63" s="67"/>
      <c r="GI63" s="67"/>
      <c r="GJ63" s="67"/>
      <c r="GK63" s="67"/>
      <c r="GL63" s="67"/>
      <c r="GM63" s="67"/>
      <c r="GN63" s="67"/>
      <c r="GO63" s="67"/>
      <c r="GP63" s="67"/>
      <c r="GQ63" s="67"/>
      <c r="GR63" s="67"/>
      <c r="GS63" s="67"/>
      <c r="GT63" s="67"/>
      <c r="GU63" s="67"/>
      <c r="GV63" s="67"/>
      <c r="GW63" s="67"/>
      <c r="GX63" s="67"/>
      <c r="GY63" s="67"/>
      <c r="GZ63" s="67"/>
      <c r="HA63" s="67"/>
      <c r="HB63" s="67"/>
      <c r="HC63" s="67"/>
      <c r="HD63" s="67"/>
      <c r="HE63" s="67"/>
      <c r="HF63" s="67"/>
      <c r="HG63" s="67"/>
      <c r="HH63" s="67"/>
      <c r="HI63" s="67"/>
      <c r="HJ63" s="67"/>
      <c r="HK63" s="67"/>
      <c r="HL63" s="67"/>
      <c r="HM63" s="67"/>
      <c r="HN63" s="67"/>
      <c r="HO63" s="67"/>
      <c r="HP63" s="67"/>
      <c r="HQ63" s="67"/>
      <c r="HR63" s="67"/>
      <c r="HS63" s="67"/>
      <c r="HT63" s="67"/>
      <c r="HU63" s="67"/>
      <c r="HV63" s="67"/>
      <c r="HW63" s="67"/>
      <c r="HX63" s="67"/>
      <c r="HY63" s="67"/>
      <c r="HZ63" s="67"/>
      <c r="IA63" s="67"/>
      <c r="IB63" s="67"/>
      <c r="IC63" s="67"/>
      <c r="ID63" s="67"/>
      <c r="IE63" s="67"/>
      <c r="IF63" s="67"/>
      <c r="IG63" s="67"/>
      <c r="IH63" s="67"/>
      <c r="II63" s="67"/>
      <c r="IJ63" s="67"/>
      <c r="IK63" s="67"/>
      <c r="IL63" s="67"/>
      <c r="IM63" s="67"/>
      <c r="IN63" s="67"/>
      <c r="IO63" s="67"/>
      <c r="IP63" s="67"/>
      <c r="IQ63" s="67"/>
      <c r="IR63" s="67"/>
      <c r="IS63" s="67"/>
      <c r="IT63" s="67"/>
      <c r="IU63" s="67"/>
      <c r="IV63" s="67"/>
      <c r="IW63" s="67"/>
      <c r="IX63" s="67"/>
      <c r="IY63" s="67"/>
      <c r="IZ63" s="67"/>
      <c r="JA63" s="67"/>
      <c r="JB63" s="67"/>
      <c r="JC63" s="67"/>
      <c r="JD63" s="67"/>
      <c r="JE63" s="67"/>
      <c r="JF63" s="67"/>
      <c r="JG63" s="67"/>
      <c r="JH63" s="67"/>
      <c r="JI63" s="67"/>
      <c r="JJ63" s="67"/>
      <c r="JK63" s="67"/>
      <c r="JL63" s="67"/>
      <c r="JM63" s="67"/>
      <c r="JN63" s="67"/>
      <c r="JO63" s="67"/>
      <c r="JP63" s="67"/>
      <c r="JQ63" s="67"/>
    </row>
  </sheetData>
  <mergeCells count="2">
    <mergeCell ref="A2:W2"/>
    <mergeCell ref="A28:W2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7">
    <tabColor rgb="FF717D7E"/>
  </sheetPr>
  <dimension ref="A1:D5"/>
  <sheetViews>
    <sheetView showGridLines="0" workbookViewId="0">
      <selection activeCell="C6" sqref="C6"/>
    </sheetView>
  </sheetViews>
  <sheetFormatPr baseColWidth="10" defaultRowHeight="16"/>
  <cols>
    <col min="2" max="2" width="28" customWidth="1"/>
    <col min="3" max="3" width="14" customWidth="1"/>
    <col min="4" max="4" width="23" customWidth="1"/>
  </cols>
  <sheetData>
    <row r="1" spans="1:4" ht="24" customHeight="1">
      <c r="A1" s="18"/>
      <c r="B1" s="411" t="s">
        <v>520</v>
      </c>
      <c r="C1" s="18"/>
    </row>
    <row r="2" spans="1:4">
      <c r="A2" s="18"/>
      <c r="B2" s="18"/>
      <c r="C2" s="18"/>
    </row>
    <row r="3" spans="1:4" ht="32" customHeight="1">
      <c r="A3" s="18"/>
      <c r="B3" t="s">
        <v>521</v>
      </c>
      <c r="C3" s="174">
        <v>6107</v>
      </c>
      <c r="D3" t="s">
        <v>614</v>
      </c>
    </row>
    <row r="4" spans="1:4" ht="32" customHeight="1">
      <c r="B4" t="s">
        <v>522</v>
      </c>
      <c r="C4" s="174">
        <v>41595</v>
      </c>
      <c r="D4" t="s">
        <v>7</v>
      </c>
    </row>
    <row r="5" spans="1:4" ht="32" customHeight="1">
      <c r="B5" t="s">
        <v>631</v>
      </c>
      <c r="C5" s="428">
        <v>1</v>
      </c>
      <c r="D5" t="s">
        <v>632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CalcularMultiplicadoresInducidosDesdeZ22">
                <anchor moveWithCells="1" sizeWithCells="1">
                  <from>
                    <xdr:col>4</xdr:col>
                    <xdr:colOff>812800</xdr:colOff>
                    <xdr:row>3</xdr:row>
                    <xdr:rowOff>393700</xdr:rowOff>
                  </from>
                  <to>
                    <xdr:col>6</xdr:col>
                    <xdr:colOff>685800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55</vt:i4>
      </vt:variant>
    </vt:vector>
  </HeadingPairs>
  <TitlesOfParts>
    <vt:vector size="72" baseType="lpstr">
      <vt:lpstr>Info</vt:lpstr>
      <vt:lpstr>Creditos</vt:lpstr>
      <vt:lpstr>Estimulos Nacionales</vt:lpstr>
      <vt:lpstr>Estimulos Internacionales</vt:lpstr>
      <vt:lpstr>Resumen Ejecutivo</vt:lpstr>
      <vt:lpstr>Produccion</vt:lpstr>
      <vt:lpstr>Empleo</vt:lpstr>
      <vt:lpstr>Ingreso Laboral</vt:lpstr>
      <vt:lpstr>PIB</vt:lpstr>
      <vt:lpstr>Encadenamientos Internos</vt:lpstr>
      <vt:lpstr>Empleo Exportador</vt:lpstr>
      <vt:lpstr>Inserción Internacional</vt:lpstr>
      <vt:lpstr>Informacion Empleo</vt:lpstr>
      <vt:lpstr>Matrices Nacionales</vt:lpstr>
      <vt:lpstr>Exportaciones</vt:lpstr>
      <vt:lpstr>MRIO</vt:lpstr>
      <vt:lpstr>Parametros</vt:lpstr>
      <vt:lpstr>A_21x21</vt:lpstr>
      <vt:lpstr>A_22x22</vt:lpstr>
      <vt:lpstr>A_CEPALFIGARO</vt:lpstr>
      <vt:lpstr>Aplicar_Escala</vt:lpstr>
      <vt:lpstr>'Resumen Ejecutivo'!Área_de_impresión</vt:lpstr>
      <vt:lpstr>B_21x21</vt:lpstr>
      <vt:lpstr>Coef_Contribuciones</vt:lpstr>
      <vt:lpstr>Coef_IMixtos</vt:lpstr>
      <vt:lpstr>Coef_IngresoTotal</vt:lpstr>
      <vt:lpstr>Coef_Sueldos</vt:lpstr>
      <vt:lpstr>Coef_trabajo</vt:lpstr>
      <vt:lpstr>Coef_trabajo_Alta</vt:lpstr>
      <vt:lpstr>Coef_trabajo_Baja</vt:lpstr>
      <vt:lpstr>Coef_trabajo_Formal</vt:lpstr>
      <vt:lpstr>Coef_trabajo_H</vt:lpstr>
      <vt:lpstr>Coef_trabajo_Informal</vt:lpstr>
      <vt:lpstr>Coef_trabajo_M</vt:lpstr>
      <vt:lpstr>Coef_trabajo_Media</vt:lpstr>
      <vt:lpstr>Coef_trabajo_Rural</vt:lpstr>
      <vt:lpstr>Coef_trabajo_Urbano</vt:lpstr>
      <vt:lpstr>Contribuciones21</vt:lpstr>
      <vt:lpstr>DeltaF21</vt:lpstr>
      <vt:lpstr>DeltaF21c</vt:lpstr>
      <vt:lpstr>DeltaF22</vt:lpstr>
      <vt:lpstr>DeltaF22c</vt:lpstr>
      <vt:lpstr>DF_MRIO</vt:lpstr>
      <vt:lpstr>EDirecto_21</vt:lpstr>
      <vt:lpstr>EIDirecto_21</vt:lpstr>
      <vt:lpstr>EIIndirecto_21</vt:lpstr>
      <vt:lpstr>EIndirecto21</vt:lpstr>
      <vt:lpstr>EInducido21</vt:lpstr>
      <vt:lpstr>EInicial_21</vt:lpstr>
      <vt:lpstr>EmpleoTotal21</vt:lpstr>
      <vt:lpstr>ETotal_21</vt:lpstr>
      <vt:lpstr>Exp_Destino</vt:lpstr>
      <vt:lpstr>Export_21</vt:lpstr>
      <vt:lpstr>Factor_Escala</vt:lpstr>
      <vt:lpstr>G_21x21</vt:lpstr>
      <vt:lpstr>Importaciones</vt:lpstr>
      <vt:lpstr>IngresoMixto</vt:lpstr>
      <vt:lpstr>L_21</vt:lpstr>
      <vt:lpstr>L_21x21</vt:lpstr>
      <vt:lpstr>L_22x22</vt:lpstr>
      <vt:lpstr>L_CEPALFIGARO</vt:lpstr>
      <vt:lpstr>PIB</vt:lpstr>
      <vt:lpstr>PMConsumo</vt:lpstr>
      <vt:lpstr>Salarios21</vt:lpstr>
      <vt:lpstr>SalariosNetos21</vt:lpstr>
      <vt:lpstr>TC</vt:lpstr>
      <vt:lpstr>ValorAgregado21</vt:lpstr>
      <vt:lpstr>VBP_21</vt:lpstr>
      <vt:lpstr>VBP_22</vt:lpstr>
      <vt:lpstr>VBP_MRIO</vt:lpstr>
      <vt:lpstr>Z_21x21</vt:lpstr>
      <vt:lpstr>Z_22x22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Garrido</dc:creator>
  <cp:lastModifiedBy>GARRIDO NICOLAS F</cp:lastModifiedBy>
  <dcterms:created xsi:type="dcterms:W3CDTF">2025-12-26T20:49:53Z</dcterms:created>
  <dcterms:modified xsi:type="dcterms:W3CDTF">2026-10-17T13:26:38Z</dcterms:modified>
</cp:coreProperties>
</file>